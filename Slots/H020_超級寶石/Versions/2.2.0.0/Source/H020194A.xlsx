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0_超級寶石\Versions\2.2.0.0\Source\"/>
    </mc:Choice>
  </mc:AlternateContent>
  <xr:revisionPtr revIDLastSave="0" documentId="13_ncr:1_{2B0B7771-A913-4197-93B6-FD0E140C923C}" xr6:coauthVersionLast="47" xr6:coauthVersionMax="47" xr10:uidLastSave="{00000000-0000-0000-0000-000000000000}"/>
  <bookViews>
    <workbookView xWindow="-108" yWindow="-108" windowWidth="23256" windowHeight="12456" firstSheet="2" activeTab="10" xr2:uid="{BCB68F8A-0E0C-4E3E-B08E-55E82FF4FC09}"/>
  </bookViews>
  <sheets>
    <sheet name="Overview" sheetId="9" r:id="rId1"/>
    <sheet name="Parameter" sheetId="19" r:id="rId2"/>
    <sheet name="Parameter-卡片" sheetId="31" r:id="rId3"/>
    <sheet name="Multiplier Weight" sheetId="28" r:id="rId4"/>
    <sheet name="Multiplier Weight (new_player)" sheetId="32" r:id="rId5"/>
    <sheet name="Multiplier Weight (bet100)" sheetId="39" state="hidden" r:id="rId6"/>
    <sheet name="Multiplier Weight (3FG)" sheetId="36" state="hidden" r:id="rId7"/>
    <sheet name="Multiplier Weight (5FG 10x)" sheetId="38" state="hidden" r:id="rId8"/>
    <sheet name="Multiplier Weight (10FG)" sheetId="34" state="hidden" r:id="rId9"/>
    <sheet name="Multiplier Weight (wei)" sheetId="30" state="hidden" r:id="rId10"/>
    <sheet name="Regular Symbol" sheetId="1" r:id="rId11"/>
    <sheet name="Reel 4 Symbol" sheetId="20" r:id="rId12"/>
    <sheet name="Pay Combo Normal Bet" sheetId="2" r:id="rId13"/>
    <sheet name="Pay Combo Extra Bet (1)" sheetId="24" r:id="rId14"/>
    <sheet name="Pay Combo Extra Bet (2)" sheetId="26" r:id="rId15"/>
    <sheet name="Pay Combo Super Feature Buy" sheetId="27" r:id="rId16"/>
    <sheet name="Super Feature Buy (bet100)" sheetId="40" state="hidden" r:id="rId17"/>
    <sheet name="Super Feature Buy (5FG 10x)" sheetId="37" state="hidden" r:id="rId18"/>
    <sheet name="Super Feature Buy (3FG)" sheetId="35" state="hidden" r:id="rId19"/>
    <sheet name="Super Feature Buy (10FG)" sheetId="33" state="hidden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Bet_1">Overview!$A$5</definedName>
    <definedName name="Bet_2">Overview!$A$6</definedName>
    <definedName name="Bet_3">Overview!$A$7</definedName>
    <definedName name="Bet_4">Overview!$A$8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99" i="32" l="1" a="1"/>
  <c r="C199" i="32" s="1"/>
  <c r="P229" i="28" a="1"/>
  <c r="P229" i="28" s="1"/>
  <c r="E218" i="32" l="1"/>
  <c r="E239" i="32"/>
  <c r="E220" i="32"/>
  <c r="E201" i="32"/>
  <c r="E241" i="32"/>
  <c r="E222" i="32"/>
  <c r="E203" i="32"/>
  <c r="E243" i="32"/>
  <c r="E224" i="32"/>
  <c r="E205" i="32"/>
  <c r="E245" i="32"/>
  <c r="E226" i="32"/>
  <c r="E207" i="32"/>
  <c r="E247" i="32"/>
  <c r="E228" i="32"/>
  <c r="E248" i="32"/>
  <c r="E229" i="32"/>
  <c r="E210" i="32"/>
  <c r="E250" i="32"/>
  <c r="E231" i="32"/>
  <c r="E212" i="32"/>
  <c r="E252" i="32"/>
  <c r="E213" i="32"/>
  <c r="E233" i="32"/>
  <c r="E253" i="32"/>
  <c r="E216" i="32"/>
  <c r="E236" i="32"/>
  <c r="E256" i="32"/>
  <c r="E217" i="32"/>
  <c r="E237" i="32"/>
  <c r="E238" i="32"/>
  <c r="E219" i="32"/>
  <c r="E200" i="32"/>
  <c r="E240" i="32"/>
  <c r="E221" i="32"/>
  <c r="E202" i="32"/>
  <c r="E242" i="32"/>
  <c r="E223" i="32"/>
  <c r="E204" i="32"/>
  <c r="E244" i="32"/>
  <c r="E225" i="32"/>
  <c r="E206" i="32"/>
  <c r="E246" i="32"/>
  <c r="E227" i="32"/>
  <c r="E208" i="32"/>
  <c r="E209" i="32"/>
  <c r="E249" i="32"/>
  <c r="E230" i="32"/>
  <c r="E211" i="32"/>
  <c r="E251" i="32"/>
  <c r="E232" i="32"/>
  <c r="E214" i="32"/>
  <c r="E234" i="32"/>
  <c r="E254" i="32"/>
  <c r="E215" i="32"/>
  <c r="E235" i="32"/>
  <c r="E255" i="32"/>
  <c r="F199" i="32" a="1"/>
  <c r="F199" i="32" s="1"/>
  <c r="J199" i="32" s="1" a="1"/>
  <c r="J199" i="32" s="1"/>
  <c r="L199" i="32" s="1" a="1"/>
  <c r="L199" i="32" s="1"/>
  <c r="E199" i="32"/>
  <c r="AR15" i="40" a="1"/>
  <c r="AR15" i="40" s="1"/>
  <c r="AQ15" i="40" a="1"/>
  <c r="AQ15" i="40" s="1"/>
  <c r="AP15" i="40" a="1"/>
  <c r="AP15" i="40" s="1"/>
  <c r="AO15" i="40" a="1"/>
  <c r="AO15" i="40" s="1"/>
  <c r="AN15" i="40" a="1"/>
  <c r="AN15" i="40" s="1"/>
  <c r="AM15" i="40" a="1"/>
  <c r="AM15" i="40" s="1"/>
  <c r="AL15" i="40" a="1"/>
  <c r="AL15" i="40" s="1"/>
  <c r="AK15" i="40" a="1"/>
  <c r="AK15" i="40" s="1"/>
  <c r="AJ15" i="40" a="1"/>
  <c r="AJ15" i="40" s="1"/>
  <c r="AI15" i="40" a="1"/>
  <c r="AI15" i="40" s="1"/>
  <c r="AH15" i="40" a="1"/>
  <c r="AH15" i="40" s="1"/>
  <c r="AG3" i="40" a="1"/>
  <c r="AG3" i="40" s="1"/>
  <c r="AG15" i="40" s="1"/>
  <c r="AF3" i="40" a="1"/>
  <c r="AF3" i="40" s="1"/>
  <c r="AF15" i="40" s="1"/>
  <c r="AE3" i="40" a="1"/>
  <c r="AE3" i="40" s="1"/>
  <c r="AE15" i="40" s="1"/>
  <c r="AD3" i="40" a="1"/>
  <c r="AD3" i="40" s="1"/>
  <c r="AD15" i="40" s="1"/>
  <c r="AC3" i="40" a="1"/>
  <c r="AC3" i="40" s="1"/>
  <c r="AC15" i="40" s="1"/>
  <c r="AB3" i="40" a="1"/>
  <c r="AB3" i="40" s="1"/>
  <c r="AB15" i="40" s="1"/>
  <c r="AA3" i="40" a="1"/>
  <c r="AA3" i="40" s="1"/>
  <c r="AA15" i="40" s="1"/>
  <c r="Z3" i="40" a="1"/>
  <c r="Z3" i="40" s="1"/>
  <c r="Z15" i="40" s="1"/>
  <c r="Y3" i="40" a="1"/>
  <c r="Y3" i="40" s="1"/>
  <c r="Y15" i="40" s="1"/>
  <c r="X3" i="40" a="1"/>
  <c r="X3" i="40" s="1"/>
  <c r="X15" i="40" s="1"/>
  <c r="W3" i="40" a="1"/>
  <c r="W3" i="40" s="1"/>
  <c r="W15" i="40" s="1"/>
  <c r="R3" i="40" a="1"/>
  <c r="R3" i="40" s="1"/>
  <c r="T15" i="40" s="1"/>
  <c r="O3" i="40" a="1"/>
  <c r="O3" i="40" s="1"/>
  <c r="M3" i="40" a="1"/>
  <c r="M3" i="40" s="1"/>
  <c r="P245" i="39" a="1"/>
  <c r="P245" i="39" s="1"/>
  <c r="P223" i="39" a="1"/>
  <c r="P223" i="39" s="1"/>
  <c r="C199" i="39" a="1"/>
  <c r="E252" i="39" s="1"/>
  <c r="E191" i="39"/>
  <c r="E190" i="39"/>
  <c r="E189" i="39"/>
  <c r="E188" i="39"/>
  <c r="E187" i="39"/>
  <c r="E186" i="39"/>
  <c r="E185" i="39"/>
  <c r="E184" i="39"/>
  <c r="E183" i="39"/>
  <c r="E182" i="39"/>
  <c r="E181" i="39"/>
  <c r="E180" i="39"/>
  <c r="E179" i="39"/>
  <c r="E178" i="39"/>
  <c r="E177" i="39"/>
  <c r="E176" i="39"/>
  <c r="E175" i="39"/>
  <c r="E174" i="39"/>
  <c r="E173" i="39"/>
  <c r="E172" i="39"/>
  <c r="E171" i="39"/>
  <c r="E170" i="39"/>
  <c r="E169" i="39"/>
  <c r="E168" i="39"/>
  <c r="E167" i="39"/>
  <c r="E166" i="39"/>
  <c r="E165" i="39"/>
  <c r="E164" i="39"/>
  <c r="E163" i="39"/>
  <c r="E162" i="39"/>
  <c r="E161" i="39"/>
  <c r="E160" i="39"/>
  <c r="E159" i="39"/>
  <c r="E158" i="39"/>
  <c r="E157" i="39"/>
  <c r="E156" i="39"/>
  <c r="E155" i="39"/>
  <c r="E154" i="39"/>
  <c r="E153" i="39"/>
  <c r="E152" i="39"/>
  <c r="E151" i="39"/>
  <c r="E150" i="39"/>
  <c r="E149" i="39"/>
  <c r="E148" i="39"/>
  <c r="E147" i="39"/>
  <c r="E146" i="39"/>
  <c r="E145" i="39"/>
  <c r="E144" i="39"/>
  <c r="E143" i="39"/>
  <c r="E142" i="39"/>
  <c r="E141" i="39"/>
  <c r="E140" i="39"/>
  <c r="E139" i="39"/>
  <c r="E138" i="39"/>
  <c r="E137" i="39"/>
  <c r="E136" i="39"/>
  <c r="E135" i="39"/>
  <c r="F134" i="39" a="1"/>
  <c r="F134" i="39" s="1"/>
  <c r="E134" i="39"/>
  <c r="N131" i="39"/>
  <c r="N196" i="39" s="1"/>
  <c r="N261" i="39" s="1"/>
  <c r="E126" i="39"/>
  <c r="E125" i="39"/>
  <c r="E124" i="39"/>
  <c r="E123" i="39"/>
  <c r="E122" i="39"/>
  <c r="E121" i="39"/>
  <c r="E120" i="39"/>
  <c r="E119" i="39"/>
  <c r="E118" i="39"/>
  <c r="I117" i="39"/>
  <c r="E117" i="39"/>
  <c r="E116" i="39"/>
  <c r="E115" i="39"/>
  <c r="E114" i="39"/>
  <c r="E113" i="39"/>
  <c r="E112" i="39"/>
  <c r="E111" i="39"/>
  <c r="E110" i="39"/>
  <c r="E109" i="39"/>
  <c r="E108" i="39"/>
  <c r="E107" i="39"/>
  <c r="E106" i="39"/>
  <c r="E105" i="39"/>
  <c r="E104" i="39"/>
  <c r="E103" i="39"/>
  <c r="E102" i="39"/>
  <c r="E101" i="39"/>
  <c r="E100" i="39"/>
  <c r="E99" i="39"/>
  <c r="E98" i="39"/>
  <c r="E97" i="39"/>
  <c r="E96" i="39"/>
  <c r="E95" i="39"/>
  <c r="E94" i="39"/>
  <c r="E93" i="39"/>
  <c r="E92" i="39"/>
  <c r="E91" i="39"/>
  <c r="E90" i="39"/>
  <c r="E89" i="39"/>
  <c r="E88" i="39"/>
  <c r="E87" i="39"/>
  <c r="E86" i="39"/>
  <c r="E85" i="39"/>
  <c r="E84" i="39"/>
  <c r="E83" i="39"/>
  <c r="E82" i="39"/>
  <c r="E81" i="39"/>
  <c r="E80" i="39"/>
  <c r="E79" i="39"/>
  <c r="E78" i="39"/>
  <c r="E77" i="39"/>
  <c r="E76" i="39"/>
  <c r="E75" i="39"/>
  <c r="E74" i="39"/>
  <c r="E73" i="39"/>
  <c r="E72" i="39"/>
  <c r="E71" i="39"/>
  <c r="E70" i="39"/>
  <c r="AT69" i="39" a="1"/>
  <c r="AT69" i="39" s="1"/>
  <c r="F69" i="39" a="1"/>
  <c r="F69" i="39" s="1"/>
  <c r="E69" i="39"/>
  <c r="A69" i="39" a="1"/>
  <c r="I123" i="39" s="1"/>
  <c r="A68" i="39" a="1"/>
  <c r="A68" i="39" s="1"/>
  <c r="A133" i="39" s="1" a="1"/>
  <c r="A133" i="39" s="1"/>
  <c r="A198" i="39" s="1" a="1"/>
  <c r="A198" i="39" s="1"/>
  <c r="I61" i="39"/>
  <c r="E61" i="39"/>
  <c r="I60" i="39"/>
  <c r="E60" i="39"/>
  <c r="I59" i="39"/>
  <c r="E59" i="39"/>
  <c r="I58" i="39"/>
  <c r="E58" i="39"/>
  <c r="I57" i="39"/>
  <c r="E57" i="39"/>
  <c r="I56" i="39"/>
  <c r="E56" i="39"/>
  <c r="I55" i="39"/>
  <c r="E55" i="39"/>
  <c r="I54" i="39"/>
  <c r="E54" i="39"/>
  <c r="I53" i="39"/>
  <c r="E53" i="39"/>
  <c r="I52" i="39"/>
  <c r="E52" i="39"/>
  <c r="I51" i="39"/>
  <c r="E51" i="39"/>
  <c r="I50" i="39"/>
  <c r="E50" i="39"/>
  <c r="I49" i="39"/>
  <c r="E49" i="39"/>
  <c r="I48" i="39"/>
  <c r="E48" i="39"/>
  <c r="I47" i="39"/>
  <c r="E47" i="39"/>
  <c r="I46" i="39"/>
  <c r="E46" i="39"/>
  <c r="I45" i="39"/>
  <c r="E45" i="39"/>
  <c r="I44" i="39"/>
  <c r="E44" i="39"/>
  <c r="I43" i="39"/>
  <c r="E43" i="39"/>
  <c r="I42" i="39"/>
  <c r="E42" i="39"/>
  <c r="I41" i="39"/>
  <c r="E41" i="39"/>
  <c r="I40" i="39"/>
  <c r="E40" i="39"/>
  <c r="I39" i="39"/>
  <c r="E39" i="39"/>
  <c r="I38" i="39"/>
  <c r="E38" i="39"/>
  <c r="I37" i="39"/>
  <c r="E37" i="39"/>
  <c r="I36" i="39"/>
  <c r="E36" i="39"/>
  <c r="I35" i="39"/>
  <c r="E35" i="39"/>
  <c r="I34" i="39"/>
  <c r="E34" i="39"/>
  <c r="I33" i="39"/>
  <c r="E33" i="39"/>
  <c r="I32" i="39"/>
  <c r="E32" i="39"/>
  <c r="I31" i="39"/>
  <c r="E31" i="39"/>
  <c r="I30" i="39"/>
  <c r="E30" i="39"/>
  <c r="I29" i="39"/>
  <c r="E29" i="39"/>
  <c r="I28" i="39"/>
  <c r="E28" i="39"/>
  <c r="I27" i="39"/>
  <c r="E27" i="39"/>
  <c r="I26" i="39"/>
  <c r="E26" i="39"/>
  <c r="I25" i="39"/>
  <c r="E25" i="39"/>
  <c r="I24" i="39"/>
  <c r="E24" i="39"/>
  <c r="I23" i="39"/>
  <c r="E23" i="39"/>
  <c r="I22" i="39"/>
  <c r="E22" i="39"/>
  <c r="I21" i="39"/>
  <c r="E21" i="39"/>
  <c r="I20" i="39"/>
  <c r="E20" i="39"/>
  <c r="I19" i="39"/>
  <c r="E19" i="39"/>
  <c r="I18" i="39"/>
  <c r="E18" i="39"/>
  <c r="I17" i="39"/>
  <c r="E17" i="39"/>
  <c r="I16" i="39"/>
  <c r="E16" i="39"/>
  <c r="I15" i="39"/>
  <c r="E15" i="39"/>
  <c r="I14" i="39"/>
  <c r="E14" i="39"/>
  <c r="I13" i="39"/>
  <c r="E13" i="39"/>
  <c r="I12" i="39"/>
  <c r="E12" i="39"/>
  <c r="I11" i="39"/>
  <c r="E11" i="39"/>
  <c r="I10" i="39"/>
  <c r="E10" i="39"/>
  <c r="I9" i="39"/>
  <c r="E9" i="39"/>
  <c r="I8" i="39"/>
  <c r="E8" i="39"/>
  <c r="I7" i="39"/>
  <c r="E7" i="39"/>
  <c r="I6" i="39"/>
  <c r="E6" i="39"/>
  <c r="I5" i="39"/>
  <c r="E5" i="39"/>
  <c r="I4" i="39"/>
  <c r="F4" i="39" a="1"/>
  <c r="F4" i="39" s="1"/>
  <c r="J4" i="39" s="1" a="1"/>
  <c r="J4" i="39" s="1"/>
  <c r="L4" i="39" s="1" a="1"/>
  <c r="L4" i="39" s="1"/>
  <c r="E4" i="39"/>
  <c r="AB3" i="39" a="1"/>
  <c r="AB3" i="39" s="1"/>
  <c r="AC3" i="39" s="1" a="1"/>
  <c r="AC3" i="39" s="1"/>
  <c r="AD3" i="39" s="1" a="1"/>
  <c r="AD3" i="39" s="1"/>
  <c r="M2" i="39"/>
  <c r="P245" i="38" a="1"/>
  <c r="P245" i="38" s="1"/>
  <c r="P223" i="38" a="1"/>
  <c r="P223" i="38" s="1"/>
  <c r="C199" i="38" a="1"/>
  <c r="E254" i="38" s="1"/>
  <c r="E191" i="38"/>
  <c r="E190" i="38"/>
  <c r="E189" i="38"/>
  <c r="E188" i="38"/>
  <c r="E187" i="38"/>
  <c r="E186" i="38"/>
  <c r="E185" i="38"/>
  <c r="E184" i="38"/>
  <c r="E183" i="38"/>
  <c r="E182" i="38"/>
  <c r="E181" i="38"/>
  <c r="E180" i="38"/>
  <c r="E179" i="38"/>
  <c r="E178" i="38"/>
  <c r="E177" i="38"/>
  <c r="E176" i="38"/>
  <c r="E175" i="38"/>
  <c r="E174" i="38"/>
  <c r="E173" i="38"/>
  <c r="E172" i="38"/>
  <c r="E171" i="38"/>
  <c r="E170" i="38"/>
  <c r="E169" i="38"/>
  <c r="E168" i="38"/>
  <c r="E167" i="38"/>
  <c r="E166" i="38"/>
  <c r="E165" i="38"/>
  <c r="E164" i="38"/>
  <c r="E163" i="38"/>
  <c r="E162" i="38"/>
  <c r="E161" i="38"/>
  <c r="E160" i="38"/>
  <c r="E159" i="38"/>
  <c r="E158" i="38"/>
  <c r="E157" i="38"/>
  <c r="E156" i="38"/>
  <c r="E155" i="38"/>
  <c r="E154" i="38"/>
  <c r="E153" i="38"/>
  <c r="E152" i="38"/>
  <c r="E151" i="38"/>
  <c r="E150" i="38"/>
  <c r="E149" i="38"/>
  <c r="E148" i="38"/>
  <c r="E147" i="38"/>
  <c r="E146" i="38"/>
  <c r="E145" i="38"/>
  <c r="E144" i="38"/>
  <c r="E143" i="38"/>
  <c r="E142" i="38"/>
  <c r="E141" i="38"/>
  <c r="E140" i="38"/>
  <c r="E139" i="38"/>
  <c r="E138" i="38"/>
  <c r="E137" i="38"/>
  <c r="E136" i="38"/>
  <c r="E135" i="38"/>
  <c r="F134" i="38" a="1"/>
  <c r="F134" i="38" s="1"/>
  <c r="E134" i="38"/>
  <c r="N131" i="38"/>
  <c r="N196" i="38" s="1"/>
  <c r="E126" i="38"/>
  <c r="E125" i="38"/>
  <c r="E124" i="38"/>
  <c r="E123" i="38"/>
  <c r="E122" i="38"/>
  <c r="E121" i="38"/>
  <c r="E120" i="38"/>
  <c r="E119" i="38"/>
  <c r="E118" i="38"/>
  <c r="E117" i="38"/>
  <c r="E116" i="38"/>
  <c r="E115" i="38"/>
  <c r="E114" i="38"/>
  <c r="E113" i="38"/>
  <c r="E112" i="38"/>
  <c r="E111" i="38"/>
  <c r="E110" i="38"/>
  <c r="E109" i="38"/>
  <c r="E108" i="38"/>
  <c r="E107" i="38"/>
  <c r="E106" i="38"/>
  <c r="E105" i="38"/>
  <c r="E104" i="38"/>
  <c r="E103" i="38"/>
  <c r="E102" i="38"/>
  <c r="E101" i="38"/>
  <c r="E100" i="38"/>
  <c r="E99" i="38"/>
  <c r="E98" i="38"/>
  <c r="E97" i="38"/>
  <c r="E96" i="38"/>
  <c r="E95" i="38"/>
  <c r="E94" i="38"/>
  <c r="E93" i="38"/>
  <c r="E92" i="38"/>
  <c r="E91" i="38"/>
  <c r="E90" i="38"/>
  <c r="E89" i="38"/>
  <c r="E88" i="38"/>
  <c r="E87" i="38"/>
  <c r="E86" i="38"/>
  <c r="E85" i="38"/>
  <c r="E84" i="38"/>
  <c r="E83" i="38"/>
  <c r="E82" i="38"/>
  <c r="E81" i="38"/>
  <c r="E80" i="38"/>
  <c r="E79" i="38"/>
  <c r="E78" i="38"/>
  <c r="E77" i="38"/>
  <c r="E76" i="38"/>
  <c r="E75" i="38"/>
  <c r="E74" i="38"/>
  <c r="E73" i="38"/>
  <c r="E72" i="38"/>
  <c r="E71" i="38"/>
  <c r="E70" i="38"/>
  <c r="AT69" i="38" a="1"/>
  <c r="AT69" i="38" s="1"/>
  <c r="F69" i="38" a="1"/>
  <c r="F69" i="38" s="1"/>
  <c r="E69" i="38"/>
  <c r="A69" i="38" a="1"/>
  <c r="I100" i="38" s="1"/>
  <c r="A68" i="38" a="1"/>
  <c r="A68" i="38" s="1"/>
  <c r="A133" i="38" s="1" a="1"/>
  <c r="A133" i="38" s="1"/>
  <c r="A198" i="38" s="1" a="1"/>
  <c r="A198" i="38" s="1"/>
  <c r="I61" i="38"/>
  <c r="E61" i="38"/>
  <c r="I60" i="38"/>
  <c r="E60" i="38"/>
  <c r="I59" i="38"/>
  <c r="E59" i="38"/>
  <c r="I58" i="38"/>
  <c r="E58" i="38"/>
  <c r="I57" i="38"/>
  <c r="E57" i="38"/>
  <c r="I56" i="38"/>
  <c r="E56" i="38"/>
  <c r="I55" i="38"/>
  <c r="E55" i="38"/>
  <c r="I54" i="38"/>
  <c r="E54" i="38"/>
  <c r="I53" i="38"/>
  <c r="E53" i="38"/>
  <c r="I52" i="38"/>
  <c r="E52" i="38"/>
  <c r="I51" i="38"/>
  <c r="E51" i="38"/>
  <c r="I50" i="38"/>
  <c r="E50" i="38"/>
  <c r="I49" i="38"/>
  <c r="E49" i="38"/>
  <c r="I48" i="38"/>
  <c r="E48" i="38"/>
  <c r="I47" i="38"/>
  <c r="E47" i="38"/>
  <c r="I46" i="38"/>
  <c r="E46" i="38"/>
  <c r="I45" i="38"/>
  <c r="E45" i="38"/>
  <c r="I44" i="38"/>
  <c r="E44" i="38"/>
  <c r="I43" i="38"/>
  <c r="E43" i="38"/>
  <c r="I42" i="38"/>
  <c r="E42" i="38"/>
  <c r="I41" i="38"/>
  <c r="E41" i="38"/>
  <c r="I40" i="38"/>
  <c r="E40" i="38"/>
  <c r="I39" i="38"/>
  <c r="E39" i="38"/>
  <c r="I38" i="38"/>
  <c r="E38" i="38"/>
  <c r="I37" i="38"/>
  <c r="E37" i="38"/>
  <c r="I36" i="38"/>
  <c r="E36" i="38"/>
  <c r="I35" i="38"/>
  <c r="E35" i="38"/>
  <c r="I34" i="38"/>
  <c r="E34" i="38"/>
  <c r="I33" i="38"/>
  <c r="E33" i="38"/>
  <c r="I32" i="38"/>
  <c r="E32" i="38"/>
  <c r="I31" i="38"/>
  <c r="E31" i="38"/>
  <c r="I30" i="38"/>
  <c r="E30" i="38"/>
  <c r="I29" i="38"/>
  <c r="E29" i="38"/>
  <c r="I28" i="38"/>
  <c r="E28" i="38"/>
  <c r="I27" i="38"/>
  <c r="E27" i="38"/>
  <c r="I26" i="38"/>
  <c r="E26" i="38"/>
  <c r="I25" i="38"/>
  <c r="E25" i="38"/>
  <c r="I24" i="38"/>
  <c r="E24" i="38"/>
  <c r="I23" i="38"/>
  <c r="E23" i="38"/>
  <c r="I22" i="38"/>
  <c r="E22" i="38"/>
  <c r="I21" i="38"/>
  <c r="E21" i="38"/>
  <c r="I20" i="38"/>
  <c r="E20" i="38"/>
  <c r="I19" i="38"/>
  <c r="E19" i="38"/>
  <c r="I18" i="38"/>
  <c r="E18" i="38"/>
  <c r="I17" i="38"/>
  <c r="E17" i="38"/>
  <c r="I16" i="38"/>
  <c r="E16" i="38"/>
  <c r="I15" i="38"/>
  <c r="E15" i="38"/>
  <c r="I14" i="38"/>
  <c r="E14" i="38"/>
  <c r="I13" i="38"/>
  <c r="E13" i="38"/>
  <c r="I12" i="38"/>
  <c r="E12" i="38"/>
  <c r="I11" i="38"/>
  <c r="E11" i="38"/>
  <c r="I10" i="38"/>
  <c r="E10" i="38"/>
  <c r="I9" i="38"/>
  <c r="E9" i="38"/>
  <c r="I8" i="38"/>
  <c r="E8" i="38"/>
  <c r="I7" i="38"/>
  <c r="E7" i="38"/>
  <c r="I6" i="38"/>
  <c r="E6" i="38"/>
  <c r="I5" i="38"/>
  <c r="E5" i="38"/>
  <c r="I4" i="38"/>
  <c r="F4" i="38" a="1"/>
  <c r="F4" i="38" s="1"/>
  <c r="E4" i="38"/>
  <c r="AB3" i="38" a="1"/>
  <c r="AB3" i="38" s="1"/>
  <c r="AC3" i="38" s="1" a="1"/>
  <c r="AC3" i="38" s="1"/>
  <c r="AD3" i="38" s="1" a="1"/>
  <c r="AD3" i="38" s="1"/>
  <c r="M2" i="38"/>
  <c r="M4" i="39" l="1" a="1"/>
  <c r="M4" i="39" s="1"/>
  <c r="N4" i="39" s="1" a="1"/>
  <c r="N65" i="39" s="1"/>
  <c r="G199" i="32" a="1"/>
  <c r="G199" i="32" s="1"/>
  <c r="I93" i="39"/>
  <c r="I70" i="39"/>
  <c r="I125" i="39"/>
  <c r="I77" i="39"/>
  <c r="I85" i="39"/>
  <c r="I109" i="39"/>
  <c r="E219" i="38"/>
  <c r="E221" i="38"/>
  <c r="E203" i="38"/>
  <c r="E205" i="38"/>
  <c r="E220" i="38"/>
  <c r="E224" i="38"/>
  <c r="E230" i="39"/>
  <c r="E239" i="38"/>
  <c r="E238" i="39"/>
  <c r="Q4" i="39" a="1"/>
  <c r="Q4" i="39" s="1"/>
  <c r="P3" i="39" s="1"/>
  <c r="R4" i="39" s="1" a="1"/>
  <c r="R4" i="39" s="1"/>
  <c r="I101" i="39"/>
  <c r="E211" i="38"/>
  <c r="E213" i="38"/>
  <c r="I93" i="38"/>
  <c r="E225" i="39"/>
  <c r="E225" i="38"/>
  <c r="E231" i="39"/>
  <c r="E239" i="39"/>
  <c r="Q69" i="39" a="1"/>
  <c r="Q69" i="39" s="1"/>
  <c r="P68" i="39" s="1"/>
  <c r="R69" i="39" s="1" a="1"/>
  <c r="R69" i="39" s="1"/>
  <c r="E253" i="39"/>
  <c r="E246" i="39"/>
  <c r="E254" i="39"/>
  <c r="E238" i="38"/>
  <c r="E204" i="39"/>
  <c r="E253" i="38"/>
  <c r="E212" i="39"/>
  <c r="E220" i="39"/>
  <c r="C199" i="38"/>
  <c r="F199" i="38" s="1" a="1"/>
  <c r="F199" i="38" s="1"/>
  <c r="J199" i="38" s="1" a="1"/>
  <c r="J199" i="38" s="1"/>
  <c r="R199" i="38" s="1" a="1"/>
  <c r="R199" i="38" s="1"/>
  <c r="T3" i="40" a="1"/>
  <c r="T3" i="40" s="1"/>
  <c r="T16" i="40" s="1" a="1"/>
  <c r="T16" i="40" s="1"/>
  <c r="O14" i="40" s="1"/>
  <c r="O15" i="40" s="1"/>
  <c r="J134" i="39" a="1"/>
  <c r="J134" i="39" s="1"/>
  <c r="L134" i="39" s="1" a="1"/>
  <c r="L134" i="39" s="1"/>
  <c r="M134" i="39" s="1" a="1"/>
  <c r="M134" i="39" s="1"/>
  <c r="N134" i="39" s="1" a="1"/>
  <c r="G134" i="39" a="1"/>
  <c r="G134" i="39" s="1"/>
  <c r="J69" i="39" a="1"/>
  <c r="J69" i="39" s="1"/>
  <c r="L69" i="39" s="1" a="1"/>
  <c r="L69" i="39" s="1"/>
  <c r="M69" i="39" s="1" a="1"/>
  <c r="M69" i="39" s="1"/>
  <c r="N69" i="39" s="1" a="1"/>
  <c r="G69" i="39" a="1"/>
  <c r="G69" i="39" s="1"/>
  <c r="G4" i="39" a="1"/>
  <c r="G4" i="39" s="1"/>
  <c r="I76" i="39"/>
  <c r="I84" i="39"/>
  <c r="I92" i="39"/>
  <c r="I100" i="39"/>
  <c r="I108" i="39"/>
  <c r="I116" i="39"/>
  <c r="I124" i="39"/>
  <c r="E203" i="39"/>
  <c r="E211" i="39"/>
  <c r="E219" i="39"/>
  <c r="E224" i="39"/>
  <c r="I86" i="39"/>
  <c r="I94" i="39"/>
  <c r="I110" i="39"/>
  <c r="I126" i="39"/>
  <c r="E205" i="39"/>
  <c r="E221" i="39"/>
  <c r="A69" i="39"/>
  <c r="C199" i="39"/>
  <c r="F199" i="39" s="1" a="1"/>
  <c r="F199" i="39" s="1"/>
  <c r="J199" i="39" s="1" a="1"/>
  <c r="J199" i="39" s="1"/>
  <c r="E255" i="39"/>
  <c r="I71" i="39"/>
  <c r="I103" i="39"/>
  <c r="I119" i="39"/>
  <c r="E241" i="39"/>
  <c r="I72" i="39"/>
  <c r="I88" i="39"/>
  <c r="I112" i="39"/>
  <c r="E223" i="39"/>
  <c r="E227" i="39"/>
  <c r="E234" i="39"/>
  <c r="E242" i="39"/>
  <c r="E249" i="39"/>
  <c r="I73" i="39"/>
  <c r="I81" i="39"/>
  <c r="I89" i="39"/>
  <c r="I97" i="39"/>
  <c r="I105" i="39"/>
  <c r="I113" i="39"/>
  <c r="I121" i="39"/>
  <c r="E200" i="39"/>
  <c r="E208" i="39"/>
  <c r="E216" i="39"/>
  <c r="E247" i="39"/>
  <c r="I87" i="39"/>
  <c r="E206" i="39"/>
  <c r="E222" i="39"/>
  <c r="E226" i="39"/>
  <c r="E248" i="39"/>
  <c r="I80" i="39"/>
  <c r="I96" i="39"/>
  <c r="I104" i="39"/>
  <c r="I120" i="39"/>
  <c r="E207" i="39"/>
  <c r="E215" i="39"/>
  <c r="I74" i="39"/>
  <c r="I82" i="39"/>
  <c r="I90" i="39"/>
  <c r="I98" i="39"/>
  <c r="I106" i="39"/>
  <c r="I114" i="39"/>
  <c r="I122" i="39"/>
  <c r="E201" i="39"/>
  <c r="E209" i="39"/>
  <c r="E217" i="39"/>
  <c r="E228" i="39"/>
  <c r="I102" i="39"/>
  <c r="E232" i="39"/>
  <c r="E235" i="39"/>
  <c r="E243" i="39"/>
  <c r="E250" i="39"/>
  <c r="E236" i="39"/>
  <c r="E244" i="39"/>
  <c r="E251" i="39"/>
  <c r="I91" i="39"/>
  <c r="E202" i="39"/>
  <c r="E210" i="39"/>
  <c r="I78" i="39"/>
  <c r="I118" i="39"/>
  <c r="E213" i="39"/>
  <c r="E240" i="39"/>
  <c r="I79" i="39"/>
  <c r="I95" i="39"/>
  <c r="I111" i="39"/>
  <c r="E214" i="39"/>
  <c r="E233" i="39"/>
  <c r="E256" i="39"/>
  <c r="I75" i="39"/>
  <c r="I83" i="39"/>
  <c r="I99" i="39"/>
  <c r="I107" i="39"/>
  <c r="I115" i="39"/>
  <c r="E218" i="39"/>
  <c r="E229" i="39"/>
  <c r="E237" i="39"/>
  <c r="E245" i="39"/>
  <c r="J4" i="38" a="1"/>
  <c r="J4" i="38" s="1"/>
  <c r="L4" i="38" s="1" a="1"/>
  <c r="L4" i="38" s="1"/>
  <c r="M4" i="38" s="1" a="1"/>
  <c r="M4" i="38" s="1"/>
  <c r="N4" i="38" s="1" a="1"/>
  <c r="G4" i="38" a="1"/>
  <c r="G4" i="38" s="1"/>
  <c r="J134" i="38" a="1"/>
  <c r="J134" i="38" s="1"/>
  <c r="L134" i="38" s="1" a="1"/>
  <c r="L134" i="38" s="1"/>
  <c r="M134" i="38" s="1" a="1"/>
  <c r="M134" i="38" s="1"/>
  <c r="N134" i="38" s="1" a="1"/>
  <c r="G134" i="38" a="1"/>
  <c r="G134" i="38" s="1"/>
  <c r="I117" i="38"/>
  <c r="A69" i="38"/>
  <c r="I76" i="38"/>
  <c r="I110" i="38"/>
  <c r="E204" i="38"/>
  <c r="E246" i="38"/>
  <c r="I121" i="38"/>
  <c r="I113" i="38"/>
  <c r="I105" i="38"/>
  <c r="I97" i="38"/>
  <c r="I89" i="38"/>
  <c r="I81" i="38"/>
  <c r="I73" i="38"/>
  <c r="I120" i="38"/>
  <c r="I104" i="38"/>
  <c r="I80" i="38"/>
  <c r="I103" i="38"/>
  <c r="I79" i="38"/>
  <c r="I123" i="38"/>
  <c r="I115" i="38"/>
  <c r="I107" i="38"/>
  <c r="I99" i="38"/>
  <c r="I91" i="38"/>
  <c r="I83" i="38"/>
  <c r="I75" i="38"/>
  <c r="I112" i="38"/>
  <c r="I96" i="38"/>
  <c r="I72" i="38"/>
  <c r="I122" i="38"/>
  <c r="I114" i="38"/>
  <c r="I106" i="38"/>
  <c r="I98" i="38"/>
  <c r="I90" i="38"/>
  <c r="I82" i="38"/>
  <c r="I74" i="38"/>
  <c r="I88" i="38"/>
  <c r="I119" i="38"/>
  <c r="I111" i="38"/>
  <c r="I95" i="38"/>
  <c r="I87" i="38"/>
  <c r="I71" i="38"/>
  <c r="I84" i="38"/>
  <c r="I118" i="38"/>
  <c r="I108" i="38"/>
  <c r="I85" i="38"/>
  <c r="I77" i="38"/>
  <c r="I78" i="38"/>
  <c r="I125" i="38"/>
  <c r="E230" i="38"/>
  <c r="I92" i="38"/>
  <c r="I126" i="38"/>
  <c r="E212" i="38"/>
  <c r="N261" i="38"/>
  <c r="I94" i="38"/>
  <c r="Q69" i="38" a="1"/>
  <c r="Q69" i="38" s="1"/>
  <c r="P68" i="38" s="1"/>
  <c r="R69" i="38" s="1" a="1"/>
  <c r="J69" i="38" a="1"/>
  <c r="J69" i="38" s="1"/>
  <c r="L69" i="38" s="1" a="1"/>
  <c r="L69" i="38" s="1"/>
  <c r="M69" i="38" s="1" a="1"/>
  <c r="M69" i="38" s="1"/>
  <c r="N69" i="38" s="1" a="1"/>
  <c r="G69" i="38" a="1"/>
  <c r="G69" i="38" s="1"/>
  <c r="I109" i="38"/>
  <c r="I86" i="38"/>
  <c r="I124" i="38"/>
  <c r="I101" i="38"/>
  <c r="I102" i="38"/>
  <c r="Q4" i="38" a="1"/>
  <c r="Q4" i="38" s="1"/>
  <c r="P3" i="38" s="1"/>
  <c r="R4" i="38" s="1" a="1"/>
  <c r="I70" i="38"/>
  <c r="I116" i="38"/>
  <c r="E252" i="38"/>
  <c r="E245" i="38"/>
  <c r="E237" i="38"/>
  <c r="E229" i="38"/>
  <c r="E244" i="38"/>
  <c r="E236" i="38"/>
  <c r="E208" i="38"/>
  <c r="E248" i="38"/>
  <c r="E226" i="38"/>
  <c r="E222" i="38"/>
  <c r="E214" i="38"/>
  <c r="E206" i="38"/>
  <c r="E255" i="38"/>
  <c r="E232" i="38"/>
  <c r="E218" i="38"/>
  <c r="E210" i="38"/>
  <c r="E202" i="38"/>
  <c r="E251" i="38"/>
  <c r="E216" i="38"/>
  <c r="E200" i="38"/>
  <c r="E215" i="38"/>
  <c r="E256" i="38"/>
  <c r="E241" i="38"/>
  <c r="E233" i="38"/>
  <c r="E240" i="38"/>
  <c r="E228" i="38"/>
  <c r="E217" i="38"/>
  <c r="E209" i="38"/>
  <c r="E201" i="38"/>
  <c r="E250" i="38"/>
  <c r="E243" i="38"/>
  <c r="E235" i="38"/>
  <c r="E207" i="38"/>
  <c r="E247" i="38"/>
  <c r="E249" i="38"/>
  <c r="E242" i="38"/>
  <c r="E234" i="38"/>
  <c r="E227" i="38"/>
  <c r="E223" i="38"/>
  <c r="E231" i="38"/>
  <c r="AR15" i="37" a="1"/>
  <c r="AR15" i="37" s="1"/>
  <c r="AQ15" i="37" a="1"/>
  <c r="AQ15" i="37" s="1"/>
  <c r="AP15" i="37" a="1"/>
  <c r="AP15" i="37" s="1"/>
  <c r="AO15" i="37" a="1"/>
  <c r="AO15" i="37" s="1"/>
  <c r="AN15" i="37" a="1"/>
  <c r="AN15" i="37" s="1"/>
  <c r="AM15" i="37" a="1"/>
  <c r="AM15" i="37" s="1"/>
  <c r="AL15" i="37" a="1"/>
  <c r="AL15" i="37" s="1"/>
  <c r="AK15" i="37" a="1"/>
  <c r="AK15" i="37" s="1"/>
  <c r="AJ15" i="37" a="1"/>
  <c r="AJ15" i="37" s="1"/>
  <c r="AI15" i="37" a="1"/>
  <c r="AI15" i="37" s="1"/>
  <c r="AH15" i="37" a="1"/>
  <c r="AH15" i="37" s="1"/>
  <c r="AG3" i="37" a="1"/>
  <c r="AG3" i="37" s="1"/>
  <c r="AG15" i="37" s="1"/>
  <c r="AF3" i="37" a="1"/>
  <c r="AF3" i="37" s="1"/>
  <c r="AF15" i="37" s="1"/>
  <c r="AE3" i="37" a="1"/>
  <c r="AE3" i="37" s="1"/>
  <c r="AE15" i="37" s="1"/>
  <c r="AD3" i="37" a="1"/>
  <c r="AD3" i="37" s="1"/>
  <c r="AD15" i="37" s="1"/>
  <c r="AC3" i="37" a="1"/>
  <c r="AC3" i="37" s="1"/>
  <c r="AC15" i="37" s="1"/>
  <c r="AB3" i="37" a="1"/>
  <c r="AB3" i="37" s="1"/>
  <c r="AB15" i="37" s="1"/>
  <c r="AA3" i="37" a="1"/>
  <c r="AA3" i="37" s="1"/>
  <c r="AA15" i="37" s="1"/>
  <c r="Z3" i="37" a="1"/>
  <c r="Z3" i="37" s="1"/>
  <c r="Z15" i="37" s="1"/>
  <c r="Y3" i="37" a="1"/>
  <c r="Y3" i="37" s="1"/>
  <c r="Y15" i="37" s="1"/>
  <c r="X3" i="37" a="1"/>
  <c r="X3" i="37" s="1"/>
  <c r="X15" i="37" s="1"/>
  <c r="W3" i="37" a="1"/>
  <c r="W3" i="37" s="1"/>
  <c r="W15" i="37" s="1"/>
  <c r="R3" i="37" a="1"/>
  <c r="R3" i="37" s="1"/>
  <c r="T15" i="37" s="1"/>
  <c r="O3" i="37" a="1"/>
  <c r="O3" i="37" s="1"/>
  <c r="M3" i="37" a="1"/>
  <c r="M3" i="37" s="1"/>
  <c r="N4" i="39" l="1"/>
  <c r="N64" i="39"/>
  <c r="S5" i="39" a="1"/>
  <c r="S5" i="39" s="1"/>
  <c r="S70" i="39" a="1"/>
  <c r="S70" i="39" s="1"/>
  <c r="O64" i="39" a="1"/>
  <c r="O64" i="39" s="1"/>
  <c r="L199" i="38" a="1"/>
  <c r="L199" i="38" s="1"/>
  <c r="M199" i="38" s="1" a="1"/>
  <c r="M199" i="38" s="1"/>
  <c r="N199" i="38" s="1" a="1"/>
  <c r="U224" i="38" s="1"/>
  <c r="E199" i="38"/>
  <c r="G199" i="38" s="1" a="1"/>
  <c r="G199" i="38" s="1"/>
  <c r="N25" i="40"/>
  <c r="N22" i="40"/>
  <c r="N21" i="40"/>
  <c r="N24" i="40"/>
  <c r="N23" i="40"/>
  <c r="N129" i="39"/>
  <c r="N69" i="39"/>
  <c r="N130" i="39"/>
  <c r="R68" i="39"/>
  <c r="S69" i="39" s="1"/>
  <c r="T69" i="39" s="1" a="1"/>
  <c r="T69" i="39" s="1"/>
  <c r="R199" i="39" a="1"/>
  <c r="R199" i="39" s="1"/>
  <c r="L199" i="39" a="1"/>
  <c r="L199" i="39" s="1"/>
  <c r="M199" i="39" s="1" a="1"/>
  <c r="M199" i="39" s="1"/>
  <c r="N199" i="39" s="1" a="1"/>
  <c r="A134" i="39" a="1"/>
  <c r="I69" i="39"/>
  <c r="H69" i="39" a="1"/>
  <c r="H69" i="39" s="1"/>
  <c r="N134" i="39"/>
  <c r="O134" i="39" s="1" a="1"/>
  <c r="N192" i="39"/>
  <c r="N195" i="39" s="1"/>
  <c r="N194" i="39"/>
  <c r="O194" i="39" s="1" a="1"/>
  <c r="O194" i="39" s="1"/>
  <c r="E199" i="39"/>
  <c r="G199" i="39" s="1" a="1"/>
  <c r="G199" i="39" s="1"/>
  <c r="R3" i="39"/>
  <c r="S4" i="39"/>
  <c r="T4" i="39" s="1" a="1"/>
  <c r="T4" i="39" s="1"/>
  <c r="Q134" i="39" a="1"/>
  <c r="Q134" i="39" s="1"/>
  <c r="O4" i="39" a="1"/>
  <c r="R69" i="38"/>
  <c r="S70" i="38" a="1"/>
  <c r="S70" i="38" s="1"/>
  <c r="N129" i="38"/>
  <c r="N130" i="38"/>
  <c r="N69" i="38"/>
  <c r="S5" i="38" a="1"/>
  <c r="S5" i="38" s="1"/>
  <c r="R4" i="38"/>
  <c r="N134" i="38"/>
  <c r="O134" i="38" s="1" a="1"/>
  <c r="N194" i="38"/>
  <c r="N192" i="38"/>
  <c r="N195" i="38" s="1"/>
  <c r="A134" i="38" a="1"/>
  <c r="I69" i="38"/>
  <c r="H69" i="38" a="1"/>
  <c r="H69" i="38" s="1"/>
  <c r="N65" i="38"/>
  <c r="N4" i="38"/>
  <c r="N64" i="38"/>
  <c r="O64" i="38" s="1" a="1"/>
  <c r="O64" i="38" s="1"/>
  <c r="T3" i="37" a="1"/>
  <c r="T3" i="37" s="1"/>
  <c r="T16" i="37" s="1" a="1"/>
  <c r="T16" i="37" s="1"/>
  <c r="O14" i="37" s="1"/>
  <c r="O15" i="37" s="1"/>
  <c r="AG206" i="1"/>
  <c r="AK206" i="1"/>
  <c r="AK207" i="1"/>
  <c r="N257" i="38" l="1"/>
  <c r="N260" i="38" s="1"/>
  <c r="U225" i="38"/>
  <c r="N259" i="38"/>
  <c r="O259" i="38" s="1" a="1"/>
  <c r="O259" i="38" s="1"/>
  <c r="U227" i="38"/>
  <c r="U228" i="38"/>
  <c r="N199" i="38"/>
  <c r="U223" i="38" s="1"/>
  <c r="U226" i="38"/>
  <c r="N199" i="39"/>
  <c r="U228" i="39"/>
  <c r="U225" i="39"/>
  <c r="U227" i="39"/>
  <c r="N259" i="39"/>
  <c r="U226" i="39"/>
  <c r="N257" i="39"/>
  <c r="N260" i="39" s="1"/>
  <c r="U224" i="39"/>
  <c r="I187" i="39"/>
  <c r="I179" i="39"/>
  <c r="I171" i="39"/>
  <c r="I163" i="39"/>
  <c r="I155" i="39"/>
  <c r="I147" i="39"/>
  <c r="I139" i="39"/>
  <c r="A134" i="39"/>
  <c r="I191" i="39"/>
  <c r="I183" i="39"/>
  <c r="I175" i="39"/>
  <c r="I167" i="39"/>
  <c r="I151" i="39"/>
  <c r="I143" i="39"/>
  <c r="I135" i="39"/>
  <c r="I182" i="39"/>
  <c r="I174" i="39"/>
  <c r="I166" i="39"/>
  <c r="I158" i="39"/>
  <c r="I186" i="39"/>
  <c r="I178" i="39"/>
  <c r="I170" i="39"/>
  <c r="I162" i="39"/>
  <c r="I154" i="39"/>
  <c r="I146" i="39"/>
  <c r="I138" i="39"/>
  <c r="I185" i="39"/>
  <c r="I169" i="39"/>
  <c r="I161" i="39"/>
  <c r="I153" i="39"/>
  <c r="I137" i="39"/>
  <c r="I181" i="39"/>
  <c r="I165" i="39"/>
  <c r="I149" i="39"/>
  <c r="I177" i="39"/>
  <c r="I145" i="39"/>
  <c r="I190" i="39"/>
  <c r="I142" i="39"/>
  <c r="I184" i="39"/>
  <c r="I176" i="39"/>
  <c r="I168" i="39"/>
  <c r="I160" i="39"/>
  <c r="I152" i="39"/>
  <c r="I144" i="39"/>
  <c r="I136" i="39"/>
  <c r="I159" i="39"/>
  <c r="I150" i="39"/>
  <c r="I189" i="39"/>
  <c r="I173" i="39"/>
  <c r="I157" i="39"/>
  <c r="I141" i="39"/>
  <c r="I188" i="39"/>
  <c r="I172" i="39"/>
  <c r="I156" i="39"/>
  <c r="I140" i="39"/>
  <c r="I180" i="39"/>
  <c r="I148" i="39"/>
  <c r="I164" i="39"/>
  <c r="O192" i="39"/>
  <c r="O134" i="39"/>
  <c r="O132" i="39" s="1"/>
  <c r="O4" i="39"/>
  <c r="O2" i="39" s="1"/>
  <c r="Q2" i="39" s="1"/>
  <c r="O62" i="39"/>
  <c r="O69" i="39" a="1"/>
  <c r="P134" i="39" a="1"/>
  <c r="P134" i="39" s="1"/>
  <c r="O129" i="39" a="1"/>
  <c r="O129" i="39" s="1"/>
  <c r="O69" i="38" a="1"/>
  <c r="P134" i="38" a="1"/>
  <c r="P134" i="38" s="1"/>
  <c r="O129" i="38" a="1"/>
  <c r="O129" i="38" s="1"/>
  <c r="O4" i="38" a="1"/>
  <c r="Q134" i="38" a="1"/>
  <c r="Q134" i="38" s="1"/>
  <c r="R3" i="38"/>
  <c r="S4" i="38"/>
  <c r="T4" i="38" s="1" a="1"/>
  <c r="T4" i="38" s="1"/>
  <c r="I187" i="38"/>
  <c r="I179" i="38"/>
  <c r="I171" i="38"/>
  <c r="I163" i="38"/>
  <c r="I155" i="38"/>
  <c r="I147" i="38"/>
  <c r="I139" i="38"/>
  <c r="A134" i="38"/>
  <c r="I186" i="38"/>
  <c r="I178" i="38"/>
  <c r="I170" i="38"/>
  <c r="I162" i="38"/>
  <c r="I154" i="38"/>
  <c r="I146" i="38"/>
  <c r="I138" i="38"/>
  <c r="I159" i="38"/>
  <c r="I185" i="38"/>
  <c r="I177" i="38"/>
  <c r="I169" i="38"/>
  <c r="I161" i="38"/>
  <c r="I153" i="38"/>
  <c r="I145" i="38"/>
  <c r="I137" i="38"/>
  <c r="I191" i="38"/>
  <c r="I183" i="38"/>
  <c r="I175" i="38"/>
  <c r="I167" i="38"/>
  <c r="I151" i="38"/>
  <c r="I143" i="38"/>
  <c r="I135" i="38"/>
  <c r="I184" i="38"/>
  <c r="I176" i="38"/>
  <c r="I168" i="38"/>
  <c r="I160" i="38"/>
  <c r="I152" i="38"/>
  <c r="I144" i="38"/>
  <c r="I136" i="38"/>
  <c r="I172" i="38"/>
  <c r="I158" i="38"/>
  <c r="I157" i="38"/>
  <c r="I142" i="38"/>
  <c r="I141" i="38"/>
  <c r="I173" i="38"/>
  <c r="I182" i="38"/>
  <c r="I148" i="38"/>
  <c r="I181" i="38"/>
  <c r="I180" i="38"/>
  <c r="I188" i="38"/>
  <c r="I164" i="38"/>
  <c r="I150" i="38"/>
  <c r="I190" i="38"/>
  <c r="I156" i="38"/>
  <c r="I166" i="38"/>
  <c r="I189" i="38"/>
  <c r="I165" i="38"/>
  <c r="I174" i="38"/>
  <c r="I140" i="38"/>
  <c r="I149" i="38"/>
  <c r="O194" i="38" a="1"/>
  <c r="O194" i="38" s="1"/>
  <c r="O192" i="38"/>
  <c r="O134" i="38"/>
  <c r="O132" i="38" s="1"/>
  <c r="R68" i="38"/>
  <c r="S69" i="38" s="1"/>
  <c r="T69" i="38" s="1" a="1"/>
  <c r="T69" i="38" s="1"/>
  <c r="N25" i="37"/>
  <c r="N22" i="37"/>
  <c r="N24" i="37"/>
  <c r="N21" i="37"/>
  <c r="N23" i="37"/>
  <c r="V223" i="38" l="1" a="1"/>
  <c r="V223" i="38" s="1"/>
  <c r="O199" i="38" a="1"/>
  <c r="O259" i="39" a="1"/>
  <c r="O259" i="39" s="1"/>
  <c r="I134" i="39"/>
  <c r="H134" i="39" a="1"/>
  <c r="H134" i="39" s="1"/>
  <c r="A199" i="39" a="1"/>
  <c r="O69" i="39"/>
  <c r="O67" i="39" s="1"/>
  <c r="O127" i="39"/>
  <c r="U223" i="39"/>
  <c r="V223" i="39" s="1" a="1"/>
  <c r="V223" i="39" s="1"/>
  <c r="O199" i="39" a="1"/>
  <c r="O4" i="38"/>
  <c r="O2" i="38" s="1"/>
  <c r="Q2" i="38" s="1"/>
  <c r="O62" i="38"/>
  <c r="O257" i="38"/>
  <c r="O199" i="38"/>
  <c r="O197" i="38" s="1"/>
  <c r="T222" i="38" s="1"/>
  <c r="I134" i="38"/>
  <c r="A199" i="38" a="1"/>
  <c r="H134" i="38" a="1"/>
  <c r="H134" i="38" s="1"/>
  <c r="O69" i="38"/>
  <c r="O67" i="38" s="1"/>
  <c r="O127" i="38"/>
  <c r="P229" i="36" a="1"/>
  <c r="P229" i="36" s="1"/>
  <c r="P221" i="36" a="1"/>
  <c r="P221" i="36" s="1"/>
  <c r="C199" i="36" a="1"/>
  <c r="E214" i="36" s="1"/>
  <c r="E191" i="36"/>
  <c r="E190" i="36"/>
  <c r="E189" i="36"/>
  <c r="E188" i="36"/>
  <c r="E187" i="36"/>
  <c r="E186" i="36"/>
  <c r="E185" i="36"/>
  <c r="E184" i="36"/>
  <c r="E183" i="36"/>
  <c r="E182" i="36"/>
  <c r="E181" i="36"/>
  <c r="E180" i="36"/>
  <c r="E179" i="36"/>
  <c r="E178" i="36"/>
  <c r="E177" i="36"/>
  <c r="E176" i="36"/>
  <c r="E175" i="36"/>
  <c r="E174" i="36"/>
  <c r="E173" i="36"/>
  <c r="E172" i="36"/>
  <c r="E171" i="36"/>
  <c r="E170" i="36"/>
  <c r="E169" i="36"/>
  <c r="E168" i="36"/>
  <c r="E167" i="36"/>
  <c r="E166" i="36"/>
  <c r="E165" i="36"/>
  <c r="E164" i="36"/>
  <c r="E163" i="36"/>
  <c r="E162" i="36"/>
  <c r="E161" i="36"/>
  <c r="E160" i="36"/>
  <c r="E159" i="36"/>
  <c r="E158" i="36"/>
  <c r="E157" i="36"/>
  <c r="E156" i="36"/>
  <c r="E155" i="36"/>
  <c r="E154" i="36"/>
  <c r="E153" i="36"/>
  <c r="E152" i="36"/>
  <c r="E151" i="36"/>
  <c r="E150" i="36"/>
  <c r="E149" i="36"/>
  <c r="E148" i="36"/>
  <c r="E147" i="36"/>
  <c r="E146" i="36"/>
  <c r="E145" i="36"/>
  <c r="E144" i="36"/>
  <c r="E143" i="36"/>
  <c r="E142" i="36"/>
  <c r="E141" i="36"/>
  <c r="E140" i="36"/>
  <c r="E139" i="36"/>
  <c r="E138" i="36"/>
  <c r="E137" i="36"/>
  <c r="E136" i="36"/>
  <c r="E135" i="36"/>
  <c r="F134" i="36" a="1"/>
  <c r="F134" i="36" s="1"/>
  <c r="E134" i="36"/>
  <c r="N131" i="36"/>
  <c r="E126" i="36"/>
  <c r="E125" i="36"/>
  <c r="E124" i="36"/>
  <c r="E123" i="36"/>
  <c r="E122" i="36"/>
  <c r="E121" i="36"/>
  <c r="E120" i="36"/>
  <c r="E119" i="36"/>
  <c r="E118" i="36"/>
  <c r="E117" i="36"/>
  <c r="E116" i="36"/>
  <c r="E115" i="36"/>
  <c r="E114" i="36"/>
  <c r="E113" i="36"/>
  <c r="E112" i="36"/>
  <c r="E111" i="36"/>
  <c r="E110" i="36"/>
  <c r="E109" i="36"/>
  <c r="E108" i="36"/>
  <c r="E107" i="36"/>
  <c r="E106" i="36"/>
  <c r="E105" i="36"/>
  <c r="E104" i="36"/>
  <c r="E103" i="36"/>
  <c r="E102" i="36"/>
  <c r="E101" i="36"/>
  <c r="E100" i="36"/>
  <c r="E99" i="36"/>
  <c r="E98" i="36"/>
  <c r="E97" i="36"/>
  <c r="E96" i="36"/>
  <c r="E95" i="36"/>
  <c r="E94" i="36"/>
  <c r="E93" i="36"/>
  <c r="E92" i="36"/>
  <c r="E91" i="36"/>
  <c r="E90" i="36"/>
  <c r="E89" i="36"/>
  <c r="E88" i="36"/>
  <c r="E87" i="36"/>
  <c r="E86" i="36"/>
  <c r="E85" i="36"/>
  <c r="E84" i="36"/>
  <c r="E83" i="36"/>
  <c r="E82" i="36"/>
  <c r="E81" i="36"/>
  <c r="E80" i="36"/>
  <c r="E79" i="36"/>
  <c r="E78" i="36"/>
  <c r="E77" i="36"/>
  <c r="I76" i="36"/>
  <c r="E76" i="36"/>
  <c r="E75" i="36"/>
  <c r="E74" i="36"/>
  <c r="E73" i="36"/>
  <c r="E72" i="36"/>
  <c r="E71" i="36"/>
  <c r="E70" i="36"/>
  <c r="AT69" i="36" a="1"/>
  <c r="AT69" i="36" s="1"/>
  <c r="F69" i="36" a="1"/>
  <c r="F69" i="36" s="1"/>
  <c r="J69" i="36" s="1" a="1"/>
  <c r="J69" i="36" s="1"/>
  <c r="L69" i="36" s="1" a="1"/>
  <c r="L69" i="36" s="1"/>
  <c r="E69" i="36"/>
  <c r="A69" i="36" a="1"/>
  <c r="I119" i="36" s="1"/>
  <c r="A68" i="36" a="1"/>
  <c r="A68" i="36" s="1"/>
  <c r="A133" i="36" s="1" a="1"/>
  <c r="A133" i="36" s="1"/>
  <c r="A198" i="36" s="1" a="1"/>
  <c r="A198" i="36" s="1"/>
  <c r="I61" i="36"/>
  <c r="E61" i="36"/>
  <c r="I60" i="36"/>
  <c r="E60" i="36"/>
  <c r="I59" i="36"/>
  <c r="E59" i="36"/>
  <c r="I58" i="36"/>
  <c r="E58" i="36"/>
  <c r="I57" i="36"/>
  <c r="E57" i="36"/>
  <c r="I56" i="36"/>
  <c r="E56" i="36"/>
  <c r="I55" i="36"/>
  <c r="E55" i="36"/>
  <c r="I54" i="36"/>
  <c r="E54" i="36"/>
  <c r="I53" i="36"/>
  <c r="E53" i="36"/>
  <c r="I52" i="36"/>
  <c r="E52" i="36"/>
  <c r="I51" i="36"/>
  <c r="E51" i="36"/>
  <c r="I50" i="36"/>
  <c r="E50" i="36"/>
  <c r="I49" i="36"/>
  <c r="E49" i="36"/>
  <c r="I48" i="36"/>
  <c r="E48" i="36"/>
  <c r="I47" i="36"/>
  <c r="E47" i="36"/>
  <c r="I46" i="36"/>
  <c r="E46" i="36"/>
  <c r="I45" i="36"/>
  <c r="E45" i="36"/>
  <c r="I44" i="36"/>
  <c r="E44" i="36"/>
  <c r="I43" i="36"/>
  <c r="E43" i="36"/>
  <c r="I42" i="36"/>
  <c r="E42" i="36"/>
  <c r="I41" i="36"/>
  <c r="E41" i="36"/>
  <c r="I40" i="36"/>
  <c r="E40" i="36"/>
  <c r="I39" i="36"/>
  <c r="E39" i="36"/>
  <c r="I38" i="36"/>
  <c r="E38" i="36"/>
  <c r="I37" i="36"/>
  <c r="E37" i="36"/>
  <c r="I36" i="36"/>
  <c r="E36" i="36"/>
  <c r="I35" i="36"/>
  <c r="E35" i="36"/>
  <c r="I34" i="36"/>
  <c r="E34" i="36"/>
  <c r="I33" i="36"/>
  <c r="E33" i="36"/>
  <c r="I32" i="36"/>
  <c r="E32" i="36"/>
  <c r="I31" i="36"/>
  <c r="E31" i="36"/>
  <c r="I30" i="36"/>
  <c r="E30" i="36"/>
  <c r="I29" i="36"/>
  <c r="E29" i="36"/>
  <c r="I28" i="36"/>
  <c r="E28" i="36"/>
  <c r="I27" i="36"/>
  <c r="E27" i="36"/>
  <c r="I26" i="36"/>
  <c r="E26" i="36"/>
  <c r="I25" i="36"/>
  <c r="E25" i="36"/>
  <c r="I24" i="36"/>
  <c r="E24" i="36"/>
  <c r="I23" i="36"/>
  <c r="E23" i="36"/>
  <c r="I22" i="36"/>
  <c r="E22" i="36"/>
  <c r="I21" i="36"/>
  <c r="E21" i="36"/>
  <c r="I20" i="36"/>
  <c r="E20" i="36"/>
  <c r="I19" i="36"/>
  <c r="E19" i="36"/>
  <c r="I18" i="36"/>
  <c r="E18" i="36"/>
  <c r="I17" i="36"/>
  <c r="E17" i="36"/>
  <c r="I16" i="36"/>
  <c r="E16" i="36"/>
  <c r="I15" i="36"/>
  <c r="E15" i="36"/>
  <c r="I14" i="36"/>
  <c r="E14" i="36"/>
  <c r="I13" i="36"/>
  <c r="E13" i="36"/>
  <c r="I12" i="36"/>
  <c r="E12" i="36"/>
  <c r="I11" i="36"/>
  <c r="E11" i="36"/>
  <c r="I10" i="36"/>
  <c r="E10" i="36"/>
  <c r="I9" i="36"/>
  <c r="E9" i="36"/>
  <c r="I8" i="36"/>
  <c r="E8" i="36"/>
  <c r="I7" i="36"/>
  <c r="E7" i="36"/>
  <c r="I6" i="36"/>
  <c r="E6" i="36"/>
  <c r="I5" i="36"/>
  <c r="E5" i="36"/>
  <c r="I4" i="36"/>
  <c r="F4" i="36" a="1"/>
  <c r="F4" i="36" s="1"/>
  <c r="E4" i="36"/>
  <c r="AB3" i="36" a="1"/>
  <c r="AB3" i="36" s="1"/>
  <c r="AC3" i="36" s="1" a="1"/>
  <c r="AC3" i="36" s="1"/>
  <c r="AD3" i="36" s="1" a="1"/>
  <c r="AD3" i="36" s="1"/>
  <c r="M2" i="36"/>
  <c r="I116" i="36" l="1"/>
  <c r="I100" i="36"/>
  <c r="M69" i="36" a="1"/>
  <c r="M69" i="36" s="1"/>
  <c r="N69" i="36" s="1" a="1"/>
  <c r="N69" i="36" s="1"/>
  <c r="Q4" i="36" a="1"/>
  <c r="Q4" i="36" s="1"/>
  <c r="P3" i="36" s="1"/>
  <c r="R4" i="36" s="1" a="1"/>
  <c r="R4" i="36" s="1"/>
  <c r="I84" i="36"/>
  <c r="Q69" i="36" a="1"/>
  <c r="Q69" i="36" s="1"/>
  <c r="P68" i="36" s="1"/>
  <c r="R69" i="36" s="1" a="1"/>
  <c r="I108" i="36"/>
  <c r="I92" i="36"/>
  <c r="I124" i="36"/>
  <c r="I218" i="39"/>
  <c r="I210" i="39"/>
  <c r="I202" i="39"/>
  <c r="I226" i="39"/>
  <c r="I222" i="39"/>
  <c r="I214" i="39"/>
  <c r="I206" i="39"/>
  <c r="I255" i="39"/>
  <c r="I221" i="39"/>
  <c r="I205" i="39"/>
  <c r="I231" i="39"/>
  <c r="I251" i="39"/>
  <c r="I244" i="39"/>
  <c r="I236" i="39"/>
  <c r="I225" i="39"/>
  <c r="I228" i="39"/>
  <c r="I217" i="39"/>
  <c r="I209" i="39"/>
  <c r="I201" i="39"/>
  <c r="I216" i="39"/>
  <c r="I208" i="39"/>
  <c r="I200" i="39"/>
  <c r="I246" i="39"/>
  <c r="I204" i="39"/>
  <c r="A199" i="39"/>
  <c r="I250" i="39"/>
  <c r="I243" i="39"/>
  <c r="I235" i="39"/>
  <c r="I256" i="39"/>
  <c r="I241" i="39"/>
  <c r="I247" i="39"/>
  <c r="I232" i="39"/>
  <c r="I213" i="39"/>
  <c r="I254" i="39"/>
  <c r="I249" i="39"/>
  <c r="I242" i="39"/>
  <c r="I234" i="39"/>
  <c r="I227" i="39"/>
  <c r="I223" i="39"/>
  <c r="I215" i="39"/>
  <c r="I207" i="39"/>
  <c r="I248" i="39"/>
  <c r="I233" i="39"/>
  <c r="I240" i="39"/>
  <c r="I239" i="39"/>
  <c r="I212" i="39"/>
  <c r="I252" i="39"/>
  <c r="I245" i="39"/>
  <c r="I237" i="39"/>
  <c r="I229" i="39"/>
  <c r="I220" i="39"/>
  <c r="I219" i="39"/>
  <c r="I230" i="39"/>
  <c r="I253" i="39"/>
  <c r="I211" i="39"/>
  <c r="I203" i="39"/>
  <c r="I224" i="39"/>
  <c r="I238" i="39"/>
  <c r="O199" i="39"/>
  <c r="O197" i="39" s="1"/>
  <c r="T222" i="39" s="1"/>
  <c r="O257" i="39"/>
  <c r="I218" i="38"/>
  <c r="I210" i="38"/>
  <c r="I202" i="38"/>
  <c r="I228" i="38"/>
  <c r="I217" i="38"/>
  <c r="I209" i="38"/>
  <c r="I201" i="38"/>
  <c r="I248" i="38"/>
  <c r="I255" i="38"/>
  <c r="I232" i="38"/>
  <c r="I213" i="38"/>
  <c r="I251" i="38"/>
  <c r="I244" i="38"/>
  <c r="I236" i="38"/>
  <c r="I249" i="38"/>
  <c r="I242" i="38"/>
  <c r="I234" i="38"/>
  <c r="I227" i="38"/>
  <c r="I223" i="38"/>
  <c r="I256" i="38"/>
  <c r="I222" i="38"/>
  <c r="I214" i="38"/>
  <c r="I206" i="38"/>
  <c r="I247" i="38"/>
  <c r="I221" i="38"/>
  <c r="I250" i="38"/>
  <c r="I243" i="38"/>
  <c r="I235" i="38"/>
  <c r="I216" i="38"/>
  <c r="I208" i="38"/>
  <c r="I200" i="38"/>
  <c r="I241" i="38"/>
  <c r="I233" i="38"/>
  <c r="I226" i="38"/>
  <c r="I240" i="38"/>
  <c r="I205" i="38"/>
  <c r="I215" i="38"/>
  <c r="I207" i="38"/>
  <c r="I254" i="38"/>
  <c r="I212" i="38"/>
  <c r="I225" i="38"/>
  <c r="I246" i="38"/>
  <c r="I219" i="38"/>
  <c r="I231" i="38"/>
  <c r="I230" i="38"/>
  <c r="A199" i="38"/>
  <c r="I253" i="38"/>
  <c r="I211" i="38"/>
  <c r="I229" i="38"/>
  <c r="I252" i="38"/>
  <c r="I204" i="38"/>
  <c r="I239" i="38"/>
  <c r="I224" i="38"/>
  <c r="I203" i="38"/>
  <c r="I245" i="38"/>
  <c r="I220" i="38"/>
  <c r="I238" i="38"/>
  <c r="I237" i="38"/>
  <c r="J4" i="36" a="1"/>
  <c r="J4" i="36" s="1"/>
  <c r="L4" i="36" s="1" a="1"/>
  <c r="L4" i="36" s="1"/>
  <c r="M4" i="36" s="1" a="1"/>
  <c r="M4" i="36" s="1"/>
  <c r="N4" i="36" s="1" a="1"/>
  <c r="G4" i="36" a="1"/>
  <c r="G4" i="36" s="1"/>
  <c r="S5" i="36" a="1"/>
  <c r="S5" i="36" s="1"/>
  <c r="G134" i="36" a="1"/>
  <c r="G134" i="36" s="1"/>
  <c r="J134" i="36" a="1"/>
  <c r="J134" i="36" s="1"/>
  <c r="L134" i="36" s="1" a="1"/>
  <c r="L134" i="36" s="1"/>
  <c r="M134" i="36" s="1" a="1"/>
  <c r="M134" i="36" s="1"/>
  <c r="N134" i="36" s="1" a="1"/>
  <c r="S70" i="36" a="1"/>
  <c r="S70" i="36" s="1"/>
  <c r="R69" i="36"/>
  <c r="I86" i="36"/>
  <c r="I72" i="36"/>
  <c r="I80" i="36"/>
  <c r="I88" i="36"/>
  <c r="I96" i="36"/>
  <c r="I104" i="36"/>
  <c r="I112" i="36"/>
  <c r="I120" i="36"/>
  <c r="E207" i="36"/>
  <c r="E215" i="36"/>
  <c r="E222" i="36"/>
  <c r="E233" i="36"/>
  <c r="E241" i="36"/>
  <c r="E249" i="36"/>
  <c r="G69" i="36" a="1"/>
  <c r="G69" i="36" s="1"/>
  <c r="E227" i="36"/>
  <c r="E200" i="36"/>
  <c r="E208" i="36"/>
  <c r="E216" i="36"/>
  <c r="E234" i="36"/>
  <c r="E242" i="36"/>
  <c r="E250" i="36"/>
  <c r="I110" i="36"/>
  <c r="E223" i="36"/>
  <c r="I102" i="36"/>
  <c r="I87" i="36"/>
  <c r="I73" i="36"/>
  <c r="I81" i="36"/>
  <c r="I89" i="36"/>
  <c r="I97" i="36"/>
  <c r="I105" i="36"/>
  <c r="I121" i="36"/>
  <c r="I74" i="36"/>
  <c r="I82" i="36"/>
  <c r="I90" i="36"/>
  <c r="I98" i="36"/>
  <c r="I106" i="36"/>
  <c r="I114" i="36"/>
  <c r="I122" i="36"/>
  <c r="E201" i="36"/>
  <c r="E209" i="36"/>
  <c r="E217" i="36"/>
  <c r="E228" i="36"/>
  <c r="E235" i="36"/>
  <c r="E243" i="36"/>
  <c r="E251" i="36"/>
  <c r="I71" i="36"/>
  <c r="I113" i="36"/>
  <c r="I75" i="36"/>
  <c r="I83" i="36"/>
  <c r="I91" i="36"/>
  <c r="I99" i="36"/>
  <c r="I107" i="36"/>
  <c r="I115" i="36"/>
  <c r="I123" i="36"/>
  <c r="N196" i="36"/>
  <c r="E202" i="36"/>
  <c r="E210" i="36"/>
  <c r="E218" i="36"/>
  <c r="E229" i="36"/>
  <c r="E236" i="36"/>
  <c r="E244" i="36"/>
  <c r="E252" i="36"/>
  <c r="E237" i="36"/>
  <c r="E245" i="36"/>
  <c r="E253" i="36"/>
  <c r="E204" i="36"/>
  <c r="E212" i="36"/>
  <c r="E220" i="36"/>
  <c r="E230" i="36"/>
  <c r="E238" i="36"/>
  <c r="E246" i="36"/>
  <c r="E254" i="36"/>
  <c r="E211" i="36"/>
  <c r="I70" i="36"/>
  <c r="I77" i="36"/>
  <c r="I85" i="36"/>
  <c r="I93" i="36"/>
  <c r="I101" i="36"/>
  <c r="I109" i="36"/>
  <c r="I117" i="36"/>
  <c r="I125" i="36"/>
  <c r="E225" i="36"/>
  <c r="E205" i="36"/>
  <c r="E213" i="36"/>
  <c r="E221" i="36"/>
  <c r="E231" i="36"/>
  <c r="E239" i="36"/>
  <c r="E247" i="36"/>
  <c r="E255" i="36"/>
  <c r="E224" i="36"/>
  <c r="I118" i="36"/>
  <c r="A69" i="36"/>
  <c r="C199" i="36"/>
  <c r="F199" i="36" s="1" a="1"/>
  <c r="F199" i="36" s="1"/>
  <c r="J199" i="36" s="1" a="1"/>
  <c r="J199" i="36" s="1"/>
  <c r="E226" i="36"/>
  <c r="E232" i="36"/>
  <c r="E240" i="36"/>
  <c r="E248" i="36"/>
  <c r="E256" i="36"/>
  <c r="E203" i="36"/>
  <c r="E219" i="36"/>
  <c r="I78" i="36"/>
  <c r="I94" i="36"/>
  <c r="I126" i="36"/>
  <c r="I79" i="36"/>
  <c r="I95" i="36"/>
  <c r="I103" i="36"/>
  <c r="I111" i="36"/>
  <c r="E206" i="36"/>
  <c r="AR15" i="35" a="1"/>
  <c r="AR15" i="35" s="1"/>
  <c r="AQ15" i="35" a="1"/>
  <c r="AQ15" i="35" s="1"/>
  <c r="AP15" i="35" a="1"/>
  <c r="AP15" i="35" s="1"/>
  <c r="AO15" i="35" a="1"/>
  <c r="AO15" i="35" s="1"/>
  <c r="AN15" i="35" a="1"/>
  <c r="AN15" i="35" s="1"/>
  <c r="AM15" i="35" a="1"/>
  <c r="AM15" i="35" s="1"/>
  <c r="AL15" i="35" a="1"/>
  <c r="AL15" i="35" s="1"/>
  <c r="AK15" i="35" a="1"/>
  <c r="AK15" i="35" s="1"/>
  <c r="AJ15" i="35" a="1"/>
  <c r="AJ15" i="35" s="1"/>
  <c r="AI15" i="35" a="1"/>
  <c r="AI15" i="35" s="1"/>
  <c r="AH15" i="35" a="1"/>
  <c r="AH15" i="35" s="1"/>
  <c r="AG3" i="35" a="1"/>
  <c r="AG3" i="35" s="1"/>
  <c r="AG15" i="35" s="1"/>
  <c r="AF3" i="35" a="1"/>
  <c r="AF3" i="35" s="1"/>
  <c r="AF15" i="35" s="1"/>
  <c r="AE3" i="35" a="1"/>
  <c r="AE3" i="35" s="1"/>
  <c r="AE15" i="35" s="1"/>
  <c r="AD3" i="35" a="1"/>
  <c r="AD3" i="35" s="1"/>
  <c r="AD15" i="35" s="1"/>
  <c r="AC3" i="35" a="1"/>
  <c r="AC3" i="35" s="1"/>
  <c r="AC15" i="35" s="1"/>
  <c r="AB3" i="35" a="1"/>
  <c r="AB3" i="35" s="1"/>
  <c r="AB15" i="35" s="1"/>
  <c r="AA3" i="35" a="1"/>
  <c r="AA3" i="35" s="1"/>
  <c r="AA15" i="35" s="1"/>
  <c r="Z3" i="35" a="1"/>
  <c r="Z3" i="35" s="1"/>
  <c r="Z15" i="35" s="1"/>
  <c r="Y3" i="35" a="1"/>
  <c r="Y3" i="35" s="1"/>
  <c r="Y15" i="35" s="1"/>
  <c r="X3" i="35" a="1"/>
  <c r="X3" i="35" s="1"/>
  <c r="X15" i="35" s="1"/>
  <c r="W3" i="35" a="1"/>
  <c r="W3" i="35" s="1"/>
  <c r="W15" i="35" s="1"/>
  <c r="R3" i="35" a="1"/>
  <c r="R3" i="35" s="1"/>
  <c r="T15" i="35" s="1"/>
  <c r="O3" i="35" a="1"/>
  <c r="O3" i="35" s="1"/>
  <c r="M3" i="35" a="1"/>
  <c r="M3" i="35" s="1"/>
  <c r="C1" i="35"/>
  <c r="P229" i="34" a="1"/>
  <c r="P229" i="34" s="1"/>
  <c r="P223" i="34" a="1"/>
  <c r="P223" i="34" s="1"/>
  <c r="C199" i="34" a="1"/>
  <c r="E255" i="34" s="1"/>
  <c r="E191" i="34"/>
  <c r="E190" i="34"/>
  <c r="E189" i="34"/>
  <c r="E188" i="34"/>
  <c r="E187" i="34"/>
  <c r="E186" i="34"/>
  <c r="E185" i="34"/>
  <c r="E184" i="34"/>
  <c r="E183" i="34"/>
  <c r="E182" i="34"/>
  <c r="E181" i="34"/>
  <c r="E180" i="34"/>
  <c r="E179" i="34"/>
  <c r="E178" i="34"/>
  <c r="E177" i="34"/>
  <c r="E176" i="34"/>
  <c r="E175" i="34"/>
  <c r="E174" i="34"/>
  <c r="E173" i="34"/>
  <c r="E172" i="34"/>
  <c r="E171" i="34"/>
  <c r="E170" i="34"/>
  <c r="E169" i="34"/>
  <c r="E168" i="34"/>
  <c r="E167" i="34"/>
  <c r="E166" i="34"/>
  <c r="E165" i="34"/>
  <c r="E164" i="34"/>
  <c r="E163" i="34"/>
  <c r="E162" i="34"/>
  <c r="E161" i="34"/>
  <c r="E160" i="34"/>
  <c r="E159" i="34"/>
  <c r="E158" i="34"/>
  <c r="E157" i="34"/>
  <c r="E156" i="34"/>
  <c r="E155" i="34"/>
  <c r="E154" i="34"/>
  <c r="E153" i="34"/>
  <c r="E152" i="34"/>
  <c r="E151" i="34"/>
  <c r="E150" i="34"/>
  <c r="E149" i="34"/>
  <c r="E148" i="34"/>
  <c r="E147" i="34"/>
  <c r="E146" i="34"/>
  <c r="E145" i="34"/>
  <c r="E144" i="34"/>
  <c r="E143" i="34"/>
  <c r="E142" i="34"/>
  <c r="E141" i="34"/>
  <c r="E140" i="34"/>
  <c r="E139" i="34"/>
  <c r="E138" i="34"/>
  <c r="E137" i="34"/>
  <c r="E136" i="34"/>
  <c r="E135" i="34"/>
  <c r="F134" i="34" a="1"/>
  <c r="F134" i="34" s="1"/>
  <c r="E134" i="34"/>
  <c r="N131" i="34"/>
  <c r="E126" i="34"/>
  <c r="E125" i="34"/>
  <c r="E124" i="34"/>
  <c r="E123" i="34"/>
  <c r="I122" i="34"/>
  <c r="E122" i="34"/>
  <c r="E121" i="34"/>
  <c r="E120" i="34"/>
  <c r="E119" i="34"/>
  <c r="E118" i="34"/>
  <c r="E117" i="34"/>
  <c r="E116" i="34"/>
  <c r="E115" i="34"/>
  <c r="E114" i="34"/>
  <c r="E113" i="34"/>
  <c r="E112" i="34"/>
  <c r="E111" i="34"/>
  <c r="E110" i="34"/>
  <c r="E109" i="34"/>
  <c r="E108" i="34"/>
  <c r="E107" i="34"/>
  <c r="E106" i="34"/>
  <c r="E105" i="34"/>
  <c r="E104" i="34"/>
  <c r="E103" i="34"/>
  <c r="E102" i="34"/>
  <c r="E101" i="34"/>
  <c r="E100" i="34"/>
  <c r="E99" i="34"/>
  <c r="E98" i="34"/>
  <c r="E97" i="34"/>
  <c r="E96" i="34"/>
  <c r="E95" i="34"/>
  <c r="E94" i="34"/>
  <c r="E93" i="34"/>
  <c r="E92" i="34"/>
  <c r="E91" i="34"/>
  <c r="E90" i="34"/>
  <c r="E89" i="34"/>
  <c r="E88" i="34"/>
  <c r="E87" i="34"/>
  <c r="E86" i="34"/>
  <c r="E85" i="34"/>
  <c r="E84" i="34"/>
  <c r="E83" i="34"/>
  <c r="E82" i="34"/>
  <c r="E81" i="34"/>
  <c r="E80" i="34"/>
  <c r="E79" i="34"/>
  <c r="E78" i="34"/>
  <c r="E77" i="34"/>
  <c r="E76" i="34"/>
  <c r="E75" i="34"/>
  <c r="E74" i="34"/>
  <c r="E73" i="34"/>
  <c r="E72" i="34"/>
  <c r="E71" i="34"/>
  <c r="E70" i="34"/>
  <c r="AT69" i="34" a="1"/>
  <c r="AT69" i="34" s="1"/>
  <c r="F69" i="34" a="1"/>
  <c r="F69" i="34" s="1"/>
  <c r="E69" i="34"/>
  <c r="A69" i="34" a="1"/>
  <c r="I126" i="34" s="1"/>
  <c r="A68" i="34" a="1"/>
  <c r="A68" i="34" s="1"/>
  <c r="A133" i="34" s="1" a="1"/>
  <c r="A133" i="34" s="1"/>
  <c r="A198" i="34" s="1" a="1"/>
  <c r="A198" i="34" s="1"/>
  <c r="I61" i="34"/>
  <c r="E61" i="34"/>
  <c r="I60" i="34"/>
  <c r="E60" i="34"/>
  <c r="I59" i="34"/>
  <c r="E59" i="34"/>
  <c r="I58" i="34"/>
  <c r="E58" i="34"/>
  <c r="I57" i="34"/>
  <c r="E57" i="34"/>
  <c r="I56" i="34"/>
  <c r="E56" i="34"/>
  <c r="I55" i="34"/>
  <c r="E55" i="34"/>
  <c r="I54" i="34"/>
  <c r="E54" i="34"/>
  <c r="I53" i="34"/>
  <c r="E53" i="34"/>
  <c r="I52" i="34"/>
  <c r="E52" i="34"/>
  <c r="I51" i="34"/>
  <c r="E51" i="34"/>
  <c r="I50" i="34"/>
  <c r="E50" i="34"/>
  <c r="I49" i="34"/>
  <c r="E49" i="34"/>
  <c r="I48" i="34"/>
  <c r="E48" i="34"/>
  <c r="I47" i="34"/>
  <c r="E47" i="34"/>
  <c r="I46" i="34"/>
  <c r="E46" i="34"/>
  <c r="I45" i="34"/>
  <c r="E45" i="34"/>
  <c r="I44" i="34"/>
  <c r="E44" i="34"/>
  <c r="I43" i="34"/>
  <c r="E43" i="34"/>
  <c r="I42" i="34"/>
  <c r="E42" i="34"/>
  <c r="I41" i="34"/>
  <c r="E41" i="34"/>
  <c r="I40" i="34"/>
  <c r="E40" i="34"/>
  <c r="I39" i="34"/>
  <c r="E39" i="34"/>
  <c r="I38" i="34"/>
  <c r="E38" i="34"/>
  <c r="I37" i="34"/>
  <c r="E37" i="34"/>
  <c r="I36" i="34"/>
  <c r="E36" i="34"/>
  <c r="I35" i="34"/>
  <c r="E35" i="34"/>
  <c r="I34" i="34"/>
  <c r="E34" i="34"/>
  <c r="I33" i="34"/>
  <c r="E33" i="34"/>
  <c r="I32" i="34"/>
  <c r="E32" i="34"/>
  <c r="I31" i="34"/>
  <c r="E31" i="34"/>
  <c r="I30" i="34"/>
  <c r="E30" i="34"/>
  <c r="I29" i="34"/>
  <c r="E29" i="34"/>
  <c r="I28" i="34"/>
  <c r="E28" i="34"/>
  <c r="I27" i="34"/>
  <c r="E27" i="34"/>
  <c r="I26" i="34"/>
  <c r="E26" i="34"/>
  <c r="I25" i="34"/>
  <c r="E25" i="34"/>
  <c r="I24" i="34"/>
  <c r="E24" i="34"/>
  <c r="I23" i="34"/>
  <c r="E23" i="34"/>
  <c r="I22" i="34"/>
  <c r="E22" i="34"/>
  <c r="I21" i="34"/>
  <c r="E21" i="34"/>
  <c r="I20" i="34"/>
  <c r="E20" i="34"/>
  <c r="I19" i="34"/>
  <c r="E19" i="34"/>
  <c r="I18" i="34"/>
  <c r="E18" i="34"/>
  <c r="I17" i="34"/>
  <c r="E17" i="34"/>
  <c r="I16" i="34"/>
  <c r="E16" i="34"/>
  <c r="I15" i="34"/>
  <c r="E15" i="34"/>
  <c r="I14" i="34"/>
  <c r="E14" i="34"/>
  <c r="I13" i="34"/>
  <c r="E13" i="34"/>
  <c r="I12" i="34"/>
  <c r="E12" i="34"/>
  <c r="I11" i="34"/>
  <c r="E11" i="34"/>
  <c r="I10" i="34"/>
  <c r="E10" i="34"/>
  <c r="I9" i="34"/>
  <c r="E9" i="34"/>
  <c r="I8" i="34"/>
  <c r="E8" i="34"/>
  <c r="I7" i="34"/>
  <c r="E7" i="34"/>
  <c r="I6" i="34"/>
  <c r="E6" i="34"/>
  <c r="I5" i="34"/>
  <c r="E5" i="34"/>
  <c r="I4" i="34"/>
  <c r="F4" i="34" a="1"/>
  <c r="F4" i="34" s="1"/>
  <c r="E4" i="34"/>
  <c r="AB3" i="34" a="1"/>
  <c r="AB3" i="34" s="1"/>
  <c r="AC3" i="34" s="1" a="1"/>
  <c r="AC3" i="34" s="1"/>
  <c r="AD3" i="34" s="1" a="1"/>
  <c r="AD3" i="34" s="1"/>
  <c r="M2" i="34"/>
  <c r="N129" i="36" l="1"/>
  <c r="N130" i="36"/>
  <c r="I107" i="34"/>
  <c r="I75" i="34"/>
  <c r="I123" i="34"/>
  <c r="I83" i="34"/>
  <c r="I84" i="34"/>
  <c r="I99" i="34"/>
  <c r="I73" i="34"/>
  <c r="I74" i="34"/>
  <c r="I89" i="34"/>
  <c r="I97" i="34"/>
  <c r="I114" i="34"/>
  <c r="I76" i="34"/>
  <c r="I90" i="34"/>
  <c r="I105" i="34"/>
  <c r="I81" i="34"/>
  <c r="I82" i="34"/>
  <c r="I98" i="34"/>
  <c r="I113" i="34"/>
  <c r="I115" i="34"/>
  <c r="I91" i="34"/>
  <c r="I106" i="34"/>
  <c r="I121" i="34"/>
  <c r="G69" i="34" a="1"/>
  <c r="G69" i="34" s="1"/>
  <c r="J69" i="34" a="1"/>
  <c r="J69" i="34" s="1"/>
  <c r="L69" i="34" s="1" a="1"/>
  <c r="L69" i="34" s="1"/>
  <c r="M69" i="34" s="1" a="1"/>
  <c r="M69" i="34" s="1"/>
  <c r="N69" i="34" s="1" a="1"/>
  <c r="N130" i="34" s="1"/>
  <c r="E209" i="34"/>
  <c r="E210" i="34"/>
  <c r="E217" i="34"/>
  <c r="E218" i="34"/>
  <c r="E242" i="34"/>
  <c r="E243" i="34"/>
  <c r="E244" i="34"/>
  <c r="Q4" i="34" a="1"/>
  <c r="Q4" i="34" s="1"/>
  <c r="P3" i="34" s="1"/>
  <c r="R4" i="34" s="1" a="1"/>
  <c r="S5" i="34" s="1" a="1"/>
  <c r="S5" i="34" s="1"/>
  <c r="E208" i="34"/>
  <c r="O129" i="36" a="1"/>
  <c r="O129" i="36" s="1"/>
  <c r="E216" i="34"/>
  <c r="E250" i="34"/>
  <c r="Q69" i="34" a="1"/>
  <c r="Q69" i="34" s="1"/>
  <c r="P68" i="34" s="1"/>
  <c r="R69" i="34" s="1" a="1"/>
  <c r="R69" i="34" s="1"/>
  <c r="E251" i="34"/>
  <c r="E227" i="34"/>
  <c r="E228" i="34"/>
  <c r="E252" i="34"/>
  <c r="E223" i="34"/>
  <c r="E225" i="34"/>
  <c r="E200" i="34"/>
  <c r="E234" i="34"/>
  <c r="E229" i="34"/>
  <c r="E201" i="34"/>
  <c r="E235" i="34"/>
  <c r="E202" i="34"/>
  <c r="E236" i="34"/>
  <c r="I199" i="39"/>
  <c r="H199" i="39" a="1"/>
  <c r="H199" i="39" s="1"/>
  <c r="I199" i="38"/>
  <c r="H199" i="38" a="1"/>
  <c r="H199" i="38" s="1"/>
  <c r="N134" i="36"/>
  <c r="O134" i="36" s="1" a="1"/>
  <c r="N194" i="36"/>
  <c r="N192" i="36"/>
  <c r="N195" i="36" s="1"/>
  <c r="O194" i="36" s="1" a="1"/>
  <c r="O194" i="36" s="1"/>
  <c r="R68" i="36"/>
  <c r="S69" i="36" s="1"/>
  <c r="T69" i="36" s="1" a="1"/>
  <c r="T69" i="36" s="1"/>
  <c r="R3" i="36"/>
  <c r="S4" i="36" s="1"/>
  <c r="T4" i="36" s="1" a="1"/>
  <c r="T4" i="36" s="1"/>
  <c r="L199" i="36" a="1"/>
  <c r="L199" i="36" s="1"/>
  <c r="M199" i="36" s="1" a="1"/>
  <c r="M199" i="36" s="1"/>
  <c r="N199" i="36" s="1" a="1"/>
  <c r="R199" i="36" a="1"/>
  <c r="R199" i="36" s="1"/>
  <c r="O69" i="36" a="1"/>
  <c r="P134" i="36" a="1"/>
  <c r="P134" i="36" s="1"/>
  <c r="E199" i="36"/>
  <c r="G199" i="36" s="1" a="1"/>
  <c r="G199" i="36" s="1"/>
  <c r="A134" i="36" a="1"/>
  <c r="H69" i="36" a="1"/>
  <c r="H69" i="36" s="1"/>
  <c r="I69" i="36"/>
  <c r="N65" i="36"/>
  <c r="N4" i="36"/>
  <c r="N64" i="36"/>
  <c r="O64" i="36" s="1" a="1"/>
  <c r="O64" i="36" s="1"/>
  <c r="T3" i="35" a="1"/>
  <c r="T3" i="35" s="1"/>
  <c r="T16" i="35" s="1" a="1"/>
  <c r="T16" i="35" s="1"/>
  <c r="O14" i="35" s="1"/>
  <c r="O15" i="35" s="1"/>
  <c r="G134" i="34" a="1"/>
  <c r="G134" i="34" s="1"/>
  <c r="J134" i="34" a="1"/>
  <c r="J134" i="34" s="1"/>
  <c r="L134" i="34" s="1" a="1"/>
  <c r="L134" i="34" s="1"/>
  <c r="M134" i="34" s="1" a="1"/>
  <c r="M134" i="34" s="1"/>
  <c r="N134" i="34" s="1" a="1"/>
  <c r="J4" i="34" a="1"/>
  <c r="J4" i="34" s="1"/>
  <c r="L4" i="34" s="1" a="1"/>
  <c r="L4" i="34" s="1"/>
  <c r="M4" i="34" s="1" a="1"/>
  <c r="M4" i="34" s="1"/>
  <c r="N4" i="34" s="1" a="1"/>
  <c r="G4" i="34" a="1"/>
  <c r="G4" i="34" s="1"/>
  <c r="N129" i="34"/>
  <c r="O129" i="34" s="1" a="1"/>
  <c r="O129" i="34" s="1"/>
  <c r="N69" i="34"/>
  <c r="N196" i="34"/>
  <c r="I72" i="34"/>
  <c r="I80" i="34"/>
  <c r="I88" i="34"/>
  <c r="I96" i="34"/>
  <c r="I104" i="34"/>
  <c r="I112" i="34"/>
  <c r="I120" i="34"/>
  <c r="E207" i="34"/>
  <c r="E215" i="34"/>
  <c r="E233" i="34"/>
  <c r="E241" i="34"/>
  <c r="E249" i="34"/>
  <c r="E237" i="34"/>
  <c r="E245" i="34"/>
  <c r="E253" i="34"/>
  <c r="I92" i="34"/>
  <c r="I108" i="34"/>
  <c r="E219" i="34"/>
  <c r="I100" i="34"/>
  <c r="I116" i="34"/>
  <c r="I124" i="34"/>
  <c r="E203" i="34"/>
  <c r="E211" i="34"/>
  <c r="E224" i="34"/>
  <c r="I70" i="34"/>
  <c r="I77" i="34"/>
  <c r="I85" i="34"/>
  <c r="I93" i="34"/>
  <c r="I101" i="34"/>
  <c r="I109" i="34"/>
  <c r="I117" i="34"/>
  <c r="I125" i="34"/>
  <c r="E204" i="34"/>
  <c r="E212" i="34"/>
  <c r="E220" i="34"/>
  <c r="E230" i="34"/>
  <c r="E238" i="34"/>
  <c r="E246" i="34"/>
  <c r="E254" i="34"/>
  <c r="C199" i="34"/>
  <c r="F199" i="34" s="1" a="1"/>
  <c r="F199" i="34" s="1"/>
  <c r="I86" i="34"/>
  <c r="I110" i="34"/>
  <c r="E247" i="34"/>
  <c r="A69" i="34"/>
  <c r="I71" i="34"/>
  <c r="I79" i="34"/>
  <c r="I87" i="34"/>
  <c r="I95" i="34"/>
  <c r="I103" i="34"/>
  <c r="I111" i="34"/>
  <c r="I119" i="34"/>
  <c r="E206" i="34"/>
  <c r="E214" i="34"/>
  <c r="E222" i="34"/>
  <c r="E226" i="34"/>
  <c r="E232" i="34"/>
  <c r="E240" i="34"/>
  <c r="E248" i="34"/>
  <c r="E256" i="34"/>
  <c r="I78" i="34"/>
  <c r="I94" i="34"/>
  <c r="I102" i="34"/>
  <c r="I118" i="34"/>
  <c r="E205" i="34"/>
  <c r="E213" i="34"/>
  <c r="E221" i="34"/>
  <c r="E231" i="34"/>
  <c r="E239" i="34"/>
  <c r="AR15" i="33" a="1"/>
  <c r="AR15" i="33" s="1"/>
  <c r="AQ15" i="33" a="1"/>
  <c r="AQ15" i="33" s="1"/>
  <c r="AP15" i="33" a="1"/>
  <c r="AP15" i="33" s="1"/>
  <c r="AO15" i="33" a="1"/>
  <c r="AO15" i="33" s="1"/>
  <c r="AN15" i="33" a="1"/>
  <c r="AN15" i="33" s="1"/>
  <c r="AM15" i="33" a="1"/>
  <c r="AM15" i="33" s="1"/>
  <c r="AL15" i="33" a="1"/>
  <c r="AL15" i="33" s="1"/>
  <c r="AK15" i="33" a="1"/>
  <c r="AK15" i="33" s="1"/>
  <c r="AJ15" i="33" a="1"/>
  <c r="AJ15" i="33" s="1"/>
  <c r="AI15" i="33" a="1"/>
  <c r="AI15" i="33" s="1"/>
  <c r="AH15" i="33" a="1"/>
  <c r="AH15" i="33" s="1"/>
  <c r="AG3" i="33" a="1"/>
  <c r="AG3" i="33" s="1"/>
  <c r="AG15" i="33" s="1"/>
  <c r="AF3" i="33" a="1"/>
  <c r="AF3" i="33" s="1"/>
  <c r="AF15" i="33" s="1"/>
  <c r="AE3" i="33" a="1"/>
  <c r="AE3" i="33" s="1"/>
  <c r="AE15" i="33" s="1"/>
  <c r="AD3" i="33" a="1"/>
  <c r="AD3" i="33" s="1"/>
  <c r="AD15" i="33" s="1"/>
  <c r="AC3" i="33" a="1"/>
  <c r="AC3" i="33" s="1"/>
  <c r="AC15" i="33" s="1"/>
  <c r="AB3" i="33" a="1"/>
  <c r="AB3" i="33" s="1"/>
  <c r="AB15" i="33" s="1"/>
  <c r="AA3" i="33" a="1"/>
  <c r="AA3" i="33" s="1"/>
  <c r="AA15" i="33" s="1"/>
  <c r="Z3" i="33" a="1"/>
  <c r="Z3" i="33" s="1"/>
  <c r="Z15" i="33" s="1"/>
  <c r="Y3" i="33" a="1"/>
  <c r="Y3" i="33" s="1"/>
  <c r="Y15" i="33" s="1"/>
  <c r="X3" i="33" a="1"/>
  <c r="X3" i="33" s="1"/>
  <c r="X15" i="33" s="1"/>
  <c r="W3" i="33" a="1"/>
  <c r="W3" i="33" s="1"/>
  <c r="W15" i="33" s="1"/>
  <c r="R3" i="33" a="1"/>
  <c r="R3" i="33" s="1"/>
  <c r="T15" i="33" s="1"/>
  <c r="O3" i="33" a="1"/>
  <c r="O3" i="33" s="1"/>
  <c r="M3" i="33" a="1"/>
  <c r="M3" i="33" s="1"/>
  <c r="C1" i="33"/>
  <c r="AI15" i="27" a="1"/>
  <c r="AI15" i="27" s="1"/>
  <c r="AJ15" i="27" a="1"/>
  <c r="AJ15" i="27" s="1"/>
  <c r="AK15" i="27" a="1"/>
  <c r="AK15" i="27" s="1"/>
  <c r="AL15" i="27" a="1"/>
  <c r="AL15" i="27" s="1"/>
  <c r="AM15" i="27" a="1"/>
  <c r="AM15" i="27" s="1"/>
  <c r="AN15" i="27" a="1"/>
  <c r="AN15" i="27" s="1"/>
  <c r="AO15" i="27" a="1"/>
  <c r="AO15" i="27" s="1"/>
  <c r="AP15" i="27" a="1"/>
  <c r="AP15" i="27" s="1"/>
  <c r="AQ15" i="27" a="1"/>
  <c r="AQ15" i="27" s="1"/>
  <c r="AR15" i="27" a="1"/>
  <c r="AR15" i="27" s="1"/>
  <c r="AH15" i="27" a="1"/>
  <c r="AH15" i="27" s="1"/>
  <c r="R4" i="34" l="1"/>
  <c r="R3" i="34" s="1"/>
  <c r="S4" i="34" s="1"/>
  <c r="T4" i="34" s="1" a="1"/>
  <c r="T4" i="34" s="1"/>
  <c r="S70" i="34" a="1"/>
  <c r="S70" i="34" s="1"/>
  <c r="U225" i="36"/>
  <c r="N199" i="36"/>
  <c r="O199" i="36" s="1" a="1"/>
  <c r="O199" i="36" s="1"/>
  <c r="O197" i="36" s="1"/>
  <c r="T222" i="36" s="1"/>
  <c r="U224" i="36"/>
  <c r="U223" i="36"/>
  <c r="U227" i="36"/>
  <c r="U226" i="36"/>
  <c r="I191" i="36"/>
  <c r="I183" i="36"/>
  <c r="I175" i="36"/>
  <c r="I167" i="36"/>
  <c r="I159" i="36"/>
  <c r="I151" i="36"/>
  <c r="I143" i="36"/>
  <c r="I135" i="36"/>
  <c r="I187" i="36"/>
  <c r="I147" i="36"/>
  <c r="I190" i="36"/>
  <c r="I182" i="36"/>
  <c r="I174" i="36"/>
  <c r="I166" i="36"/>
  <c r="I158" i="36"/>
  <c r="I150" i="36"/>
  <c r="I142" i="36"/>
  <c r="I189" i="36"/>
  <c r="I181" i="36"/>
  <c r="I173" i="36"/>
  <c r="I165" i="36"/>
  <c r="I157" i="36"/>
  <c r="I149" i="36"/>
  <c r="I141" i="36"/>
  <c r="I179" i="36"/>
  <c r="I155" i="36"/>
  <c r="I139" i="36"/>
  <c r="A134" i="36"/>
  <c r="I188" i="36"/>
  <c r="I180" i="36"/>
  <c r="I172" i="36"/>
  <c r="I164" i="36"/>
  <c r="I156" i="36"/>
  <c r="I148" i="36"/>
  <c r="I140" i="36"/>
  <c r="I163" i="36"/>
  <c r="I186" i="36"/>
  <c r="I178" i="36"/>
  <c r="I170" i="36"/>
  <c r="I162" i="36"/>
  <c r="I154" i="36"/>
  <c r="I146" i="36"/>
  <c r="I138" i="36"/>
  <c r="I185" i="36"/>
  <c r="I177" i="36"/>
  <c r="I169" i="36"/>
  <c r="I161" i="36"/>
  <c r="I153" i="36"/>
  <c r="I145" i="36"/>
  <c r="I137" i="36"/>
  <c r="I171" i="36"/>
  <c r="I184" i="36"/>
  <c r="I176" i="36"/>
  <c r="I168" i="36"/>
  <c r="I160" i="36"/>
  <c r="I152" i="36"/>
  <c r="I144" i="36"/>
  <c r="I136" i="36"/>
  <c r="O69" i="36"/>
  <c r="O67" i="36" s="1"/>
  <c r="O127" i="36"/>
  <c r="O4" i="36" a="1"/>
  <c r="Q134" i="36" a="1"/>
  <c r="Q134" i="36" s="1"/>
  <c r="O134" i="36"/>
  <c r="O132" i="36" s="1"/>
  <c r="O192" i="36"/>
  <c r="R68" i="34"/>
  <c r="S69" i="34" s="1"/>
  <c r="A134" i="34" a="1"/>
  <c r="I69" i="34"/>
  <c r="H69" i="34" a="1"/>
  <c r="H69" i="34" s="1"/>
  <c r="O69" i="34" a="1"/>
  <c r="P134" i="34" a="1"/>
  <c r="P134" i="34" s="1"/>
  <c r="J199" i="34" a="1"/>
  <c r="J199" i="34" s="1"/>
  <c r="N194" i="34"/>
  <c r="N134" i="34"/>
  <c r="O134" i="34" s="1" a="1"/>
  <c r="N192" i="34"/>
  <c r="N195" i="34" s="1"/>
  <c r="N64" i="34"/>
  <c r="N4" i="34"/>
  <c r="N65" i="34"/>
  <c r="E199" i="34"/>
  <c r="G199" i="34" s="1" a="1"/>
  <c r="G199" i="34" s="1"/>
  <c r="T3" i="33" a="1"/>
  <c r="T3" i="33" s="1"/>
  <c r="T16" i="33" s="1" a="1"/>
  <c r="T16" i="33" s="1"/>
  <c r="O14" i="33" s="1"/>
  <c r="O15" i="33" s="1"/>
  <c r="E200" i="28"/>
  <c r="E201" i="28"/>
  <c r="E202" i="28"/>
  <c r="E203" i="28"/>
  <c r="E204" i="28"/>
  <c r="E205" i="28"/>
  <c r="E206" i="28"/>
  <c r="E207" i="28"/>
  <c r="E208" i="28"/>
  <c r="E209" i="28"/>
  <c r="E210" i="28"/>
  <c r="E211" i="28"/>
  <c r="E212" i="28"/>
  <c r="E213" i="28"/>
  <c r="E214" i="28"/>
  <c r="E215" i="28"/>
  <c r="E216" i="28"/>
  <c r="E217" i="28"/>
  <c r="E218" i="28"/>
  <c r="E219" i="28"/>
  <c r="E220" i="28"/>
  <c r="E221" i="28"/>
  <c r="E222" i="28"/>
  <c r="E223" i="28"/>
  <c r="E224" i="28"/>
  <c r="E225" i="28"/>
  <c r="E226" i="28"/>
  <c r="E227" i="28"/>
  <c r="E228" i="28"/>
  <c r="E229" i="28"/>
  <c r="E230" i="28"/>
  <c r="E231" i="28"/>
  <c r="E232" i="28"/>
  <c r="E233" i="28"/>
  <c r="E234" i="28"/>
  <c r="E235" i="28"/>
  <c r="E236" i="28"/>
  <c r="E237" i="28"/>
  <c r="E238" i="28"/>
  <c r="E239" i="28"/>
  <c r="E240" i="28"/>
  <c r="E241" i="28"/>
  <c r="E242" i="28"/>
  <c r="E243" i="28"/>
  <c r="E244" i="28"/>
  <c r="E245" i="28"/>
  <c r="E246" i="28"/>
  <c r="E247" i="28"/>
  <c r="E248" i="28"/>
  <c r="E249" i="28"/>
  <c r="E250" i="28"/>
  <c r="E251" i="28"/>
  <c r="E252" i="28"/>
  <c r="E253" i="28"/>
  <c r="E254" i="28"/>
  <c r="E255" i="28"/>
  <c r="E256" i="28"/>
  <c r="E199" i="28"/>
  <c r="T69" i="34" l="1" a="1"/>
  <c r="T69" i="34" s="1"/>
  <c r="O194" i="34" a="1"/>
  <c r="O194" i="34" s="1"/>
  <c r="O64" i="34" a="1"/>
  <c r="O64" i="34" s="1"/>
  <c r="V223" i="36" a="1"/>
  <c r="V223" i="36" s="1"/>
  <c r="O4" i="36"/>
  <c r="O2" i="36" s="1"/>
  <c r="Q2" i="36" s="1"/>
  <c r="O62" i="36"/>
  <c r="I134" i="36"/>
  <c r="H134" i="36" a="1"/>
  <c r="H134" i="36" s="1"/>
  <c r="A199" i="36" a="1"/>
  <c r="L199" i="34" a="1"/>
  <c r="L199" i="34" s="1"/>
  <c r="M199" i="34" s="1" a="1"/>
  <c r="M199" i="34" s="1"/>
  <c r="N199" i="34" s="1" a="1"/>
  <c r="R199" i="34" a="1"/>
  <c r="R199" i="34" s="1"/>
  <c r="I191" i="34"/>
  <c r="I183" i="34"/>
  <c r="I175" i="34"/>
  <c r="I167" i="34"/>
  <c r="I159" i="34"/>
  <c r="I151" i="34"/>
  <c r="I143" i="34"/>
  <c r="I135" i="34"/>
  <c r="I189" i="34"/>
  <c r="I173" i="34"/>
  <c r="I157" i="34"/>
  <c r="I149" i="34"/>
  <c r="I141" i="34"/>
  <c r="I170" i="34"/>
  <c r="I168" i="34"/>
  <c r="I190" i="34"/>
  <c r="I182" i="34"/>
  <c r="I174" i="34"/>
  <c r="I166" i="34"/>
  <c r="I158" i="34"/>
  <c r="I150" i="34"/>
  <c r="I142" i="34"/>
  <c r="I181" i="34"/>
  <c r="I169" i="34"/>
  <c r="I137" i="34"/>
  <c r="I184" i="34"/>
  <c r="I152" i="34"/>
  <c r="I186" i="34"/>
  <c r="I146" i="34"/>
  <c r="I163" i="34"/>
  <c r="I147" i="34"/>
  <c r="I138" i="34"/>
  <c r="I177" i="34"/>
  <c r="I145" i="34"/>
  <c r="I188" i="34"/>
  <c r="I180" i="34"/>
  <c r="I172" i="34"/>
  <c r="I164" i="34"/>
  <c r="I156" i="34"/>
  <c r="I148" i="34"/>
  <c r="I140" i="34"/>
  <c r="I187" i="34"/>
  <c r="I179" i="34"/>
  <c r="I171" i="34"/>
  <c r="I155" i="34"/>
  <c r="I139" i="34"/>
  <c r="A134" i="34"/>
  <c r="I162" i="34"/>
  <c r="I185" i="34"/>
  <c r="I153" i="34"/>
  <c r="I144" i="34"/>
  <c r="I154" i="34"/>
  <c r="I160" i="34"/>
  <c r="I165" i="34"/>
  <c r="I178" i="34"/>
  <c r="I161" i="34"/>
  <c r="I176" i="34"/>
  <c r="I136" i="34"/>
  <c r="O134" i="34"/>
  <c r="O132" i="34" s="1"/>
  <c r="O192" i="34"/>
  <c r="O69" i="34"/>
  <c r="O67" i="34" s="1"/>
  <c r="O127" i="34"/>
  <c r="Q134" i="34" a="1"/>
  <c r="Q134" i="34" s="1"/>
  <c r="O4" i="34" a="1"/>
  <c r="N20" i="24" a="1"/>
  <c r="N20" i="24" s="1"/>
  <c r="L19" i="24" a="1"/>
  <c r="L19" i="24" s="1"/>
  <c r="N18" i="24"/>
  <c r="I256" i="36" l="1"/>
  <c r="I248" i="36"/>
  <c r="I240" i="36"/>
  <c r="I232" i="36"/>
  <c r="I226" i="36"/>
  <c r="I214" i="36"/>
  <c r="I206" i="36"/>
  <c r="I255" i="36"/>
  <c r="I247" i="36"/>
  <c r="I239" i="36"/>
  <c r="I231" i="36"/>
  <c r="I221" i="36"/>
  <c r="I213" i="36"/>
  <c r="I205" i="36"/>
  <c r="I225" i="36"/>
  <c r="I254" i="36"/>
  <c r="I246" i="36"/>
  <c r="I238" i="36"/>
  <c r="I230" i="36"/>
  <c r="I220" i="36"/>
  <c r="I212" i="36"/>
  <c r="I204" i="36"/>
  <c r="A199" i="36"/>
  <c r="I253" i="36"/>
  <c r="I245" i="36"/>
  <c r="I237" i="36"/>
  <c r="I224" i="36"/>
  <c r="I219" i="36"/>
  <c r="I211" i="36"/>
  <c r="I203" i="36"/>
  <c r="I252" i="36"/>
  <c r="I244" i="36"/>
  <c r="I236" i="36"/>
  <c r="I229" i="36"/>
  <c r="I218" i="36"/>
  <c r="I210" i="36"/>
  <c r="I202" i="36"/>
  <c r="I251" i="36"/>
  <c r="I243" i="36"/>
  <c r="I235" i="36"/>
  <c r="I228" i="36"/>
  <c r="I217" i="36"/>
  <c r="I209" i="36"/>
  <c r="I201" i="36"/>
  <c r="I223" i="36"/>
  <c r="I250" i="36"/>
  <c r="I242" i="36"/>
  <c r="I234" i="36"/>
  <c r="I216" i="36"/>
  <c r="I208" i="36"/>
  <c r="I200" i="36"/>
  <c r="I227" i="36"/>
  <c r="I249" i="36"/>
  <c r="I241" i="36"/>
  <c r="I233" i="36"/>
  <c r="I222" i="36"/>
  <c r="I215" i="36"/>
  <c r="I207" i="36"/>
  <c r="O4" i="34"/>
  <c r="O2" i="34" s="1"/>
  <c r="Q2" i="34" s="1"/>
  <c r="O62" i="34"/>
  <c r="I134" i="34"/>
  <c r="H134" i="34" a="1"/>
  <c r="H134" i="34" s="1"/>
  <c r="A199" i="34" a="1"/>
  <c r="U223" i="34"/>
  <c r="U225" i="34"/>
  <c r="N199" i="34"/>
  <c r="O199" i="34" s="1" a="1"/>
  <c r="O199" i="34" s="1"/>
  <c r="O197" i="34" s="1"/>
  <c r="T222" i="34" s="1"/>
  <c r="U224" i="34"/>
  <c r="U227" i="34"/>
  <c r="U226" i="34"/>
  <c r="I199" i="36" l="1"/>
  <c r="H199" i="36" a="1"/>
  <c r="H199" i="36" s="1"/>
  <c r="I256" i="34"/>
  <c r="I248" i="34"/>
  <c r="I240" i="34"/>
  <c r="I232" i="34"/>
  <c r="I226" i="34"/>
  <c r="I222" i="34"/>
  <c r="I214" i="34"/>
  <c r="I206" i="34"/>
  <c r="I225" i="34"/>
  <c r="I254" i="34"/>
  <c r="I238" i="34"/>
  <c r="I230" i="34"/>
  <c r="I220" i="34"/>
  <c r="I212" i="34"/>
  <c r="I204" i="34"/>
  <c r="A199" i="34"/>
  <c r="I227" i="34"/>
  <c r="I255" i="34"/>
  <c r="I247" i="34"/>
  <c r="I239" i="34"/>
  <c r="I231" i="34"/>
  <c r="I221" i="34"/>
  <c r="I213" i="34"/>
  <c r="I205" i="34"/>
  <c r="I208" i="34"/>
  <c r="I223" i="34"/>
  <c r="I215" i="34"/>
  <c r="I251" i="34"/>
  <c r="I209" i="34"/>
  <c r="I242" i="34"/>
  <c r="I200" i="34"/>
  <c r="I207" i="34"/>
  <c r="I244" i="34"/>
  <c r="I236" i="34"/>
  <c r="I218" i="34"/>
  <c r="I202" i="34"/>
  <c r="I235" i="34"/>
  <c r="I233" i="34"/>
  <c r="I253" i="34"/>
  <c r="I245" i="34"/>
  <c r="I237" i="34"/>
  <c r="I224" i="34"/>
  <c r="I219" i="34"/>
  <c r="I211" i="34"/>
  <c r="I203" i="34"/>
  <c r="I252" i="34"/>
  <c r="I229" i="34"/>
  <c r="I210" i="34"/>
  <c r="I228" i="34"/>
  <c r="I234" i="34"/>
  <c r="I241" i="34"/>
  <c r="I243" i="34"/>
  <c r="I201" i="34"/>
  <c r="I250" i="34"/>
  <c r="I249" i="34"/>
  <c r="I246" i="34"/>
  <c r="I217" i="34"/>
  <c r="I216" i="34"/>
  <c r="V223" i="34" a="1"/>
  <c r="V223" i="34" s="1"/>
  <c r="N20" i="2" a="1"/>
  <c r="N20" i="2" s="1"/>
  <c r="L19" i="2" a="1"/>
  <c r="L19" i="2" s="1"/>
  <c r="N18" i="2"/>
  <c r="N18" i="26"/>
  <c r="N20" i="26" a="1"/>
  <c r="N20" i="26" s="1"/>
  <c r="L19" i="26" a="1"/>
  <c r="L19" i="26" s="1"/>
  <c r="H199" i="34" l="1" a="1"/>
  <c r="H199" i="34" s="1"/>
  <c r="I199" i="34"/>
  <c r="A2" i="31" a="1"/>
  <c r="A2" i="31" s="1"/>
  <c r="C134" i="32" a="1"/>
  <c r="C134" i="32" s="1"/>
  <c r="C69" i="32" a="1"/>
  <c r="C69" i="32" s="1"/>
  <c r="C4" i="32" a="1"/>
  <c r="C4" i="32" s="1"/>
  <c r="N195" i="32"/>
  <c r="N131" i="32"/>
  <c r="N196" i="32" s="1"/>
  <c r="A69" i="32" a="1"/>
  <c r="I126" i="32" s="1"/>
  <c r="A68" i="32" a="1"/>
  <c r="A68" i="32" s="1"/>
  <c r="A133" i="32" s="1" a="1"/>
  <c r="A133" i="32" s="1"/>
  <c r="A198" i="32" s="1" a="1"/>
  <c r="A198" i="32" s="1"/>
  <c r="I61" i="32"/>
  <c r="I60" i="32"/>
  <c r="I59" i="32"/>
  <c r="I58" i="32"/>
  <c r="I57" i="32"/>
  <c r="I56" i="32"/>
  <c r="I55" i="32"/>
  <c r="I54" i="32"/>
  <c r="I53" i="32"/>
  <c r="I52" i="32"/>
  <c r="I51" i="32"/>
  <c r="I50" i="32"/>
  <c r="I49" i="32"/>
  <c r="I48" i="32"/>
  <c r="I47" i="32"/>
  <c r="I46" i="32"/>
  <c r="I45" i="32"/>
  <c r="I44" i="32"/>
  <c r="I43" i="32"/>
  <c r="I42" i="32"/>
  <c r="I41" i="32"/>
  <c r="I40" i="32"/>
  <c r="I39" i="32"/>
  <c r="I38" i="32"/>
  <c r="I37" i="32"/>
  <c r="I36" i="32"/>
  <c r="I35" i="32"/>
  <c r="I34" i="32"/>
  <c r="I33" i="32"/>
  <c r="I32" i="32"/>
  <c r="I31" i="32"/>
  <c r="I30" i="32"/>
  <c r="I29" i="32"/>
  <c r="I28" i="32"/>
  <c r="I27" i="32"/>
  <c r="I26" i="32"/>
  <c r="I25" i="32"/>
  <c r="I24" i="32"/>
  <c r="I23" i="32"/>
  <c r="I22" i="32"/>
  <c r="I21" i="32"/>
  <c r="I20" i="32"/>
  <c r="I19" i="32"/>
  <c r="I18" i="32"/>
  <c r="I17" i="32"/>
  <c r="I16" i="32"/>
  <c r="I15" i="32"/>
  <c r="I14" i="32"/>
  <c r="I13" i="32"/>
  <c r="I12" i="32"/>
  <c r="I11" i="32"/>
  <c r="I10" i="32"/>
  <c r="I9" i="32"/>
  <c r="I8" i="32"/>
  <c r="I7" i="32"/>
  <c r="I6" i="32"/>
  <c r="I5" i="32"/>
  <c r="I4" i="32"/>
  <c r="M2" i="32"/>
  <c r="M199" i="32" s="1" a="1"/>
  <c r="M199" i="32" s="1"/>
  <c r="N199" i="32" s="1" a="1"/>
  <c r="F199" i="28" a="1"/>
  <c r="F199" i="28" s="1"/>
  <c r="A69" i="28" a="1"/>
  <c r="A69" i="28" s="1"/>
  <c r="H69" i="28" s="1" a="1"/>
  <c r="H69" i="28" s="1"/>
  <c r="F69" i="28" a="1"/>
  <c r="F69" i="28" s="1"/>
  <c r="E120" i="28"/>
  <c r="E121" i="28"/>
  <c r="E122" i="28"/>
  <c r="E123" i="28"/>
  <c r="E124" i="28"/>
  <c r="E125" i="28"/>
  <c r="E126" i="28"/>
  <c r="F134" i="28" a="1"/>
  <c r="F134" i="28" s="1"/>
  <c r="J134" i="28" s="1" a="1"/>
  <c r="J134" i="28" s="1"/>
  <c r="L134" i="28" s="1" a="1"/>
  <c r="L134" i="28" s="1"/>
  <c r="E135" i="28"/>
  <c r="E136" i="28"/>
  <c r="E137" i="28"/>
  <c r="E138" i="28"/>
  <c r="E139" i="28"/>
  <c r="E140" i="28"/>
  <c r="E141" i="28"/>
  <c r="E142" i="28"/>
  <c r="E143" i="28"/>
  <c r="E144" i="28"/>
  <c r="E145" i="28"/>
  <c r="E146" i="28"/>
  <c r="E147" i="28"/>
  <c r="E148" i="28"/>
  <c r="E149" i="28"/>
  <c r="E150" i="28"/>
  <c r="E151" i="28"/>
  <c r="E152" i="28"/>
  <c r="E153" i="28"/>
  <c r="E154" i="28"/>
  <c r="E155" i="28"/>
  <c r="E156" i="28"/>
  <c r="E157" i="28"/>
  <c r="E158" i="28"/>
  <c r="E159" i="28"/>
  <c r="E160" i="28"/>
  <c r="E161" i="28"/>
  <c r="E162" i="28"/>
  <c r="E163" i="28"/>
  <c r="E164" i="28"/>
  <c r="E165" i="28"/>
  <c r="E166" i="28"/>
  <c r="E167" i="28"/>
  <c r="E168" i="28"/>
  <c r="E169" i="28"/>
  <c r="E170" i="28"/>
  <c r="E171" i="28"/>
  <c r="E172" i="28"/>
  <c r="E173" i="28"/>
  <c r="E174" i="28"/>
  <c r="E175" i="28"/>
  <c r="E176" i="28"/>
  <c r="E177" i="28"/>
  <c r="E178" i="28"/>
  <c r="E179" i="28"/>
  <c r="E180" i="28"/>
  <c r="E181" i="28"/>
  <c r="E182" i="28"/>
  <c r="E183" i="28"/>
  <c r="E184" i="28"/>
  <c r="E185" i="28"/>
  <c r="E186" i="28"/>
  <c r="E187" i="28"/>
  <c r="E188" i="28"/>
  <c r="E189" i="28"/>
  <c r="E190" i="28"/>
  <c r="E191" i="28"/>
  <c r="F4" i="28" a="1"/>
  <c r="F4" i="28" s="1"/>
  <c r="E58" i="28"/>
  <c r="E59" i="28"/>
  <c r="E60" i="28"/>
  <c r="E61" i="28"/>
  <c r="E5" i="28"/>
  <c r="E6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44" i="28"/>
  <c r="E45" i="28"/>
  <c r="E46" i="28"/>
  <c r="E47" i="28"/>
  <c r="E48" i="28"/>
  <c r="E49" i="28"/>
  <c r="E50" i="28"/>
  <c r="E51" i="28"/>
  <c r="E52" i="28"/>
  <c r="E53" i="28"/>
  <c r="E54" i="28"/>
  <c r="E55" i="28"/>
  <c r="E56" i="28"/>
  <c r="E57" i="28"/>
  <c r="E4" i="28"/>
  <c r="I56" i="28"/>
  <c r="I57" i="28"/>
  <c r="I58" i="28"/>
  <c r="I59" i="28"/>
  <c r="I60" i="28"/>
  <c r="I61" i="28"/>
  <c r="E134" i="28"/>
  <c r="AT69" i="28" a="1"/>
  <c r="AT69" i="28" s="1"/>
  <c r="E70" i="28"/>
  <c r="E71" i="28"/>
  <c r="E72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85" i="28"/>
  <c r="E86" i="28"/>
  <c r="E87" i="28"/>
  <c r="E88" i="28"/>
  <c r="E89" i="28"/>
  <c r="E90" i="28"/>
  <c r="E91" i="28"/>
  <c r="E92" i="28"/>
  <c r="E93" i="28"/>
  <c r="E94" i="28"/>
  <c r="E95" i="28"/>
  <c r="E96" i="28"/>
  <c r="E97" i="28"/>
  <c r="E98" i="28"/>
  <c r="E99" i="28"/>
  <c r="E100" i="28"/>
  <c r="E101" i="28"/>
  <c r="E102" i="28"/>
  <c r="E103" i="28"/>
  <c r="E104" i="28"/>
  <c r="E105" i="28"/>
  <c r="E106" i="28"/>
  <c r="E107" i="28"/>
  <c r="E108" i="28"/>
  <c r="E109" i="28"/>
  <c r="E110" i="28"/>
  <c r="E111" i="28"/>
  <c r="E112" i="28"/>
  <c r="E113" i="28"/>
  <c r="E114" i="28"/>
  <c r="E115" i="28"/>
  <c r="E116" i="28"/>
  <c r="E117" i="28"/>
  <c r="E118" i="28"/>
  <c r="E119" i="28"/>
  <c r="E69" i="28"/>
  <c r="I124" i="28" l="1"/>
  <c r="I125" i="28"/>
  <c r="I126" i="28"/>
  <c r="N257" i="32"/>
  <c r="N199" i="32"/>
  <c r="O199" i="32" s="1" a="1"/>
  <c r="G4" i="28" a="1"/>
  <c r="G4" i="28" s="1"/>
  <c r="I121" i="28"/>
  <c r="A134" i="28" a="1"/>
  <c r="A134" i="28" s="1"/>
  <c r="A199" i="28" s="1" a="1"/>
  <c r="I254" i="28" s="1"/>
  <c r="I122" i="28"/>
  <c r="I123" i="28"/>
  <c r="I82" i="32"/>
  <c r="I83" i="32"/>
  <c r="I87" i="32"/>
  <c r="I89" i="32"/>
  <c r="I90" i="32"/>
  <c r="I111" i="32"/>
  <c r="I112" i="32"/>
  <c r="I114" i="32"/>
  <c r="I115" i="32"/>
  <c r="I91" i="32"/>
  <c r="I119" i="32"/>
  <c r="A69" i="32"/>
  <c r="I69" i="32" s="1"/>
  <c r="I95" i="32"/>
  <c r="I120" i="32"/>
  <c r="I71" i="32"/>
  <c r="I96" i="32"/>
  <c r="I121" i="32"/>
  <c r="I72" i="32"/>
  <c r="I97" i="32"/>
  <c r="I122" i="32"/>
  <c r="I73" i="32"/>
  <c r="I98" i="32"/>
  <c r="I123" i="32"/>
  <c r="I74" i="32"/>
  <c r="I99" i="32"/>
  <c r="I75" i="32"/>
  <c r="I103" i="32"/>
  <c r="I79" i="32"/>
  <c r="I104" i="32"/>
  <c r="I80" i="32"/>
  <c r="I105" i="32"/>
  <c r="I81" i="32"/>
  <c r="I106" i="32"/>
  <c r="I107" i="32"/>
  <c r="I88" i="32"/>
  <c r="I113" i="32"/>
  <c r="J199" i="28" a="1"/>
  <c r="J199" i="28" s="1"/>
  <c r="R199" i="28" s="1" a="1"/>
  <c r="R199" i="28" s="1"/>
  <c r="E139" i="32"/>
  <c r="E147" i="32"/>
  <c r="E149" i="32"/>
  <c r="E146" i="32"/>
  <c r="E35" i="32"/>
  <c r="E89" i="32"/>
  <c r="E19" i="32"/>
  <c r="E117" i="32"/>
  <c r="E51" i="32"/>
  <c r="E118" i="32"/>
  <c r="E76" i="32"/>
  <c r="E11" i="32"/>
  <c r="E77" i="32"/>
  <c r="E27" i="32"/>
  <c r="E119" i="32"/>
  <c r="E43" i="32"/>
  <c r="E78" i="32"/>
  <c r="E59" i="32"/>
  <c r="E105" i="32"/>
  <c r="E88" i="32"/>
  <c r="E5" i="32"/>
  <c r="E13" i="32"/>
  <c r="E21" i="32"/>
  <c r="E29" i="32"/>
  <c r="E37" i="32"/>
  <c r="E45" i="32"/>
  <c r="E53" i="32"/>
  <c r="E61" i="32"/>
  <c r="J4" i="28" a="1"/>
  <c r="J4" i="28" s="1"/>
  <c r="L4" i="28" s="1" a="1"/>
  <c r="L4" i="28" s="1"/>
  <c r="E52" i="32"/>
  <c r="E80" i="32"/>
  <c r="E95" i="32"/>
  <c r="E107" i="32"/>
  <c r="E28" i="32"/>
  <c r="E79" i="32"/>
  <c r="E6" i="32"/>
  <c r="E14" i="32"/>
  <c r="E22" i="32"/>
  <c r="E30" i="32"/>
  <c r="E38" i="32"/>
  <c r="E46" i="32"/>
  <c r="E54" i="32"/>
  <c r="E36" i="32"/>
  <c r="E106" i="32"/>
  <c r="G69" i="28" a="1"/>
  <c r="G69" i="28" s="1"/>
  <c r="E96" i="32"/>
  <c r="E108" i="32"/>
  <c r="E7" i="32"/>
  <c r="E15" i="32"/>
  <c r="E23" i="32"/>
  <c r="E31" i="32"/>
  <c r="E39" i="32"/>
  <c r="E47" i="32"/>
  <c r="E55" i="32"/>
  <c r="E109" i="32"/>
  <c r="E124" i="32"/>
  <c r="E20" i="32"/>
  <c r="E97" i="32"/>
  <c r="E44" i="32"/>
  <c r="E8" i="32"/>
  <c r="E16" i="32"/>
  <c r="E24" i="32"/>
  <c r="E32" i="32"/>
  <c r="E40" i="32"/>
  <c r="E48" i="32"/>
  <c r="E56" i="32"/>
  <c r="E84" i="32"/>
  <c r="E126" i="32"/>
  <c r="E70" i="32"/>
  <c r="E125" i="32"/>
  <c r="E85" i="32"/>
  <c r="E98" i="32"/>
  <c r="E12" i="32"/>
  <c r="E17" i="32"/>
  <c r="E25" i="32"/>
  <c r="E41" i="32"/>
  <c r="E49" i="32"/>
  <c r="E57" i="32"/>
  <c r="E86" i="32"/>
  <c r="E114" i="32"/>
  <c r="E9" i="32"/>
  <c r="E33" i="32"/>
  <c r="E87" i="32"/>
  <c r="E99" i="32"/>
  <c r="E60" i="32"/>
  <c r="E10" i="32"/>
  <c r="E18" i="32"/>
  <c r="E26" i="32"/>
  <c r="E34" i="32"/>
  <c r="E42" i="32"/>
  <c r="E50" i="32"/>
  <c r="E58" i="32"/>
  <c r="E75" i="32"/>
  <c r="E115" i="32"/>
  <c r="E150" i="32"/>
  <c r="E152" i="32"/>
  <c r="E164" i="32"/>
  <c r="E167" i="32"/>
  <c r="E168" i="32"/>
  <c r="E169" i="32"/>
  <c r="E153" i="32"/>
  <c r="E181" i="32"/>
  <c r="E171" i="32"/>
  <c r="E178" i="32"/>
  <c r="E180" i="32"/>
  <c r="E136" i="32"/>
  <c r="E186" i="32"/>
  <c r="E148" i="32"/>
  <c r="E170" i="32"/>
  <c r="E151" i="32"/>
  <c r="E179" i="32"/>
  <c r="E154" i="32"/>
  <c r="E182" i="32"/>
  <c r="E155" i="32"/>
  <c r="E183" i="32"/>
  <c r="E162" i="32"/>
  <c r="E184" i="32"/>
  <c r="E135" i="32"/>
  <c r="E163" i="32"/>
  <c r="E185" i="32"/>
  <c r="E137" i="32"/>
  <c r="E165" i="32"/>
  <c r="E138" i="32"/>
  <c r="E166" i="32"/>
  <c r="E190" i="32"/>
  <c r="G134" i="28" a="1"/>
  <c r="G134" i="28" s="1"/>
  <c r="E187" i="32"/>
  <c r="E143" i="32"/>
  <c r="E159" i="32"/>
  <c r="E175" i="32"/>
  <c r="E191" i="32"/>
  <c r="E140" i="32"/>
  <c r="E156" i="32"/>
  <c r="E172" i="32"/>
  <c r="E188" i="32"/>
  <c r="E141" i="32"/>
  <c r="E157" i="32"/>
  <c r="E173" i="32"/>
  <c r="E189" i="32"/>
  <c r="E174" i="32"/>
  <c r="E144" i="32"/>
  <c r="E160" i="32"/>
  <c r="E176" i="32"/>
  <c r="E142" i="32"/>
  <c r="E158" i="32"/>
  <c r="E145" i="32"/>
  <c r="E161" i="32"/>
  <c r="E177" i="32"/>
  <c r="A199" i="28"/>
  <c r="I256" i="28"/>
  <c r="I252" i="28"/>
  <c r="I251" i="28"/>
  <c r="I255" i="28"/>
  <c r="E116" i="32"/>
  <c r="E71" i="32"/>
  <c r="E90" i="32"/>
  <c r="E110" i="32"/>
  <c r="E120" i="32"/>
  <c r="E81" i="32"/>
  <c r="E111" i="32"/>
  <c r="E122" i="32"/>
  <c r="E91" i="32"/>
  <c r="E121" i="32"/>
  <c r="J69" i="28" a="1"/>
  <c r="J69" i="28" s="1"/>
  <c r="L69" i="28" s="1" a="1"/>
  <c r="L69" i="28" s="1"/>
  <c r="E82" i="32"/>
  <c r="E102" i="32"/>
  <c r="E112" i="32"/>
  <c r="I189" i="28"/>
  <c r="I190" i="28"/>
  <c r="E83" i="32"/>
  <c r="E93" i="32"/>
  <c r="E113" i="32"/>
  <c r="E100" i="32"/>
  <c r="E72" i="32"/>
  <c r="E101" i="32"/>
  <c r="E73" i="32"/>
  <c r="E92" i="32"/>
  <c r="E103" i="32"/>
  <c r="E74" i="32"/>
  <c r="E94" i="32"/>
  <c r="E104" i="32"/>
  <c r="E123" i="32"/>
  <c r="E134" i="32"/>
  <c r="F134" i="32" a="1"/>
  <c r="F134" i="32" s="1"/>
  <c r="J134" i="32" s="1" a="1"/>
  <c r="J134" i="32" s="1"/>
  <c r="L134" i="32" s="1" a="1"/>
  <c r="L134" i="32" s="1"/>
  <c r="M134" i="32" s="1" a="1"/>
  <c r="M134" i="32" s="1"/>
  <c r="E69" i="32"/>
  <c r="F69" i="32" a="1"/>
  <c r="F69" i="32" s="1"/>
  <c r="J69" i="32" s="1" a="1"/>
  <c r="J69" i="32" s="1"/>
  <c r="L69" i="32" s="1" a="1"/>
  <c r="L69" i="32" s="1"/>
  <c r="M69" i="32" s="1" a="1"/>
  <c r="M69" i="32" s="1"/>
  <c r="E4" i="32"/>
  <c r="F4" i="32" a="1"/>
  <c r="F4" i="32" s="1"/>
  <c r="J4" i="32" s="1" a="1"/>
  <c r="J4" i="32" s="1"/>
  <c r="I76" i="32"/>
  <c r="I84" i="32"/>
  <c r="I92" i="32"/>
  <c r="I100" i="32"/>
  <c r="I108" i="32"/>
  <c r="I116" i="32"/>
  <c r="I124" i="32"/>
  <c r="I70" i="32"/>
  <c r="I77" i="32"/>
  <c r="I85" i="32"/>
  <c r="I93" i="32"/>
  <c r="I101" i="32"/>
  <c r="I109" i="32"/>
  <c r="I117" i="32"/>
  <c r="I125" i="32"/>
  <c r="I78" i="32"/>
  <c r="I86" i="32"/>
  <c r="I94" i="32"/>
  <c r="I102" i="32"/>
  <c r="I110" i="32"/>
  <c r="I118" i="32"/>
  <c r="I188" i="28" l="1"/>
  <c r="I186" i="28"/>
  <c r="O257" i="32"/>
  <c r="O199" i="32"/>
  <c r="O197" i="32" s="1"/>
  <c r="I253" i="28"/>
  <c r="I187" i="28"/>
  <c r="I191" i="28"/>
  <c r="A134" i="32" a="1"/>
  <c r="L199" i="28" a="1"/>
  <c r="L199" i="28" s="1"/>
  <c r="N69" i="32" a="1"/>
  <c r="N69" i="32" s="1"/>
  <c r="H2" i="31" a="1"/>
  <c r="H2" i="31" s="1"/>
  <c r="J2" i="31" a="1"/>
  <c r="J2" i="31" s="1"/>
  <c r="N134" i="32" a="1"/>
  <c r="N134" i="32" s="1"/>
  <c r="O134" i="32" s="1" a="1"/>
  <c r="O192" i="32" s="1"/>
  <c r="I2" i="31" a="1"/>
  <c r="I2" i="31" s="1"/>
  <c r="G134" i="32" a="1"/>
  <c r="G134" i="32" s="1"/>
  <c r="G69" i="32" a="1"/>
  <c r="G69" i="32" s="1"/>
  <c r="G4" i="32" a="1"/>
  <c r="G4" i="32" s="1"/>
  <c r="I158" i="32" l="1"/>
  <c r="I150" i="32"/>
  <c r="I171" i="32"/>
  <c r="I137" i="32"/>
  <c r="I138" i="32"/>
  <c r="I156" i="32"/>
  <c r="I189" i="32"/>
  <c r="I183" i="32"/>
  <c r="I163" i="32"/>
  <c r="I184" i="32"/>
  <c r="I172" i="32"/>
  <c r="I181" i="32"/>
  <c r="I167" i="32"/>
  <c r="I155" i="32"/>
  <c r="I176" i="32"/>
  <c r="I145" i="32"/>
  <c r="I173" i="32"/>
  <c r="I151" i="32"/>
  <c r="I147" i="32"/>
  <c r="I168" i="32"/>
  <c r="I186" i="32"/>
  <c r="I144" i="32"/>
  <c r="I188" i="32"/>
  <c r="I162" i="32"/>
  <c r="I187" i="32"/>
  <c r="I190" i="32"/>
  <c r="I165" i="32"/>
  <c r="I135" i="32"/>
  <c r="I139" i="32"/>
  <c r="I160" i="32"/>
  <c r="I136" i="32"/>
  <c r="I146" i="32"/>
  <c r="I154" i="32"/>
  <c r="I177" i="32"/>
  <c r="I157" i="32"/>
  <c r="I182" i="32"/>
  <c r="A134" i="32"/>
  <c r="A199" i="32" s="1" a="1"/>
  <c r="I152" i="32"/>
  <c r="I149" i="32"/>
  <c r="I166" i="32"/>
  <c r="I185" i="32"/>
  <c r="I143" i="32"/>
  <c r="I142" i="32"/>
  <c r="I180" i="32"/>
  <c r="I141" i="32"/>
  <c r="I191" i="32"/>
  <c r="I140" i="32"/>
  <c r="I179" i="32"/>
  <c r="I178" i="32"/>
  <c r="I164" i="32"/>
  <c r="I153" i="32"/>
  <c r="I175" i="32"/>
  <c r="I148" i="32"/>
  <c r="I169" i="32"/>
  <c r="I159" i="32"/>
  <c r="I161" i="32"/>
  <c r="I174" i="32"/>
  <c r="I170" i="32"/>
  <c r="N130" i="32"/>
  <c r="N129" i="32"/>
  <c r="N194" i="32"/>
  <c r="O194" i="32" s="1" a="1"/>
  <c r="O194" i="32" s="1"/>
  <c r="O134" i="32"/>
  <c r="O132" i="32" s="1"/>
  <c r="O69" i="32" a="1"/>
  <c r="I247" i="32" l="1"/>
  <c r="I231" i="32"/>
  <c r="I228" i="32"/>
  <c r="I239" i="32"/>
  <c r="I213" i="32"/>
  <c r="I221" i="32"/>
  <c r="I240" i="32"/>
  <c r="I241" i="32"/>
  <c r="I234" i="32"/>
  <c r="I222" i="32"/>
  <c r="I243" i="32"/>
  <c r="I244" i="32"/>
  <c r="I206" i="32"/>
  <c r="I207" i="32"/>
  <c r="I254" i="32"/>
  <c r="I205" i="32"/>
  <c r="I226" i="32"/>
  <c r="I227" i="32"/>
  <c r="I235" i="32"/>
  <c r="I256" i="32"/>
  <c r="I245" i="32"/>
  <c r="I208" i="32"/>
  <c r="A199" i="32"/>
  <c r="I199" i="32" s="1"/>
  <c r="I202" i="32"/>
  <c r="I229" i="32"/>
  <c r="I249" i="32"/>
  <c r="I223" i="32"/>
  <c r="I203" i="32"/>
  <c r="I210" i="32"/>
  <c r="I238" i="32"/>
  <c r="I253" i="32"/>
  <c r="I250" i="32"/>
  <c r="I248" i="32"/>
  <c r="I215" i="32"/>
  <c r="I237" i="32"/>
  <c r="I225" i="32"/>
  <c r="I255" i="32"/>
  <c r="I209" i="32"/>
  <c r="I232" i="32"/>
  <c r="I230" i="32"/>
  <c r="I200" i="32"/>
  <c r="I233" i="32"/>
  <c r="I251" i="32"/>
  <c r="I211" i="32"/>
  <c r="I224" i="32"/>
  <c r="I242" i="32"/>
  <c r="I212" i="32"/>
  <c r="I252" i="32"/>
  <c r="I218" i="32"/>
  <c r="I204" i="32"/>
  <c r="I201" i="32"/>
  <c r="I219" i="32"/>
  <c r="I214" i="32"/>
  <c r="I220" i="32"/>
  <c r="I216" i="32"/>
  <c r="I217" i="32"/>
  <c r="I236" i="32"/>
  <c r="I246" i="32"/>
  <c r="O129" i="32" a="1"/>
  <c r="O129" i="32" s="1"/>
  <c r="I134" i="32"/>
  <c r="O127" i="32"/>
  <c r="O69" i="32"/>
  <c r="O67" i="32" s="1"/>
  <c r="N131" i="28" l="1"/>
  <c r="N196" i="28" s="1"/>
  <c r="N261" i="28" s="1"/>
  <c r="C63" i="30" a="1"/>
  <c r="C63" i="30" s="1"/>
  <c r="E232" i="30" l="1"/>
  <c r="E231" i="30"/>
  <c r="E230" i="30"/>
  <c r="E229" i="30"/>
  <c r="E228" i="30"/>
  <c r="E227" i="30"/>
  <c r="E226" i="30"/>
  <c r="E225" i="30"/>
  <c r="E224" i="30"/>
  <c r="E223" i="30"/>
  <c r="E222" i="30"/>
  <c r="E221" i="30"/>
  <c r="E220" i="30"/>
  <c r="E219" i="30"/>
  <c r="E218" i="30"/>
  <c r="E217" i="30"/>
  <c r="E216" i="30"/>
  <c r="E215" i="30"/>
  <c r="E214" i="30"/>
  <c r="E213" i="30"/>
  <c r="E212" i="30"/>
  <c r="E211" i="30"/>
  <c r="E210" i="30"/>
  <c r="E209" i="30"/>
  <c r="E208" i="30"/>
  <c r="E207" i="30"/>
  <c r="E206" i="30"/>
  <c r="E205" i="30"/>
  <c r="E204" i="30"/>
  <c r="E203" i="30"/>
  <c r="E202" i="30"/>
  <c r="E201" i="30"/>
  <c r="E200" i="30"/>
  <c r="E199" i="30"/>
  <c r="E198" i="30"/>
  <c r="E197" i="30"/>
  <c r="E196" i="30"/>
  <c r="E195" i="30"/>
  <c r="E194" i="30"/>
  <c r="E193" i="30"/>
  <c r="E192" i="30"/>
  <c r="E191" i="30"/>
  <c r="E190" i="30"/>
  <c r="E189" i="30"/>
  <c r="E188" i="30"/>
  <c r="E187" i="30"/>
  <c r="E186" i="30"/>
  <c r="E185" i="30"/>
  <c r="E184" i="30"/>
  <c r="E183" i="30"/>
  <c r="E182" i="30"/>
  <c r="F181" i="30" a="1"/>
  <c r="F181" i="30" s="1"/>
  <c r="E181" i="30"/>
  <c r="E173" i="30"/>
  <c r="E172" i="30"/>
  <c r="E171" i="30"/>
  <c r="E170" i="30"/>
  <c r="E169" i="30"/>
  <c r="E168" i="30"/>
  <c r="E167" i="30"/>
  <c r="E166" i="30"/>
  <c r="E165" i="30"/>
  <c r="E164" i="30"/>
  <c r="E163" i="30"/>
  <c r="E162" i="30"/>
  <c r="E161" i="30"/>
  <c r="E160" i="30"/>
  <c r="E159" i="30"/>
  <c r="E158" i="30"/>
  <c r="E157" i="30"/>
  <c r="E156" i="30"/>
  <c r="E155" i="30"/>
  <c r="E154" i="30"/>
  <c r="E153" i="30"/>
  <c r="E152" i="30"/>
  <c r="E151" i="30"/>
  <c r="E150" i="30"/>
  <c r="E149" i="30"/>
  <c r="E148" i="30"/>
  <c r="E147" i="30"/>
  <c r="E146" i="30"/>
  <c r="E145" i="30"/>
  <c r="E144" i="30"/>
  <c r="E143" i="30"/>
  <c r="E142" i="30"/>
  <c r="E141" i="30"/>
  <c r="E140" i="30"/>
  <c r="E139" i="30"/>
  <c r="E138" i="30"/>
  <c r="E137" i="30"/>
  <c r="E136" i="30"/>
  <c r="E135" i="30"/>
  <c r="E134" i="30"/>
  <c r="E133" i="30"/>
  <c r="E132" i="30"/>
  <c r="E131" i="30"/>
  <c r="E130" i="30"/>
  <c r="E129" i="30"/>
  <c r="E128" i="30"/>
  <c r="E127" i="30"/>
  <c r="E126" i="30"/>
  <c r="E125" i="30"/>
  <c r="E124" i="30"/>
  <c r="E123" i="30"/>
  <c r="F122" i="30" a="1"/>
  <c r="F122" i="30" s="1"/>
  <c r="E122" i="30"/>
  <c r="E114" i="30"/>
  <c r="E113" i="30"/>
  <c r="E112" i="30"/>
  <c r="E111" i="30"/>
  <c r="E110" i="30"/>
  <c r="E109" i="30"/>
  <c r="E108" i="30"/>
  <c r="E107" i="30"/>
  <c r="E106" i="30"/>
  <c r="E105" i="30"/>
  <c r="E104" i="30"/>
  <c r="E103" i="30"/>
  <c r="E102" i="30"/>
  <c r="E101" i="30"/>
  <c r="E100" i="30"/>
  <c r="E99" i="30"/>
  <c r="E98" i="30"/>
  <c r="E97" i="30"/>
  <c r="E96" i="30"/>
  <c r="E95" i="30"/>
  <c r="E94" i="30"/>
  <c r="E93" i="30"/>
  <c r="E92" i="30"/>
  <c r="E91" i="30"/>
  <c r="E90" i="30"/>
  <c r="E89" i="30"/>
  <c r="E88" i="30"/>
  <c r="E87" i="30"/>
  <c r="E86" i="30"/>
  <c r="E85" i="30"/>
  <c r="E84" i="30"/>
  <c r="E83" i="30"/>
  <c r="E82" i="30"/>
  <c r="E81" i="30"/>
  <c r="E80" i="30"/>
  <c r="E79" i="30"/>
  <c r="E78" i="30"/>
  <c r="E77" i="30"/>
  <c r="E76" i="30"/>
  <c r="E75" i="30"/>
  <c r="E74" i="30"/>
  <c r="E73" i="30"/>
  <c r="E72" i="30"/>
  <c r="E71" i="30"/>
  <c r="E70" i="30"/>
  <c r="E69" i="30"/>
  <c r="E68" i="30"/>
  <c r="E67" i="30"/>
  <c r="E66" i="30"/>
  <c r="E65" i="30"/>
  <c r="E64" i="30"/>
  <c r="F63" i="30" a="1"/>
  <c r="F63" i="30" s="1"/>
  <c r="E63" i="30"/>
  <c r="A63" i="30" a="1"/>
  <c r="I109" i="30" s="1"/>
  <c r="A62" i="30" a="1"/>
  <c r="A62" i="30" s="1"/>
  <c r="A121" i="30" s="1" a="1"/>
  <c r="A121" i="30" s="1"/>
  <c r="A180" i="30" s="1" a="1"/>
  <c r="A180" i="30" s="1"/>
  <c r="I55" i="30"/>
  <c r="I54" i="30"/>
  <c r="I53" i="30"/>
  <c r="I52" i="30"/>
  <c r="I51" i="30"/>
  <c r="I50" i="30"/>
  <c r="I49" i="30"/>
  <c r="I48" i="30"/>
  <c r="I47" i="30"/>
  <c r="I46" i="30"/>
  <c r="I45" i="30"/>
  <c r="I44" i="30"/>
  <c r="I43" i="30"/>
  <c r="I42" i="30"/>
  <c r="I41" i="30"/>
  <c r="I40" i="30"/>
  <c r="I39" i="30"/>
  <c r="I38" i="30"/>
  <c r="I37" i="30"/>
  <c r="I36" i="30"/>
  <c r="I35" i="30"/>
  <c r="I34" i="30"/>
  <c r="I33" i="30"/>
  <c r="I32" i="30"/>
  <c r="I31" i="30"/>
  <c r="I30" i="30"/>
  <c r="I29" i="30"/>
  <c r="I28" i="30"/>
  <c r="I27" i="30"/>
  <c r="I26" i="30"/>
  <c r="I25" i="30"/>
  <c r="I24" i="30"/>
  <c r="I23" i="30"/>
  <c r="I22" i="30"/>
  <c r="I21" i="30"/>
  <c r="I20" i="30"/>
  <c r="I19" i="30"/>
  <c r="I18" i="30"/>
  <c r="I17" i="30"/>
  <c r="I16" i="30"/>
  <c r="I15" i="30"/>
  <c r="I14" i="30"/>
  <c r="I13" i="30"/>
  <c r="I12" i="30"/>
  <c r="I11" i="30"/>
  <c r="I10" i="30"/>
  <c r="I9" i="30"/>
  <c r="I8" i="30"/>
  <c r="I7" i="30"/>
  <c r="I6" i="30"/>
  <c r="I5" i="30"/>
  <c r="I4" i="30"/>
  <c r="C4" i="30" a="1"/>
  <c r="E52" i="30" s="1"/>
  <c r="AB3" i="30" a="1"/>
  <c r="AB3" i="30" s="1"/>
  <c r="AC3" i="30" s="1" a="1"/>
  <c r="AC3" i="30" s="1"/>
  <c r="AD3" i="30" s="1" a="1"/>
  <c r="AD3" i="30" s="1"/>
  <c r="M2" i="30"/>
  <c r="E22" i="30" l="1"/>
  <c r="E21" i="30"/>
  <c r="E46" i="30"/>
  <c r="E37" i="30"/>
  <c r="E38" i="30"/>
  <c r="E13" i="30"/>
  <c r="E14" i="30"/>
  <c r="E53" i="30"/>
  <c r="E29" i="30"/>
  <c r="E54" i="30"/>
  <c r="E30" i="30"/>
  <c r="E6" i="30"/>
  <c r="E45" i="30"/>
  <c r="Q63" i="30" a="1"/>
  <c r="Q63" i="30" s="1"/>
  <c r="P62" i="30" s="1"/>
  <c r="G63" i="30" a="1"/>
  <c r="G63" i="30" s="1"/>
  <c r="J63" i="30" a="1"/>
  <c r="J63" i="30" s="1"/>
  <c r="L63" i="30" s="1" a="1"/>
  <c r="L63" i="30" s="1"/>
  <c r="M63" i="30" s="1" a="1"/>
  <c r="M63" i="30" s="1"/>
  <c r="N63" i="30" s="1" a="1"/>
  <c r="N63" i="30" s="1"/>
  <c r="O63" i="30" s="1" a="1"/>
  <c r="O63" i="30" s="1"/>
  <c r="O61" i="30" s="1"/>
  <c r="J122" i="30" a="1"/>
  <c r="J122" i="30" s="1"/>
  <c r="L122" i="30" s="1" a="1"/>
  <c r="L122" i="30" s="1"/>
  <c r="M122" i="30" s="1" a="1"/>
  <c r="M122" i="30" s="1"/>
  <c r="N122" i="30" s="1" a="1"/>
  <c r="N122" i="30" s="1"/>
  <c r="O122" i="30" s="1" a="1"/>
  <c r="O122" i="30" s="1"/>
  <c r="O120" i="30" s="1"/>
  <c r="G122" i="30" a="1"/>
  <c r="G122" i="30" s="1"/>
  <c r="J181" i="30" a="1"/>
  <c r="J181" i="30" s="1"/>
  <c r="L181" i="30" s="1" a="1"/>
  <c r="L181" i="30" s="1"/>
  <c r="M181" i="30" s="1" a="1"/>
  <c r="M181" i="30" s="1"/>
  <c r="N181" i="30" s="1" a="1"/>
  <c r="N181" i="30" s="1"/>
  <c r="O181" i="30" s="1" a="1"/>
  <c r="O181" i="30" s="1"/>
  <c r="O179" i="30" s="1"/>
  <c r="G181" i="30" a="1"/>
  <c r="G181" i="30" s="1"/>
  <c r="E32" i="30"/>
  <c r="E9" i="30"/>
  <c r="E17" i="30"/>
  <c r="E25" i="30"/>
  <c r="I66" i="30"/>
  <c r="I74" i="30"/>
  <c r="I82" i="30"/>
  <c r="I90" i="30"/>
  <c r="I106" i="30"/>
  <c r="I114" i="30"/>
  <c r="I70" i="30"/>
  <c r="I78" i="30"/>
  <c r="I102" i="30"/>
  <c r="I71" i="30"/>
  <c r="I95" i="30"/>
  <c r="I111" i="30"/>
  <c r="I72" i="30"/>
  <c r="I88" i="30"/>
  <c r="I104" i="30"/>
  <c r="E8" i="30"/>
  <c r="E48" i="30"/>
  <c r="E33" i="30"/>
  <c r="E41" i="30"/>
  <c r="E49" i="30"/>
  <c r="I98" i="30"/>
  <c r="I86" i="30"/>
  <c r="I110" i="30"/>
  <c r="I87" i="30"/>
  <c r="I103" i="30"/>
  <c r="E15" i="30"/>
  <c r="C4" i="30"/>
  <c r="F4" i="30" s="1" a="1"/>
  <c r="F4" i="30" s="1"/>
  <c r="J4" i="30" s="1" a="1"/>
  <c r="J4" i="30" s="1"/>
  <c r="L4" i="30" s="1" a="1"/>
  <c r="L4" i="30" s="1"/>
  <c r="M4" i="30" s="1" a="1"/>
  <c r="M4" i="30" s="1"/>
  <c r="N4" i="30" s="1" a="1"/>
  <c r="E16" i="30"/>
  <c r="E40" i="30"/>
  <c r="I65" i="30"/>
  <c r="I97" i="30"/>
  <c r="I67" i="30"/>
  <c r="I68" i="30"/>
  <c r="I76" i="30"/>
  <c r="I84" i="30"/>
  <c r="I92" i="30"/>
  <c r="I100" i="30"/>
  <c r="I108" i="30"/>
  <c r="A63" i="30"/>
  <c r="I94" i="30"/>
  <c r="I79" i="30"/>
  <c r="E7" i="30"/>
  <c r="E23" i="30"/>
  <c r="E31" i="30"/>
  <c r="E39" i="30"/>
  <c r="E47" i="30"/>
  <c r="E55" i="30"/>
  <c r="I64" i="30"/>
  <c r="I80" i="30"/>
  <c r="I96" i="30"/>
  <c r="I112" i="30"/>
  <c r="E24" i="30"/>
  <c r="I73" i="30"/>
  <c r="I89" i="30"/>
  <c r="I105" i="30"/>
  <c r="E18" i="30"/>
  <c r="I81" i="30"/>
  <c r="I113" i="30"/>
  <c r="E10" i="30"/>
  <c r="E26" i="30"/>
  <c r="E34" i="30"/>
  <c r="E42" i="30"/>
  <c r="E50" i="30"/>
  <c r="I75" i="30"/>
  <c r="I83" i="30"/>
  <c r="I91" i="30"/>
  <c r="I99" i="30"/>
  <c r="I107" i="30"/>
  <c r="E11" i="30"/>
  <c r="E19" i="30"/>
  <c r="E27" i="30"/>
  <c r="E35" i="30"/>
  <c r="E43" i="30"/>
  <c r="E51" i="30"/>
  <c r="E5" i="30"/>
  <c r="E12" i="30"/>
  <c r="E20" i="30"/>
  <c r="E28" i="30"/>
  <c r="E36" i="30"/>
  <c r="E44" i="30"/>
  <c r="I69" i="30"/>
  <c r="I77" i="30"/>
  <c r="I85" i="30"/>
  <c r="I93" i="30"/>
  <c r="I101" i="30"/>
  <c r="E4" i="30" l="1"/>
  <c r="G4" i="30" s="1" a="1"/>
  <c r="G4" i="30" s="1"/>
  <c r="N59" i="30"/>
  <c r="N4" i="30"/>
  <c r="N58" i="30"/>
  <c r="Q4" i="30" a="1"/>
  <c r="Q4" i="30" s="1"/>
  <c r="P3" i="30" s="1"/>
  <c r="R4" i="30" s="1" a="1"/>
  <c r="I63" i="30"/>
  <c r="A122" i="30" a="1"/>
  <c r="AC14" i="20"/>
  <c r="AC30" i="20"/>
  <c r="AC41" i="20"/>
  <c r="AC47" i="20"/>
  <c r="AC62" i="20"/>
  <c r="AC70" i="20"/>
  <c r="AC76" i="20"/>
  <c r="O58" i="30" l="1" a="1"/>
  <c r="O58" i="30" s="1"/>
  <c r="O4" i="30" a="1"/>
  <c r="O4" i="30" s="1"/>
  <c r="O2" i="30" s="1"/>
  <c r="Q2" i="30" s="1"/>
  <c r="I161" i="30"/>
  <c r="I137" i="30"/>
  <c r="I134" i="30"/>
  <c r="I170" i="30"/>
  <c r="I162" i="30"/>
  <c r="I154" i="30"/>
  <c r="I146" i="30"/>
  <c r="I138" i="30"/>
  <c r="I130" i="30"/>
  <c r="A122" i="30"/>
  <c r="I169" i="30"/>
  <c r="I145" i="30"/>
  <c r="I129" i="30"/>
  <c r="I158" i="30"/>
  <c r="I142" i="30"/>
  <c r="I126" i="30"/>
  <c r="I165" i="30"/>
  <c r="I141" i="30"/>
  <c r="I125" i="30"/>
  <c r="I156" i="30"/>
  <c r="I124" i="30"/>
  <c r="I153" i="30"/>
  <c r="I166" i="30"/>
  <c r="I150" i="30"/>
  <c r="I149" i="30"/>
  <c r="I171" i="30"/>
  <c r="I163" i="30"/>
  <c r="I155" i="30"/>
  <c r="I139" i="30"/>
  <c r="I131" i="30"/>
  <c r="I123" i="30"/>
  <c r="I168" i="30"/>
  <c r="I160" i="30"/>
  <c r="I152" i="30"/>
  <c r="I144" i="30"/>
  <c r="I136" i="30"/>
  <c r="I128" i="30"/>
  <c r="I173" i="30"/>
  <c r="I157" i="30"/>
  <c r="I133" i="30"/>
  <c r="I172" i="30"/>
  <c r="I164" i="30"/>
  <c r="I148" i="30"/>
  <c r="I140" i="30"/>
  <c r="I132" i="30"/>
  <c r="I147" i="30"/>
  <c r="I167" i="30"/>
  <c r="I159" i="30"/>
  <c r="I151" i="30"/>
  <c r="I143" i="30"/>
  <c r="I135" i="30"/>
  <c r="I127" i="30"/>
  <c r="R4" i="30"/>
  <c r="S5" i="30" a="1"/>
  <c r="S5" i="30" s="1"/>
  <c r="O56" i="30" l="1"/>
  <c r="I122" i="30"/>
  <c r="A181" i="30" a="1"/>
  <c r="R3" i="30"/>
  <c r="S4" i="30" s="1"/>
  <c r="T4" i="30" s="1" a="1"/>
  <c r="T4" i="30" s="1"/>
  <c r="G199" i="28" l="1" a="1"/>
  <c r="G199" i="28" s="1"/>
  <c r="I232" i="30"/>
  <c r="I224" i="30"/>
  <c r="I216" i="30"/>
  <c r="I208" i="30"/>
  <c r="I200" i="30"/>
  <c r="I192" i="30"/>
  <c r="I184" i="30"/>
  <c r="I214" i="30"/>
  <c r="I198" i="30"/>
  <c r="I182" i="30"/>
  <c r="I220" i="30"/>
  <c r="I230" i="30"/>
  <c r="I206" i="30"/>
  <c r="I190" i="30"/>
  <c r="I228" i="30"/>
  <c r="I196" i="30"/>
  <c r="I219" i="30"/>
  <c r="I195" i="30"/>
  <c r="I218" i="30"/>
  <c r="I186" i="30"/>
  <c r="I225" i="30"/>
  <c r="I201" i="30"/>
  <c r="I185" i="30"/>
  <c r="I231" i="30"/>
  <c r="I223" i="30"/>
  <c r="I215" i="30"/>
  <c r="I207" i="30"/>
  <c r="I199" i="30"/>
  <c r="I191" i="30"/>
  <c r="I183" i="30"/>
  <c r="I222" i="30"/>
  <c r="I211" i="30"/>
  <c r="I187" i="30"/>
  <c r="I210" i="30"/>
  <c r="I202" i="30"/>
  <c r="I209" i="30"/>
  <c r="I212" i="30"/>
  <c r="I204" i="30"/>
  <c r="I188" i="30"/>
  <c r="I227" i="30"/>
  <c r="I203" i="30"/>
  <c r="I226" i="30"/>
  <c r="I194" i="30"/>
  <c r="I217" i="30"/>
  <c r="I193" i="30"/>
  <c r="I229" i="30"/>
  <c r="I221" i="30"/>
  <c r="I213" i="30"/>
  <c r="I205" i="30"/>
  <c r="I197" i="30"/>
  <c r="I189" i="30"/>
  <c r="A181" i="30"/>
  <c r="I181" i="30" s="1"/>
  <c r="Q69" i="28" a="1"/>
  <c r="Q69" i="28" s="1"/>
  <c r="P68" i="28" s="1"/>
  <c r="R69" i="28" s="1" a="1"/>
  <c r="R69" i="28" l="1"/>
  <c r="S70" i="28" a="1"/>
  <c r="S70" i="28" s="1"/>
  <c r="A68" i="28" a="1"/>
  <c r="A68" i="28" s="1"/>
  <c r="A133" i="28" s="1" a="1"/>
  <c r="A133" i="28" s="1"/>
  <c r="A198" i="28" s="1" a="1"/>
  <c r="A198" i="28" s="1"/>
  <c r="I98" i="28" l="1"/>
  <c r="I82" i="28"/>
  <c r="I114" i="28"/>
  <c r="I83" i="28"/>
  <c r="I99" i="28"/>
  <c r="I115" i="28"/>
  <c r="I84" i="28"/>
  <c r="I101" i="28"/>
  <c r="I86" i="28"/>
  <c r="I71" i="28"/>
  <c r="I119" i="28"/>
  <c r="I74" i="28"/>
  <c r="I106" i="28"/>
  <c r="I117" i="28"/>
  <c r="I102" i="28"/>
  <c r="I87" i="28"/>
  <c r="I72" i="28"/>
  <c r="I104" i="28"/>
  <c r="I120" i="28"/>
  <c r="I73" i="28"/>
  <c r="I89" i="28"/>
  <c r="I105" i="28"/>
  <c r="I90" i="28"/>
  <c r="I69" i="28"/>
  <c r="I100" i="28"/>
  <c r="I116" i="28"/>
  <c r="I85" i="28"/>
  <c r="I70" i="28"/>
  <c r="I118" i="28"/>
  <c r="I103" i="28"/>
  <c r="I88" i="28"/>
  <c r="I185" i="28"/>
  <c r="I75" i="28"/>
  <c r="I91" i="28"/>
  <c r="I107" i="28"/>
  <c r="I76" i="28"/>
  <c r="I92" i="28"/>
  <c r="I77" i="28"/>
  <c r="I109" i="28"/>
  <c r="I78" i="28"/>
  <c r="I80" i="28"/>
  <c r="I96" i="28"/>
  <c r="I112" i="28"/>
  <c r="I108" i="28"/>
  <c r="I93" i="28"/>
  <c r="I94" i="28"/>
  <c r="I110" i="28"/>
  <c r="I79" i="28"/>
  <c r="I95" i="28"/>
  <c r="I111" i="28"/>
  <c r="I81" i="28"/>
  <c r="I97" i="28"/>
  <c r="I113" i="28"/>
  <c r="R68" i="28"/>
  <c r="S69" i="28" s="1"/>
  <c r="T69" i="28" s="1" a="1"/>
  <c r="T69" i="28" s="1"/>
  <c r="AB3" i="28" a="1"/>
  <c r="AB3" i="28" s="1"/>
  <c r="AC3" i="28" s="1" a="1"/>
  <c r="AC3" i="28" s="1"/>
  <c r="AD3" i="28" s="1" a="1"/>
  <c r="AD3" i="28" s="1"/>
  <c r="Q4" i="28" a="1"/>
  <c r="Q4" i="28" s="1"/>
  <c r="P3" i="28" s="1"/>
  <c r="R4" i="28" s="1" a="1"/>
  <c r="R4" i="28" s="1"/>
  <c r="I180" i="28" l="1"/>
  <c r="I140" i="28"/>
  <c r="I138" i="28"/>
  <c r="I164" i="28"/>
  <c r="I146" i="28"/>
  <c r="I141" i="28"/>
  <c r="I139" i="28"/>
  <c r="I162" i="28"/>
  <c r="I153" i="28"/>
  <c r="I176" i="28"/>
  <c r="I179" i="28"/>
  <c r="I166" i="28"/>
  <c r="I136" i="28"/>
  <c r="I152" i="28"/>
  <c r="I150" i="28"/>
  <c r="I159" i="28"/>
  <c r="I173" i="28"/>
  <c r="I165" i="28"/>
  <c r="I157" i="28"/>
  <c r="I142" i="28"/>
  <c r="I149" i="28"/>
  <c r="I177" i="28"/>
  <c r="I161" i="28"/>
  <c r="I178" i="28"/>
  <c r="I172" i="28"/>
  <c r="I151" i="28"/>
  <c r="I182" i="28"/>
  <c r="I181" i="28"/>
  <c r="I184" i="28"/>
  <c r="I170" i="28"/>
  <c r="I168" i="28"/>
  <c r="I160" i="28"/>
  <c r="I156" i="28"/>
  <c r="I169" i="28"/>
  <c r="I144" i="28"/>
  <c r="I163" i="28"/>
  <c r="I155" i="28"/>
  <c r="I145" i="28"/>
  <c r="I143" i="28"/>
  <c r="I137" i="28"/>
  <c r="I135" i="28"/>
  <c r="I147" i="28"/>
  <c r="I183" i="28"/>
  <c r="I167" i="28"/>
  <c r="I171" i="28"/>
  <c r="I174" i="28"/>
  <c r="I148" i="28"/>
  <c r="I175" i="28"/>
  <c r="I158" i="28"/>
  <c r="I154" i="28"/>
  <c r="R3" i="28"/>
  <c r="S4" i="28" s="1"/>
  <c r="S5" i="28" a="1"/>
  <c r="S5" i="28" s="1"/>
  <c r="I229" i="28" l="1"/>
  <c r="I134" i="28"/>
  <c r="I203" i="28"/>
  <c r="I235" i="28"/>
  <c r="I219" i="28"/>
  <c r="I222" i="28"/>
  <c r="I223" i="28"/>
  <c r="I201" i="28"/>
  <c r="I226" i="28"/>
  <c r="I225" i="28"/>
  <c r="I209" i="28"/>
  <c r="I234" i="28"/>
  <c r="I217" i="28"/>
  <c r="I242" i="28"/>
  <c r="I199" i="28"/>
  <c r="I200" i="28"/>
  <c r="I208" i="28"/>
  <c r="M2" i="28"/>
  <c r="I5" i="28"/>
  <c r="I6" i="28"/>
  <c r="I7" i="28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5" i="28"/>
  <c r="I36" i="28"/>
  <c r="I37" i="28"/>
  <c r="I38" i="28"/>
  <c r="I39" i="28"/>
  <c r="I40" i="28"/>
  <c r="I41" i="28"/>
  <c r="I42" i="28"/>
  <c r="I43" i="28"/>
  <c r="I44" i="28"/>
  <c r="I45" i="28"/>
  <c r="I46" i="28"/>
  <c r="I47" i="28"/>
  <c r="I48" i="28"/>
  <c r="I49" i="28"/>
  <c r="I50" i="28"/>
  <c r="I51" i="28"/>
  <c r="I52" i="28"/>
  <c r="I53" i="28"/>
  <c r="I54" i="28"/>
  <c r="I55" i="28"/>
  <c r="I4" i="28"/>
  <c r="M134" i="28" l="1" a="1"/>
  <c r="M134" i="28" s="1"/>
  <c r="M69" i="28" a="1"/>
  <c r="M69" i="28" s="1"/>
  <c r="I213" i="28"/>
  <c r="I224" i="28"/>
  <c r="I236" i="28"/>
  <c r="I245" i="28"/>
  <c r="I218" i="28"/>
  <c r="I220" i="28"/>
  <c r="I210" i="28"/>
  <c r="I244" i="28"/>
  <c r="I202" i="28"/>
  <c r="I211" i="28"/>
  <c r="I206" i="28"/>
  <c r="I212" i="28"/>
  <c r="I248" i="28"/>
  <c r="I238" i="28"/>
  <c r="I216" i="28"/>
  <c r="I214" i="28"/>
  <c r="I207" i="28"/>
  <c r="I241" i="28"/>
  <c r="I237" i="28"/>
  <c r="I246" i="28"/>
  <c r="I233" i="28"/>
  <c r="I204" i="28"/>
  <c r="I230" i="28"/>
  <c r="I231" i="28"/>
  <c r="I228" i="28"/>
  <c r="I227" i="28"/>
  <c r="I239" i="28"/>
  <c r="I247" i="28"/>
  <c r="I215" i="28"/>
  <c r="I243" i="28"/>
  <c r="I205" i="28"/>
  <c r="I249" i="28"/>
  <c r="I240" i="28"/>
  <c r="I221" i="28"/>
  <c r="I250" i="28"/>
  <c r="I232" i="28"/>
  <c r="M199" i="28" a="1"/>
  <c r="M199" i="28" s="1"/>
  <c r="T4" i="28" a="1"/>
  <c r="T4" i="28" s="1"/>
  <c r="N199" i="28" l="1" a="1"/>
  <c r="F2" i="31" a="1"/>
  <c r="F2" i="31" s="1"/>
  <c r="D2" i="31" a="1"/>
  <c r="D2" i="31" s="1"/>
  <c r="N69" i="28" a="1"/>
  <c r="E2" i="31" a="1"/>
  <c r="E2" i="31" s="1"/>
  <c r="N134" i="28" a="1"/>
  <c r="M4" i="28" a="1"/>
  <c r="M4" i="28" s="1"/>
  <c r="AI174" i="19" a="1"/>
  <c r="AI174" i="19" s="1"/>
  <c r="AH174" i="19" a="1"/>
  <c r="AH174" i="19" s="1"/>
  <c r="AI127" i="19" a="1"/>
  <c r="AH127" i="19" a="1"/>
  <c r="AH127" i="19" s="1"/>
  <c r="AI80" i="19" a="1"/>
  <c r="AH80" i="19" a="1"/>
  <c r="AH80" i="19" s="1"/>
  <c r="AG3" i="27" a="1"/>
  <c r="AG3" i="27" s="1"/>
  <c r="AG15" i="27" s="1"/>
  <c r="AF3" i="27" a="1"/>
  <c r="AF3" i="27" s="1"/>
  <c r="AF15" i="27" s="1"/>
  <c r="AE3" i="27" a="1"/>
  <c r="AE3" i="27" s="1"/>
  <c r="AE15" i="27" s="1"/>
  <c r="AD3" i="27" a="1"/>
  <c r="AD3" i="27" s="1"/>
  <c r="AD15" i="27" s="1"/>
  <c r="AC3" i="27" a="1"/>
  <c r="AC3" i="27" s="1"/>
  <c r="AC15" i="27" s="1"/>
  <c r="AB3" i="27" a="1"/>
  <c r="AB3" i="27" s="1"/>
  <c r="AB15" i="27" s="1"/>
  <c r="AA3" i="27" a="1"/>
  <c r="AA3" i="27" s="1"/>
  <c r="AA15" i="27" s="1"/>
  <c r="Z3" i="27" a="1"/>
  <c r="Z3" i="27" s="1"/>
  <c r="Z15" i="27" s="1"/>
  <c r="Y3" i="27" a="1"/>
  <c r="Y3" i="27" s="1"/>
  <c r="Y15" i="27" s="1"/>
  <c r="X3" i="27" a="1"/>
  <c r="X3" i="27" s="1"/>
  <c r="X15" i="27" s="1"/>
  <c r="W3" i="27" a="1"/>
  <c r="W3" i="27" s="1"/>
  <c r="W15" i="27" s="1"/>
  <c r="R3" i="27" a="1"/>
  <c r="R3" i="27" s="1"/>
  <c r="O3" i="27" a="1"/>
  <c r="O3" i="27" s="1"/>
  <c r="M3" i="27" a="1"/>
  <c r="M3" i="27" s="1"/>
  <c r="AH143" i="19" s="1" a="1"/>
  <c r="AH143" i="19" s="1"/>
  <c r="C1" i="26"/>
  <c r="AG3" i="26" a="1"/>
  <c r="AG3" i="26" s="1"/>
  <c r="AG15" i="26" s="1"/>
  <c r="AF3" i="26" a="1"/>
  <c r="AF3" i="26" s="1"/>
  <c r="AF15" i="26" s="1"/>
  <c r="AE3" i="26" a="1"/>
  <c r="AE3" i="26" s="1"/>
  <c r="AE15" i="26" s="1"/>
  <c r="AD3" i="26" a="1"/>
  <c r="AD3" i="26" s="1"/>
  <c r="AD15" i="26" s="1"/>
  <c r="AC3" i="26" a="1"/>
  <c r="AC3" i="26" s="1"/>
  <c r="AC15" i="26" s="1"/>
  <c r="AB3" i="26" a="1"/>
  <c r="AB3" i="26" s="1"/>
  <c r="AB15" i="26" s="1"/>
  <c r="AA3" i="26" a="1"/>
  <c r="AA3" i="26" s="1"/>
  <c r="AA15" i="26" s="1"/>
  <c r="Z3" i="26" a="1"/>
  <c r="Z3" i="26" s="1"/>
  <c r="Z15" i="26" s="1"/>
  <c r="Y3" i="26" a="1"/>
  <c r="Y3" i="26" s="1"/>
  <c r="Y15" i="26" s="1"/>
  <c r="X3" i="26" a="1"/>
  <c r="X3" i="26" s="1"/>
  <c r="X15" i="26" s="1"/>
  <c r="W3" i="26" a="1"/>
  <c r="W3" i="26" s="1"/>
  <c r="W15" i="26" s="1"/>
  <c r="R3" i="26" a="1"/>
  <c r="R3" i="26" s="1"/>
  <c r="T15" i="26" s="1"/>
  <c r="O3" i="26" a="1"/>
  <c r="O3" i="26" s="1"/>
  <c r="M3" i="26" a="1"/>
  <c r="M3" i="26" s="1"/>
  <c r="AH96" i="19" s="1" a="1"/>
  <c r="C1" i="24"/>
  <c r="AG3" i="24" a="1"/>
  <c r="AG3" i="24" s="1"/>
  <c r="AG15" i="24" s="1"/>
  <c r="AA3" i="24" a="1"/>
  <c r="AA3" i="24" s="1"/>
  <c r="AA15" i="24" s="1"/>
  <c r="AF3" i="24" a="1"/>
  <c r="AF3" i="24" s="1"/>
  <c r="AF15" i="24" s="1"/>
  <c r="AC3" i="24" a="1"/>
  <c r="AC3" i="24" s="1"/>
  <c r="AC15" i="24" s="1"/>
  <c r="Z3" i="24" a="1"/>
  <c r="Z3" i="24" s="1"/>
  <c r="Z15" i="24" s="1"/>
  <c r="W3" i="24" a="1"/>
  <c r="W3" i="24" s="1"/>
  <c r="W15" i="24" s="1"/>
  <c r="R3" i="24" a="1"/>
  <c r="R3" i="24" s="1"/>
  <c r="T15" i="24" s="1"/>
  <c r="O3" i="24" a="1"/>
  <c r="O3" i="24" s="1"/>
  <c r="M3" i="24" a="1"/>
  <c r="M3" i="24" s="1"/>
  <c r="AH49" i="19" s="1" a="1"/>
  <c r="V228" i="28" l="1"/>
  <c r="V224" i="28"/>
  <c r="V227" i="28"/>
  <c r="V226" i="28"/>
  <c r="V225" i="28"/>
  <c r="N259" i="28"/>
  <c r="N257" i="28"/>
  <c r="N260" i="28" s="1"/>
  <c r="N199" i="28"/>
  <c r="V223" i="28" s="1"/>
  <c r="T15" i="27"/>
  <c r="AH159" i="19" a="1"/>
  <c r="AH159" i="19" s="1"/>
  <c r="N134" i="28"/>
  <c r="N192" i="28"/>
  <c r="N195" i="28" s="1"/>
  <c r="J7" i="9"/>
  <c r="I7" i="9" s="1"/>
  <c r="H7" i="9" s="1"/>
  <c r="N69" i="28"/>
  <c r="J6" i="9"/>
  <c r="I6" i="9" s="1"/>
  <c r="H6" i="9" s="1"/>
  <c r="C2" i="31" a="1"/>
  <c r="C2" i="31" s="1"/>
  <c r="N4" i="28" a="1"/>
  <c r="N194" i="28"/>
  <c r="N129" i="28"/>
  <c r="N130" i="28"/>
  <c r="AI127" i="19"/>
  <c r="AH112" i="19" a="1"/>
  <c r="AH96" i="19"/>
  <c r="AI80" i="19"/>
  <c r="AH65" i="19" a="1"/>
  <c r="AH49" i="19"/>
  <c r="T3" i="27" a="1"/>
  <c r="T3" i="27" s="1"/>
  <c r="T16" i="27" s="1" a="1"/>
  <c r="T16" i="27" s="1"/>
  <c r="O14" i="27" s="1"/>
  <c r="O15" i="27" s="1"/>
  <c r="T3" i="26" a="1"/>
  <c r="T3" i="26" s="1"/>
  <c r="T16" i="26" s="1" a="1"/>
  <c r="T16" i="26" s="1"/>
  <c r="O14" i="26" s="1"/>
  <c r="O15" i="26" s="1"/>
  <c r="AD3" i="24" a="1"/>
  <c r="AD3" i="24" s="1"/>
  <c r="AD15" i="24" s="1"/>
  <c r="AE3" i="24" a="1"/>
  <c r="AE3" i="24" s="1"/>
  <c r="AE15" i="24" s="1"/>
  <c r="Y3" i="24" a="1"/>
  <c r="Y3" i="24" s="1"/>
  <c r="Y15" i="24" s="1"/>
  <c r="X3" i="24" a="1"/>
  <c r="X3" i="24" s="1"/>
  <c r="X15" i="24" s="1"/>
  <c r="AB3" i="24" a="1"/>
  <c r="AB3" i="24" s="1"/>
  <c r="AB15" i="24" s="1"/>
  <c r="C56" i="1"/>
  <c r="D56" i="1"/>
  <c r="C57" i="1"/>
  <c r="D57" i="1"/>
  <c r="E57" i="1"/>
  <c r="C58" i="1"/>
  <c r="D58" i="1"/>
  <c r="E58" i="1"/>
  <c r="C59" i="1"/>
  <c r="D59" i="1"/>
  <c r="E59" i="1"/>
  <c r="D60" i="1"/>
  <c r="E60" i="1"/>
  <c r="C61" i="1"/>
  <c r="D61" i="1"/>
  <c r="E61" i="1"/>
  <c r="D62" i="1"/>
  <c r="E62" i="1"/>
  <c r="E55" i="1"/>
  <c r="C55" i="1"/>
  <c r="C30" i="1"/>
  <c r="D30" i="1"/>
  <c r="C31" i="1"/>
  <c r="D31" i="1"/>
  <c r="E31" i="1"/>
  <c r="C32" i="1"/>
  <c r="D32" i="1"/>
  <c r="E32" i="1"/>
  <c r="C33" i="1"/>
  <c r="D33" i="1"/>
  <c r="E33" i="1"/>
  <c r="C34" i="1"/>
  <c r="D34" i="1"/>
  <c r="E34" i="1"/>
  <c r="C35" i="1"/>
  <c r="D35" i="1"/>
  <c r="E35" i="1"/>
  <c r="D36" i="1"/>
  <c r="E36" i="1"/>
  <c r="E29" i="1"/>
  <c r="C29" i="1"/>
  <c r="H96" i="1" a="1"/>
  <c r="H96" i="1" s="1"/>
  <c r="O96" i="1" s="1" a="1"/>
  <c r="O96" i="1" s="1"/>
  <c r="H81" i="1" a="1"/>
  <c r="H70" i="1" a="1"/>
  <c r="H70" i="1" s="1"/>
  <c r="O70" i="1" s="1" a="1"/>
  <c r="O70" i="1" s="1"/>
  <c r="H55" i="1" a="1"/>
  <c r="C51" i="1"/>
  <c r="H44" i="1" a="1"/>
  <c r="H44" i="1" s="1"/>
  <c r="O44" i="1" s="1" a="1"/>
  <c r="O44" i="1" s="1"/>
  <c r="H29" i="1" a="1"/>
  <c r="BU211" i="1"/>
  <c r="BS211" i="1"/>
  <c r="BQ211" i="1"/>
  <c r="BO211" i="1"/>
  <c r="BU210" i="1"/>
  <c r="BS210" i="1"/>
  <c r="BQ210" i="1"/>
  <c r="BO210" i="1"/>
  <c r="BU209" i="1"/>
  <c r="BS209" i="1"/>
  <c r="BQ209" i="1"/>
  <c r="BO209" i="1"/>
  <c r="BU208" i="1"/>
  <c r="BS208" i="1"/>
  <c r="BQ208" i="1"/>
  <c r="BO208" i="1"/>
  <c r="BS207" i="1"/>
  <c r="BQ207" i="1"/>
  <c r="BO207" i="1"/>
  <c r="BS206" i="1"/>
  <c r="BO206" i="1"/>
  <c r="BS205" i="1"/>
  <c r="BO205" i="1"/>
  <c r="BS204" i="1"/>
  <c r="BO204" i="1"/>
  <c r="BS203" i="1"/>
  <c r="BO203" i="1"/>
  <c r="BS202" i="1"/>
  <c r="BO202" i="1"/>
  <c r="BS201" i="1"/>
  <c r="BO201" i="1"/>
  <c r="BS200" i="1"/>
  <c r="BO200" i="1"/>
  <c r="BS199" i="1"/>
  <c r="BO199" i="1"/>
  <c r="BS198" i="1"/>
  <c r="BO198" i="1"/>
  <c r="BS197" i="1"/>
  <c r="BO197" i="1"/>
  <c r="BS196" i="1"/>
  <c r="BO196" i="1"/>
  <c r="BS195" i="1"/>
  <c r="BO195" i="1"/>
  <c r="BS194" i="1"/>
  <c r="BO194" i="1"/>
  <c r="BS193" i="1"/>
  <c r="BO193" i="1"/>
  <c r="BS192" i="1"/>
  <c r="BO192" i="1"/>
  <c r="BS191" i="1"/>
  <c r="BO191" i="1"/>
  <c r="BS190" i="1"/>
  <c r="BO190" i="1"/>
  <c r="BS189" i="1"/>
  <c r="BO189" i="1"/>
  <c r="BS188" i="1"/>
  <c r="BO188" i="1"/>
  <c r="BS187" i="1"/>
  <c r="BO187" i="1"/>
  <c r="BS186" i="1"/>
  <c r="BO186" i="1"/>
  <c r="BS185" i="1"/>
  <c r="BO185" i="1"/>
  <c r="BS184" i="1"/>
  <c r="BO184" i="1"/>
  <c r="BS183" i="1"/>
  <c r="BO183" i="1"/>
  <c r="BS182" i="1"/>
  <c r="BO182" i="1"/>
  <c r="BS181" i="1"/>
  <c r="BO181" i="1"/>
  <c r="BS180" i="1"/>
  <c r="BO180" i="1"/>
  <c r="BS179" i="1"/>
  <c r="BO179" i="1"/>
  <c r="BS178" i="1"/>
  <c r="BO178" i="1"/>
  <c r="BS177" i="1"/>
  <c r="BO177" i="1"/>
  <c r="BS176" i="1"/>
  <c r="BO176" i="1"/>
  <c r="BS175" i="1"/>
  <c r="BO175" i="1"/>
  <c r="BS174" i="1"/>
  <c r="BO174" i="1"/>
  <c r="BS173" i="1"/>
  <c r="BO173" i="1"/>
  <c r="BS172" i="1"/>
  <c r="BO172" i="1"/>
  <c r="BS171" i="1"/>
  <c r="BO171" i="1"/>
  <c r="BS170" i="1"/>
  <c r="BO170" i="1"/>
  <c r="BS169" i="1"/>
  <c r="BO169" i="1"/>
  <c r="BS168" i="1"/>
  <c r="BO168" i="1"/>
  <c r="BS167" i="1"/>
  <c r="BO167" i="1"/>
  <c r="BS166" i="1"/>
  <c r="BO166" i="1"/>
  <c r="BS165" i="1"/>
  <c r="BQ165" i="1"/>
  <c r="BO165" i="1"/>
  <c r="BS164" i="1"/>
  <c r="BO164" i="1"/>
  <c r="BS163" i="1"/>
  <c r="BO163" i="1"/>
  <c r="BS162" i="1"/>
  <c r="BO162" i="1"/>
  <c r="BS161" i="1"/>
  <c r="BO161" i="1"/>
  <c r="BS160" i="1"/>
  <c r="BO160" i="1"/>
  <c r="BS159" i="1"/>
  <c r="BO159" i="1"/>
  <c r="BS158" i="1"/>
  <c r="BO158" i="1"/>
  <c r="BS157" i="1"/>
  <c r="BO157" i="1"/>
  <c r="BS156" i="1"/>
  <c r="BO156" i="1"/>
  <c r="BS155" i="1"/>
  <c r="BO155" i="1"/>
  <c r="BS154" i="1"/>
  <c r="BO154" i="1"/>
  <c r="BS153" i="1"/>
  <c r="BO153" i="1"/>
  <c r="BS152" i="1"/>
  <c r="BO152" i="1"/>
  <c r="BS151" i="1"/>
  <c r="BO151" i="1"/>
  <c r="BS150" i="1"/>
  <c r="BO150" i="1"/>
  <c r="BS149" i="1"/>
  <c r="BO149" i="1"/>
  <c r="BS148" i="1"/>
  <c r="BO148" i="1"/>
  <c r="BS147" i="1"/>
  <c r="BO147" i="1"/>
  <c r="BS146" i="1"/>
  <c r="BO146" i="1"/>
  <c r="BS145" i="1"/>
  <c r="BO145" i="1"/>
  <c r="BS144" i="1"/>
  <c r="BO144" i="1"/>
  <c r="BS143" i="1"/>
  <c r="BO143" i="1"/>
  <c r="BU142" i="1"/>
  <c r="BS142" i="1"/>
  <c r="BO142" i="1"/>
  <c r="BS141" i="1"/>
  <c r="BQ141" i="1"/>
  <c r="BO141" i="1"/>
  <c r="BS140" i="1"/>
  <c r="BO140" i="1"/>
  <c r="BS139" i="1"/>
  <c r="BO139" i="1"/>
  <c r="BS138" i="1"/>
  <c r="BO138" i="1"/>
  <c r="BS137" i="1"/>
  <c r="BO137" i="1"/>
  <c r="BS136" i="1"/>
  <c r="BO136" i="1"/>
  <c r="BS135" i="1"/>
  <c r="BO135" i="1"/>
  <c r="BS134" i="1"/>
  <c r="BO134" i="1"/>
  <c r="BS133" i="1"/>
  <c r="BO133" i="1"/>
  <c r="BS132" i="1"/>
  <c r="BO132" i="1"/>
  <c r="BS131" i="1"/>
  <c r="BO131" i="1"/>
  <c r="BS130" i="1"/>
  <c r="BO130" i="1"/>
  <c r="BS129" i="1"/>
  <c r="BO129" i="1"/>
  <c r="BS128" i="1"/>
  <c r="BO128" i="1"/>
  <c r="BU127" i="1"/>
  <c r="BO127" i="1"/>
  <c r="BQ126" i="1"/>
  <c r="BT104" i="1"/>
  <c r="BQ36" i="1"/>
  <c r="BI211" i="1"/>
  <c r="BG211" i="1"/>
  <c r="BE211" i="1"/>
  <c r="BC211" i="1"/>
  <c r="BI210" i="1"/>
  <c r="BG210" i="1"/>
  <c r="BE210" i="1"/>
  <c r="BC210" i="1"/>
  <c r="BI209" i="1"/>
  <c r="BG209" i="1"/>
  <c r="BE209" i="1"/>
  <c r="BC209" i="1"/>
  <c r="BI208" i="1"/>
  <c r="BG208" i="1"/>
  <c r="BE208" i="1"/>
  <c r="BC208" i="1"/>
  <c r="BG207" i="1"/>
  <c r="BE207" i="1"/>
  <c r="BC207" i="1"/>
  <c r="BG206" i="1"/>
  <c r="BC206" i="1"/>
  <c r="BG205" i="1"/>
  <c r="BC205" i="1"/>
  <c r="BG204" i="1"/>
  <c r="BC204" i="1"/>
  <c r="BG203" i="1"/>
  <c r="BC203" i="1"/>
  <c r="BG202" i="1"/>
  <c r="BC202" i="1"/>
  <c r="BG201" i="1"/>
  <c r="BC201" i="1"/>
  <c r="BG200" i="1"/>
  <c r="BC200" i="1"/>
  <c r="BG199" i="1"/>
  <c r="BC199" i="1"/>
  <c r="BG198" i="1"/>
  <c r="BC198" i="1"/>
  <c r="BG197" i="1"/>
  <c r="BC197" i="1"/>
  <c r="BG196" i="1"/>
  <c r="BC196" i="1"/>
  <c r="BG195" i="1"/>
  <c r="BC195" i="1"/>
  <c r="BG194" i="1"/>
  <c r="BC194" i="1"/>
  <c r="BG193" i="1"/>
  <c r="BC193" i="1"/>
  <c r="BG192" i="1"/>
  <c r="BC192" i="1"/>
  <c r="BG191" i="1"/>
  <c r="BC191" i="1"/>
  <c r="BG190" i="1"/>
  <c r="BC190" i="1"/>
  <c r="BG189" i="1"/>
  <c r="BC189" i="1"/>
  <c r="BG188" i="1"/>
  <c r="BC188" i="1"/>
  <c r="BG187" i="1"/>
  <c r="BC187" i="1"/>
  <c r="BG186" i="1"/>
  <c r="BC186" i="1"/>
  <c r="BG185" i="1"/>
  <c r="BC185" i="1"/>
  <c r="BG184" i="1"/>
  <c r="BC184" i="1"/>
  <c r="BG183" i="1"/>
  <c r="BC183" i="1"/>
  <c r="BG182" i="1"/>
  <c r="BC182" i="1"/>
  <c r="BG181" i="1"/>
  <c r="BC181" i="1"/>
  <c r="BG180" i="1"/>
  <c r="BC180" i="1"/>
  <c r="BG179" i="1"/>
  <c r="BC179" i="1"/>
  <c r="BG178" i="1"/>
  <c r="BC178" i="1"/>
  <c r="BG177" i="1"/>
  <c r="BC177" i="1"/>
  <c r="BG176" i="1"/>
  <c r="BC176" i="1"/>
  <c r="BG175" i="1"/>
  <c r="BD175" i="1"/>
  <c r="BC175" i="1"/>
  <c r="BG174" i="1"/>
  <c r="BC174" i="1"/>
  <c r="BG173" i="1"/>
  <c r="BC173" i="1"/>
  <c r="BG172" i="1"/>
  <c r="BC172" i="1"/>
  <c r="BG171" i="1"/>
  <c r="BC171" i="1"/>
  <c r="BG170" i="1"/>
  <c r="BC170" i="1"/>
  <c r="BG169" i="1"/>
  <c r="BC169" i="1"/>
  <c r="BG168" i="1"/>
  <c r="BC168" i="1"/>
  <c r="BG167" i="1"/>
  <c r="BC167" i="1"/>
  <c r="BG166" i="1"/>
  <c r="BC166" i="1"/>
  <c r="BG165" i="1"/>
  <c r="BC165" i="1"/>
  <c r="BG164" i="1"/>
  <c r="BC164" i="1"/>
  <c r="BG163" i="1"/>
  <c r="BC163" i="1"/>
  <c r="BG162" i="1"/>
  <c r="BC162" i="1"/>
  <c r="BG161" i="1"/>
  <c r="BC161" i="1"/>
  <c r="BG160" i="1"/>
  <c r="BC160" i="1"/>
  <c r="BG159" i="1"/>
  <c r="BC159" i="1"/>
  <c r="BG158" i="1"/>
  <c r="BC158" i="1"/>
  <c r="BG157" i="1"/>
  <c r="BC157" i="1"/>
  <c r="BG156" i="1"/>
  <c r="BC156" i="1"/>
  <c r="BG155" i="1"/>
  <c r="BC155" i="1"/>
  <c r="BG154" i="1"/>
  <c r="BC154" i="1"/>
  <c r="BG153" i="1"/>
  <c r="BC153" i="1"/>
  <c r="BG152" i="1"/>
  <c r="BC152" i="1"/>
  <c r="BG151" i="1"/>
  <c r="BC151" i="1"/>
  <c r="BG150" i="1"/>
  <c r="BC150" i="1"/>
  <c r="BG149" i="1"/>
  <c r="BC149" i="1"/>
  <c r="BG148" i="1"/>
  <c r="BC148" i="1"/>
  <c r="BG147" i="1"/>
  <c r="BC147" i="1"/>
  <c r="BH146" i="1"/>
  <c r="BG146" i="1"/>
  <c r="BC146" i="1"/>
  <c r="BG145" i="1"/>
  <c r="BC145" i="1"/>
  <c r="BG144" i="1"/>
  <c r="BC144" i="1"/>
  <c r="BG143" i="1"/>
  <c r="BC143" i="1"/>
  <c r="BG142" i="1"/>
  <c r="BC142" i="1"/>
  <c r="BG141" i="1"/>
  <c r="BC141" i="1"/>
  <c r="BG140" i="1"/>
  <c r="BC140" i="1"/>
  <c r="BG139" i="1"/>
  <c r="BC139" i="1"/>
  <c r="BG138" i="1"/>
  <c r="BC138" i="1"/>
  <c r="BG137" i="1"/>
  <c r="BC137" i="1"/>
  <c r="BG136" i="1"/>
  <c r="BC136" i="1"/>
  <c r="BG135" i="1"/>
  <c r="BC135" i="1"/>
  <c r="BG134" i="1"/>
  <c r="BC134" i="1"/>
  <c r="BG133" i="1"/>
  <c r="BC133" i="1"/>
  <c r="BG132" i="1"/>
  <c r="BC132" i="1"/>
  <c r="BG131" i="1"/>
  <c r="BC131" i="1"/>
  <c r="BG130" i="1"/>
  <c r="BC130" i="1"/>
  <c r="BG129" i="1"/>
  <c r="BC129" i="1"/>
  <c r="BG128" i="1"/>
  <c r="BC128" i="1"/>
  <c r="BC127" i="1"/>
  <c r="BG124" i="1"/>
  <c r="BD113" i="1"/>
  <c r="BI103" i="1"/>
  <c r="BD93" i="1"/>
  <c r="BH82" i="1"/>
  <c r="BD76" i="1"/>
  <c r="BG72" i="1"/>
  <c r="BD69" i="1"/>
  <c r="BC64" i="1"/>
  <c r="BG58" i="1"/>
  <c r="BI54" i="1"/>
  <c r="BG44" i="1"/>
  <c r="BD44" i="1"/>
  <c r="BI43" i="1"/>
  <c r="BD29" i="1"/>
  <c r="BC18" i="1"/>
  <c r="BI7" i="1"/>
  <c r="AW211" i="1"/>
  <c r="AU211" i="1"/>
  <c r="AS211" i="1"/>
  <c r="AQ211" i="1"/>
  <c r="AW210" i="1"/>
  <c r="AU210" i="1"/>
  <c r="AS210" i="1"/>
  <c r="AQ210" i="1"/>
  <c r="AW209" i="1"/>
  <c r="AU209" i="1"/>
  <c r="AS209" i="1"/>
  <c r="AQ209" i="1"/>
  <c r="AW208" i="1"/>
  <c r="AU208" i="1"/>
  <c r="AS208" i="1"/>
  <c r="AQ208" i="1"/>
  <c r="AU207" i="1"/>
  <c r="AS207" i="1"/>
  <c r="AQ207" i="1"/>
  <c r="AU206" i="1"/>
  <c r="AQ206" i="1"/>
  <c r="AU205" i="1"/>
  <c r="AQ205" i="1"/>
  <c r="AU204" i="1"/>
  <c r="AQ204" i="1"/>
  <c r="AU203" i="1"/>
  <c r="AQ203" i="1"/>
  <c r="AU202" i="1"/>
  <c r="AQ202" i="1"/>
  <c r="AU201" i="1"/>
  <c r="AQ201" i="1"/>
  <c r="AU200" i="1"/>
  <c r="AQ200" i="1"/>
  <c r="AW199" i="1"/>
  <c r="AU199" i="1"/>
  <c r="AQ199" i="1"/>
  <c r="AU198" i="1"/>
  <c r="AQ198" i="1"/>
  <c r="AU197" i="1"/>
  <c r="AQ197" i="1"/>
  <c r="AU196" i="1"/>
  <c r="AQ196" i="1"/>
  <c r="AU195" i="1"/>
  <c r="AQ195" i="1"/>
  <c r="AU194" i="1"/>
  <c r="AQ194" i="1"/>
  <c r="AU193" i="1"/>
  <c r="AQ193" i="1"/>
  <c r="AU192" i="1"/>
  <c r="AQ192" i="1"/>
  <c r="AU191" i="1"/>
  <c r="AQ191" i="1"/>
  <c r="AU190" i="1"/>
  <c r="AQ190" i="1"/>
  <c r="AU189" i="1"/>
  <c r="AQ189" i="1"/>
  <c r="AU188" i="1"/>
  <c r="AQ188" i="1"/>
  <c r="AU187" i="1"/>
  <c r="AQ187" i="1"/>
  <c r="AU186" i="1"/>
  <c r="AQ186" i="1"/>
  <c r="AU185" i="1"/>
  <c r="AQ185" i="1"/>
  <c r="AU184" i="1"/>
  <c r="AQ184" i="1"/>
  <c r="AU183" i="1"/>
  <c r="AQ183" i="1"/>
  <c r="AU182" i="1"/>
  <c r="AQ182" i="1"/>
  <c r="AU181" i="1"/>
  <c r="AQ181" i="1"/>
  <c r="AU180" i="1"/>
  <c r="AQ180" i="1"/>
  <c r="AU179" i="1"/>
  <c r="AQ179" i="1"/>
  <c r="AU178" i="1"/>
  <c r="AQ178" i="1"/>
  <c r="AU177" i="1"/>
  <c r="AQ177" i="1"/>
  <c r="AU176" i="1"/>
  <c r="AQ176" i="1"/>
  <c r="AU175" i="1"/>
  <c r="AQ175" i="1"/>
  <c r="AU174" i="1"/>
  <c r="AQ174" i="1"/>
  <c r="AU173" i="1"/>
  <c r="AQ173" i="1"/>
  <c r="AU172" i="1"/>
  <c r="AQ172" i="1"/>
  <c r="AU171" i="1"/>
  <c r="AQ171" i="1"/>
  <c r="AU170" i="1"/>
  <c r="AQ170" i="1"/>
  <c r="AU169" i="1"/>
  <c r="AQ169" i="1"/>
  <c r="AU168" i="1"/>
  <c r="AQ168" i="1"/>
  <c r="AU167" i="1"/>
  <c r="AQ167" i="1"/>
  <c r="AU166" i="1"/>
  <c r="AQ166" i="1"/>
  <c r="AU165" i="1"/>
  <c r="AQ165" i="1"/>
  <c r="AU164" i="1"/>
  <c r="AQ164" i="1"/>
  <c r="AU163" i="1"/>
  <c r="AQ163" i="1"/>
  <c r="AU162" i="1"/>
  <c r="AQ162" i="1"/>
  <c r="AU161" i="1"/>
  <c r="AQ161" i="1"/>
  <c r="AU160" i="1"/>
  <c r="AQ160" i="1"/>
  <c r="AU159" i="1"/>
  <c r="AQ159" i="1"/>
  <c r="AU158" i="1"/>
  <c r="AQ158" i="1"/>
  <c r="AU157" i="1"/>
  <c r="AQ157" i="1"/>
  <c r="AU156" i="1"/>
  <c r="AQ156" i="1"/>
  <c r="AU155" i="1"/>
  <c r="AQ155" i="1"/>
  <c r="AU154" i="1"/>
  <c r="AQ154" i="1"/>
  <c r="AU153" i="1"/>
  <c r="AQ153" i="1"/>
  <c r="AU152" i="1"/>
  <c r="AQ152" i="1"/>
  <c r="AU151" i="1"/>
  <c r="AQ151" i="1"/>
  <c r="AU150" i="1"/>
  <c r="AQ150" i="1"/>
  <c r="AU149" i="1"/>
  <c r="AQ149" i="1"/>
  <c r="AU148" i="1"/>
  <c r="AQ148" i="1"/>
  <c r="AU147" i="1"/>
  <c r="AQ147" i="1"/>
  <c r="AU146" i="1"/>
  <c r="AQ146" i="1"/>
  <c r="AU145" i="1"/>
  <c r="AQ145" i="1"/>
  <c r="AU144" i="1"/>
  <c r="AQ144" i="1"/>
  <c r="AW143" i="1"/>
  <c r="AU143" i="1"/>
  <c r="AQ143" i="1"/>
  <c r="AU142" i="1"/>
  <c r="AQ142" i="1"/>
  <c r="AU141" i="1"/>
  <c r="AQ141" i="1"/>
  <c r="AU140" i="1"/>
  <c r="AS140" i="1"/>
  <c r="AQ140" i="1"/>
  <c r="AU139" i="1"/>
  <c r="AQ139" i="1"/>
  <c r="AU138" i="1"/>
  <c r="AQ138" i="1"/>
  <c r="AU137" i="1"/>
  <c r="AQ137" i="1"/>
  <c r="AU136" i="1"/>
  <c r="AQ136" i="1"/>
  <c r="AU135" i="1"/>
  <c r="AQ135" i="1"/>
  <c r="AU134" i="1"/>
  <c r="AQ134" i="1"/>
  <c r="AU133" i="1"/>
  <c r="AQ133" i="1"/>
  <c r="AU132" i="1"/>
  <c r="AQ132" i="1"/>
  <c r="AU131" i="1"/>
  <c r="AQ131" i="1"/>
  <c r="AU130" i="1"/>
  <c r="AQ130" i="1"/>
  <c r="AU129" i="1"/>
  <c r="AQ129" i="1"/>
  <c r="AU128" i="1"/>
  <c r="AQ128" i="1"/>
  <c r="AQ127" i="1"/>
  <c r="AU122" i="1"/>
  <c r="AS121" i="1"/>
  <c r="AR114" i="1"/>
  <c r="AV97" i="1"/>
  <c r="AW95" i="1"/>
  <c r="AR77" i="1"/>
  <c r="AQ52" i="1"/>
  <c r="AQ50" i="1"/>
  <c r="AQ45" i="1"/>
  <c r="AR34" i="1"/>
  <c r="AU26" i="1"/>
  <c r="AU20" i="1"/>
  <c r="AQ20" i="1"/>
  <c r="C4" i="1"/>
  <c r="D4" i="1"/>
  <c r="E4" i="1"/>
  <c r="C5" i="1"/>
  <c r="D5" i="1"/>
  <c r="E5" i="1"/>
  <c r="C6" i="1"/>
  <c r="D6" i="1"/>
  <c r="E6" i="1"/>
  <c r="C7" i="1"/>
  <c r="D7" i="1"/>
  <c r="E7" i="1"/>
  <c r="C8" i="1"/>
  <c r="D8" i="1"/>
  <c r="E8" i="1"/>
  <c r="C9" i="1"/>
  <c r="D9" i="1"/>
  <c r="E9" i="1"/>
  <c r="C10" i="1"/>
  <c r="D10" i="1"/>
  <c r="E10" i="1"/>
  <c r="E3" i="1"/>
  <c r="E61" i="2" s="1"/>
  <c r="D3" i="1"/>
  <c r="D13" i="2" s="1"/>
  <c r="C3" i="1"/>
  <c r="C49" i="2" s="1"/>
  <c r="AI6" i="1"/>
  <c r="AJ6" i="1"/>
  <c r="AK6" i="1"/>
  <c r="AI7" i="1"/>
  <c r="AJ7" i="1"/>
  <c r="AK7" i="1"/>
  <c r="AI8" i="1"/>
  <c r="AJ8" i="1"/>
  <c r="AK8" i="1"/>
  <c r="AI9" i="1"/>
  <c r="AJ9" i="1"/>
  <c r="AK9" i="1"/>
  <c r="AI10" i="1"/>
  <c r="AJ10" i="1"/>
  <c r="AK10" i="1"/>
  <c r="AI11" i="1"/>
  <c r="AJ11" i="1"/>
  <c r="AK11" i="1"/>
  <c r="AI12" i="1"/>
  <c r="AJ12" i="1"/>
  <c r="AK12" i="1"/>
  <c r="AI13" i="1"/>
  <c r="AJ13" i="1"/>
  <c r="AK13" i="1"/>
  <c r="AI14" i="1"/>
  <c r="AJ14" i="1"/>
  <c r="AK14" i="1"/>
  <c r="AI15" i="1"/>
  <c r="AJ15" i="1"/>
  <c r="AK15" i="1"/>
  <c r="AI16" i="1"/>
  <c r="AJ16" i="1"/>
  <c r="AK16" i="1"/>
  <c r="AI17" i="1"/>
  <c r="AJ17" i="1"/>
  <c r="AK17" i="1"/>
  <c r="AI18" i="1"/>
  <c r="AJ18" i="1"/>
  <c r="AK18" i="1"/>
  <c r="AI19" i="1"/>
  <c r="AJ19" i="1"/>
  <c r="AK19" i="1"/>
  <c r="AI20" i="1"/>
  <c r="AJ20" i="1"/>
  <c r="AK20" i="1"/>
  <c r="AI21" i="1"/>
  <c r="AJ21" i="1"/>
  <c r="AK21" i="1"/>
  <c r="AI22" i="1"/>
  <c r="AJ22" i="1"/>
  <c r="AK22" i="1"/>
  <c r="AI23" i="1"/>
  <c r="AJ23" i="1"/>
  <c r="AK23" i="1"/>
  <c r="AI24" i="1"/>
  <c r="AJ24" i="1"/>
  <c r="AK24" i="1"/>
  <c r="AI25" i="1"/>
  <c r="AJ25" i="1"/>
  <c r="AK25" i="1"/>
  <c r="AI26" i="1"/>
  <c r="AJ26" i="1"/>
  <c r="AK26" i="1"/>
  <c r="AI27" i="1"/>
  <c r="AJ27" i="1"/>
  <c r="AK27" i="1"/>
  <c r="AI28" i="1"/>
  <c r="AJ28" i="1"/>
  <c r="AK28" i="1"/>
  <c r="AI29" i="1"/>
  <c r="AJ29" i="1"/>
  <c r="AK29" i="1"/>
  <c r="AI30" i="1"/>
  <c r="AJ30" i="1"/>
  <c r="AK30" i="1"/>
  <c r="AI31" i="1"/>
  <c r="AJ31" i="1"/>
  <c r="AK31" i="1"/>
  <c r="AI32" i="1"/>
  <c r="AJ32" i="1"/>
  <c r="AK32" i="1"/>
  <c r="AI33" i="1"/>
  <c r="AJ33" i="1"/>
  <c r="AK33" i="1"/>
  <c r="AI34" i="1"/>
  <c r="AJ34" i="1"/>
  <c r="AK34" i="1"/>
  <c r="AI35" i="1"/>
  <c r="AJ35" i="1"/>
  <c r="AK35" i="1"/>
  <c r="AI36" i="1"/>
  <c r="AJ36" i="1"/>
  <c r="AK36" i="1"/>
  <c r="AI37" i="1"/>
  <c r="AJ37" i="1"/>
  <c r="AK37" i="1"/>
  <c r="AI38" i="1"/>
  <c r="AJ38" i="1"/>
  <c r="AK38" i="1"/>
  <c r="AI39" i="1"/>
  <c r="AJ39" i="1"/>
  <c r="AK39" i="1"/>
  <c r="AI40" i="1"/>
  <c r="AJ40" i="1"/>
  <c r="AK40" i="1"/>
  <c r="AI41" i="1"/>
  <c r="AJ41" i="1"/>
  <c r="AK41" i="1"/>
  <c r="AI42" i="1"/>
  <c r="AJ42" i="1"/>
  <c r="AK42" i="1"/>
  <c r="AI43" i="1"/>
  <c r="AJ43" i="1"/>
  <c r="AK43" i="1"/>
  <c r="AI44" i="1"/>
  <c r="AJ44" i="1"/>
  <c r="AK44" i="1"/>
  <c r="AI45" i="1"/>
  <c r="AJ45" i="1"/>
  <c r="AK45" i="1"/>
  <c r="AI46" i="1"/>
  <c r="AJ46" i="1"/>
  <c r="AK46" i="1"/>
  <c r="AI47" i="1"/>
  <c r="AJ47" i="1"/>
  <c r="AK47" i="1"/>
  <c r="AI48" i="1"/>
  <c r="AJ48" i="1"/>
  <c r="AK48" i="1"/>
  <c r="AI49" i="1"/>
  <c r="AJ49" i="1"/>
  <c r="AK49" i="1"/>
  <c r="AI50" i="1"/>
  <c r="AJ50" i="1"/>
  <c r="AK50" i="1"/>
  <c r="AI51" i="1"/>
  <c r="AJ51" i="1"/>
  <c r="AK51" i="1"/>
  <c r="AI52" i="1"/>
  <c r="AJ52" i="1"/>
  <c r="AK52" i="1"/>
  <c r="AI53" i="1"/>
  <c r="AJ53" i="1"/>
  <c r="AK53" i="1"/>
  <c r="AI54" i="1"/>
  <c r="AJ54" i="1"/>
  <c r="AK54" i="1"/>
  <c r="AI55" i="1"/>
  <c r="AJ55" i="1"/>
  <c r="AK55" i="1"/>
  <c r="AI56" i="1"/>
  <c r="AJ56" i="1"/>
  <c r="AK56" i="1"/>
  <c r="AI57" i="1"/>
  <c r="AJ57" i="1"/>
  <c r="AK57" i="1"/>
  <c r="AI58" i="1"/>
  <c r="AJ58" i="1"/>
  <c r="AK58" i="1"/>
  <c r="AI59" i="1"/>
  <c r="AJ59" i="1"/>
  <c r="AK59" i="1"/>
  <c r="AI60" i="1"/>
  <c r="AJ60" i="1"/>
  <c r="AK60" i="1"/>
  <c r="AI61" i="1"/>
  <c r="AJ61" i="1"/>
  <c r="AK61" i="1"/>
  <c r="AI62" i="1"/>
  <c r="AJ62" i="1"/>
  <c r="AK62" i="1"/>
  <c r="AI63" i="1"/>
  <c r="AJ63" i="1"/>
  <c r="AK63" i="1"/>
  <c r="AI64" i="1"/>
  <c r="AJ64" i="1"/>
  <c r="AK64" i="1"/>
  <c r="AI65" i="1"/>
  <c r="AJ65" i="1"/>
  <c r="AK65" i="1"/>
  <c r="AI66" i="1"/>
  <c r="AJ66" i="1"/>
  <c r="AK66" i="1"/>
  <c r="AI67" i="1"/>
  <c r="AJ67" i="1"/>
  <c r="AK67" i="1"/>
  <c r="AI68" i="1"/>
  <c r="AJ68" i="1"/>
  <c r="AK68" i="1"/>
  <c r="AI69" i="1"/>
  <c r="AJ69" i="1"/>
  <c r="AK69" i="1"/>
  <c r="AI70" i="1"/>
  <c r="AJ70" i="1"/>
  <c r="AK70" i="1"/>
  <c r="AI71" i="1"/>
  <c r="AJ71" i="1"/>
  <c r="AK71" i="1"/>
  <c r="AI72" i="1"/>
  <c r="AJ72" i="1"/>
  <c r="AK72" i="1"/>
  <c r="AI73" i="1"/>
  <c r="AJ73" i="1"/>
  <c r="AK73" i="1"/>
  <c r="AI74" i="1"/>
  <c r="AJ74" i="1"/>
  <c r="AK74" i="1"/>
  <c r="AI75" i="1"/>
  <c r="AJ75" i="1"/>
  <c r="AK75" i="1"/>
  <c r="AI76" i="1"/>
  <c r="AJ76" i="1"/>
  <c r="AK76" i="1"/>
  <c r="AI77" i="1"/>
  <c r="AJ77" i="1"/>
  <c r="AK77" i="1"/>
  <c r="AI78" i="1"/>
  <c r="AJ78" i="1"/>
  <c r="AK78" i="1"/>
  <c r="AI79" i="1"/>
  <c r="AJ79" i="1"/>
  <c r="AK79" i="1"/>
  <c r="AI80" i="1"/>
  <c r="AJ80" i="1"/>
  <c r="AK80" i="1"/>
  <c r="AI81" i="1"/>
  <c r="AJ81" i="1"/>
  <c r="AK81" i="1"/>
  <c r="AI82" i="1"/>
  <c r="AJ82" i="1"/>
  <c r="AK82" i="1"/>
  <c r="AI83" i="1"/>
  <c r="AJ83" i="1"/>
  <c r="AK83" i="1"/>
  <c r="AI84" i="1"/>
  <c r="AJ84" i="1"/>
  <c r="AK84" i="1"/>
  <c r="AI85" i="1"/>
  <c r="AJ85" i="1"/>
  <c r="AK85" i="1"/>
  <c r="AI86" i="1"/>
  <c r="AJ86" i="1"/>
  <c r="AK86" i="1"/>
  <c r="AI87" i="1"/>
  <c r="AJ87" i="1"/>
  <c r="AK87" i="1"/>
  <c r="AI88" i="1"/>
  <c r="AJ88" i="1"/>
  <c r="AK88" i="1"/>
  <c r="AI89" i="1"/>
  <c r="AJ89" i="1"/>
  <c r="AK89" i="1"/>
  <c r="AI90" i="1"/>
  <c r="AJ90" i="1"/>
  <c r="AK90" i="1"/>
  <c r="AI91" i="1"/>
  <c r="AJ91" i="1"/>
  <c r="AK91" i="1"/>
  <c r="AI92" i="1"/>
  <c r="AJ92" i="1"/>
  <c r="AK92" i="1"/>
  <c r="AI93" i="1"/>
  <c r="AJ93" i="1"/>
  <c r="AK93" i="1"/>
  <c r="AI94" i="1"/>
  <c r="AJ94" i="1"/>
  <c r="AK94" i="1"/>
  <c r="AI95" i="1"/>
  <c r="AJ95" i="1"/>
  <c r="AK95" i="1"/>
  <c r="AI96" i="1"/>
  <c r="AJ96" i="1"/>
  <c r="AK96" i="1"/>
  <c r="AI97" i="1"/>
  <c r="AJ97" i="1"/>
  <c r="AK97" i="1"/>
  <c r="AI98" i="1"/>
  <c r="AJ98" i="1"/>
  <c r="AK98" i="1"/>
  <c r="AI99" i="1"/>
  <c r="AJ99" i="1"/>
  <c r="AK99" i="1"/>
  <c r="AI100" i="1"/>
  <c r="AJ100" i="1"/>
  <c r="AK100" i="1"/>
  <c r="AI101" i="1"/>
  <c r="AJ101" i="1"/>
  <c r="AK101" i="1"/>
  <c r="AI102" i="1"/>
  <c r="AJ102" i="1"/>
  <c r="AK102" i="1"/>
  <c r="AI103" i="1"/>
  <c r="AJ103" i="1"/>
  <c r="AK103" i="1"/>
  <c r="AI104" i="1"/>
  <c r="AJ104" i="1"/>
  <c r="AK104" i="1"/>
  <c r="AI105" i="1"/>
  <c r="AJ105" i="1"/>
  <c r="AK105" i="1"/>
  <c r="AI106" i="1"/>
  <c r="AJ106" i="1"/>
  <c r="AK106" i="1"/>
  <c r="AI107" i="1"/>
  <c r="AJ107" i="1"/>
  <c r="AK107" i="1"/>
  <c r="AI108" i="1"/>
  <c r="AJ108" i="1"/>
  <c r="AK108" i="1"/>
  <c r="AI109" i="1"/>
  <c r="AJ109" i="1"/>
  <c r="AK109" i="1"/>
  <c r="AI110" i="1"/>
  <c r="AJ110" i="1"/>
  <c r="AK110" i="1"/>
  <c r="AI111" i="1"/>
  <c r="AJ111" i="1"/>
  <c r="AK111" i="1"/>
  <c r="AI112" i="1"/>
  <c r="AJ112" i="1"/>
  <c r="AK112" i="1"/>
  <c r="AI113" i="1"/>
  <c r="AJ113" i="1"/>
  <c r="AK113" i="1"/>
  <c r="AI114" i="1"/>
  <c r="AJ114" i="1"/>
  <c r="AK114" i="1"/>
  <c r="AI115" i="1"/>
  <c r="AJ115" i="1"/>
  <c r="AK115" i="1"/>
  <c r="AI116" i="1"/>
  <c r="AJ116" i="1"/>
  <c r="AK116" i="1"/>
  <c r="AI117" i="1"/>
  <c r="AJ117" i="1"/>
  <c r="AK117" i="1"/>
  <c r="AI118" i="1"/>
  <c r="AJ118" i="1"/>
  <c r="AK118" i="1"/>
  <c r="AI119" i="1"/>
  <c r="AJ119" i="1"/>
  <c r="AK119" i="1"/>
  <c r="AI120" i="1"/>
  <c r="AJ120" i="1"/>
  <c r="AK120" i="1"/>
  <c r="AI121" i="1"/>
  <c r="AJ121" i="1"/>
  <c r="AK121" i="1"/>
  <c r="AI122" i="1"/>
  <c r="AJ122" i="1"/>
  <c r="AK122" i="1"/>
  <c r="AI123" i="1"/>
  <c r="AJ123" i="1"/>
  <c r="AK123" i="1"/>
  <c r="AI124" i="1"/>
  <c r="AJ124" i="1"/>
  <c r="AK124" i="1"/>
  <c r="AI125" i="1"/>
  <c r="AJ125" i="1"/>
  <c r="AK125" i="1"/>
  <c r="AI126" i="1"/>
  <c r="AJ126" i="1"/>
  <c r="AK126" i="1"/>
  <c r="AI127" i="1"/>
  <c r="AJ127" i="1"/>
  <c r="AK127" i="1"/>
  <c r="AI128" i="1"/>
  <c r="AJ128" i="1"/>
  <c r="AK128" i="1"/>
  <c r="AI129" i="1"/>
  <c r="AJ129" i="1"/>
  <c r="AK129" i="1"/>
  <c r="AI130" i="1"/>
  <c r="AJ130" i="1"/>
  <c r="AK130" i="1"/>
  <c r="AI131" i="1"/>
  <c r="AJ131" i="1"/>
  <c r="AK131" i="1"/>
  <c r="AI132" i="1"/>
  <c r="AJ132" i="1"/>
  <c r="AK132" i="1"/>
  <c r="AI133" i="1"/>
  <c r="AJ133" i="1"/>
  <c r="AK133" i="1"/>
  <c r="AI134" i="1"/>
  <c r="AJ134" i="1"/>
  <c r="AK134" i="1"/>
  <c r="AI135" i="1"/>
  <c r="AJ135" i="1"/>
  <c r="AK135" i="1"/>
  <c r="AI136" i="1"/>
  <c r="AJ136" i="1"/>
  <c r="AK136" i="1"/>
  <c r="AI137" i="1"/>
  <c r="AJ137" i="1"/>
  <c r="AK137" i="1"/>
  <c r="AI138" i="1"/>
  <c r="AJ138" i="1"/>
  <c r="AK138" i="1"/>
  <c r="AI139" i="1"/>
  <c r="AJ139" i="1"/>
  <c r="AK139" i="1"/>
  <c r="AI140" i="1"/>
  <c r="AJ140" i="1"/>
  <c r="AK140" i="1"/>
  <c r="AI141" i="1"/>
  <c r="AJ141" i="1"/>
  <c r="AK141" i="1"/>
  <c r="AI142" i="1"/>
  <c r="AJ142" i="1"/>
  <c r="AK142" i="1"/>
  <c r="AI143" i="1"/>
  <c r="AJ143" i="1"/>
  <c r="AK143" i="1"/>
  <c r="AI144" i="1"/>
  <c r="AJ144" i="1"/>
  <c r="AK144" i="1"/>
  <c r="AI145" i="1"/>
  <c r="AJ145" i="1"/>
  <c r="AK145" i="1"/>
  <c r="AI146" i="1"/>
  <c r="AJ146" i="1"/>
  <c r="AK146" i="1"/>
  <c r="AI147" i="1"/>
  <c r="AJ147" i="1"/>
  <c r="AK147" i="1"/>
  <c r="AI148" i="1"/>
  <c r="AJ148" i="1"/>
  <c r="AK148" i="1"/>
  <c r="AI149" i="1"/>
  <c r="AJ149" i="1"/>
  <c r="AK149" i="1"/>
  <c r="AI150" i="1"/>
  <c r="AJ150" i="1"/>
  <c r="AK150" i="1"/>
  <c r="AI151" i="1"/>
  <c r="AJ151" i="1"/>
  <c r="AK151" i="1"/>
  <c r="AI152" i="1"/>
  <c r="AJ152" i="1"/>
  <c r="AK152" i="1"/>
  <c r="AI153" i="1"/>
  <c r="AJ153" i="1"/>
  <c r="AK153" i="1"/>
  <c r="AI154" i="1"/>
  <c r="AJ154" i="1"/>
  <c r="AK154" i="1"/>
  <c r="AI155" i="1"/>
  <c r="AJ155" i="1"/>
  <c r="AK155" i="1"/>
  <c r="AI156" i="1"/>
  <c r="AJ156" i="1"/>
  <c r="AK156" i="1"/>
  <c r="AI157" i="1"/>
  <c r="AJ157" i="1"/>
  <c r="AK157" i="1"/>
  <c r="AI158" i="1"/>
  <c r="AJ158" i="1"/>
  <c r="AK158" i="1"/>
  <c r="AI159" i="1"/>
  <c r="AJ159" i="1"/>
  <c r="AK159" i="1"/>
  <c r="AI160" i="1"/>
  <c r="AJ160" i="1"/>
  <c r="AK160" i="1"/>
  <c r="AI161" i="1"/>
  <c r="AJ161" i="1"/>
  <c r="AK161" i="1"/>
  <c r="AI162" i="1"/>
  <c r="AJ162" i="1"/>
  <c r="AK162" i="1"/>
  <c r="AI163" i="1"/>
  <c r="AJ163" i="1"/>
  <c r="AK163" i="1"/>
  <c r="AI164" i="1"/>
  <c r="AJ164" i="1"/>
  <c r="AK164" i="1"/>
  <c r="AI165" i="1"/>
  <c r="AJ165" i="1"/>
  <c r="AK165" i="1"/>
  <c r="AI166" i="1"/>
  <c r="AJ166" i="1"/>
  <c r="AK166" i="1"/>
  <c r="AI167" i="1"/>
  <c r="AJ167" i="1"/>
  <c r="AK167" i="1"/>
  <c r="AI168" i="1"/>
  <c r="AJ168" i="1"/>
  <c r="AK168" i="1"/>
  <c r="AI169" i="1"/>
  <c r="AJ169" i="1"/>
  <c r="AK169" i="1"/>
  <c r="AI170" i="1"/>
  <c r="AJ170" i="1"/>
  <c r="AK170" i="1"/>
  <c r="AI171" i="1"/>
  <c r="AJ171" i="1"/>
  <c r="AK171" i="1"/>
  <c r="AI172" i="1"/>
  <c r="AJ172" i="1"/>
  <c r="AK172" i="1"/>
  <c r="AI173" i="1"/>
  <c r="AJ173" i="1"/>
  <c r="AK173" i="1"/>
  <c r="AI174" i="1"/>
  <c r="AJ174" i="1"/>
  <c r="AK174" i="1"/>
  <c r="AI175" i="1"/>
  <c r="AJ175" i="1"/>
  <c r="AK175" i="1"/>
  <c r="AI176" i="1"/>
  <c r="AJ176" i="1"/>
  <c r="AK176" i="1"/>
  <c r="AI177" i="1"/>
  <c r="AJ177" i="1"/>
  <c r="AK177" i="1"/>
  <c r="AI178" i="1"/>
  <c r="AJ178" i="1"/>
  <c r="AK178" i="1"/>
  <c r="AI179" i="1"/>
  <c r="AJ179" i="1"/>
  <c r="AK179" i="1"/>
  <c r="AI180" i="1"/>
  <c r="AJ180" i="1"/>
  <c r="AK180" i="1"/>
  <c r="AI181" i="1"/>
  <c r="AJ181" i="1"/>
  <c r="AK181" i="1"/>
  <c r="AI182" i="1"/>
  <c r="AJ182" i="1"/>
  <c r="AK182" i="1"/>
  <c r="AI183" i="1"/>
  <c r="AJ183" i="1"/>
  <c r="AK183" i="1"/>
  <c r="AI184" i="1"/>
  <c r="AJ184" i="1"/>
  <c r="AK184" i="1"/>
  <c r="AI185" i="1"/>
  <c r="AJ185" i="1"/>
  <c r="AK185" i="1"/>
  <c r="AI186" i="1"/>
  <c r="AJ186" i="1"/>
  <c r="AK186" i="1"/>
  <c r="AI187" i="1"/>
  <c r="AJ187" i="1"/>
  <c r="AK187" i="1"/>
  <c r="AI188" i="1"/>
  <c r="AJ188" i="1"/>
  <c r="AK188" i="1"/>
  <c r="AI189" i="1"/>
  <c r="AJ189" i="1"/>
  <c r="AK189" i="1"/>
  <c r="AI190" i="1"/>
  <c r="AJ190" i="1"/>
  <c r="AK190" i="1"/>
  <c r="AI191" i="1"/>
  <c r="AJ191" i="1"/>
  <c r="AK191" i="1"/>
  <c r="AI192" i="1"/>
  <c r="AJ192" i="1"/>
  <c r="AK192" i="1"/>
  <c r="AI193" i="1"/>
  <c r="AJ193" i="1"/>
  <c r="AK193" i="1"/>
  <c r="AI194" i="1"/>
  <c r="AJ194" i="1"/>
  <c r="AK194" i="1"/>
  <c r="AI195" i="1"/>
  <c r="AJ195" i="1"/>
  <c r="AK195" i="1"/>
  <c r="AI196" i="1"/>
  <c r="AJ196" i="1"/>
  <c r="AK196" i="1"/>
  <c r="AI197" i="1"/>
  <c r="AJ197" i="1"/>
  <c r="AK197" i="1"/>
  <c r="AI198" i="1"/>
  <c r="AJ198" i="1"/>
  <c r="AK198" i="1"/>
  <c r="AI199" i="1"/>
  <c r="AJ199" i="1"/>
  <c r="AK199" i="1"/>
  <c r="AI200" i="1"/>
  <c r="AJ200" i="1"/>
  <c r="AK200" i="1"/>
  <c r="AI201" i="1"/>
  <c r="AJ201" i="1"/>
  <c r="AK201" i="1"/>
  <c r="AI202" i="1"/>
  <c r="AJ202" i="1"/>
  <c r="AK202" i="1"/>
  <c r="AI203" i="1"/>
  <c r="AJ203" i="1"/>
  <c r="AK203" i="1"/>
  <c r="AI204" i="1"/>
  <c r="AJ204" i="1"/>
  <c r="AK204" i="1"/>
  <c r="AI205" i="1"/>
  <c r="AJ205" i="1"/>
  <c r="AK205" i="1"/>
  <c r="AI206" i="1"/>
  <c r="AJ206" i="1"/>
  <c r="AI207" i="1"/>
  <c r="AJ207" i="1"/>
  <c r="AI208" i="1"/>
  <c r="AJ208" i="1"/>
  <c r="AK208" i="1"/>
  <c r="AI209" i="1"/>
  <c r="AJ209" i="1"/>
  <c r="AK209" i="1"/>
  <c r="AI210" i="1"/>
  <c r="AJ210" i="1"/>
  <c r="AK210" i="1"/>
  <c r="AI211" i="1"/>
  <c r="AJ211" i="1"/>
  <c r="AK211" i="1"/>
  <c r="AJ5" i="1"/>
  <c r="AK5" i="1"/>
  <c r="AI5" i="1"/>
  <c r="AJ4" i="1"/>
  <c r="AK4" i="1"/>
  <c r="AI4" i="1"/>
  <c r="AJ3" i="1"/>
  <c r="AK3" i="1"/>
  <c r="AI3" i="1"/>
  <c r="AE5" i="1"/>
  <c r="AF5" i="1"/>
  <c r="AG5" i="1"/>
  <c r="AE6" i="1"/>
  <c r="AF6" i="1"/>
  <c r="AG6" i="1"/>
  <c r="AE7" i="1"/>
  <c r="AF7" i="1"/>
  <c r="AG7" i="1"/>
  <c r="AE8" i="1"/>
  <c r="AF8" i="1"/>
  <c r="AG8" i="1"/>
  <c r="AE9" i="1"/>
  <c r="AF9" i="1"/>
  <c r="AG9" i="1"/>
  <c r="AE10" i="1"/>
  <c r="AF10" i="1"/>
  <c r="AG10" i="1"/>
  <c r="AE11" i="1"/>
  <c r="AF11" i="1"/>
  <c r="AG11" i="1"/>
  <c r="AE12" i="1"/>
  <c r="AF12" i="1"/>
  <c r="AG12" i="1"/>
  <c r="AE13" i="1"/>
  <c r="AF13" i="1"/>
  <c r="AG13" i="1"/>
  <c r="AE14" i="1"/>
  <c r="AF14" i="1"/>
  <c r="AG14" i="1"/>
  <c r="AE15" i="1"/>
  <c r="AF15" i="1"/>
  <c r="AG15" i="1"/>
  <c r="AE16" i="1"/>
  <c r="AF16" i="1"/>
  <c r="AG16" i="1"/>
  <c r="AE17" i="1"/>
  <c r="AF17" i="1"/>
  <c r="AG17" i="1"/>
  <c r="AE18" i="1"/>
  <c r="AF18" i="1"/>
  <c r="AG18" i="1"/>
  <c r="AE19" i="1"/>
  <c r="AF19" i="1"/>
  <c r="AG19" i="1"/>
  <c r="AE20" i="1"/>
  <c r="AF20" i="1"/>
  <c r="AG20" i="1"/>
  <c r="AE21" i="1"/>
  <c r="AF21" i="1"/>
  <c r="AG21" i="1"/>
  <c r="AE22" i="1"/>
  <c r="AF22" i="1"/>
  <c r="AG22" i="1"/>
  <c r="AE23" i="1"/>
  <c r="AF23" i="1"/>
  <c r="AG23" i="1"/>
  <c r="AE24" i="1"/>
  <c r="AF24" i="1"/>
  <c r="AG24" i="1"/>
  <c r="AE25" i="1"/>
  <c r="AF25" i="1"/>
  <c r="AG25" i="1"/>
  <c r="AE26" i="1"/>
  <c r="AF26" i="1"/>
  <c r="AG26" i="1"/>
  <c r="AE27" i="1"/>
  <c r="AF27" i="1"/>
  <c r="AG27" i="1"/>
  <c r="AE28" i="1"/>
  <c r="AF28" i="1"/>
  <c r="AG28" i="1"/>
  <c r="AE29" i="1"/>
  <c r="AF29" i="1"/>
  <c r="AG29" i="1"/>
  <c r="AE30" i="1"/>
  <c r="AF30" i="1"/>
  <c r="AG30" i="1"/>
  <c r="AE31" i="1"/>
  <c r="AF31" i="1"/>
  <c r="AG31" i="1"/>
  <c r="AE32" i="1"/>
  <c r="AF32" i="1"/>
  <c r="AG32" i="1"/>
  <c r="AE33" i="1"/>
  <c r="AF33" i="1"/>
  <c r="AG33" i="1"/>
  <c r="AE34" i="1"/>
  <c r="AF34" i="1"/>
  <c r="AG34" i="1"/>
  <c r="AE35" i="1"/>
  <c r="AF35" i="1"/>
  <c r="AG35" i="1"/>
  <c r="AE36" i="1"/>
  <c r="AF36" i="1"/>
  <c r="AG36" i="1"/>
  <c r="AE37" i="1"/>
  <c r="AF37" i="1"/>
  <c r="AG37" i="1"/>
  <c r="AE38" i="1"/>
  <c r="AF38" i="1"/>
  <c r="AG38" i="1"/>
  <c r="AE39" i="1"/>
  <c r="AF39" i="1"/>
  <c r="AG39" i="1"/>
  <c r="AE40" i="1"/>
  <c r="AF40" i="1"/>
  <c r="AG40" i="1"/>
  <c r="AE41" i="1"/>
  <c r="AF41" i="1"/>
  <c r="AG41" i="1"/>
  <c r="AE42" i="1"/>
  <c r="AF42" i="1"/>
  <c r="AG42" i="1"/>
  <c r="AE43" i="1"/>
  <c r="AF43" i="1"/>
  <c r="AG43" i="1"/>
  <c r="AE44" i="1"/>
  <c r="AF44" i="1"/>
  <c r="AG44" i="1"/>
  <c r="AE45" i="1"/>
  <c r="AF45" i="1"/>
  <c r="AG45" i="1"/>
  <c r="AE46" i="1"/>
  <c r="AF46" i="1"/>
  <c r="AG46" i="1"/>
  <c r="AE47" i="1"/>
  <c r="AF47" i="1"/>
  <c r="AG47" i="1"/>
  <c r="AE48" i="1"/>
  <c r="AF48" i="1"/>
  <c r="AG48" i="1"/>
  <c r="AE49" i="1"/>
  <c r="AF49" i="1"/>
  <c r="AG49" i="1"/>
  <c r="AE50" i="1"/>
  <c r="AF50" i="1"/>
  <c r="AG50" i="1"/>
  <c r="AE51" i="1"/>
  <c r="AF51" i="1"/>
  <c r="AG51" i="1"/>
  <c r="AE52" i="1"/>
  <c r="AF52" i="1"/>
  <c r="AG52" i="1"/>
  <c r="AE53" i="1"/>
  <c r="AF53" i="1"/>
  <c r="AG53" i="1"/>
  <c r="AE54" i="1"/>
  <c r="AF54" i="1"/>
  <c r="AG54" i="1"/>
  <c r="AE55" i="1"/>
  <c r="AF55" i="1"/>
  <c r="AG55" i="1"/>
  <c r="AE56" i="1"/>
  <c r="AF56" i="1"/>
  <c r="AG56" i="1"/>
  <c r="AE57" i="1"/>
  <c r="AF57" i="1"/>
  <c r="AG57" i="1"/>
  <c r="AE58" i="1"/>
  <c r="AF58" i="1"/>
  <c r="AG58" i="1"/>
  <c r="AE59" i="1"/>
  <c r="AF59" i="1"/>
  <c r="AG59" i="1"/>
  <c r="AE60" i="1"/>
  <c r="AF60" i="1"/>
  <c r="AG60" i="1"/>
  <c r="AE61" i="1"/>
  <c r="AF61" i="1"/>
  <c r="AG61" i="1"/>
  <c r="AE62" i="1"/>
  <c r="AF62" i="1"/>
  <c r="AG62" i="1"/>
  <c r="AE63" i="1"/>
  <c r="AF63" i="1"/>
  <c r="AG63" i="1"/>
  <c r="AE64" i="1"/>
  <c r="AF64" i="1"/>
  <c r="AG64" i="1"/>
  <c r="AE65" i="1"/>
  <c r="AF65" i="1"/>
  <c r="AG65" i="1"/>
  <c r="AE66" i="1"/>
  <c r="AF66" i="1"/>
  <c r="AG66" i="1"/>
  <c r="AE67" i="1"/>
  <c r="AF67" i="1"/>
  <c r="AG67" i="1"/>
  <c r="AE68" i="1"/>
  <c r="AF68" i="1"/>
  <c r="AG68" i="1"/>
  <c r="AE69" i="1"/>
  <c r="AF69" i="1"/>
  <c r="AG69" i="1"/>
  <c r="AE70" i="1"/>
  <c r="AF70" i="1"/>
  <c r="AG70" i="1"/>
  <c r="AE71" i="1"/>
  <c r="AF71" i="1"/>
  <c r="AG71" i="1"/>
  <c r="AE72" i="1"/>
  <c r="AF72" i="1"/>
  <c r="AG72" i="1"/>
  <c r="AE73" i="1"/>
  <c r="AF73" i="1"/>
  <c r="AG73" i="1"/>
  <c r="AE74" i="1"/>
  <c r="AF74" i="1"/>
  <c r="AG74" i="1"/>
  <c r="AE75" i="1"/>
  <c r="AF75" i="1"/>
  <c r="AG75" i="1"/>
  <c r="AE76" i="1"/>
  <c r="AF76" i="1"/>
  <c r="AG76" i="1"/>
  <c r="AE77" i="1"/>
  <c r="AF77" i="1"/>
  <c r="AG77" i="1"/>
  <c r="AE78" i="1"/>
  <c r="AF78" i="1"/>
  <c r="AG78" i="1"/>
  <c r="AE79" i="1"/>
  <c r="AF79" i="1"/>
  <c r="AG79" i="1"/>
  <c r="AE80" i="1"/>
  <c r="AF80" i="1"/>
  <c r="AG80" i="1"/>
  <c r="AE81" i="1"/>
  <c r="AF81" i="1"/>
  <c r="AG81" i="1"/>
  <c r="AE82" i="1"/>
  <c r="AF82" i="1"/>
  <c r="AG82" i="1"/>
  <c r="AE83" i="1"/>
  <c r="AF83" i="1"/>
  <c r="AG83" i="1"/>
  <c r="AE84" i="1"/>
  <c r="AF84" i="1"/>
  <c r="AG84" i="1"/>
  <c r="AE85" i="1"/>
  <c r="AF85" i="1"/>
  <c r="AG85" i="1"/>
  <c r="AE86" i="1"/>
  <c r="AF86" i="1"/>
  <c r="AG86" i="1"/>
  <c r="AE87" i="1"/>
  <c r="AF87" i="1"/>
  <c r="AG87" i="1"/>
  <c r="AE88" i="1"/>
  <c r="AF88" i="1"/>
  <c r="AG88" i="1"/>
  <c r="AE89" i="1"/>
  <c r="AF89" i="1"/>
  <c r="AG89" i="1"/>
  <c r="AE90" i="1"/>
  <c r="AF90" i="1"/>
  <c r="AG90" i="1"/>
  <c r="AE91" i="1"/>
  <c r="AF91" i="1"/>
  <c r="AG91" i="1"/>
  <c r="AE92" i="1"/>
  <c r="AF92" i="1"/>
  <c r="AG92" i="1"/>
  <c r="AE93" i="1"/>
  <c r="AF93" i="1"/>
  <c r="AG93" i="1"/>
  <c r="AE94" i="1"/>
  <c r="AF94" i="1"/>
  <c r="AG94" i="1"/>
  <c r="AE95" i="1"/>
  <c r="AF95" i="1"/>
  <c r="AG95" i="1"/>
  <c r="AE96" i="1"/>
  <c r="AF96" i="1"/>
  <c r="AG96" i="1"/>
  <c r="AE97" i="1"/>
  <c r="AF97" i="1"/>
  <c r="AG97" i="1"/>
  <c r="AE98" i="1"/>
  <c r="AF98" i="1"/>
  <c r="AG98" i="1"/>
  <c r="AE99" i="1"/>
  <c r="AF99" i="1"/>
  <c r="AG99" i="1"/>
  <c r="AE100" i="1"/>
  <c r="AF100" i="1"/>
  <c r="AG100" i="1"/>
  <c r="AE101" i="1"/>
  <c r="AF101" i="1"/>
  <c r="AG101" i="1"/>
  <c r="AE102" i="1"/>
  <c r="AF102" i="1"/>
  <c r="AG102" i="1"/>
  <c r="AE103" i="1"/>
  <c r="AF103" i="1"/>
  <c r="AG103" i="1"/>
  <c r="AE104" i="1"/>
  <c r="AF104" i="1"/>
  <c r="AG104" i="1"/>
  <c r="AE105" i="1"/>
  <c r="AF105" i="1"/>
  <c r="AG105" i="1"/>
  <c r="AE106" i="1"/>
  <c r="AF106" i="1"/>
  <c r="AG106" i="1"/>
  <c r="AE107" i="1"/>
  <c r="AF107" i="1"/>
  <c r="AG107" i="1"/>
  <c r="AE108" i="1"/>
  <c r="AF108" i="1"/>
  <c r="AG108" i="1"/>
  <c r="AE109" i="1"/>
  <c r="AF109" i="1"/>
  <c r="AG109" i="1"/>
  <c r="AE110" i="1"/>
  <c r="AF110" i="1"/>
  <c r="AG110" i="1"/>
  <c r="AE111" i="1"/>
  <c r="AF111" i="1"/>
  <c r="AG111" i="1"/>
  <c r="AE112" i="1"/>
  <c r="AF112" i="1"/>
  <c r="AG112" i="1"/>
  <c r="AE113" i="1"/>
  <c r="AF113" i="1"/>
  <c r="AG113" i="1"/>
  <c r="AE114" i="1"/>
  <c r="AF114" i="1"/>
  <c r="AG114" i="1"/>
  <c r="AE115" i="1"/>
  <c r="AF115" i="1"/>
  <c r="AG115" i="1"/>
  <c r="AE116" i="1"/>
  <c r="AF116" i="1"/>
  <c r="AG116" i="1"/>
  <c r="AE117" i="1"/>
  <c r="AF117" i="1"/>
  <c r="AG117" i="1"/>
  <c r="AE118" i="1"/>
  <c r="AF118" i="1"/>
  <c r="AG118" i="1"/>
  <c r="AE119" i="1"/>
  <c r="AF119" i="1"/>
  <c r="AG119" i="1"/>
  <c r="AE120" i="1"/>
  <c r="AF120" i="1"/>
  <c r="AG120" i="1"/>
  <c r="AE121" i="1"/>
  <c r="AF121" i="1"/>
  <c r="AG121" i="1"/>
  <c r="AE122" i="1"/>
  <c r="AF122" i="1"/>
  <c r="AG122" i="1"/>
  <c r="AE123" i="1"/>
  <c r="AF123" i="1"/>
  <c r="AG123" i="1"/>
  <c r="AE124" i="1"/>
  <c r="AF124" i="1"/>
  <c r="AG124" i="1"/>
  <c r="AE125" i="1"/>
  <c r="AF125" i="1"/>
  <c r="AG125" i="1"/>
  <c r="AE126" i="1"/>
  <c r="AF126" i="1"/>
  <c r="AG126" i="1"/>
  <c r="AE127" i="1"/>
  <c r="AF127" i="1"/>
  <c r="AG127" i="1"/>
  <c r="AE128" i="1"/>
  <c r="AF128" i="1"/>
  <c r="AG128" i="1"/>
  <c r="AE129" i="1"/>
  <c r="AF129" i="1"/>
  <c r="AG129" i="1"/>
  <c r="AE130" i="1"/>
  <c r="AF130" i="1"/>
  <c r="AG130" i="1"/>
  <c r="AE131" i="1"/>
  <c r="AF131" i="1"/>
  <c r="AG131" i="1"/>
  <c r="AE132" i="1"/>
  <c r="AF132" i="1"/>
  <c r="AG132" i="1"/>
  <c r="AE133" i="1"/>
  <c r="AF133" i="1"/>
  <c r="AG133" i="1"/>
  <c r="AE134" i="1"/>
  <c r="AF134" i="1"/>
  <c r="AG134" i="1"/>
  <c r="AE135" i="1"/>
  <c r="AF135" i="1"/>
  <c r="AG135" i="1"/>
  <c r="AE136" i="1"/>
  <c r="AF136" i="1"/>
  <c r="AG136" i="1"/>
  <c r="AE137" i="1"/>
  <c r="AF137" i="1"/>
  <c r="AG137" i="1"/>
  <c r="AE138" i="1"/>
  <c r="AF138" i="1"/>
  <c r="AG138" i="1"/>
  <c r="AE139" i="1"/>
  <c r="AF139" i="1"/>
  <c r="AG139" i="1"/>
  <c r="AE140" i="1"/>
  <c r="AF140" i="1"/>
  <c r="AG140" i="1"/>
  <c r="AE141" i="1"/>
  <c r="AF141" i="1"/>
  <c r="AG141" i="1"/>
  <c r="AE142" i="1"/>
  <c r="AF142" i="1"/>
  <c r="AG142" i="1"/>
  <c r="AE143" i="1"/>
  <c r="AF143" i="1"/>
  <c r="AG143" i="1"/>
  <c r="AE144" i="1"/>
  <c r="AF144" i="1"/>
  <c r="AG144" i="1"/>
  <c r="AE145" i="1"/>
  <c r="AF145" i="1"/>
  <c r="AG145" i="1"/>
  <c r="AE146" i="1"/>
  <c r="AF146" i="1"/>
  <c r="AG146" i="1"/>
  <c r="AE147" i="1"/>
  <c r="AF147" i="1"/>
  <c r="AG147" i="1"/>
  <c r="AE148" i="1"/>
  <c r="AF148" i="1"/>
  <c r="AG148" i="1"/>
  <c r="AE149" i="1"/>
  <c r="AF149" i="1"/>
  <c r="AG149" i="1"/>
  <c r="AE150" i="1"/>
  <c r="AF150" i="1"/>
  <c r="AG150" i="1"/>
  <c r="AE151" i="1"/>
  <c r="AF151" i="1"/>
  <c r="AG151" i="1"/>
  <c r="AE152" i="1"/>
  <c r="AF152" i="1"/>
  <c r="AG152" i="1"/>
  <c r="AE153" i="1"/>
  <c r="AF153" i="1"/>
  <c r="AG153" i="1"/>
  <c r="AE154" i="1"/>
  <c r="AF154" i="1"/>
  <c r="AG154" i="1"/>
  <c r="AE155" i="1"/>
  <c r="AF155" i="1"/>
  <c r="AG155" i="1"/>
  <c r="AE156" i="1"/>
  <c r="AF156" i="1"/>
  <c r="AG156" i="1"/>
  <c r="AE157" i="1"/>
  <c r="AF157" i="1"/>
  <c r="AG157" i="1"/>
  <c r="AE158" i="1"/>
  <c r="AF158" i="1"/>
  <c r="AG158" i="1"/>
  <c r="AE159" i="1"/>
  <c r="AF159" i="1"/>
  <c r="AG159" i="1"/>
  <c r="AE160" i="1"/>
  <c r="AF160" i="1"/>
  <c r="AG160" i="1"/>
  <c r="AE161" i="1"/>
  <c r="AF161" i="1"/>
  <c r="AG161" i="1"/>
  <c r="AE162" i="1"/>
  <c r="AF162" i="1"/>
  <c r="AG162" i="1"/>
  <c r="AE163" i="1"/>
  <c r="AF163" i="1"/>
  <c r="AG163" i="1"/>
  <c r="AE164" i="1"/>
  <c r="AF164" i="1"/>
  <c r="AG164" i="1"/>
  <c r="AE165" i="1"/>
  <c r="AF165" i="1"/>
  <c r="AG165" i="1"/>
  <c r="AE166" i="1"/>
  <c r="AF166" i="1"/>
  <c r="AG166" i="1"/>
  <c r="AE167" i="1"/>
  <c r="AF167" i="1"/>
  <c r="AG167" i="1"/>
  <c r="AE168" i="1"/>
  <c r="AF168" i="1"/>
  <c r="AG168" i="1"/>
  <c r="AE169" i="1"/>
  <c r="AF169" i="1"/>
  <c r="AG169" i="1"/>
  <c r="AE170" i="1"/>
  <c r="AF170" i="1"/>
  <c r="AG170" i="1"/>
  <c r="AE171" i="1"/>
  <c r="AF171" i="1"/>
  <c r="AG171" i="1"/>
  <c r="AE172" i="1"/>
  <c r="AF172" i="1"/>
  <c r="AG172" i="1"/>
  <c r="AE173" i="1"/>
  <c r="AF173" i="1"/>
  <c r="AG173" i="1"/>
  <c r="AE174" i="1"/>
  <c r="AF174" i="1"/>
  <c r="AG174" i="1"/>
  <c r="AE175" i="1"/>
  <c r="AF175" i="1"/>
  <c r="AG175" i="1"/>
  <c r="AE176" i="1"/>
  <c r="AF176" i="1"/>
  <c r="AG176" i="1"/>
  <c r="AE177" i="1"/>
  <c r="AF177" i="1"/>
  <c r="AG177" i="1"/>
  <c r="AE178" i="1"/>
  <c r="AF178" i="1"/>
  <c r="AG178" i="1"/>
  <c r="AE179" i="1"/>
  <c r="AF179" i="1"/>
  <c r="AG179" i="1"/>
  <c r="AE180" i="1"/>
  <c r="AF180" i="1"/>
  <c r="AG180" i="1"/>
  <c r="AE181" i="1"/>
  <c r="AF181" i="1"/>
  <c r="AG181" i="1"/>
  <c r="AE182" i="1"/>
  <c r="AF182" i="1"/>
  <c r="AG182" i="1"/>
  <c r="AE183" i="1"/>
  <c r="AF183" i="1"/>
  <c r="AG183" i="1"/>
  <c r="AE184" i="1"/>
  <c r="AF184" i="1"/>
  <c r="AG184" i="1"/>
  <c r="AE185" i="1"/>
  <c r="AF185" i="1"/>
  <c r="AG185" i="1"/>
  <c r="AE186" i="1"/>
  <c r="AF186" i="1"/>
  <c r="AG186" i="1"/>
  <c r="AE187" i="1"/>
  <c r="AF187" i="1"/>
  <c r="AG187" i="1"/>
  <c r="AE188" i="1"/>
  <c r="AF188" i="1"/>
  <c r="AG188" i="1"/>
  <c r="AE189" i="1"/>
  <c r="AF189" i="1"/>
  <c r="AG189" i="1"/>
  <c r="AE190" i="1"/>
  <c r="AF190" i="1"/>
  <c r="AG190" i="1"/>
  <c r="AE191" i="1"/>
  <c r="AF191" i="1"/>
  <c r="AG191" i="1"/>
  <c r="AE192" i="1"/>
  <c r="AF192" i="1"/>
  <c r="AG192" i="1"/>
  <c r="AE193" i="1"/>
  <c r="AF193" i="1"/>
  <c r="AG193" i="1"/>
  <c r="AE194" i="1"/>
  <c r="AF194" i="1"/>
  <c r="AG194" i="1"/>
  <c r="AE195" i="1"/>
  <c r="AF195" i="1"/>
  <c r="AG195" i="1"/>
  <c r="AE196" i="1"/>
  <c r="AF196" i="1"/>
  <c r="AG196" i="1"/>
  <c r="AE197" i="1"/>
  <c r="AF197" i="1"/>
  <c r="AG197" i="1"/>
  <c r="AE198" i="1"/>
  <c r="AF198" i="1"/>
  <c r="AG198" i="1"/>
  <c r="AE199" i="1"/>
  <c r="AF199" i="1"/>
  <c r="AG199" i="1"/>
  <c r="AE200" i="1"/>
  <c r="AF200" i="1"/>
  <c r="AG200" i="1"/>
  <c r="AE201" i="1"/>
  <c r="AF201" i="1"/>
  <c r="AG201" i="1"/>
  <c r="AE202" i="1"/>
  <c r="AF202" i="1"/>
  <c r="AG202" i="1"/>
  <c r="AE203" i="1"/>
  <c r="AF203" i="1"/>
  <c r="AG203" i="1"/>
  <c r="AE204" i="1"/>
  <c r="AF204" i="1"/>
  <c r="AG204" i="1"/>
  <c r="AE205" i="1"/>
  <c r="AF205" i="1"/>
  <c r="AG205" i="1"/>
  <c r="AE206" i="1"/>
  <c r="AF206" i="1"/>
  <c r="AE207" i="1"/>
  <c r="AF207" i="1"/>
  <c r="AG207" i="1"/>
  <c r="AE208" i="1"/>
  <c r="AF208" i="1"/>
  <c r="AG208" i="1"/>
  <c r="AE209" i="1"/>
  <c r="AF209" i="1"/>
  <c r="AG209" i="1"/>
  <c r="AE210" i="1"/>
  <c r="AF210" i="1"/>
  <c r="AG210" i="1"/>
  <c r="AE211" i="1"/>
  <c r="AF211" i="1"/>
  <c r="AG211" i="1"/>
  <c r="AF4" i="1"/>
  <c r="AG4" i="1"/>
  <c r="AE4" i="1"/>
  <c r="AF3" i="1"/>
  <c r="AG3" i="1"/>
  <c r="AE3" i="1"/>
  <c r="H18" i="1" a="1"/>
  <c r="H18" i="1" s="1"/>
  <c r="O18" i="1" s="1" a="1"/>
  <c r="O18" i="1" s="1"/>
  <c r="H3" i="1" a="1"/>
  <c r="C36" i="1"/>
  <c r="AV5" i="1"/>
  <c r="E30" i="1"/>
  <c r="AQ5" i="1"/>
  <c r="AR5" i="1"/>
  <c r="AQ7" i="1"/>
  <c r="AU10" i="1"/>
  <c r="AS9" i="1"/>
  <c r="AQ10" i="1"/>
  <c r="AR10" i="1"/>
  <c r="AW12" i="1"/>
  <c r="AW13" i="1"/>
  <c r="AV14" i="1"/>
  <c r="AQ14" i="1"/>
  <c r="AW15" i="1"/>
  <c r="AV16" i="1"/>
  <c r="AU17" i="1"/>
  <c r="AV17" i="1"/>
  <c r="AV19" i="1"/>
  <c r="BQ20" i="1"/>
  <c r="AQ19" i="1"/>
  <c r="AR19" i="1"/>
  <c r="AW20" i="1"/>
  <c r="BT23" i="1"/>
  <c r="AQ21" i="1"/>
  <c r="AR21" i="1"/>
  <c r="AW22" i="1"/>
  <c r="AQ23" i="1"/>
  <c r="BU26" i="1"/>
  <c r="AR24" i="1"/>
  <c r="AS25" i="1"/>
  <c r="AQ26" i="1"/>
  <c r="AS26" i="1"/>
  <c r="AU28" i="1"/>
  <c r="AR28" i="1"/>
  <c r="AU30" i="1"/>
  <c r="AV30" i="1"/>
  <c r="AV31" i="1"/>
  <c r="AW31" i="1"/>
  <c r="AS31" i="1"/>
  <c r="AU33" i="1"/>
  <c r="AV33" i="1"/>
  <c r="AW33" i="1"/>
  <c r="AV35" i="1"/>
  <c r="BU37" i="1"/>
  <c r="AU36" i="1"/>
  <c r="AV36" i="1"/>
  <c r="AQ36" i="1"/>
  <c r="AQ37" i="1"/>
  <c r="AW38" i="1"/>
  <c r="AU40" i="1"/>
  <c r="AU42" i="1"/>
  <c r="AQ42" i="1"/>
  <c r="AR42" i="1"/>
  <c r="AS42" i="1"/>
  <c r="AU45" i="1"/>
  <c r="AU46" i="1"/>
  <c r="AV47" i="1"/>
  <c r="AW47" i="1"/>
  <c r="AS47" i="1"/>
  <c r="AQ49" i="1"/>
  <c r="AU51" i="1"/>
  <c r="AV51" i="1"/>
  <c r="AW52" i="1"/>
  <c r="AV53" i="1"/>
  <c r="AQ53" i="1"/>
  <c r="AW54" i="1"/>
  <c r="AQ54" i="1"/>
  <c r="AR54" i="1"/>
  <c r="AU56" i="1"/>
  <c r="BU58" i="1"/>
  <c r="AQ56" i="1"/>
  <c r="AW57" i="1"/>
  <c r="AU58" i="1"/>
  <c r="AS57" i="1"/>
  <c r="AV60" i="1"/>
  <c r="AU61" i="1"/>
  <c r="AV61" i="1"/>
  <c r="AU62" i="1"/>
  <c r="AV62" i="1"/>
  <c r="AV63" i="1"/>
  <c r="AW63" i="1"/>
  <c r="AU64" i="1"/>
  <c r="AS63" i="1"/>
  <c r="AS64" i="1"/>
  <c r="AS65" i="1"/>
  <c r="AU67" i="1"/>
  <c r="AW68" i="1"/>
  <c r="AQ68" i="1"/>
  <c r="AV69" i="1"/>
  <c r="AQ69" i="1"/>
  <c r="AQ70" i="1"/>
  <c r="AR70" i="1"/>
  <c r="AW71" i="1"/>
  <c r="AQ71" i="1"/>
  <c r="AS73" i="1"/>
  <c r="AQ74" i="1"/>
  <c r="AR75" i="1"/>
  <c r="AR76" i="1"/>
  <c r="AW77" i="1"/>
  <c r="AU78" i="1"/>
  <c r="AV78" i="1"/>
  <c r="AQ78" i="1"/>
  <c r="AV79" i="1"/>
  <c r="AW79" i="1"/>
  <c r="AQ79" i="1"/>
  <c r="AV80" i="1"/>
  <c r="AU81" i="1"/>
  <c r="AV81" i="1"/>
  <c r="AW84" i="1"/>
  <c r="AQ85" i="1"/>
  <c r="BT88" i="1"/>
  <c r="AQ87" i="1"/>
  <c r="AV88" i="1"/>
  <c r="AQ88" i="1"/>
  <c r="AS88" i="1"/>
  <c r="AU90" i="1"/>
  <c r="AS89" i="1"/>
  <c r="AQ90" i="1"/>
  <c r="AR90" i="1"/>
  <c r="AS90" i="1"/>
  <c r="AU92" i="1"/>
  <c r="AW92" i="1"/>
  <c r="AR92" i="1"/>
  <c r="AU94" i="1"/>
  <c r="BU96" i="1"/>
  <c r="AV96" i="1"/>
  <c r="AS95" i="1"/>
  <c r="AW97" i="1"/>
  <c r="AU99" i="1"/>
  <c r="AV99" i="1"/>
  <c r="AQ100" i="1"/>
  <c r="AQ101" i="1"/>
  <c r="BP103" i="1"/>
  <c r="AW102" i="1"/>
  <c r="AU104" i="1"/>
  <c r="AQ104" i="1"/>
  <c r="AU106" i="1"/>
  <c r="AR106" i="1"/>
  <c r="AS106" i="1"/>
  <c r="AU109" i="1"/>
  <c r="AV109" i="1"/>
  <c r="AU110" i="1"/>
  <c r="AQ110" i="1"/>
  <c r="AV111" i="1"/>
  <c r="AW111" i="1"/>
  <c r="AS111" i="1"/>
  <c r="AU115" i="1"/>
  <c r="AV115" i="1"/>
  <c r="AW116" i="1"/>
  <c r="AQ116" i="1"/>
  <c r="AS116" i="1"/>
  <c r="AQ117" i="1"/>
  <c r="AR117" i="1"/>
  <c r="AW119" i="1"/>
  <c r="BU122" i="1"/>
  <c r="AR120" i="1"/>
  <c r="AQ122" i="1"/>
  <c r="AR122" i="1"/>
  <c r="AU124" i="1"/>
  <c r="AR124" i="1"/>
  <c r="AU126" i="1"/>
  <c r="AV127" i="1"/>
  <c r="AW127" i="1"/>
  <c r="AS127" i="1"/>
  <c r="AV129" i="1"/>
  <c r="AW129" i="1"/>
  <c r="AS130" i="1"/>
  <c r="AR132" i="1"/>
  <c r="AW134" i="1"/>
  <c r="AW135" i="1"/>
  <c r="AV136" i="1"/>
  <c r="AV137" i="1"/>
  <c r="AS136" i="1"/>
  <c r="AS137" i="1"/>
  <c r="AR139" i="1"/>
  <c r="AV141" i="1"/>
  <c r="AW142" i="1"/>
  <c r="AV143" i="1"/>
  <c r="AV144" i="1"/>
  <c r="AS143" i="1"/>
  <c r="AV145" i="1"/>
  <c r="AS144" i="1"/>
  <c r="AR147" i="1"/>
  <c r="AR148" i="1"/>
  <c r="AR149" i="1"/>
  <c r="AW150" i="1"/>
  <c r="AV151" i="1"/>
  <c r="AW151" i="1"/>
  <c r="AS151" i="1"/>
  <c r="AV157" i="1"/>
  <c r="AW158" i="1"/>
  <c r="AR158" i="1"/>
  <c r="AW159" i="1"/>
  <c r="AV160" i="1"/>
  <c r="AS159" i="1"/>
  <c r="AV161" i="1"/>
  <c r="AW161" i="1"/>
  <c r="AV163" i="1"/>
  <c r="AS162" i="1"/>
  <c r="BU166" i="1"/>
  <c r="AW166" i="1"/>
  <c r="AR166" i="1"/>
  <c r="AS167" i="1"/>
  <c r="AV169" i="1"/>
  <c r="AW169" i="1"/>
  <c r="AV171" i="1"/>
  <c r="AR173" i="1"/>
  <c r="AW174" i="1"/>
  <c r="AR174" i="1"/>
  <c r="AW175" i="1"/>
  <c r="AV176" i="1"/>
  <c r="AV177" i="1"/>
  <c r="AS176" i="1"/>
  <c r="AR179" i="1"/>
  <c r="BQ181" i="1"/>
  <c r="AV181" i="1"/>
  <c r="AW182" i="1"/>
  <c r="AW183" i="1"/>
  <c r="AV184" i="1"/>
  <c r="AS183" i="1"/>
  <c r="AS184" i="1"/>
  <c r="AW190" i="1"/>
  <c r="AW191" i="1"/>
  <c r="AV192" i="1"/>
  <c r="AS191" i="1"/>
  <c r="AV193" i="1"/>
  <c r="AV195" i="1"/>
  <c r="AS194" i="1"/>
  <c r="BU198" i="1"/>
  <c r="AR196" i="1"/>
  <c r="AW198" i="1"/>
  <c r="AV200" i="1"/>
  <c r="AS199" i="1"/>
  <c r="AV201" i="1"/>
  <c r="AW201" i="1"/>
  <c r="AV203" i="1"/>
  <c r="AS202" i="1"/>
  <c r="AV205" i="1"/>
  <c r="AR206" i="1"/>
  <c r="AV209" i="1"/>
  <c r="AR211" i="1"/>
  <c r="C62" i="1"/>
  <c r="C60" i="1"/>
  <c r="BE6" i="1"/>
  <c r="BC7" i="1"/>
  <c r="BG9" i="1"/>
  <c r="BE8" i="1"/>
  <c r="BC9" i="1"/>
  <c r="BD9" i="1"/>
  <c r="BC10" i="1"/>
  <c r="BC11" i="1"/>
  <c r="BI12" i="1"/>
  <c r="BH13" i="1"/>
  <c r="BC13" i="1"/>
  <c r="BC14" i="1"/>
  <c r="BH15" i="1"/>
  <c r="BE14" i="1"/>
  <c r="BG16" i="1"/>
  <c r="BH16" i="1"/>
  <c r="BI16" i="1"/>
  <c r="BG17" i="1"/>
  <c r="BC17" i="1"/>
  <c r="BD17" i="1"/>
  <c r="BG19" i="1"/>
  <c r="BI19" i="1"/>
  <c r="BI20" i="1"/>
  <c r="BC21" i="1"/>
  <c r="BH22" i="1"/>
  <c r="BI22" i="1"/>
  <c r="BG23" i="1"/>
  <c r="BH23" i="1"/>
  <c r="BH24" i="1"/>
  <c r="BH26" i="1"/>
  <c r="BG27" i="1"/>
  <c r="BH27" i="1"/>
  <c r="BI27" i="1"/>
  <c r="BD27" i="1"/>
  <c r="BE28" i="1"/>
  <c r="BH30" i="1"/>
  <c r="BI30" i="1"/>
  <c r="BG31" i="1"/>
  <c r="BD31" i="1"/>
  <c r="BE31" i="1"/>
  <c r="BC32" i="1"/>
  <c r="BH34" i="1"/>
  <c r="BE34" i="1"/>
  <c r="BI37" i="1"/>
  <c r="BH38" i="1"/>
  <c r="BD38" i="1"/>
  <c r="BE38" i="1"/>
  <c r="BC39" i="1"/>
  <c r="BG41" i="1"/>
  <c r="BE40" i="1"/>
  <c r="BC41" i="1"/>
  <c r="BD41" i="1"/>
  <c r="BC42" i="1"/>
  <c r="BE42" i="1"/>
  <c r="BC43" i="1"/>
  <c r="BI44" i="1"/>
  <c r="BH45" i="1"/>
  <c r="BH47" i="1"/>
  <c r="BE46" i="1"/>
  <c r="BG48" i="1"/>
  <c r="BH48" i="1"/>
  <c r="BI48" i="1"/>
  <c r="BG49" i="1"/>
  <c r="BC49" i="1"/>
  <c r="BD49" i="1"/>
  <c r="BG51" i="1"/>
  <c r="BI51" i="1"/>
  <c r="BI52" i="1"/>
  <c r="BC53" i="1"/>
  <c r="BH54" i="1"/>
  <c r="BE53" i="1"/>
  <c r="BH55" i="1"/>
  <c r="BH56" i="1"/>
  <c r="BD56" i="1"/>
  <c r="BE56" i="1"/>
  <c r="BC57" i="1"/>
  <c r="BH58" i="1"/>
  <c r="BG59" i="1"/>
  <c r="BH59" i="1"/>
  <c r="BI59" i="1"/>
  <c r="BD59" i="1"/>
  <c r="BE60" i="1"/>
  <c r="BH62" i="1"/>
  <c r="BI62" i="1"/>
  <c r="BD63" i="1"/>
  <c r="BE63" i="1"/>
  <c r="BG65" i="1"/>
  <c r="BH66" i="1"/>
  <c r="BE66" i="1"/>
  <c r="BC67" i="1"/>
  <c r="BD67" i="1"/>
  <c r="BE67" i="1"/>
  <c r="BI69" i="1"/>
  <c r="BH70" i="1"/>
  <c r="BD70" i="1"/>
  <c r="BE70" i="1"/>
  <c r="BC71" i="1"/>
  <c r="BG73" i="1"/>
  <c r="BC74" i="1"/>
  <c r="BC75" i="1"/>
  <c r="BH77" i="1"/>
  <c r="BC77" i="1"/>
  <c r="BC78" i="1"/>
  <c r="BE78" i="1"/>
  <c r="BG80" i="1"/>
  <c r="BH80" i="1"/>
  <c r="BI80" i="1"/>
  <c r="BG81" i="1"/>
  <c r="BD81" i="1"/>
  <c r="BG83" i="1"/>
  <c r="BI83" i="1"/>
  <c r="BC85" i="1"/>
  <c r="BH86" i="1"/>
  <c r="BI86" i="1"/>
  <c r="BH88" i="1"/>
  <c r="BD88" i="1"/>
  <c r="BE88" i="1"/>
  <c r="BC89" i="1"/>
  <c r="BH90" i="1"/>
  <c r="BG91" i="1"/>
  <c r="BH91" i="1"/>
  <c r="BI91" i="1"/>
  <c r="BD91" i="1"/>
  <c r="BE92" i="1"/>
  <c r="BG94" i="1"/>
  <c r="BH94" i="1"/>
  <c r="BI94" i="1"/>
  <c r="BD95" i="1"/>
  <c r="BG97" i="1"/>
  <c r="BD96" i="1"/>
  <c r="BH98" i="1"/>
  <c r="BG99" i="1"/>
  <c r="BD99" i="1"/>
  <c r="BE99" i="1"/>
  <c r="BE100" i="1"/>
  <c r="BG102" i="1"/>
  <c r="BE102" i="1"/>
  <c r="BC103" i="1"/>
  <c r="BD103" i="1"/>
  <c r="BE104" i="1"/>
  <c r="BH106" i="1"/>
  <c r="BE106" i="1"/>
  <c r="BC107" i="1"/>
  <c r="BD107" i="1"/>
  <c r="BH109" i="1"/>
  <c r="BG110" i="1"/>
  <c r="BI110" i="1"/>
  <c r="BD110" i="1"/>
  <c r="BD111" i="1"/>
  <c r="BD112" i="1"/>
  <c r="BH114" i="1"/>
  <c r="BE114" i="1"/>
  <c r="BC115" i="1"/>
  <c r="BD115" i="1"/>
  <c r="BE115" i="1"/>
  <c r="BI117" i="1"/>
  <c r="BH118" i="1"/>
  <c r="BC118" i="1"/>
  <c r="BE118" i="1"/>
  <c r="BC119" i="1"/>
  <c r="BD119" i="1"/>
  <c r="BI123" i="1"/>
  <c r="BC123" i="1"/>
  <c r="BD123" i="1"/>
  <c r="BI125" i="1"/>
  <c r="BH126" i="1"/>
  <c r="BD126" i="1"/>
  <c r="BD127" i="1"/>
  <c r="BD128" i="1"/>
  <c r="BE128" i="1"/>
  <c r="BH133" i="1"/>
  <c r="BI133" i="1"/>
  <c r="BI136" i="1"/>
  <c r="BE136" i="1"/>
  <c r="BH140" i="1"/>
  <c r="BI140" i="1"/>
  <c r="BH141" i="1"/>
  <c r="BE140" i="1"/>
  <c r="BE141" i="1"/>
  <c r="BH144" i="1"/>
  <c r="BD145" i="1"/>
  <c r="BH147" i="1"/>
  <c r="BI147" i="1"/>
  <c r="BE148" i="1"/>
  <c r="BI150" i="1"/>
  <c r="BD151" i="1"/>
  <c r="BD152" i="1"/>
  <c r="BE152" i="1"/>
  <c r="BD155" i="1"/>
  <c r="BE155" i="1"/>
  <c r="BI157" i="1"/>
  <c r="BH158" i="1"/>
  <c r="BD158" i="1"/>
  <c r="BD159" i="1"/>
  <c r="BE160" i="1"/>
  <c r="BI164" i="1"/>
  <c r="BD166" i="1"/>
  <c r="BE166" i="1"/>
  <c r="BI168" i="1"/>
  <c r="BE168" i="1"/>
  <c r="BH172" i="1"/>
  <c r="BI172" i="1"/>
  <c r="BE172" i="1"/>
  <c r="BE173" i="1"/>
  <c r="BH176" i="1"/>
  <c r="BD177" i="1"/>
  <c r="BH179" i="1"/>
  <c r="BI179" i="1"/>
  <c r="BE180" i="1"/>
  <c r="BD183" i="1"/>
  <c r="BD184" i="1"/>
  <c r="BD187" i="1"/>
  <c r="BE187" i="1"/>
  <c r="BI189" i="1"/>
  <c r="BH190" i="1"/>
  <c r="BD190" i="1"/>
  <c r="BE192" i="1"/>
  <c r="BI196" i="1"/>
  <c r="BH197" i="1"/>
  <c r="BI197" i="1"/>
  <c r="BD198" i="1"/>
  <c r="BE198" i="1"/>
  <c r="BI200" i="1"/>
  <c r="BE200" i="1"/>
  <c r="BH204" i="1"/>
  <c r="BI204" i="1"/>
  <c r="BE204" i="1"/>
  <c r="BE205" i="1"/>
  <c r="BH208" i="1"/>
  <c r="BD208" i="1"/>
  <c r="BH211" i="1"/>
  <c r="BD211" i="1"/>
  <c r="C71" i="1" l="1"/>
  <c r="C74" i="1"/>
  <c r="C49" i="1"/>
  <c r="C75" i="1"/>
  <c r="C77" i="1"/>
  <c r="C46" i="1"/>
  <c r="C72" i="1"/>
  <c r="C47" i="1"/>
  <c r="C73" i="1"/>
  <c r="C50" i="1"/>
  <c r="C20" i="24"/>
  <c r="C56" i="24"/>
  <c r="C45" i="1"/>
  <c r="C48" i="1"/>
  <c r="C76" i="1"/>
  <c r="O194" i="28" a="1"/>
  <c r="O194" i="28" s="1"/>
  <c r="W223" i="28" a="1"/>
  <c r="W223" i="28" s="1"/>
  <c r="O199" i="28" a="1"/>
  <c r="O199" i="28" s="1"/>
  <c r="O197" i="28" s="1"/>
  <c r="N25" i="27"/>
  <c r="N23" i="27"/>
  <c r="N24" i="27"/>
  <c r="N22" i="27"/>
  <c r="N21" i="27"/>
  <c r="O259" i="28" a="1"/>
  <c r="O259" i="28" s="1"/>
  <c r="N4" i="28"/>
  <c r="J5" i="9"/>
  <c r="I5" i="9" s="1"/>
  <c r="H5" i="9" s="1"/>
  <c r="O69" i="28" a="1"/>
  <c r="O69" i="28" s="1"/>
  <c r="G6" i="9"/>
  <c r="O134" i="28" a="1"/>
  <c r="O134" i="28" s="1"/>
  <c r="O132" i="28" s="1"/>
  <c r="G7" i="9"/>
  <c r="O129" i="28" a="1"/>
  <c r="O129" i="28" s="1"/>
  <c r="P134" i="28" a="1"/>
  <c r="P134" i="28" s="1"/>
  <c r="AH112" i="19"/>
  <c r="T3" i="24" a="1"/>
  <c r="T3" i="24" s="1"/>
  <c r="T16" i="24" s="1" a="1"/>
  <c r="T16" i="24" s="1"/>
  <c r="O14" i="24" s="1"/>
  <c r="O15" i="24" s="1"/>
  <c r="AH65" i="19"/>
  <c r="E47" i="1"/>
  <c r="E64" i="24" s="1"/>
  <c r="D46" i="1"/>
  <c r="D15" i="24" s="1"/>
  <c r="D73" i="1"/>
  <c r="D16" i="26" s="1"/>
  <c r="D75" i="1"/>
  <c r="D18" i="26" s="1"/>
  <c r="D45" i="1"/>
  <c r="D14" i="24" s="1"/>
  <c r="D49" i="1"/>
  <c r="D18" i="24" s="1"/>
  <c r="D72" i="1"/>
  <c r="D15" i="26" s="1"/>
  <c r="D48" i="1"/>
  <c r="D17" i="24" s="1"/>
  <c r="D71" i="1"/>
  <c r="D14" i="26" s="1"/>
  <c r="D50" i="1"/>
  <c r="D19" i="24" s="1"/>
  <c r="D77" i="1"/>
  <c r="D20" i="26" s="1"/>
  <c r="D51" i="1"/>
  <c r="D20" i="24" s="1"/>
  <c r="D47" i="1"/>
  <c r="D16" i="24" s="1"/>
  <c r="D74" i="1"/>
  <c r="D17" i="26" s="1"/>
  <c r="D76" i="1"/>
  <c r="D19" i="26" s="1"/>
  <c r="E72" i="1"/>
  <c r="E63" i="26" s="1"/>
  <c r="E46" i="1"/>
  <c r="E15" i="24" s="1"/>
  <c r="E71" i="1"/>
  <c r="E14" i="26" s="1"/>
  <c r="E76" i="1"/>
  <c r="E19" i="26" s="1"/>
  <c r="E74" i="1"/>
  <c r="E17" i="26" s="1"/>
  <c r="E48" i="1"/>
  <c r="E17" i="24" s="1"/>
  <c r="E75" i="1"/>
  <c r="E66" i="26" s="1"/>
  <c r="E49" i="1"/>
  <c r="E18" i="24" s="1"/>
  <c r="E62" i="26"/>
  <c r="E73" i="1"/>
  <c r="E45" i="1"/>
  <c r="E50" i="1"/>
  <c r="E77" i="1"/>
  <c r="E51" i="1"/>
  <c r="E13" i="26"/>
  <c r="E61" i="26"/>
  <c r="C49" i="26"/>
  <c r="C13" i="26"/>
  <c r="BU21" i="1"/>
  <c r="C40" i="1"/>
  <c r="BQ197" i="1"/>
  <c r="BU182" i="1"/>
  <c r="C13" i="24"/>
  <c r="C49" i="24"/>
  <c r="BP87" i="1"/>
  <c r="E61" i="24"/>
  <c r="E13" i="24"/>
  <c r="E56" i="1"/>
  <c r="E66" i="1" s="1"/>
  <c r="C70" i="1"/>
  <c r="C66" i="1"/>
  <c r="D55" i="1"/>
  <c r="E40" i="1"/>
  <c r="D29" i="1"/>
  <c r="C44" i="1"/>
  <c r="H81" i="1"/>
  <c r="H55" i="1"/>
  <c r="H29" i="1"/>
  <c r="E44" i="1"/>
  <c r="AV121" i="1"/>
  <c r="BG55" i="1"/>
  <c r="BC54" i="1"/>
  <c r="BE32" i="1"/>
  <c r="BI33" i="1"/>
  <c r="AV166" i="1"/>
  <c r="AR165" i="1"/>
  <c r="AR133" i="1"/>
  <c r="AV134" i="1"/>
  <c r="AR104" i="1"/>
  <c r="AV105" i="1"/>
  <c r="AW78" i="1"/>
  <c r="AU52" i="1"/>
  <c r="AQ51" i="1"/>
  <c r="BD6" i="1"/>
  <c r="BH7" i="1"/>
  <c r="AQ94" i="1"/>
  <c r="AU95" i="1"/>
  <c r="BG87" i="1"/>
  <c r="BC86" i="1"/>
  <c r="AQ35" i="1"/>
  <c r="BC81" i="1"/>
  <c r="BG82" i="1"/>
  <c r="AV198" i="1"/>
  <c r="AR197" i="1"/>
  <c r="AR35" i="1"/>
  <c r="BQ95" i="1"/>
  <c r="BG90" i="1"/>
  <c r="BG15" i="1"/>
  <c r="BH92" i="1"/>
  <c r="BI4" i="1"/>
  <c r="BE134" i="1"/>
  <c r="BI135" i="1"/>
  <c r="BD73" i="1"/>
  <c r="BH74" i="1"/>
  <c r="BI15" i="1"/>
  <c r="BC93" i="1"/>
  <c r="BH87" i="1"/>
  <c r="BD86" i="1"/>
  <c r="AV68" i="1"/>
  <c r="AR67" i="1"/>
  <c r="BE64" i="1"/>
  <c r="BI65" i="1"/>
  <c r="BH95" i="1"/>
  <c r="BD94" i="1"/>
  <c r="AQ102" i="1"/>
  <c r="AU103" i="1"/>
  <c r="BC25" i="1"/>
  <c r="BG26" i="1"/>
  <c r="BI182" i="1"/>
  <c r="BE181" i="1"/>
  <c r="BH84" i="1"/>
  <c r="BD83" i="1"/>
  <c r="BH52" i="1"/>
  <c r="BD51" i="1"/>
  <c r="BC46" i="1"/>
  <c r="BG47" i="1"/>
  <c r="BD35" i="1"/>
  <c r="BH36" i="1"/>
  <c r="BE24" i="1"/>
  <c r="BI25" i="1"/>
  <c r="BH20" i="1"/>
  <c r="BD19" i="1"/>
  <c r="AQ107" i="1"/>
  <c r="AU108" i="1"/>
  <c r="AQ75" i="1"/>
  <c r="AU76" i="1"/>
  <c r="AU60" i="1"/>
  <c r="AQ59" i="1"/>
  <c r="AU44" i="1"/>
  <c r="AQ43" i="1"/>
  <c r="AU12" i="1"/>
  <c r="BI124" i="1"/>
  <c r="BE123" i="1"/>
  <c r="BD134" i="1"/>
  <c r="BH135" i="1"/>
  <c r="BH31" i="1"/>
  <c r="BD30" i="1"/>
  <c r="BE107" i="1"/>
  <c r="BI108" i="1"/>
  <c r="BI76" i="1"/>
  <c r="BE75" i="1"/>
  <c r="AS205" i="1"/>
  <c r="AW206" i="1"/>
  <c r="BE35" i="1"/>
  <c r="BI36" i="1"/>
  <c r="BU19" i="1"/>
  <c r="BQ18" i="1"/>
  <c r="BH63" i="1"/>
  <c r="BD62" i="1"/>
  <c r="AR11" i="1"/>
  <c r="AV12" i="1"/>
  <c r="BI40" i="1"/>
  <c r="BE39" i="1"/>
  <c r="BQ86" i="1"/>
  <c r="BU87" i="1"/>
  <c r="BQ70" i="1"/>
  <c r="BU71" i="1"/>
  <c r="AW5" i="1"/>
  <c r="AS4" i="1"/>
  <c r="BH124" i="1"/>
  <c r="BU43" i="1"/>
  <c r="BQ42" i="1"/>
  <c r="BH165" i="1"/>
  <c r="BD164" i="1"/>
  <c r="BE71" i="1"/>
  <c r="BI72" i="1"/>
  <c r="BG62" i="1"/>
  <c r="BC61" i="1"/>
  <c r="BC45" i="1"/>
  <c r="BG46" i="1"/>
  <c r="BG30" i="1"/>
  <c r="BC29" i="1"/>
  <c r="BE7" i="1"/>
  <c r="BI8" i="1"/>
  <c r="BD54" i="1"/>
  <c r="BD37" i="1"/>
  <c r="BE82" i="1"/>
  <c r="BE184" i="1"/>
  <c r="BI185" i="1"/>
  <c r="BE176" i="1"/>
  <c r="BI177" i="1"/>
  <c r="BE144" i="1"/>
  <c r="BI145" i="1"/>
  <c r="BG113" i="1"/>
  <c r="BC112" i="1"/>
  <c r="BH102" i="1"/>
  <c r="BD101" i="1"/>
  <c r="BE74" i="1"/>
  <c r="BI75" i="1"/>
  <c r="BE10" i="1"/>
  <c r="BI11" i="1"/>
  <c r="BH6" i="1"/>
  <c r="BD5" i="1"/>
  <c r="AR188" i="1"/>
  <c r="AV189" i="1"/>
  <c r="AR172" i="1"/>
  <c r="AV173" i="1"/>
  <c r="AV165" i="1"/>
  <c r="AR164" i="1"/>
  <c r="BU106" i="1"/>
  <c r="BQ105" i="1"/>
  <c r="AS87" i="1"/>
  <c r="AV83" i="1"/>
  <c r="AR82" i="1"/>
  <c r="BU74" i="1"/>
  <c r="BQ73" i="1"/>
  <c r="BU42" i="1"/>
  <c r="BQ41" i="1"/>
  <c r="AU14" i="1"/>
  <c r="AQ13" i="1"/>
  <c r="BU10" i="1"/>
  <c r="BQ9" i="1"/>
  <c r="AS23" i="1"/>
  <c r="BD210" i="1"/>
  <c r="BI181" i="1"/>
  <c r="BQ25" i="1"/>
  <c r="BQ121" i="1"/>
  <c r="AQ125" i="1"/>
  <c r="BC35" i="1"/>
  <c r="BG36" i="1"/>
  <c r="BD24" i="1"/>
  <c r="BH25" i="1"/>
  <c r="AR50" i="1"/>
  <c r="BC96" i="1"/>
  <c r="BI153" i="1"/>
  <c r="BI165" i="1"/>
  <c r="BE164" i="1"/>
  <c r="BC120" i="1"/>
  <c r="BG121" i="1"/>
  <c r="BC104" i="1"/>
  <c r="BG105" i="1"/>
  <c r="BI67" i="1"/>
  <c r="BP22" i="1"/>
  <c r="BI132" i="1"/>
  <c r="BE131" i="1"/>
  <c r="AR159" i="1"/>
  <c r="BG33" i="1"/>
  <c r="BC72" i="1"/>
  <c r="AS7" i="1"/>
  <c r="AR191" i="1"/>
  <c r="BI35" i="1"/>
  <c r="BD117" i="1"/>
  <c r="BE124" i="1"/>
  <c r="BI141" i="1"/>
  <c r="BQ57" i="1"/>
  <c r="BH152" i="1"/>
  <c r="AS50" i="1"/>
  <c r="BD191" i="1"/>
  <c r="BH192" i="1"/>
  <c r="BC111" i="1"/>
  <c r="BG112" i="1"/>
  <c r="AR29" i="1"/>
  <c r="AW164" i="1"/>
  <c r="BC101" i="1"/>
  <c r="BE15" i="1"/>
  <c r="AW29" i="1"/>
  <c r="BD201" i="1"/>
  <c r="BH202" i="1"/>
  <c r="BD193" i="1"/>
  <c r="BH194" i="1"/>
  <c r="BD185" i="1"/>
  <c r="BH186" i="1"/>
  <c r="BD169" i="1"/>
  <c r="BH170" i="1"/>
  <c r="BD161" i="1"/>
  <c r="BH162" i="1"/>
  <c r="BD153" i="1"/>
  <c r="BH154" i="1"/>
  <c r="BD137" i="1"/>
  <c r="BH138" i="1"/>
  <c r="BD129" i="1"/>
  <c r="BH130" i="1"/>
  <c r="BI118" i="1"/>
  <c r="BE117" i="1"/>
  <c r="BI102" i="1"/>
  <c r="BE101" i="1"/>
  <c r="BC91" i="1"/>
  <c r="BG92" i="1"/>
  <c r="BD80" i="1"/>
  <c r="BH81" i="1"/>
  <c r="BI70" i="1"/>
  <c r="BE69" i="1"/>
  <c r="BD64" i="1"/>
  <c r="BH65" i="1"/>
  <c r="BC59" i="1"/>
  <c r="BG60" i="1"/>
  <c r="BD48" i="1"/>
  <c r="BH49" i="1"/>
  <c r="BI38" i="1"/>
  <c r="BE37" i="1"/>
  <c r="BD32" i="1"/>
  <c r="BH33" i="1"/>
  <c r="BC27" i="1"/>
  <c r="BG28" i="1"/>
  <c r="BD16" i="1"/>
  <c r="BH17" i="1"/>
  <c r="BI6" i="1"/>
  <c r="BE5" i="1"/>
  <c r="AS204" i="1"/>
  <c r="AW197" i="1"/>
  <c r="AS188" i="1"/>
  <c r="AW189" i="1"/>
  <c r="AW181" i="1"/>
  <c r="AS172" i="1"/>
  <c r="AW173" i="1"/>
  <c r="AW165" i="1"/>
  <c r="AS164" i="1"/>
  <c r="AW157" i="1"/>
  <c r="AS148" i="1"/>
  <c r="AW141" i="1"/>
  <c r="AW133" i="1"/>
  <c r="AS132" i="1"/>
  <c r="AV126" i="1"/>
  <c r="AR125" i="1"/>
  <c r="AQ120" i="1"/>
  <c r="AU121" i="1"/>
  <c r="AS114" i="1"/>
  <c r="AV110" i="1"/>
  <c r="AR109" i="1"/>
  <c r="AS98" i="1"/>
  <c r="AR93" i="1"/>
  <c r="AV94" i="1"/>
  <c r="AS82" i="1"/>
  <c r="AQ72" i="1"/>
  <c r="AU73" i="1"/>
  <c r="AS66" i="1"/>
  <c r="AV46" i="1"/>
  <c r="AR45" i="1"/>
  <c r="AQ40" i="1"/>
  <c r="AU41" i="1"/>
  <c r="AQ24" i="1"/>
  <c r="AU25" i="1"/>
  <c r="AQ8" i="1"/>
  <c r="AU9" i="1"/>
  <c r="AS68" i="1"/>
  <c r="AR95" i="1"/>
  <c r="BD15" i="1"/>
  <c r="BD25" i="1"/>
  <c r="BG43" i="1"/>
  <c r="BI61" i="1"/>
  <c r="BI71" i="1"/>
  <c r="BC82" i="1"/>
  <c r="BD90" i="1"/>
  <c r="BI100" i="1"/>
  <c r="BH111" i="1"/>
  <c r="BH120" i="1"/>
  <c r="BE146" i="1"/>
  <c r="BD157" i="1"/>
  <c r="BH191" i="1"/>
  <c r="BE203" i="1"/>
  <c r="BD168" i="1"/>
  <c r="BH169" i="1"/>
  <c r="AW172" i="1"/>
  <c r="AU19" i="1"/>
  <c r="AQ18" i="1"/>
  <c r="BG6" i="1"/>
  <c r="BC5" i="1"/>
  <c r="AW148" i="1"/>
  <c r="AW93" i="1"/>
  <c r="AS92" i="1"/>
  <c r="AU35" i="1"/>
  <c r="AQ34" i="1"/>
  <c r="BD192" i="1"/>
  <c r="BH193" i="1"/>
  <c r="BI112" i="1"/>
  <c r="BE111" i="1"/>
  <c r="BG70" i="1"/>
  <c r="BC69" i="1"/>
  <c r="AV72" i="1"/>
  <c r="AR71" i="1"/>
  <c r="AS28" i="1"/>
  <c r="AS108" i="1"/>
  <c r="AW109" i="1"/>
  <c r="BI184" i="1"/>
  <c r="BE183" i="1"/>
  <c r="BI128" i="1"/>
  <c r="BE127" i="1"/>
  <c r="BE84" i="1"/>
  <c r="BI85" i="1"/>
  <c r="BE3" i="1"/>
  <c r="BI5" i="1"/>
  <c r="AV4" i="1"/>
  <c r="BE36" i="1"/>
  <c r="BH112" i="1"/>
  <c r="BH85" i="1"/>
  <c r="BD84" i="1"/>
  <c r="BH3" i="1"/>
  <c r="BH5" i="1"/>
  <c r="BD3" i="1"/>
  <c r="BD4" i="1"/>
  <c r="AW4" i="1"/>
  <c r="AS124" i="1"/>
  <c r="BE158" i="1"/>
  <c r="BI159" i="1"/>
  <c r="BE110" i="1"/>
  <c r="BI111" i="1"/>
  <c r="AR13" i="1"/>
  <c r="AV159" i="1"/>
  <c r="AR199" i="1"/>
  <c r="AW205" i="1"/>
  <c r="BC8" i="1"/>
  <c r="BE18" i="1"/>
  <c r="BC47" i="1"/>
  <c r="BD55" i="1"/>
  <c r="BD65" i="1"/>
  <c r="BE93" i="1"/>
  <c r="BG104" i="1"/>
  <c r="BH113" i="1"/>
  <c r="BI142" i="1"/>
  <c r="BD171" i="1"/>
  <c r="BE188" i="1"/>
  <c r="BH209" i="1"/>
  <c r="BD206" i="1"/>
  <c r="BH207" i="1"/>
  <c r="BD182" i="1"/>
  <c r="BH183" i="1"/>
  <c r="BD174" i="1"/>
  <c r="BH175" i="1"/>
  <c r="BD150" i="1"/>
  <c r="BH151" i="1"/>
  <c r="BD142" i="1"/>
  <c r="BH143" i="1"/>
  <c r="BC121" i="1"/>
  <c r="BG122" i="1"/>
  <c r="BC105" i="1"/>
  <c r="BG106" i="1"/>
  <c r="BI84" i="1"/>
  <c r="BE83" i="1"/>
  <c r="BH79" i="1"/>
  <c r="BD78" i="1"/>
  <c r="BC73" i="1"/>
  <c r="BG74" i="1"/>
  <c r="AS34" i="1"/>
  <c r="AU57" i="1"/>
  <c r="AU105" i="1"/>
  <c r="AW125" i="1"/>
  <c r="AW140" i="1"/>
  <c r="BG8" i="1"/>
  <c r="BG18" i="1"/>
  <c r="BH28" i="1"/>
  <c r="BD47" i="1"/>
  <c r="BD57" i="1"/>
  <c r="BG75" i="1"/>
  <c r="BE85" i="1"/>
  <c r="BI93" i="1"/>
  <c r="BH104" i="1"/>
  <c r="BI115" i="1"/>
  <c r="BD132" i="1"/>
  <c r="BH159" i="1"/>
  <c r="BE171" i="1"/>
  <c r="BH199" i="1"/>
  <c r="BI205" i="1"/>
  <c r="BH153" i="1"/>
  <c r="BC126" i="1"/>
  <c r="BG127" i="1"/>
  <c r="BE120" i="1"/>
  <c r="BI121" i="1"/>
  <c r="BC110" i="1"/>
  <c r="BG111" i="1"/>
  <c r="BG95" i="1"/>
  <c r="BC94" i="1"/>
  <c r="BE72" i="1"/>
  <c r="BI73" i="1"/>
  <c r="BG63" i="1"/>
  <c r="BC62" i="1"/>
  <c r="AS18" i="1"/>
  <c r="AU80" i="1"/>
  <c r="BH18" i="1"/>
  <c r="BE47" i="1"/>
  <c r="BH57" i="1"/>
  <c r="BD105" i="1"/>
  <c r="BE116" i="1"/>
  <c r="BD125" i="1"/>
  <c r="BE132" i="1"/>
  <c r="BD143" i="1"/>
  <c r="BH188" i="1"/>
  <c r="BI199" i="1"/>
  <c r="AW61" i="1"/>
  <c r="BE206" i="1"/>
  <c r="BI207" i="1"/>
  <c r="BH150" i="1"/>
  <c r="BD149" i="1"/>
  <c r="AS180" i="1"/>
  <c r="BH10" i="1"/>
  <c r="BG116" i="1"/>
  <c r="BE149" i="1"/>
  <c r="BI188" i="1"/>
  <c r="BI96" i="1"/>
  <c r="BE95" i="1"/>
  <c r="AU83" i="1"/>
  <c r="AQ82" i="1"/>
  <c r="AV24" i="1"/>
  <c r="AR23" i="1"/>
  <c r="BI152" i="1"/>
  <c r="BE151" i="1"/>
  <c r="BG54" i="1"/>
  <c r="BH136" i="1"/>
  <c r="BD135" i="1"/>
  <c r="BI90" i="1"/>
  <c r="BE89" i="1"/>
  <c r="BI58" i="1"/>
  <c r="BE57" i="1"/>
  <c r="BI26" i="1"/>
  <c r="BE25" i="1"/>
  <c r="BE182" i="1"/>
  <c r="BI183" i="1"/>
  <c r="BE150" i="1"/>
  <c r="BI151" i="1"/>
  <c r="BG117" i="1"/>
  <c r="BC116" i="1"/>
  <c r="BE62" i="1"/>
  <c r="BI63" i="1"/>
  <c r="BG37" i="1"/>
  <c r="BC36" i="1"/>
  <c r="BC3" i="1"/>
  <c r="BG5" i="1"/>
  <c r="BC4" i="1"/>
  <c r="BG3" i="1"/>
  <c r="BE133" i="1"/>
  <c r="BI134" i="1"/>
  <c r="BH206" i="1"/>
  <c r="BD205" i="1"/>
  <c r="BH198" i="1"/>
  <c r="BD197" i="1"/>
  <c r="BH174" i="1"/>
  <c r="BD173" i="1"/>
  <c r="BH166" i="1"/>
  <c r="BD165" i="1"/>
  <c r="BH142" i="1"/>
  <c r="BD141" i="1"/>
  <c r="BH134" i="1"/>
  <c r="BD133" i="1"/>
  <c r="BI126" i="1"/>
  <c r="BE125" i="1"/>
  <c r="BD120" i="1"/>
  <c r="BH121" i="1"/>
  <c r="BC99" i="1"/>
  <c r="BG100" i="1"/>
  <c r="BC83" i="1"/>
  <c r="BG84" i="1"/>
  <c r="BE77" i="1"/>
  <c r="BI78" i="1"/>
  <c r="BD72" i="1"/>
  <c r="BH73" i="1"/>
  <c r="BC51" i="1"/>
  <c r="BG52" i="1"/>
  <c r="BE45" i="1"/>
  <c r="BI46" i="1"/>
  <c r="BC19" i="1"/>
  <c r="BG20" i="1"/>
  <c r="AV38" i="1"/>
  <c r="BH110" i="1"/>
  <c r="BD109" i="1"/>
  <c r="BC88" i="1"/>
  <c r="BG89" i="1"/>
  <c r="BH78" i="1"/>
  <c r="BD77" i="1"/>
  <c r="BC56" i="1"/>
  <c r="BG57" i="1"/>
  <c r="BH46" i="1"/>
  <c r="BD45" i="1"/>
  <c r="BC24" i="1"/>
  <c r="BG25" i="1"/>
  <c r="BH14" i="1"/>
  <c r="BD13" i="1"/>
  <c r="AR85" i="1"/>
  <c r="BE11" i="1"/>
  <c r="BE29" i="1"/>
  <c r="BH39" i="1"/>
  <c r="BI47" i="1"/>
  <c r="BC58" i="1"/>
  <c r="BE68" i="1"/>
  <c r="BG76" i="1"/>
  <c r="BG86" i="1"/>
  <c r="BH96" i="1"/>
  <c r="BI105" i="1"/>
  <c r="BH116" i="1"/>
  <c r="BH127" i="1"/>
  <c r="BH160" i="1"/>
  <c r="BD178" i="1"/>
  <c r="BE195" i="1"/>
  <c r="BI206" i="1"/>
  <c r="BD176" i="1"/>
  <c r="BH177" i="1"/>
  <c r="BH107" i="1"/>
  <c r="BD106" i="1"/>
  <c r="AW188" i="1"/>
  <c r="BI176" i="1"/>
  <c r="BE175" i="1"/>
  <c r="BE52" i="1"/>
  <c r="BI53" i="1"/>
  <c r="BC26" i="1"/>
  <c r="BI64" i="1"/>
  <c r="BE174" i="1"/>
  <c r="BI175" i="1"/>
  <c r="BE126" i="1"/>
  <c r="BI127" i="1"/>
  <c r="BE94" i="1"/>
  <c r="BI95" i="1"/>
  <c r="BG85" i="1"/>
  <c r="BC84" i="1"/>
  <c r="BG69" i="1"/>
  <c r="BC68" i="1"/>
  <c r="BE30" i="1"/>
  <c r="BI31" i="1"/>
  <c r="BG21" i="1"/>
  <c r="BC20" i="1"/>
  <c r="BE197" i="1"/>
  <c r="BI198" i="1"/>
  <c r="BE165" i="1"/>
  <c r="BI166" i="1"/>
  <c r="BD104" i="1"/>
  <c r="BH105" i="1"/>
  <c r="BD40" i="1"/>
  <c r="BH41" i="1"/>
  <c r="BE13" i="1"/>
  <c r="BI14" i="1"/>
  <c r="BI57" i="1"/>
  <c r="BI99" i="1"/>
  <c r="BE98" i="1"/>
  <c r="BH205" i="1"/>
  <c r="BD204" i="1"/>
  <c r="BH189" i="1"/>
  <c r="BD188" i="1"/>
  <c r="BH181" i="1"/>
  <c r="BD180" i="1"/>
  <c r="BH173" i="1"/>
  <c r="BD172" i="1"/>
  <c r="BH157" i="1"/>
  <c r="BD156" i="1"/>
  <c r="BH149" i="1"/>
  <c r="BD148" i="1"/>
  <c r="BG126" i="1"/>
  <c r="BC125" i="1"/>
  <c r="BI120" i="1"/>
  <c r="BE119" i="1"/>
  <c r="BH115" i="1"/>
  <c r="BD114" i="1"/>
  <c r="BI104" i="1"/>
  <c r="BE103" i="1"/>
  <c r="BH99" i="1"/>
  <c r="BD98" i="1"/>
  <c r="BE87" i="1"/>
  <c r="BI88" i="1"/>
  <c r="BH83" i="1"/>
  <c r="BD82" i="1"/>
  <c r="BH67" i="1"/>
  <c r="BD66" i="1"/>
  <c r="BE55" i="1"/>
  <c r="BI56" i="1"/>
  <c r="BH51" i="1"/>
  <c r="BD50" i="1"/>
  <c r="BH35" i="1"/>
  <c r="BD34" i="1"/>
  <c r="BE23" i="1"/>
  <c r="BI24" i="1"/>
  <c r="BH19" i="1"/>
  <c r="BD18" i="1"/>
  <c r="AV112" i="1"/>
  <c r="AR111" i="1"/>
  <c r="AV64" i="1"/>
  <c r="AR63" i="1"/>
  <c r="AS52" i="1"/>
  <c r="AV48" i="1"/>
  <c r="AR47" i="1"/>
  <c r="AW37" i="1"/>
  <c r="AV32" i="1"/>
  <c r="AR31" i="1"/>
  <c r="AW21" i="1"/>
  <c r="AV20" i="1"/>
  <c r="AW41" i="1"/>
  <c r="AS60" i="1"/>
  <c r="AV86" i="1"/>
  <c r="AS156" i="1"/>
  <c r="AW180" i="1"/>
  <c r="BG11" i="1"/>
  <c r="BE21" i="1"/>
  <c r="BI29" i="1"/>
  <c r="BI39" i="1"/>
  <c r="BC50" i="1"/>
  <c r="BD58" i="1"/>
  <c r="BG68" i="1"/>
  <c r="BG78" i="1"/>
  <c r="BD97" i="1"/>
  <c r="BD108" i="1"/>
  <c r="BI116" i="1"/>
  <c r="BD139" i="1"/>
  <c r="BI149" i="1"/>
  <c r="BE167" i="1"/>
  <c r="BE178" i="1"/>
  <c r="BD189" i="1"/>
  <c r="BD144" i="1"/>
  <c r="BH145" i="1"/>
  <c r="BH43" i="1"/>
  <c r="BD42" i="1"/>
  <c r="AS76" i="1"/>
  <c r="AV8" i="1"/>
  <c r="AR7" i="1"/>
  <c r="BI144" i="1"/>
  <c r="BE143" i="1"/>
  <c r="BH64" i="1"/>
  <c r="BH101" i="1"/>
  <c r="BD100" i="1"/>
  <c r="BH69" i="1"/>
  <c r="BD68" i="1"/>
  <c r="BH37" i="1"/>
  <c r="BD36" i="1"/>
  <c r="BE199" i="1"/>
  <c r="BE190" i="1"/>
  <c r="BI191" i="1"/>
  <c r="BH122" i="1"/>
  <c r="BD121" i="1"/>
  <c r="BH182" i="1"/>
  <c r="BD181" i="1"/>
  <c r="BD8" i="1"/>
  <c r="BH9" i="1"/>
  <c r="BE179" i="1"/>
  <c r="BI180" i="1"/>
  <c r="BI45" i="1"/>
  <c r="BE44" i="1"/>
  <c r="AR36" i="1"/>
  <c r="AV37" i="1"/>
  <c r="AR61" i="1"/>
  <c r="AR87" i="1"/>
  <c r="AU111" i="1"/>
  <c r="AW149" i="1"/>
  <c r="AV174" i="1"/>
  <c r="BC22" i="1"/>
  <c r="BC40" i="1"/>
  <c r="BE50" i="1"/>
  <c r="BH68" i="1"/>
  <c r="BC79" i="1"/>
  <c r="BD87" i="1"/>
  <c r="BG108" i="1"/>
  <c r="BE139" i="1"/>
  <c r="BE156" i="1"/>
  <c r="BH184" i="1"/>
  <c r="BD207" i="1"/>
  <c r="BG118" i="1"/>
  <c r="BC117" i="1"/>
  <c r="BH75" i="1"/>
  <c r="BD74" i="1"/>
  <c r="AW132" i="1"/>
  <c r="AV40" i="1"/>
  <c r="AR39" i="1"/>
  <c r="AS12" i="1"/>
  <c r="BI192" i="1"/>
  <c r="BE191" i="1"/>
  <c r="BI160" i="1"/>
  <c r="BE159" i="1"/>
  <c r="BG123" i="1"/>
  <c r="BC122" i="1"/>
  <c r="BI190" i="1"/>
  <c r="BE189" i="1"/>
  <c r="BI158" i="1"/>
  <c r="BE157" i="1"/>
  <c r="BE147" i="1"/>
  <c r="BI148" i="1"/>
  <c r="BG115" i="1"/>
  <c r="BC114" i="1"/>
  <c r="BI109" i="1"/>
  <c r="BE108" i="1"/>
  <c r="BI77" i="1"/>
  <c r="BE76" i="1"/>
  <c r="BH72" i="1"/>
  <c r="BD71" i="1"/>
  <c r="BC66" i="1"/>
  <c r="BG67" i="1"/>
  <c r="BH40" i="1"/>
  <c r="BD39" i="1"/>
  <c r="BC34" i="1"/>
  <c r="BG35" i="1"/>
  <c r="BI13" i="1"/>
  <c r="BE12" i="1"/>
  <c r="BH8" i="1"/>
  <c r="BD7" i="1"/>
  <c r="AV208" i="1"/>
  <c r="AR207" i="1"/>
  <c r="AV168" i="1"/>
  <c r="AR167" i="1"/>
  <c r="AV152" i="1"/>
  <c r="AR151" i="1"/>
  <c r="AV128" i="1"/>
  <c r="AR127" i="1"/>
  <c r="AV117" i="1"/>
  <c r="AR116" i="1"/>
  <c r="AU112" i="1"/>
  <c r="AQ111" i="1"/>
  <c r="AR100" i="1"/>
  <c r="AV101" i="1"/>
  <c r="AU96" i="1"/>
  <c r="AQ95" i="1"/>
  <c r="AR84" i="1"/>
  <c r="AV85" i="1"/>
  <c r="AU48" i="1"/>
  <c r="AQ47" i="1"/>
  <c r="AU32" i="1"/>
  <c r="AQ31" i="1"/>
  <c r="AQ15" i="1"/>
  <c r="AU16" i="1"/>
  <c r="BH196" i="1"/>
  <c r="BD195" i="1"/>
  <c r="BH180" i="1"/>
  <c r="BD179" i="1"/>
  <c r="BH164" i="1"/>
  <c r="BD163" i="1"/>
  <c r="BH148" i="1"/>
  <c r="BD147" i="1"/>
  <c r="BH132" i="1"/>
  <c r="BD131" i="1"/>
  <c r="BH125" i="1"/>
  <c r="BD124" i="1"/>
  <c r="BI114" i="1"/>
  <c r="BE113" i="1"/>
  <c r="BI98" i="1"/>
  <c r="BE97" i="1"/>
  <c r="BH93" i="1"/>
  <c r="BD92" i="1"/>
  <c r="BG88" i="1"/>
  <c r="BC87" i="1"/>
  <c r="BI82" i="1"/>
  <c r="BE81" i="1"/>
  <c r="BI66" i="1"/>
  <c r="BE65" i="1"/>
  <c r="BH61" i="1"/>
  <c r="BD60" i="1"/>
  <c r="BG56" i="1"/>
  <c r="BC55" i="1"/>
  <c r="BI50" i="1"/>
  <c r="BE49" i="1"/>
  <c r="BI34" i="1"/>
  <c r="BE33" i="1"/>
  <c r="BH29" i="1"/>
  <c r="BD28" i="1"/>
  <c r="BG24" i="1"/>
  <c r="BC23" i="1"/>
  <c r="BI18" i="1"/>
  <c r="BE17" i="1"/>
  <c r="AS206" i="1"/>
  <c r="AW207" i="1"/>
  <c r="AV21" i="1"/>
  <c r="AQ66" i="1"/>
  <c r="AS196" i="1"/>
  <c r="BI3" i="1"/>
  <c r="BD12" i="1"/>
  <c r="BD22" i="1"/>
  <c r="BG40" i="1"/>
  <c r="BG50" i="1"/>
  <c r="BH60" i="1"/>
  <c r="BI68" i="1"/>
  <c r="BD79" i="1"/>
  <c r="BD89" i="1"/>
  <c r="BH97" i="1"/>
  <c r="BH108" i="1"/>
  <c r="BG119" i="1"/>
  <c r="BH128" i="1"/>
  <c r="BH167" i="1"/>
  <c r="BI173" i="1"/>
  <c r="BH178" i="1"/>
  <c r="BD196" i="1"/>
  <c r="BG53" i="1"/>
  <c r="BC52" i="1"/>
  <c r="BE22" i="1"/>
  <c r="BI23" i="1"/>
  <c r="AQ114" i="1"/>
  <c r="BG12" i="1"/>
  <c r="BG22" i="1"/>
  <c r="BH32" i="1"/>
  <c r="BH50" i="1"/>
  <c r="BE79" i="1"/>
  <c r="BH89" i="1"/>
  <c r="BC98" i="1"/>
  <c r="BI119" i="1"/>
  <c r="BH156" i="1"/>
  <c r="BE196" i="1"/>
  <c r="BD209" i="1"/>
  <c r="BH210" i="1"/>
  <c r="BH123" i="1"/>
  <c r="BD122" i="1"/>
  <c r="BH11" i="1"/>
  <c r="BD10" i="1"/>
  <c r="AV120" i="1"/>
  <c r="AR119" i="1"/>
  <c r="AW45" i="1"/>
  <c r="AS44" i="1"/>
  <c r="BG107" i="1"/>
  <c r="BC106" i="1"/>
  <c r="BE20" i="1"/>
  <c r="BI21" i="1"/>
  <c r="BI101" i="1"/>
  <c r="BH200" i="1"/>
  <c r="BD199" i="1"/>
  <c r="BH168" i="1"/>
  <c r="BD167" i="1"/>
  <c r="BH117" i="1"/>
  <c r="BD116" i="1"/>
  <c r="BI106" i="1"/>
  <c r="BE105" i="1"/>
  <c r="BC95" i="1"/>
  <c r="BG96" i="1"/>
  <c r="BI74" i="1"/>
  <c r="BE73" i="1"/>
  <c r="BC63" i="1"/>
  <c r="BG64" i="1"/>
  <c r="BH53" i="1"/>
  <c r="BD52" i="1"/>
  <c r="BC31" i="1"/>
  <c r="BG32" i="1"/>
  <c r="BH21" i="1"/>
  <c r="BD20" i="1"/>
  <c r="BE142" i="1"/>
  <c r="BI143" i="1"/>
  <c r="BI195" i="1"/>
  <c r="BE194" i="1"/>
  <c r="BI163" i="1"/>
  <c r="BE162" i="1"/>
  <c r="BI131" i="1"/>
  <c r="BE130" i="1"/>
  <c r="BG125" i="1"/>
  <c r="BC124" i="1"/>
  <c r="BG109" i="1"/>
  <c r="BC108" i="1"/>
  <c r="BG93" i="1"/>
  <c r="BC92" i="1"/>
  <c r="BG77" i="1"/>
  <c r="BC76" i="1"/>
  <c r="BG61" i="1"/>
  <c r="BC60" i="1"/>
  <c r="BG45" i="1"/>
  <c r="BC44" i="1"/>
  <c r="BG13" i="1"/>
  <c r="BC12" i="1"/>
  <c r="AR190" i="1"/>
  <c r="AV191" i="1"/>
  <c r="BE4" i="1"/>
  <c r="BH171" i="1"/>
  <c r="BD170" i="1"/>
  <c r="AV25" i="1"/>
  <c r="AU89" i="1"/>
  <c r="AV150" i="1"/>
  <c r="AW196" i="1"/>
  <c r="BG4" i="1"/>
  <c r="BG14" i="1"/>
  <c r="BI32" i="1"/>
  <c r="BH42" i="1"/>
  <c r="BD61" i="1"/>
  <c r="BG79" i="1"/>
  <c r="BI89" i="1"/>
  <c r="BC109" i="1"/>
  <c r="BD140" i="1"/>
  <c r="BI156" i="1"/>
  <c r="BH185" i="1"/>
  <c r="BD200" i="1"/>
  <c r="BH201" i="1"/>
  <c r="BD160" i="1"/>
  <c r="BH161" i="1"/>
  <c r="BD136" i="1"/>
  <c r="BH137" i="1"/>
  <c r="BG38" i="1"/>
  <c r="BC37" i="1"/>
  <c r="AW204" i="1"/>
  <c r="AW156" i="1"/>
  <c r="AV104" i="1"/>
  <c r="AR103" i="1"/>
  <c r="AV56" i="1"/>
  <c r="AR55" i="1"/>
  <c r="BI122" i="1"/>
  <c r="BE121" i="1"/>
  <c r="BI42" i="1"/>
  <c r="BE41" i="1"/>
  <c r="BI10" i="1"/>
  <c r="BE9" i="1"/>
  <c r="AQ98" i="1"/>
  <c r="BD26" i="1"/>
  <c r="BG101" i="1"/>
  <c r="BC100" i="1"/>
  <c r="BI203" i="1"/>
  <c r="BE202" i="1"/>
  <c r="BI187" i="1"/>
  <c r="BE186" i="1"/>
  <c r="BI171" i="1"/>
  <c r="BE170" i="1"/>
  <c r="BI155" i="1"/>
  <c r="BE154" i="1"/>
  <c r="BI139" i="1"/>
  <c r="BE138" i="1"/>
  <c r="BE86" i="1"/>
  <c r="BI87" i="1"/>
  <c r="BE54" i="1"/>
  <c r="BI55" i="1"/>
  <c r="BG29" i="1"/>
  <c r="BC28" i="1"/>
  <c r="AR198" i="1"/>
  <c r="AV199" i="1"/>
  <c r="AR182" i="1"/>
  <c r="AV183" i="1"/>
  <c r="BI167" i="1"/>
  <c r="BH203" i="1"/>
  <c r="BD202" i="1"/>
  <c r="BH195" i="1"/>
  <c r="BD194" i="1"/>
  <c r="BH187" i="1"/>
  <c r="BD186" i="1"/>
  <c r="BH163" i="1"/>
  <c r="BD162" i="1"/>
  <c r="BH155" i="1"/>
  <c r="BD154" i="1"/>
  <c r="BH139" i="1"/>
  <c r="BD138" i="1"/>
  <c r="BH131" i="1"/>
  <c r="BD130" i="1"/>
  <c r="BD118" i="1"/>
  <c r="BH119" i="1"/>
  <c r="BC113" i="1"/>
  <c r="BG114" i="1"/>
  <c r="BD102" i="1"/>
  <c r="BH103" i="1"/>
  <c r="BC97" i="1"/>
  <c r="BG98" i="1"/>
  <c r="BE91" i="1"/>
  <c r="BI92" i="1"/>
  <c r="BC65" i="1"/>
  <c r="BG66" i="1"/>
  <c r="BE59" i="1"/>
  <c r="BI60" i="1"/>
  <c r="BC33" i="1"/>
  <c r="BG34" i="1"/>
  <c r="BE27" i="1"/>
  <c r="BI28" i="1"/>
  <c r="AQ126" i="1"/>
  <c r="AU127" i="1"/>
  <c r="AW121" i="1"/>
  <c r="AS120" i="1"/>
  <c r="AR115" i="1"/>
  <c r="AV116" i="1"/>
  <c r="AS104" i="1"/>
  <c r="AV100" i="1"/>
  <c r="AR99" i="1"/>
  <c r="AW89" i="1"/>
  <c r="AR83" i="1"/>
  <c r="AV84" i="1"/>
  <c r="AW73" i="1"/>
  <c r="AS72" i="1"/>
  <c r="AQ62" i="1"/>
  <c r="AU63" i="1"/>
  <c r="AS56" i="1"/>
  <c r="AV52" i="1"/>
  <c r="AR51" i="1"/>
  <c r="AQ46" i="1"/>
  <c r="AU47" i="1"/>
  <c r="AQ30" i="1"/>
  <c r="AU31" i="1"/>
  <c r="AS24" i="1"/>
  <c r="AW25" i="1"/>
  <c r="AS8" i="1"/>
  <c r="AW9" i="1"/>
  <c r="BI202" i="1"/>
  <c r="BE201" i="1"/>
  <c r="BI194" i="1"/>
  <c r="BE193" i="1"/>
  <c r="BI186" i="1"/>
  <c r="BE185" i="1"/>
  <c r="BI178" i="1"/>
  <c r="BE177" i="1"/>
  <c r="BI170" i="1"/>
  <c r="BE169" i="1"/>
  <c r="BI162" i="1"/>
  <c r="BE161" i="1"/>
  <c r="BI154" i="1"/>
  <c r="BE153" i="1"/>
  <c r="BI146" i="1"/>
  <c r="BE145" i="1"/>
  <c r="BI138" i="1"/>
  <c r="BE137" i="1"/>
  <c r="BI130" i="1"/>
  <c r="BE129" i="1"/>
  <c r="BE112" i="1"/>
  <c r="BI113" i="1"/>
  <c r="BG103" i="1"/>
  <c r="BC102" i="1"/>
  <c r="BE96" i="1"/>
  <c r="BI97" i="1"/>
  <c r="BE80" i="1"/>
  <c r="BI81" i="1"/>
  <c r="BH76" i="1"/>
  <c r="BD75" i="1"/>
  <c r="BC70" i="1"/>
  <c r="BG71" i="1"/>
  <c r="BE48" i="1"/>
  <c r="BI49" i="1"/>
  <c r="BH44" i="1"/>
  <c r="BD43" i="1"/>
  <c r="BC38" i="1"/>
  <c r="BG39" i="1"/>
  <c r="BE16" i="1"/>
  <c r="BI17" i="1"/>
  <c r="BH12" i="1"/>
  <c r="BD11" i="1"/>
  <c r="BC6" i="1"/>
  <c r="BG7" i="1"/>
  <c r="AV206" i="1"/>
  <c r="AR205" i="1"/>
  <c r="AV190" i="1"/>
  <c r="AR189" i="1"/>
  <c r="AV182" i="1"/>
  <c r="AR181" i="1"/>
  <c r="AR157" i="1"/>
  <c r="AV158" i="1"/>
  <c r="AV142" i="1"/>
  <c r="AR141" i="1"/>
  <c r="AW126" i="1"/>
  <c r="AQ115" i="1"/>
  <c r="AU116" i="1"/>
  <c r="AW110" i="1"/>
  <c r="AQ99" i="1"/>
  <c r="AU100" i="1"/>
  <c r="AR88" i="1"/>
  <c r="AV89" i="1"/>
  <c r="AU84" i="1"/>
  <c r="AQ83" i="1"/>
  <c r="AR72" i="1"/>
  <c r="AV73" i="1"/>
  <c r="AU68" i="1"/>
  <c r="AQ67" i="1"/>
  <c r="AW62" i="1"/>
  <c r="AR56" i="1"/>
  <c r="AV57" i="1"/>
  <c r="AW46" i="1"/>
  <c r="AR40" i="1"/>
  <c r="AV41" i="1"/>
  <c r="AW30" i="1"/>
  <c r="AW14" i="1"/>
  <c r="AS13" i="1"/>
  <c r="AV9" i="1"/>
  <c r="AR8" i="1"/>
  <c r="AR68" i="1"/>
  <c r="AW94" i="1"/>
  <c r="BH4" i="1"/>
  <c r="BC15" i="1"/>
  <c r="BD23" i="1"/>
  <c r="BD33" i="1"/>
  <c r="BE43" i="1"/>
  <c r="BE61" i="1"/>
  <c r="BH71" i="1"/>
  <c r="BI79" i="1"/>
  <c r="BC90" i="1"/>
  <c r="BH100" i="1"/>
  <c r="BE109" i="1"/>
  <c r="BG120" i="1"/>
  <c r="BH129" i="1"/>
  <c r="BE135" i="1"/>
  <c r="BD146" i="1"/>
  <c r="BE163" i="1"/>
  <c r="BI174" i="1"/>
  <c r="BD203" i="1"/>
  <c r="AR18" i="1"/>
  <c r="AS103" i="1"/>
  <c r="AV133" i="1"/>
  <c r="BG10" i="1"/>
  <c r="BD14" i="1"/>
  <c r="BD21" i="1"/>
  <c r="BG42" i="1"/>
  <c r="BD46" i="1"/>
  <c r="BD53" i="1"/>
  <c r="BD85" i="1"/>
  <c r="BI107" i="1"/>
  <c r="AQ77" i="1"/>
  <c r="AR140" i="1"/>
  <c r="AV149" i="1"/>
  <c r="AR180" i="1"/>
  <c r="AQ29" i="1"/>
  <c r="AQ61" i="1"/>
  <c r="AR156" i="1"/>
  <c r="BE19" i="1"/>
  <c r="BE26" i="1"/>
  <c r="BC30" i="1"/>
  <c r="BE51" i="1"/>
  <c r="BE58" i="1"/>
  <c r="BE90" i="1"/>
  <c r="AV67" i="1"/>
  <c r="AR66" i="1"/>
  <c r="AR98" i="1"/>
  <c r="AQ109" i="1"/>
  <c r="BC16" i="1"/>
  <c r="BC48" i="1"/>
  <c r="BC80" i="1"/>
  <c r="BI129" i="1"/>
  <c r="BI161" i="1"/>
  <c r="BI193" i="1"/>
  <c r="AV197" i="1"/>
  <c r="AS71" i="1"/>
  <c r="BI9" i="1"/>
  <c r="BI41" i="1"/>
  <c r="AQ93" i="1"/>
  <c r="BE122" i="1"/>
  <c r="BI137" i="1"/>
  <c r="BI169" i="1"/>
  <c r="BI201" i="1"/>
  <c r="AS39" i="1"/>
  <c r="AS55" i="1"/>
  <c r="AR204" i="1"/>
  <c r="AS119" i="1"/>
  <c r="AU120" i="1"/>
  <c r="AQ119" i="1"/>
  <c r="AR44" i="1"/>
  <c r="AV45" i="1"/>
  <c r="AU24" i="1"/>
  <c r="AV148" i="1"/>
  <c r="AU71" i="1"/>
  <c r="AV77" i="1"/>
  <c r="AV125" i="1"/>
  <c r="AR59" i="1"/>
  <c r="AV71" i="1"/>
  <c r="AQ39" i="1"/>
  <c r="AQ60" i="1"/>
  <c r="AR170" i="1"/>
  <c r="AR60" i="1"/>
  <c r="AV140" i="1"/>
  <c r="AR162" i="1"/>
  <c r="AR203" i="1"/>
  <c r="AV204" i="1"/>
  <c r="AR171" i="1"/>
  <c r="AV172" i="1"/>
  <c r="AR131" i="1"/>
  <c r="AV132" i="1"/>
  <c r="AW114" i="1"/>
  <c r="AW50" i="1"/>
  <c r="AS49" i="1"/>
  <c r="AW34" i="1"/>
  <c r="AS33" i="1"/>
  <c r="AR12" i="1"/>
  <c r="AV13" i="1"/>
  <c r="AW187" i="1"/>
  <c r="AS186" i="1"/>
  <c r="AR113" i="1"/>
  <c r="AV114" i="1"/>
  <c r="AS70" i="1"/>
  <c r="AS22" i="1"/>
  <c r="AW23" i="1"/>
  <c r="AV147" i="1"/>
  <c r="AR146" i="1"/>
  <c r="AV131" i="1"/>
  <c r="AR130" i="1"/>
  <c r="AQ113" i="1"/>
  <c r="AU114" i="1"/>
  <c r="AS91" i="1"/>
  <c r="AQ81" i="1"/>
  <c r="AU82" i="1"/>
  <c r="AS59" i="1"/>
  <c r="AW60" i="1"/>
  <c r="AS27" i="1"/>
  <c r="AS11" i="1"/>
  <c r="R8" i="1"/>
  <c r="AU72" i="1"/>
  <c r="AR163" i="1"/>
  <c r="AV164" i="1"/>
  <c r="AW171" i="1"/>
  <c r="AS170" i="1"/>
  <c r="AU93" i="1"/>
  <c r="AQ92" i="1"/>
  <c r="AR65" i="1"/>
  <c r="AV66" i="1"/>
  <c r="AS38" i="1"/>
  <c r="AW39" i="1"/>
  <c r="AS6" i="1"/>
  <c r="AW7" i="1"/>
  <c r="AS43" i="1"/>
  <c r="AW44" i="1"/>
  <c r="AW82" i="1"/>
  <c r="AW18" i="1"/>
  <c r="AW155" i="1"/>
  <c r="AU77" i="1"/>
  <c r="AQ76" i="1"/>
  <c r="AU13" i="1"/>
  <c r="AQ12" i="1"/>
  <c r="AQ65" i="1"/>
  <c r="AU66" i="1"/>
  <c r="AQ108" i="1"/>
  <c r="AR194" i="1"/>
  <c r="AR187" i="1"/>
  <c r="AV188" i="1"/>
  <c r="AW179" i="1"/>
  <c r="AS178" i="1"/>
  <c r="AW147" i="1"/>
  <c r="AS146" i="1"/>
  <c r="AS118" i="1"/>
  <c r="AR97" i="1"/>
  <c r="AV98" i="1"/>
  <c r="AS54" i="1"/>
  <c r="AW55" i="1"/>
  <c r="AU29" i="1"/>
  <c r="AQ28" i="1"/>
  <c r="AQ55" i="1"/>
  <c r="AV93" i="1"/>
  <c r="AS113" i="1"/>
  <c r="AW145" i="1"/>
  <c r="AU8" i="1"/>
  <c r="AS81" i="1"/>
  <c r="AR101" i="1"/>
  <c r="AR108" i="1"/>
  <c r="AW195" i="1"/>
  <c r="AW131" i="1"/>
  <c r="AS86" i="1"/>
  <c r="AW87" i="1"/>
  <c r="AR33" i="1"/>
  <c r="AV34" i="1"/>
  <c r="AS107" i="1"/>
  <c r="AW108" i="1"/>
  <c r="AR38" i="1"/>
  <c r="AV39" i="1"/>
  <c r="AS16" i="1"/>
  <c r="AW28" i="1"/>
  <c r="AU55" i="1"/>
  <c r="AR195" i="1"/>
  <c r="AV196" i="1"/>
  <c r="AR155" i="1"/>
  <c r="AV156" i="1"/>
  <c r="AW98" i="1"/>
  <c r="AS97" i="1"/>
  <c r="AW66" i="1"/>
  <c r="AW203" i="1"/>
  <c r="AW139" i="1"/>
  <c r="AS138" i="1"/>
  <c r="AR17" i="1"/>
  <c r="AV18" i="1"/>
  <c r="AV179" i="1"/>
  <c r="AR178" i="1"/>
  <c r="AV155" i="1"/>
  <c r="AR154" i="1"/>
  <c r="AV139" i="1"/>
  <c r="AR138" i="1"/>
  <c r="AR118" i="1"/>
  <c r="AV119" i="1"/>
  <c r="AR102" i="1"/>
  <c r="AV103" i="1"/>
  <c r="AR86" i="1"/>
  <c r="AV87" i="1"/>
  <c r="AQ33" i="1"/>
  <c r="AU34" i="1"/>
  <c r="AQ17" i="1"/>
  <c r="AU18" i="1"/>
  <c r="AW186" i="1"/>
  <c r="AS185" i="1"/>
  <c r="AW154" i="1"/>
  <c r="AS153" i="1"/>
  <c r="AW130" i="1"/>
  <c r="AW113" i="1"/>
  <c r="AS112" i="1"/>
  <c r="AS96" i="1"/>
  <c r="AQ86" i="1"/>
  <c r="AU87" i="1"/>
  <c r="AW81" i="1"/>
  <c r="AW65" i="1"/>
  <c r="AW49" i="1"/>
  <c r="AS48" i="1"/>
  <c r="AS32" i="1"/>
  <c r="AQ6" i="1"/>
  <c r="AU7" i="1"/>
  <c r="AS80" i="1"/>
  <c r="AS154" i="1"/>
  <c r="AV180" i="1"/>
  <c r="AR202" i="1"/>
  <c r="AV211" i="1"/>
  <c r="AR210" i="1"/>
  <c r="AS200" i="1"/>
  <c r="AW193" i="1"/>
  <c r="AS192" i="1"/>
  <c r="AW185" i="1"/>
  <c r="AW177" i="1"/>
  <c r="AS168" i="1"/>
  <c r="AS160" i="1"/>
  <c r="AS152" i="1"/>
  <c r="AW153" i="1"/>
  <c r="AW137" i="1"/>
  <c r="AS128" i="1"/>
  <c r="AW123" i="1"/>
  <c r="AS122" i="1"/>
  <c r="AV118" i="1"/>
  <c r="AQ112" i="1"/>
  <c r="AU113" i="1"/>
  <c r="AW107" i="1"/>
  <c r="AQ96" i="1"/>
  <c r="AW91" i="1"/>
  <c r="AQ80" i="1"/>
  <c r="AW75" i="1"/>
  <c r="AS74" i="1"/>
  <c r="AV70" i="1"/>
  <c r="AR69" i="1"/>
  <c r="AQ64" i="1"/>
  <c r="AU65" i="1"/>
  <c r="AW59" i="1"/>
  <c r="AS58" i="1"/>
  <c r="AR53" i="1"/>
  <c r="AV54" i="1"/>
  <c r="AQ48" i="1"/>
  <c r="AU49" i="1"/>
  <c r="AW43" i="1"/>
  <c r="AQ32" i="1"/>
  <c r="AW27" i="1"/>
  <c r="AV22" i="1"/>
  <c r="AQ16" i="1"/>
  <c r="AW11" i="1"/>
  <c r="AS10" i="1"/>
  <c r="D88" i="1"/>
  <c r="AV6" i="1"/>
  <c r="AV55" i="1"/>
  <c r="AU88" i="1"/>
  <c r="AV102" i="1"/>
  <c r="AW163" i="1"/>
  <c r="AS17" i="1"/>
  <c r="AS102" i="1"/>
  <c r="AW103" i="1"/>
  <c r="AW178" i="1"/>
  <c r="AR81" i="1"/>
  <c r="AV82" i="1"/>
  <c r="AV187" i="1"/>
  <c r="AR186" i="1"/>
  <c r="AU125" i="1"/>
  <c r="AQ124" i="1"/>
  <c r="AR49" i="1"/>
  <c r="AV50" i="1"/>
  <c r="AS123" i="1"/>
  <c r="AQ97" i="1"/>
  <c r="AU98" i="1"/>
  <c r="AS75" i="1"/>
  <c r="AR22" i="1"/>
  <c r="AV23" i="1"/>
  <c r="AR6" i="1"/>
  <c r="AV7" i="1"/>
  <c r="AW202" i="1"/>
  <c r="AS201" i="1"/>
  <c r="AW194" i="1"/>
  <c r="AS193" i="1"/>
  <c r="AW170" i="1"/>
  <c r="AW162" i="1"/>
  <c r="AS161" i="1"/>
  <c r="AW146" i="1"/>
  <c r="AS145" i="1"/>
  <c r="AW138" i="1"/>
  <c r="AR123" i="1"/>
  <c r="AV124" i="1"/>
  <c r="AQ118" i="1"/>
  <c r="AU119" i="1"/>
  <c r="AR107" i="1"/>
  <c r="AV108" i="1"/>
  <c r="AR91" i="1"/>
  <c r="AV92" i="1"/>
  <c r="AV44" i="1"/>
  <c r="AR43" i="1"/>
  <c r="AQ38" i="1"/>
  <c r="AU39" i="1"/>
  <c r="AR27" i="1"/>
  <c r="AV28" i="1"/>
  <c r="AQ22" i="1"/>
  <c r="AU23" i="1"/>
  <c r="AV29" i="1"/>
  <c r="AQ103" i="1"/>
  <c r="AS129" i="1"/>
  <c r="AS177" i="1"/>
  <c r="AV76" i="1"/>
  <c r="AU4" i="1"/>
  <c r="AW17" i="1"/>
  <c r="AR37" i="1"/>
  <c r="AQ44" i="1"/>
  <c r="AU50" i="1"/>
  <c r="AW76" i="1"/>
  <c r="AU97" i="1"/>
  <c r="AW124" i="1"/>
  <c r="AS169" i="1"/>
  <c r="AR200" i="1"/>
  <c r="AW112" i="1"/>
  <c r="AW64" i="1"/>
  <c r="AV27" i="1"/>
  <c r="AU107" i="1"/>
  <c r="AU59" i="1"/>
  <c r="AR94" i="1"/>
  <c r="AR4" i="1"/>
  <c r="AQ63" i="1"/>
  <c r="AS84" i="1"/>
  <c r="AQ106" i="1"/>
  <c r="AR183" i="1"/>
  <c r="AR201" i="1"/>
  <c r="AV202" i="1"/>
  <c r="AR193" i="1"/>
  <c r="AV194" i="1"/>
  <c r="AR185" i="1"/>
  <c r="AV186" i="1"/>
  <c r="AR177" i="1"/>
  <c r="AV178" i="1"/>
  <c r="AR169" i="1"/>
  <c r="AV170" i="1"/>
  <c r="AR161" i="1"/>
  <c r="AV162" i="1"/>
  <c r="AR153" i="1"/>
  <c r="AV154" i="1"/>
  <c r="AR145" i="1"/>
  <c r="AV146" i="1"/>
  <c r="AR137" i="1"/>
  <c r="AV138" i="1"/>
  <c r="AR129" i="1"/>
  <c r="AV130" i="1"/>
  <c r="AS117" i="1"/>
  <c r="AR112" i="1"/>
  <c r="AS101" i="1"/>
  <c r="AR96" i="1"/>
  <c r="AS85" i="1"/>
  <c r="AR80" i="1"/>
  <c r="AS69" i="1"/>
  <c r="AR64" i="1"/>
  <c r="AS53" i="1"/>
  <c r="AR48" i="1"/>
  <c r="AS37" i="1"/>
  <c r="AR32" i="1"/>
  <c r="AS21" i="1"/>
  <c r="AR16" i="1"/>
  <c r="AS5" i="1"/>
  <c r="AR26" i="1"/>
  <c r="AR52" i="1"/>
  <c r="AW85" i="1"/>
  <c r="AR184" i="1"/>
  <c r="AU118" i="1"/>
  <c r="AV75" i="1"/>
  <c r="AU38" i="1"/>
  <c r="AU6" i="1"/>
  <c r="AV65" i="1"/>
  <c r="AQ91" i="1"/>
  <c r="AV113" i="1"/>
  <c r="BP211" i="1"/>
  <c r="AR209" i="1"/>
  <c r="AV210" i="1"/>
  <c r="AR168" i="1"/>
  <c r="AR136" i="1"/>
  <c r="AV107" i="1"/>
  <c r="AW96" i="1"/>
  <c r="AW80" i="1"/>
  <c r="AV59" i="1"/>
  <c r="AV43" i="1"/>
  <c r="AU22" i="1"/>
  <c r="AW192" i="1"/>
  <c r="AR208" i="1"/>
  <c r="AW200" i="1"/>
  <c r="AW184" i="1"/>
  <c r="AW176" i="1"/>
  <c r="AW168" i="1"/>
  <c r="AW160" i="1"/>
  <c r="AW152" i="1"/>
  <c r="E81" i="1"/>
  <c r="AW144" i="1"/>
  <c r="AW136" i="1"/>
  <c r="AW128" i="1"/>
  <c r="AW117" i="1"/>
  <c r="AW101" i="1"/>
  <c r="AU91" i="1"/>
  <c r="AU75" i="1"/>
  <c r="AU43" i="1"/>
  <c r="AU27" i="1"/>
  <c r="AU11" i="1"/>
  <c r="AW6" i="1"/>
  <c r="AW122" i="1"/>
  <c r="AW106" i="1"/>
  <c r="AW90" i="1"/>
  <c r="AW74" i="1"/>
  <c r="AW58" i="1"/>
  <c r="AW42" i="1"/>
  <c r="AW26" i="1"/>
  <c r="AW10" i="1"/>
  <c r="AV3" i="1"/>
  <c r="AW69" i="1"/>
  <c r="AR74" i="1"/>
  <c r="AW118" i="1"/>
  <c r="AQ123" i="1"/>
  <c r="AV167" i="1"/>
  <c r="AV185" i="1"/>
  <c r="AS198" i="1"/>
  <c r="AS190" i="1"/>
  <c r="AS182" i="1"/>
  <c r="AS174" i="1"/>
  <c r="AS166" i="1"/>
  <c r="AS158" i="1"/>
  <c r="AS150" i="1"/>
  <c r="AS142" i="1"/>
  <c r="AS134" i="1"/>
  <c r="AS126" i="1"/>
  <c r="AR121" i="1"/>
  <c r="AV122" i="1"/>
  <c r="AU117" i="1"/>
  <c r="AS110" i="1"/>
  <c r="AR105" i="1"/>
  <c r="AV106" i="1"/>
  <c r="AU101" i="1"/>
  <c r="AS94" i="1"/>
  <c r="AR89" i="1"/>
  <c r="AV90" i="1"/>
  <c r="AU85" i="1"/>
  <c r="AS78" i="1"/>
  <c r="AR73" i="1"/>
  <c r="AV74" i="1"/>
  <c r="AU69" i="1"/>
  <c r="AS62" i="1"/>
  <c r="AR57" i="1"/>
  <c r="AV58" i="1"/>
  <c r="AU53" i="1"/>
  <c r="AS46" i="1"/>
  <c r="AR41" i="1"/>
  <c r="AV42" i="1"/>
  <c r="AU37" i="1"/>
  <c r="AS30" i="1"/>
  <c r="AR25" i="1"/>
  <c r="AV26" i="1"/>
  <c r="AU21" i="1"/>
  <c r="AS14" i="1"/>
  <c r="AR9" i="1"/>
  <c r="AV10" i="1"/>
  <c r="AU3" i="1"/>
  <c r="AU5" i="1"/>
  <c r="AQ11" i="1"/>
  <c r="AR15" i="1"/>
  <c r="AS36" i="1"/>
  <c r="AS40" i="1"/>
  <c r="AV95" i="1"/>
  <c r="AS100" i="1"/>
  <c r="AS105" i="1"/>
  <c r="AR135" i="1"/>
  <c r="AW167" i="1"/>
  <c r="AR175" i="1"/>
  <c r="AV207" i="1"/>
  <c r="AR128" i="1"/>
  <c r="AU70" i="1"/>
  <c r="AW32" i="1"/>
  <c r="AR152" i="1"/>
  <c r="AV91" i="1"/>
  <c r="AW48" i="1"/>
  <c r="AW16" i="1"/>
  <c r="AU123" i="1"/>
  <c r="AW3" i="1"/>
  <c r="AS3" i="1"/>
  <c r="AR126" i="1"/>
  <c r="AQ105" i="1"/>
  <c r="AR78" i="1"/>
  <c r="AR62" i="1"/>
  <c r="AS51" i="1"/>
  <c r="AR46" i="1"/>
  <c r="AS35" i="1"/>
  <c r="AR30" i="1"/>
  <c r="AQ25" i="1"/>
  <c r="AS19" i="1"/>
  <c r="AR14" i="1"/>
  <c r="AQ9" i="1"/>
  <c r="AS41" i="1"/>
  <c r="AS79" i="1"/>
  <c r="AQ84" i="1"/>
  <c r="AR192" i="1"/>
  <c r="AR176" i="1"/>
  <c r="AR160" i="1"/>
  <c r="AR144" i="1"/>
  <c r="AV123" i="1"/>
  <c r="AU102" i="1"/>
  <c r="AU86" i="1"/>
  <c r="AU54" i="1"/>
  <c r="AV11" i="1"/>
  <c r="AW86" i="1"/>
  <c r="AQ27" i="1"/>
  <c r="AR150" i="1"/>
  <c r="AR142" i="1"/>
  <c r="AR134" i="1"/>
  <c r="AQ121" i="1"/>
  <c r="AS115" i="1"/>
  <c r="AR110" i="1"/>
  <c r="AS99" i="1"/>
  <c r="AQ89" i="1"/>
  <c r="AS83" i="1"/>
  <c r="AQ73" i="1"/>
  <c r="AS67" i="1"/>
  <c r="AQ57" i="1"/>
  <c r="AQ41" i="1"/>
  <c r="AQ3" i="1"/>
  <c r="AS15" i="1"/>
  <c r="AW70" i="1"/>
  <c r="AU74" i="1"/>
  <c r="AR79" i="1"/>
  <c r="AS135" i="1"/>
  <c r="AV153" i="1"/>
  <c r="AS175" i="1"/>
  <c r="AS197" i="1"/>
  <c r="AS189" i="1"/>
  <c r="AS181" i="1"/>
  <c r="AS173" i="1"/>
  <c r="AS165" i="1"/>
  <c r="AS157" i="1"/>
  <c r="AS149" i="1"/>
  <c r="AS141" i="1"/>
  <c r="AS133" i="1"/>
  <c r="AR3" i="1"/>
  <c r="AU15" i="1"/>
  <c r="AR20" i="1"/>
  <c r="AV49" i="1"/>
  <c r="AQ58" i="1"/>
  <c r="AQ4" i="1"/>
  <c r="AV15" i="1"/>
  <c r="AS20" i="1"/>
  <c r="AW36" i="1"/>
  <c r="AW53" i="1"/>
  <c r="AR58" i="1"/>
  <c r="AU79" i="1"/>
  <c r="AW100" i="1"/>
  <c r="AW105" i="1"/>
  <c r="AV135" i="1"/>
  <c r="AR143" i="1"/>
  <c r="AV175" i="1"/>
  <c r="AS29" i="1"/>
  <c r="AS45" i="1"/>
  <c r="AS61" i="1"/>
  <c r="AS77" i="1"/>
  <c r="AS93" i="1"/>
  <c r="AS109" i="1"/>
  <c r="AS125" i="1"/>
  <c r="AS131" i="1"/>
  <c r="AS139" i="1"/>
  <c r="AS147" i="1"/>
  <c r="AS155" i="1"/>
  <c r="AS163" i="1"/>
  <c r="AS171" i="1"/>
  <c r="AS179" i="1"/>
  <c r="AS187" i="1"/>
  <c r="AS195" i="1"/>
  <c r="AS203" i="1"/>
  <c r="AW8" i="1"/>
  <c r="AW24" i="1"/>
  <c r="AW40" i="1"/>
  <c r="AW56" i="1"/>
  <c r="AW72" i="1"/>
  <c r="AW88" i="1"/>
  <c r="AW104" i="1"/>
  <c r="AW120" i="1"/>
  <c r="AW19" i="1"/>
  <c r="AW35" i="1"/>
  <c r="AW51" i="1"/>
  <c r="AW67" i="1"/>
  <c r="AW83" i="1"/>
  <c r="AW99" i="1"/>
  <c r="AW115" i="1"/>
  <c r="L8" i="1"/>
  <c r="J9" i="1"/>
  <c r="K9" i="1"/>
  <c r="R9" i="1"/>
  <c r="R10" i="1"/>
  <c r="J8" i="1"/>
  <c r="R4" i="1"/>
  <c r="K8" i="1"/>
  <c r="S10" i="1"/>
  <c r="K10" i="1"/>
  <c r="Q8" i="1"/>
  <c r="S9" i="1"/>
  <c r="E13" i="2"/>
  <c r="Q6" i="1"/>
  <c r="K5" i="1"/>
  <c r="D87" i="1"/>
  <c r="R7" i="1"/>
  <c r="C13" i="2"/>
  <c r="R6" i="1"/>
  <c r="S6" i="1"/>
  <c r="L9" i="1"/>
  <c r="L5" i="1"/>
  <c r="J10" i="1"/>
  <c r="L6" i="1"/>
  <c r="L4" i="1"/>
  <c r="J4" i="1"/>
  <c r="S7" i="1"/>
  <c r="Q10" i="1"/>
  <c r="Q5" i="1"/>
  <c r="Q4" i="1"/>
  <c r="L10" i="1"/>
  <c r="L7" i="1"/>
  <c r="K6" i="1"/>
  <c r="Q7" i="1"/>
  <c r="J6" i="1"/>
  <c r="H3" i="1"/>
  <c r="S8" i="1"/>
  <c r="J7" i="1"/>
  <c r="Q9" i="1"/>
  <c r="K7" i="1"/>
  <c r="J5" i="1"/>
  <c r="S5" i="1"/>
  <c r="K4" i="1"/>
  <c r="R5" i="1"/>
  <c r="S4" i="1"/>
  <c r="E16" i="24" l="1"/>
  <c r="C19" i="26"/>
  <c r="C55" i="26"/>
  <c r="C53" i="24"/>
  <c r="C17" i="24"/>
  <c r="C14" i="24"/>
  <c r="C50" i="24"/>
  <c r="C15" i="26"/>
  <c r="C51" i="26"/>
  <c r="C18" i="26"/>
  <c r="C54" i="26"/>
  <c r="C14" i="26"/>
  <c r="C50" i="26"/>
  <c r="J59" i="1"/>
  <c r="R34" i="1"/>
  <c r="C18" i="24"/>
  <c r="C54" i="24"/>
  <c r="C19" i="24"/>
  <c r="C55" i="24"/>
  <c r="C52" i="26"/>
  <c r="C16" i="26"/>
  <c r="C52" i="24"/>
  <c r="C16" i="24"/>
  <c r="C15" i="24"/>
  <c r="C51" i="24"/>
  <c r="C56" i="26"/>
  <c r="C20" i="26"/>
  <c r="C53" i="26"/>
  <c r="C17" i="26"/>
  <c r="E61" i="40"/>
  <c r="E13" i="40"/>
  <c r="E13" i="37"/>
  <c r="E61" i="37"/>
  <c r="E61" i="27"/>
  <c r="E13" i="27"/>
  <c r="E13" i="35"/>
  <c r="E61" i="35"/>
  <c r="E13" i="33"/>
  <c r="E61" i="33"/>
  <c r="O257" i="28"/>
  <c r="O4" i="28" a="1"/>
  <c r="O4" i="28" s="1"/>
  <c r="G5" i="9"/>
  <c r="O192" i="28"/>
  <c r="O67" i="28"/>
  <c r="O127" i="28"/>
  <c r="E18" i="26"/>
  <c r="E63" i="24"/>
  <c r="E15" i="26"/>
  <c r="E67" i="26"/>
  <c r="E65" i="24"/>
  <c r="E65" i="26"/>
  <c r="E66" i="24"/>
  <c r="E20" i="26"/>
  <c r="E68" i="26"/>
  <c r="E16" i="26"/>
  <c r="E64" i="26"/>
  <c r="E20" i="24"/>
  <c r="E68" i="24"/>
  <c r="E67" i="24"/>
  <c r="E19" i="24"/>
  <c r="E14" i="24"/>
  <c r="E62" i="24"/>
  <c r="S60" i="1"/>
  <c r="J56" i="1"/>
  <c r="Q58" i="1"/>
  <c r="R57" i="1"/>
  <c r="Q56" i="1"/>
  <c r="Q59" i="1"/>
  <c r="R60" i="1"/>
  <c r="S34" i="1"/>
  <c r="Q30" i="1"/>
  <c r="J32" i="1"/>
  <c r="S29" i="1"/>
  <c r="K35" i="1"/>
  <c r="Q35" i="1"/>
  <c r="R32" i="1"/>
  <c r="L33" i="1"/>
  <c r="Q32" i="1"/>
  <c r="L59" i="1"/>
  <c r="R61" i="1"/>
  <c r="L61" i="1"/>
  <c r="L62" i="1"/>
  <c r="Q62" i="1"/>
  <c r="S61" i="1"/>
  <c r="S55" i="1"/>
  <c r="Q61" i="1"/>
  <c r="L55" i="1"/>
  <c r="E25" i="26" s="1"/>
  <c r="J58" i="1"/>
  <c r="S59" i="1"/>
  <c r="Q55" i="1"/>
  <c r="R59" i="1"/>
  <c r="S62" i="1"/>
  <c r="K58" i="1"/>
  <c r="L57" i="1"/>
  <c r="K60" i="1"/>
  <c r="J55" i="1"/>
  <c r="C25" i="26" s="1"/>
  <c r="J57" i="1"/>
  <c r="K57" i="1"/>
  <c r="K56" i="1"/>
  <c r="R58" i="1"/>
  <c r="K59" i="1"/>
  <c r="L60" i="1"/>
  <c r="Q57" i="1"/>
  <c r="K61" i="1"/>
  <c r="L58" i="1"/>
  <c r="R62" i="1"/>
  <c r="K62" i="1"/>
  <c r="S58" i="1"/>
  <c r="S57" i="1"/>
  <c r="J61" i="1"/>
  <c r="R56" i="1"/>
  <c r="R36" i="1"/>
  <c r="J35" i="1"/>
  <c r="Q33" i="1"/>
  <c r="C82" i="1"/>
  <c r="C87" i="1"/>
  <c r="D86" i="1"/>
  <c r="E86" i="1"/>
  <c r="E101" i="1" s="1"/>
  <c r="L35" i="1"/>
  <c r="D83" i="1"/>
  <c r="L34" i="1"/>
  <c r="K36" i="1"/>
  <c r="E83" i="1"/>
  <c r="E98" i="1" s="1"/>
  <c r="D84" i="1"/>
  <c r="J36" i="1"/>
  <c r="R35" i="1"/>
  <c r="L29" i="1"/>
  <c r="E25" i="24" s="1"/>
  <c r="J30" i="1"/>
  <c r="J31" i="1"/>
  <c r="S31" i="1"/>
  <c r="S33" i="1"/>
  <c r="J34" i="1"/>
  <c r="L31" i="1"/>
  <c r="S32" i="1"/>
  <c r="D82" i="1"/>
  <c r="E84" i="1"/>
  <c r="E99" i="1" s="1"/>
  <c r="K34" i="1"/>
  <c r="Q29" i="1"/>
  <c r="R30" i="1"/>
  <c r="E85" i="1"/>
  <c r="E100" i="1" s="1"/>
  <c r="K31" i="1"/>
  <c r="C85" i="1"/>
  <c r="L32" i="1"/>
  <c r="S36" i="1"/>
  <c r="D85" i="1"/>
  <c r="E88" i="1"/>
  <c r="E103" i="1" s="1"/>
  <c r="C81" i="1"/>
  <c r="R33" i="1"/>
  <c r="Q31" i="1"/>
  <c r="R31" i="1"/>
  <c r="K33" i="1"/>
  <c r="C83" i="1"/>
  <c r="E87" i="1"/>
  <c r="E102" i="1" s="1"/>
  <c r="J29" i="1"/>
  <c r="C25" i="24" s="1"/>
  <c r="C84" i="1"/>
  <c r="K30" i="1"/>
  <c r="S35" i="1"/>
  <c r="L36" i="1"/>
  <c r="J33" i="1"/>
  <c r="Q36" i="1"/>
  <c r="K32" i="1"/>
  <c r="C88" i="1"/>
  <c r="R2" i="19" a="1"/>
  <c r="R2" i="19" s="1"/>
  <c r="J62" i="1"/>
  <c r="D13" i="26"/>
  <c r="F13" i="26" s="1"/>
  <c r="D66" i="1"/>
  <c r="D13" i="24"/>
  <c r="F13" i="24" s="1"/>
  <c r="D40" i="1"/>
  <c r="Q60" i="1"/>
  <c r="C86" i="1"/>
  <c r="E82" i="1"/>
  <c r="E97" i="1" s="1"/>
  <c r="D81" i="1"/>
  <c r="S56" i="1"/>
  <c r="R55" i="1"/>
  <c r="L56" i="1"/>
  <c r="J60" i="1"/>
  <c r="K55" i="1"/>
  <c r="E70" i="1"/>
  <c r="D70" i="1"/>
  <c r="Q34" i="1"/>
  <c r="L30" i="1"/>
  <c r="S30" i="1"/>
  <c r="D44" i="1"/>
  <c r="C59" i="24" s="1"/>
  <c r="R29" i="1"/>
  <c r="K29" i="1"/>
  <c r="O81" i="1" a="1"/>
  <c r="O81" i="1" s="1"/>
  <c r="O55" i="1" a="1"/>
  <c r="O55" i="1" s="1"/>
  <c r="O29" i="1" a="1"/>
  <c r="O29" i="1" s="1"/>
  <c r="BT55" i="1"/>
  <c r="BP54" i="1"/>
  <c r="BU6" i="1"/>
  <c r="BQ5" i="1"/>
  <c r="BO7" i="1"/>
  <c r="BS8" i="1"/>
  <c r="BT22" i="1"/>
  <c r="BP21" i="1"/>
  <c r="BO49" i="1"/>
  <c r="BS50" i="1"/>
  <c r="BP193" i="1"/>
  <c r="BT194" i="1"/>
  <c r="BP200" i="1"/>
  <c r="BT201" i="1"/>
  <c r="BS110" i="1"/>
  <c r="BO109" i="1"/>
  <c r="BT95" i="1"/>
  <c r="BP94" i="1"/>
  <c r="BP25" i="1"/>
  <c r="BT26" i="1"/>
  <c r="BT53" i="1"/>
  <c r="BP52" i="1"/>
  <c r="BT199" i="1"/>
  <c r="BP198" i="1"/>
  <c r="BP9" i="1"/>
  <c r="BT10" i="1"/>
  <c r="BO42" i="1"/>
  <c r="BS43" i="1"/>
  <c r="BT27" i="1"/>
  <c r="BP26" i="1"/>
  <c r="BP159" i="1"/>
  <c r="BT160" i="1"/>
  <c r="BO83" i="1"/>
  <c r="BS84" i="1"/>
  <c r="BS63" i="1"/>
  <c r="BO62" i="1"/>
  <c r="BS95" i="1"/>
  <c r="BO94" i="1"/>
  <c r="BU54" i="1"/>
  <c r="BQ53" i="1"/>
  <c r="BU50" i="1"/>
  <c r="BQ49" i="1"/>
  <c r="BP59" i="1"/>
  <c r="BT60" i="1"/>
  <c r="BQ96" i="1"/>
  <c r="BU97" i="1"/>
  <c r="BQ136" i="1"/>
  <c r="BU137" i="1"/>
  <c r="BQ200" i="1"/>
  <c r="BU201" i="1"/>
  <c r="BS77" i="1"/>
  <c r="BO76" i="1"/>
  <c r="BU162" i="1"/>
  <c r="BQ161" i="1"/>
  <c r="BT45" i="1"/>
  <c r="BP44" i="1"/>
  <c r="BT132" i="1"/>
  <c r="BP131" i="1"/>
  <c r="BU180" i="1"/>
  <c r="BQ179" i="1"/>
  <c r="BS19" i="1"/>
  <c r="BO18" i="1"/>
  <c r="BO98" i="1"/>
  <c r="BS99" i="1"/>
  <c r="BU83" i="1"/>
  <c r="BQ82" i="1"/>
  <c r="BU197" i="1"/>
  <c r="BQ196" i="1"/>
  <c r="BU30" i="1"/>
  <c r="BQ29" i="1"/>
  <c r="BQ24" i="1"/>
  <c r="BU25" i="1"/>
  <c r="BU16" i="1"/>
  <c r="BQ15" i="1"/>
  <c r="BU123" i="1"/>
  <c r="BQ122" i="1"/>
  <c r="BT168" i="1"/>
  <c r="BP167" i="1"/>
  <c r="BO11" i="1"/>
  <c r="BS12" i="1"/>
  <c r="BP64" i="1"/>
  <c r="BT65" i="1"/>
  <c r="BT93" i="1"/>
  <c r="BP92" i="1"/>
  <c r="BP27" i="1"/>
  <c r="BT28" i="1"/>
  <c r="BQ64" i="1"/>
  <c r="BU65" i="1"/>
  <c r="BS103" i="1"/>
  <c r="BO102" i="1"/>
  <c r="BQ144" i="1"/>
  <c r="BU145" i="1"/>
  <c r="BS93" i="1"/>
  <c r="BO92" i="1"/>
  <c r="BU170" i="1"/>
  <c r="BQ169" i="1"/>
  <c r="BT61" i="1"/>
  <c r="BP60" i="1"/>
  <c r="BT180" i="1"/>
  <c r="BP179" i="1"/>
  <c r="BP96" i="1"/>
  <c r="BT97" i="1"/>
  <c r="BU78" i="1"/>
  <c r="BQ77" i="1"/>
  <c r="BT24" i="1"/>
  <c r="BP23" i="1"/>
  <c r="BU109" i="1"/>
  <c r="BQ108" i="1"/>
  <c r="BQ120" i="1"/>
  <c r="BU121" i="1"/>
  <c r="BQ72" i="1"/>
  <c r="BU73" i="1"/>
  <c r="BU32" i="1"/>
  <c r="BQ31" i="1"/>
  <c r="BQ14" i="1"/>
  <c r="BU15" i="1"/>
  <c r="BQ22" i="1"/>
  <c r="BU23" i="1"/>
  <c r="BQ174" i="1"/>
  <c r="BU175" i="1"/>
  <c r="BS49" i="1"/>
  <c r="BO48" i="1"/>
  <c r="BP70" i="1"/>
  <c r="BT71" i="1"/>
  <c r="BS78" i="1"/>
  <c r="BO77" i="1"/>
  <c r="BS94" i="1"/>
  <c r="BO93" i="1"/>
  <c r="BO121" i="1"/>
  <c r="BS122" i="1"/>
  <c r="BP57" i="1"/>
  <c r="BT58" i="1"/>
  <c r="BS80" i="1"/>
  <c r="BO79" i="1"/>
  <c r="BS9" i="1"/>
  <c r="BO8" i="1"/>
  <c r="BP121" i="1"/>
  <c r="BT122" i="1"/>
  <c r="BT64" i="1"/>
  <c r="BP63" i="1"/>
  <c r="BS54" i="1"/>
  <c r="BO53" i="1"/>
  <c r="BT184" i="1"/>
  <c r="BP183" i="1"/>
  <c r="BO115" i="1"/>
  <c r="BS116" i="1"/>
  <c r="BP99" i="1"/>
  <c r="BT100" i="1"/>
  <c r="BS25" i="1"/>
  <c r="BO24" i="1"/>
  <c r="BU184" i="1"/>
  <c r="BQ183" i="1"/>
  <c r="BO59" i="1"/>
  <c r="BS60" i="1"/>
  <c r="BO123" i="1"/>
  <c r="BS124" i="1"/>
  <c r="BO103" i="1"/>
  <c r="BS104" i="1"/>
  <c r="BU92" i="1"/>
  <c r="BQ91" i="1"/>
  <c r="BT19" i="1"/>
  <c r="BP18" i="1"/>
  <c r="BT83" i="1"/>
  <c r="BP82" i="1"/>
  <c r="BP139" i="1"/>
  <c r="BT140" i="1"/>
  <c r="BQ104" i="1"/>
  <c r="BU105" i="1"/>
  <c r="BU163" i="1"/>
  <c r="BQ162" i="1"/>
  <c r="BU62" i="1"/>
  <c r="BQ61" i="1"/>
  <c r="BU11" i="1"/>
  <c r="BQ10" i="1"/>
  <c r="BU75" i="1"/>
  <c r="BQ74" i="1"/>
  <c r="BU69" i="1"/>
  <c r="BQ68" i="1"/>
  <c r="BS38" i="1"/>
  <c r="BO37" i="1"/>
  <c r="BU164" i="1"/>
  <c r="BQ163" i="1"/>
  <c r="BO9" i="1"/>
  <c r="BS10" i="1"/>
  <c r="BP133" i="1"/>
  <c r="BT134" i="1"/>
  <c r="BS85" i="1"/>
  <c r="BO84" i="1"/>
  <c r="BO95" i="1"/>
  <c r="BS96" i="1"/>
  <c r="BP45" i="1"/>
  <c r="BT46" i="1"/>
  <c r="BT80" i="1"/>
  <c r="BP79" i="1"/>
  <c r="BS70" i="1"/>
  <c r="BO69" i="1"/>
  <c r="BT200" i="1"/>
  <c r="BP199" i="1"/>
  <c r="BT133" i="1"/>
  <c r="BP132" i="1"/>
  <c r="BT116" i="1"/>
  <c r="BP115" i="1"/>
  <c r="BU192" i="1"/>
  <c r="BQ191" i="1"/>
  <c r="BU70" i="1"/>
  <c r="BQ69" i="1"/>
  <c r="BP136" i="1"/>
  <c r="BT137" i="1"/>
  <c r="BT125" i="1"/>
  <c r="BP124" i="1"/>
  <c r="BT108" i="1"/>
  <c r="BP107" i="1"/>
  <c r="BU108" i="1"/>
  <c r="BQ107" i="1"/>
  <c r="BQ23" i="1"/>
  <c r="BU24" i="1"/>
  <c r="BQ87" i="1"/>
  <c r="BU88" i="1"/>
  <c r="BT188" i="1"/>
  <c r="BP187" i="1"/>
  <c r="BO114" i="1"/>
  <c r="BS115" i="1"/>
  <c r="BU171" i="1"/>
  <c r="BQ170" i="1"/>
  <c r="BU149" i="1"/>
  <c r="BQ148" i="1"/>
  <c r="BS33" i="1"/>
  <c r="BO32" i="1"/>
  <c r="BP88" i="1"/>
  <c r="BT89" i="1"/>
  <c r="BT69" i="1"/>
  <c r="BP68" i="1"/>
  <c r="BS69" i="1"/>
  <c r="BO68" i="1"/>
  <c r="BT43" i="1"/>
  <c r="BP42" i="1"/>
  <c r="BP40" i="1"/>
  <c r="BT41" i="1"/>
  <c r="BT85" i="1"/>
  <c r="BP84" i="1"/>
  <c r="BU178" i="1"/>
  <c r="BQ177" i="1"/>
  <c r="BP17" i="1"/>
  <c r="BT18" i="1"/>
  <c r="BP14" i="1"/>
  <c r="BT15" i="1"/>
  <c r="BT142" i="1"/>
  <c r="BP141" i="1"/>
  <c r="BP89" i="1"/>
  <c r="BT90" i="1"/>
  <c r="BT101" i="1"/>
  <c r="BP100" i="1"/>
  <c r="BO56" i="1"/>
  <c r="BS57" i="1"/>
  <c r="BT126" i="1"/>
  <c r="BP125" i="1"/>
  <c r="BO90" i="1"/>
  <c r="BS91" i="1"/>
  <c r="BT75" i="1"/>
  <c r="BP74" i="1"/>
  <c r="BT208" i="1"/>
  <c r="BP207" i="1"/>
  <c r="BT141" i="1"/>
  <c r="BP140" i="1"/>
  <c r="BS41" i="1"/>
  <c r="BO40" i="1"/>
  <c r="BU22" i="1"/>
  <c r="BQ21" i="1"/>
  <c r="BO107" i="1"/>
  <c r="BS108" i="1"/>
  <c r="BU34" i="1"/>
  <c r="BQ33" i="1"/>
  <c r="BO38" i="1"/>
  <c r="BS39" i="1"/>
  <c r="BQ160" i="1"/>
  <c r="BU161" i="1"/>
  <c r="BQ118" i="1"/>
  <c r="BU119" i="1"/>
  <c r="BU186" i="1"/>
  <c r="BQ185" i="1"/>
  <c r="BU98" i="1"/>
  <c r="BQ97" i="1"/>
  <c r="BO39" i="1"/>
  <c r="BS40" i="1"/>
  <c r="BT148" i="1"/>
  <c r="BP147" i="1"/>
  <c r="BS109" i="1"/>
  <c r="BO108" i="1"/>
  <c r="BQ171" i="1"/>
  <c r="BU172" i="1"/>
  <c r="BU126" i="1"/>
  <c r="BQ125" i="1"/>
  <c r="BU165" i="1"/>
  <c r="BQ164" i="1"/>
  <c r="BO34" i="1"/>
  <c r="BS35" i="1"/>
  <c r="BQ204" i="1"/>
  <c r="BU205" i="1"/>
  <c r="BU147" i="1"/>
  <c r="BQ146" i="1"/>
  <c r="BU20" i="1"/>
  <c r="BQ19" i="1"/>
  <c r="BQ47" i="1"/>
  <c r="BU48" i="1"/>
  <c r="BU112" i="1"/>
  <c r="BQ111" i="1"/>
  <c r="BU27" i="1"/>
  <c r="BQ26" i="1"/>
  <c r="BQ133" i="1"/>
  <c r="BU134" i="1"/>
  <c r="BQ78" i="1"/>
  <c r="BU79" i="1"/>
  <c r="BQ38" i="1"/>
  <c r="BU39" i="1"/>
  <c r="BQ62" i="1"/>
  <c r="BU63" i="1"/>
  <c r="BQ134" i="1"/>
  <c r="BU135" i="1"/>
  <c r="BT59" i="1"/>
  <c r="BP58" i="1"/>
  <c r="BU136" i="1"/>
  <c r="BQ135" i="1"/>
  <c r="BU200" i="1"/>
  <c r="BQ199" i="1"/>
  <c r="BO75" i="1"/>
  <c r="BS76" i="1"/>
  <c r="BP144" i="1"/>
  <c r="BT145" i="1"/>
  <c r="BT147" i="1"/>
  <c r="BP146" i="1"/>
  <c r="BT76" i="1"/>
  <c r="BP75" i="1"/>
  <c r="BQ112" i="1"/>
  <c r="BU113" i="1"/>
  <c r="BU124" i="1"/>
  <c r="BQ123" i="1"/>
  <c r="BT35" i="1"/>
  <c r="BP34" i="1"/>
  <c r="BT99" i="1"/>
  <c r="BP98" i="1"/>
  <c r="BP71" i="1"/>
  <c r="BT72" i="1"/>
  <c r="BT120" i="1"/>
  <c r="BP119" i="1"/>
  <c r="BU179" i="1"/>
  <c r="BQ178" i="1"/>
  <c r="BU115" i="1"/>
  <c r="BQ114" i="1"/>
  <c r="BQ109" i="1"/>
  <c r="BU110" i="1"/>
  <c r="BU94" i="1"/>
  <c r="BQ93" i="1"/>
  <c r="BQ188" i="1"/>
  <c r="BU189" i="1"/>
  <c r="BU91" i="1"/>
  <c r="BQ90" i="1"/>
  <c r="BQ157" i="1"/>
  <c r="BU158" i="1"/>
  <c r="BQ46" i="1"/>
  <c r="BU47" i="1"/>
  <c r="BQ189" i="1"/>
  <c r="BU190" i="1"/>
  <c r="BQ173" i="1"/>
  <c r="BU174" i="1"/>
  <c r="BU85" i="1"/>
  <c r="BQ84" i="1"/>
  <c r="BQ190" i="1"/>
  <c r="BU191" i="1"/>
  <c r="BQ30" i="1"/>
  <c r="BU31" i="1"/>
  <c r="BS14" i="1"/>
  <c r="BO13" i="1"/>
  <c r="BU76" i="1"/>
  <c r="BQ75" i="1"/>
  <c r="BQ40" i="1"/>
  <c r="BU41" i="1"/>
  <c r="BP37" i="1"/>
  <c r="BT38" i="1"/>
  <c r="BP185" i="1"/>
  <c r="BT186" i="1"/>
  <c r="BQ156" i="1"/>
  <c r="BU157" i="1"/>
  <c r="BT31" i="1"/>
  <c r="BP30" i="1"/>
  <c r="BP105" i="1"/>
  <c r="BT106" i="1"/>
  <c r="BS73" i="1"/>
  <c r="BO72" i="1"/>
  <c r="BS31" i="1"/>
  <c r="BO30" i="1"/>
  <c r="BS107" i="1"/>
  <c r="BO106" i="1"/>
  <c r="BT91" i="1"/>
  <c r="BP90" i="1"/>
  <c r="BO27" i="1"/>
  <c r="BS28" i="1"/>
  <c r="BP128" i="1"/>
  <c r="BT129" i="1"/>
  <c r="BO71" i="1"/>
  <c r="BS72" i="1"/>
  <c r="BS7" i="1"/>
  <c r="BO6" i="1"/>
  <c r="BQ168" i="1"/>
  <c r="BU169" i="1"/>
  <c r="BU130" i="1"/>
  <c r="BQ129" i="1"/>
  <c r="BU202" i="1"/>
  <c r="BQ201" i="1"/>
  <c r="BT109" i="1"/>
  <c r="BP108" i="1"/>
  <c r="BT77" i="1"/>
  <c r="BP76" i="1"/>
  <c r="BP195" i="1"/>
  <c r="BT196" i="1"/>
  <c r="BT29" i="1"/>
  <c r="BP28" i="1"/>
  <c r="BU45" i="1"/>
  <c r="BQ44" i="1"/>
  <c r="BQ67" i="1"/>
  <c r="BU68" i="1"/>
  <c r="BU181" i="1"/>
  <c r="BQ180" i="1"/>
  <c r="BU84" i="1"/>
  <c r="BQ83" i="1"/>
  <c r="BQ172" i="1"/>
  <c r="BU173" i="1"/>
  <c r="BQ142" i="1"/>
  <c r="BU143" i="1"/>
  <c r="BP201" i="1"/>
  <c r="BT202" i="1"/>
  <c r="BP67" i="1"/>
  <c r="BT68" i="1"/>
  <c r="BU8" i="1"/>
  <c r="BQ7" i="1"/>
  <c r="BT127" i="1"/>
  <c r="BP126" i="1"/>
  <c r="BT14" i="1"/>
  <c r="BP13" i="1"/>
  <c r="BP120" i="1"/>
  <c r="BT121" i="1"/>
  <c r="BP16" i="1"/>
  <c r="BT17" i="1"/>
  <c r="BQ152" i="1"/>
  <c r="BU153" i="1"/>
  <c r="BU82" i="1"/>
  <c r="BQ81" i="1"/>
  <c r="BS61" i="1"/>
  <c r="BO60" i="1"/>
  <c r="BP33" i="1"/>
  <c r="BT34" i="1"/>
  <c r="BP149" i="1"/>
  <c r="BT150" i="1"/>
  <c r="BS101" i="1"/>
  <c r="BO100" i="1"/>
  <c r="BS112" i="1"/>
  <c r="BO111" i="1"/>
  <c r="BT165" i="1"/>
  <c r="BP164" i="1"/>
  <c r="BP95" i="1"/>
  <c r="BT96" i="1"/>
  <c r="BS86" i="1"/>
  <c r="BO85" i="1"/>
  <c r="BP65" i="1"/>
  <c r="BT66" i="1"/>
  <c r="BO41" i="1"/>
  <c r="BS42" i="1"/>
  <c r="BP165" i="1"/>
  <c r="BT166" i="1"/>
  <c r="BS117" i="1"/>
  <c r="BO116" i="1"/>
  <c r="BP134" i="1"/>
  <c r="BT135" i="1"/>
  <c r="BT78" i="1"/>
  <c r="BP77" i="1"/>
  <c r="BT84" i="1"/>
  <c r="BP83" i="1"/>
  <c r="BT112" i="1"/>
  <c r="BP111" i="1"/>
  <c r="BS102" i="1"/>
  <c r="BO101" i="1"/>
  <c r="BP8" i="1"/>
  <c r="BT9" i="1"/>
  <c r="BT181" i="1"/>
  <c r="BP180" i="1"/>
  <c r="BQ143" i="1"/>
  <c r="BU144" i="1"/>
  <c r="BQ85" i="1"/>
  <c r="BU86" i="1"/>
  <c r="BP152" i="1"/>
  <c r="BT153" i="1"/>
  <c r="BT163" i="1"/>
  <c r="BP162" i="1"/>
  <c r="BT44" i="1"/>
  <c r="BP43" i="1"/>
  <c r="BQ80" i="1"/>
  <c r="BU81" i="1"/>
  <c r="BS119" i="1"/>
  <c r="BO118" i="1"/>
  <c r="BU12" i="1"/>
  <c r="BQ11" i="1"/>
  <c r="BU40" i="1"/>
  <c r="BQ39" i="1"/>
  <c r="BU104" i="1"/>
  <c r="BQ103" i="1"/>
  <c r="BP155" i="1"/>
  <c r="BT156" i="1"/>
  <c r="BQ195" i="1"/>
  <c r="BU196" i="1"/>
  <c r="BU187" i="1"/>
  <c r="BQ186" i="1"/>
  <c r="BU35" i="1"/>
  <c r="BQ34" i="1"/>
  <c r="BU132" i="1"/>
  <c r="BQ131" i="1"/>
  <c r="BQ205" i="1"/>
  <c r="BU206" i="1"/>
  <c r="BQ198" i="1"/>
  <c r="BU199" i="1"/>
  <c r="BS126" i="1"/>
  <c r="BO125" i="1"/>
  <c r="BP47" i="1"/>
  <c r="BT48" i="1"/>
  <c r="BU118" i="1"/>
  <c r="BQ117" i="1"/>
  <c r="BU148" i="1"/>
  <c r="BQ147" i="1"/>
  <c r="BQ60" i="1"/>
  <c r="BU61" i="1"/>
  <c r="BO65" i="1"/>
  <c r="BS66" i="1"/>
  <c r="BP137" i="1"/>
  <c r="BT138" i="1"/>
  <c r="BS53" i="1"/>
  <c r="BO52" i="1"/>
  <c r="BP175" i="1"/>
  <c r="BT176" i="1"/>
  <c r="BO81" i="1"/>
  <c r="BS82" i="1"/>
  <c r="BO110" i="1"/>
  <c r="BS111" i="1"/>
  <c r="BS71" i="1"/>
  <c r="BO70" i="1"/>
  <c r="BT143" i="1"/>
  <c r="BP142" i="1"/>
  <c r="BS89" i="1"/>
  <c r="BO88" i="1"/>
  <c r="BP32" i="1"/>
  <c r="BT33" i="1"/>
  <c r="BT131" i="1"/>
  <c r="BP130" i="1"/>
  <c r="BQ176" i="1"/>
  <c r="BU177" i="1"/>
  <c r="BS13" i="1"/>
  <c r="BO12" i="1"/>
  <c r="BU138" i="1"/>
  <c r="BQ137" i="1"/>
  <c r="BT211" i="1"/>
  <c r="BP210" i="1"/>
  <c r="BT139" i="1"/>
  <c r="BP138" i="1"/>
  <c r="BS120" i="1"/>
  <c r="BO119" i="1"/>
  <c r="BU66" i="1"/>
  <c r="BQ65" i="1"/>
  <c r="BU77" i="1"/>
  <c r="BQ76" i="1"/>
  <c r="BQ124" i="1"/>
  <c r="BU125" i="1"/>
  <c r="BU64" i="1"/>
  <c r="BQ63" i="1"/>
  <c r="BQ127" i="1"/>
  <c r="BU128" i="1"/>
  <c r="BQ54" i="1"/>
  <c r="BU55" i="1"/>
  <c r="BQ150" i="1"/>
  <c r="BU151" i="1"/>
  <c r="BP208" i="1"/>
  <c r="BT209" i="1"/>
  <c r="BP41" i="1"/>
  <c r="BT42" i="1"/>
  <c r="BT207" i="1"/>
  <c r="BP206" i="1"/>
  <c r="BS127" i="1"/>
  <c r="BO126" i="1"/>
  <c r="BQ175" i="1"/>
  <c r="BU176" i="1"/>
  <c r="BQ71" i="1"/>
  <c r="BU72" i="1"/>
  <c r="BQ110" i="1"/>
  <c r="BU111" i="1"/>
  <c r="BQ149" i="1"/>
  <c r="BU150" i="1"/>
  <c r="BQ52" i="1"/>
  <c r="BU53" i="1"/>
  <c r="BQ140" i="1"/>
  <c r="BU141" i="1"/>
  <c r="BT157" i="1"/>
  <c r="BP156" i="1"/>
  <c r="BT7" i="1"/>
  <c r="BP6" i="1"/>
  <c r="BS97" i="1"/>
  <c r="BO96" i="1"/>
  <c r="BT119" i="1"/>
  <c r="BP118" i="1"/>
  <c r="BT102" i="1"/>
  <c r="BP101" i="1"/>
  <c r="BS123" i="1"/>
  <c r="BO122" i="1"/>
  <c r="BT107" i="1"/>
  <c r="BP106" i="1"/>
  <c r="BO19" i="1"/>
  <c r="BS20" i="1"/>
  <c r="BT189" i="1"/>
  <c r="BP188" i="1"/>
  <c r="BT30" i="1"/>
  <c r="BP29" i="1"/>
  <c r="BT3" i="1"/>
  <c r="BT5" i="1"/>
  <c r="BP3" i="1"/>
  <c r="BT4" i="1"/>
  <c r="BP4" i="1"/>
  <c r="BS113" i="1"/>
  <c r="BO112" i="1"/>
  <c r="BP145" i="1"/>
  <c r="BT146" i="1"/>
  <c r="BP160" i="1"/>
  <c r="BT161" i="1"/>
  <c r="BP97" i="1"/>
  <c r="BT98" i="1"/>
  <c r="BO57" i="1"/>
  <c r="BS58" i="1"/>
  <c r="BP181" i="1"/>
  <c r="BT182" i="1"/>
  <c r="BS16" i="1"/>
  <c r="BO15" i="1"/>
  <c r="BP150" i="1"/>
  <c r="BT151" i="1"/>
  <c r="BT94" i="1"/>
  <c r="BP93" i="1"/>
  <c r="BP127" i="1"/>
  <c r="BT128" i="1"/>
  <c r="BS118" i="1"/>
  <c r="BO117" i="1"/>
  <c r="BP24" i="1"/>
  <c r="BT25" i="1"/>
  <c r="BT205" i="1"/>
  <c r="BP204" i="1"/>
  <c r="BO51" i="1"/>
  <c r="BS52" i="1"/>
  <c r="BU152" i="1"/>
  <c r="BQ151" i="1"/>
  <c r="BO91" i="1"/>
  <c r="BS92" i="1"/>
  <c r="BT179" i="1"/>
  <c r="BP178" i="1"/>
  <c r="BT12" i="1"/>
  <c r="BP11" i="1"/>
  <c r="BQ48" i="1"/>
  <c r="BU49" i="1"/>
  <c r="BS87" i="1"/>
  <c r="BO86" i="1"/>
  <c r="BU28" i="1"/>
  <c r="BQ27" i="1"/>
  <c r="BT51" i="1"/>
  <c r="BP50" i="1"/>
  <c r="BT115" i="1"/>
  <c r="BP114" i="1"/>
  <c r="BT204" i="1"/>
  <c r="BP203" i="1"/>
  <c r="BT8" i="1"/>
  <c r="BP7" i="1"/>
  <c r="BS51" i="1"/>
  <c r="BO50" i="1"/>
  <c r="BQ99" i="1"/>
  <c r="BU100" i="1"/>
  <c r="BU46" i="1"/>
  <c r="BQ45" i="1"/>
  <c r="BU107" i="1"/>
  <c r="BQ106" i="1"/>
  <c r="BU101" i="1"/>
  <c r="BQ100" i="1"/>
  <c r="BQ206" i="1"/>
  <c r="BU207" i="1"/>
  <c r="BS64" i="1"/>
  <c r="BO63" i="1"/>
  <c r="BP73" i="1"/>
  <c r="BT74" i="1"/>
  <c r="BP166" i="1"/>
  <c r="BT167" i="1"/>
  <c r="BT110" i="1"/>
  <c r="BP109" i="1"/>
  <c r="BP80" i="1"/>
  <c r="BT81" i="1"/>
  <c r="BQ32" i="1"/>
  <c r="BU33" i="1"/>
  <c r="BQ102" i="1"/>
  <c r="BU103" i="1"/>
  <c r="BO66" i="1"/>
  <c r="BS67" i="1"/>
  <c r="BU99" i="1"/>
  <c r="BQ98" i="1"/>
  <c r="BQ182" i="1"/>
  <c r="BU183" i="1"/>
  <c r="BU80" i="1"/>
  <c r="BQ79" i="1"/>
  <c r="BO3" i="1"/>
  <c r="BS5" i="1"/>
  <c r="BS4" i="1"/>
  <c r="BS3" i="1"/>
  <c r="BO4" i="1"/>
  <c r="BS65" i="1"/>
  <c r="BO64" i="1"/>
  <c r="BT87" i="1"/>
  <c r="BP86" i="1"/>
  <c r="BQ6" i="1"/>
  <c r="BU7" i="1"/>
  <c r="BT70" i="1"/>
  <c r="BP69" i="1"/>
  <c r="BO97" i="1"/>
  <c r="BS98" i="1"/>
  <c r="BS6" i="1"/>
  <c r="BO5" i="1"/>
  <c r="BS81" i="1"/>
  <c r="BO80" i="1"/>
  <c r="BT103" i="1"/>
  <c r="BP102" i="1"/>
  <c r="BO25" i="1"/>
  <c r="BS26" i="1"/>
  <c r="BT62" i="1"/>
  <c r="BP61" i="1"/>
  <c r="BT118" i="1"/>
  <c r="BP117" i="1"/>
  <c r="BP153" i="1"/>
  <c r="BT154" i="1"/>
  <c r="BP168" i="1"/>
  <c r="BT169" i="1"/>
  <c r="BP113" i="1"/>
  <c r="BT114" i="1"/>
  <c r="BT63" i="1"/>
  <c r="BP62" i="1"/>
  <c r="BT190" i="1"/>
  <c r="BP189" i="1"/>
  <c r="BT21" i="1"/>
  <c r="BP20" i="1"/>
  <c r="BT159" i="1"/>
  <c r="BP158" i="1"/>
  <c r="BS105" i="1"/>
  <c r="BO104" i="1"/>
  <c r="BS11" i="1"/>
  <c r="BO10" i="1"/>
  <c r="BT123" i="1"/>
  <c r="BP122" i="1"/>
  <c r="BO35" i="1"/>
  <c r="BS36" i="1"/>
  <c r="BO14" i="1"/>
  <c r="BS15" i="1"/>
  <c r="BP104" i="1"/>
  <c r="BT105" i="1"/>
  <c r="BU38" i="1"/>
  <c r="BQ37" i="1"/>
  <c r="BS125" i="1"/>
  <c r="BO124" i="1"/>
  <c r="BP123" i="1"/>
  <c r="BT124" i="1"/>
  <c r="BQ184" i="1"/>
  <c r="BU185" i="1"/>
  <c r="BS29" i="1"/>
  <c r="BO28" i="1"/>
  <c r="BU146" i="1"/>
  <c r="BQ145" i="1"/>
  <c r="BU194" i="1"/>
  <c r="BQ193" i="1"/>
  <c r="BT171" i="1"/>
  <c r="BP170" i="1"/>
  <c r="BT187" i="1"/>
  <c r="BP186" i="1"/>
  <c r="BT164" i="1"/>
  <c r="BP163" i="1"/>
  <c r="BU114" i="1"/>
  <c r="BQ113" i="1"/>
  <c r="BU204" i="1"/>
  <c r="BQ203" i="1"/>
  <c r="BS83" i="1"/>
  <c r="BO82" i="1"/>
  <c r="BU131" i="1"/>
  <c r="BQ130" i="1"/>
  <c r="BU195" i="1"/>
  <c r="BQ194" i="1"/>
  <c r="BU51" i="1"/>
  <c r="BQ50" i="1"/>
  <c r="BQ155" i="1"/>
  <c r="BU156" i="1"/>
  <c r="BQ88" i="1"/>
  <c r="BU89" i="1"/>
  <c r="BQ35" i="1"/>
  <c r="BU36" i="1"/>
  <c r="BT40" i="1"/>
  <c r="BP39" i="1"/>
  <c r="BQ158" i="1"/>
  <c r="BU159" i="1"/>
  <c r="BS37" i="1"/>
  <c r="BO36" i="1"/>
  <c r="BS88" i="1"/>
  <c r="BO87" i="1"/>
  <c r="BS59" i="1"/>
  <c r="BO58" i="1"/>
  <c r="BO99" i="1"/>
  <c r="BS100" i="1"/>
  <c r="BO78" i="1"/>
  <c r="BS79" i="1"/>
  <c r="BT54" i="1"/>
  <c r="BP53" i="1"/>
  <c r="BS75" i="1"/>
  <c r="BO74" i="1"/>
  <c r="BT155" i="1"/>
  <c r="BP154" i="1"/>
  <c r="BP5" i="1"/>
  <c r="BT6" i="1"/>
  <c r="BP85" i="1"/>
  <c r="BT86" i="1"/>
  <c r="BO113" i="1"/>
  <c r="BS114" i="1"/>
  <c r="BP49" i="1"/>
  <c r="BT50" i="1"/>
  <c r="BT158" i="1"/>
  <c r="BP157" i="1"/>
  <c r="BT117" i="1"/>
  <c r="BP116" i="1"/>
  <c r="BQ159" i="1"/>
  <c r="BU160" i="1"/>
  <c r="BU102" i="1"/>
  <c r="BQ101" i="1"/>
  <c r="BT13" i="1"/>
  <c r="BP12" i="1"/>
  <c r="BT195" i="1"/>
  <c r="BP194" i="1"/>
  <c r="BQ16" i="1"/>
  <c r="BU17" i="1"/>
  <c r="BS55" i="1"/>
  <c r="BO54" i="1"/>
  <c r="BU44" i="1"/>
  <c r="BQ43" i="1"/>
  <c r="BQ55" i="1"/>
  <c r="BU56" i="1"/>
  <c r="BQ119" i="1"/>
  <c r="BU120" i="1"/>
  <c r="BO17" i="1"/>
  <c r="BS18" i="1"/>
  <c r="BP161" i="1"/>
  <c r="BT162" i="1"/>
  <c r="BP176" i="1"/>
  <c r="BT177" i="1"/>
  <c r="BS30" i="1"/>
  <c r="BO29" i="1"/>
  <c r="BO73" i="1"/>
  <c r="BS74" i="1"/>
  <c r="BT198" i="1"/>
  <c r="BP197" i="1"/>
  <c r="BS32" i="1"/>
  <c r="BO31" i="1"/>
  <c r="BT175" i="1"/>
  <c r="BP174" i="1"/>
  <c r="BO120" i="1"/>
  <c r="BS121" i="1"/>
  <c r="BT16" i="1"/>
  <c r="BP15" i="1"/>
  <c r="BT136" i="1"/>
  <c r="BP135" i="1"/>
  <c r="BT149" i="1"/>
  <c r="BP148" i="1"/>
  <c r="BO33" i="1"/>
  <c r="BS34" i="1"/>
  <c r="BP169" i="1"/>
  <c r="BT170" i="1"/>
  <c r="BP184" i="1"/>
  <c r="BT185" i="1"/>
  <c r="BS46" i="1"/>
  <c r="BO45" i="1"/>
  <c r="BT79" i="1"/>
  <c r="BP78" i="1"/>
  <c r="BP205" i="1"/>
  <c r="BT206" i="1"/>
  <c r="BT37" i="1"/>
  <c r="BP36" i="1"/>
  <c r="BP182" i="1"/>
  <c r="BT183" i="1"/>
  <c r="BS27" i="1"/>
  <c r="BO26" i="1"/>
  <c r="BT11" i="1"/>
  <c r="BP10" i="1"/>
  <c r="BP143" i="1"/>
  <c r="BT144" i="1"/>
  <c r="BO67" i="1"/>
  <c r="BS68" i="1"/>
  <c r="BP35" i="1"/>
  <c r="BT36" i="1"/>
  <c r="BT197" i="1"/>
  <c r="BP196" i="1"/>
  <c r="BP48" i="1"/>
  <c r="BT49" i="1"/>
  <c r="BU18" i="1"/>
  <c r="BQ17" i="1"/>
  <c r="BP91" i="1"/>
  <c r="BT92" i="1"/>
  <c r="BQ128" i="1"/>
  <c r="BU129" i="1"/>
  <c r="BQ192" i="1"/>
  <c r="BU193" i="1"/>
  <c r="BS45" i="1"/>
  <c r="BO44" i="1"/>
  <c r="BU154" i="1"/>
  <c r="BQ153" i="1"/>
  <c r="BS24" i="1"/>
  <c r="BO23" i="1"/>
  <c r="BT203" i="1"/>
  <c r="BP202" i="1"/>
  <c r="BQ139" i="1"/>
  <c r="BU140" i="1"/>
  <c r="BU13" i="1"/>
  <c r="BQ12" i="1"/>
  <c r="BT56" i="1"/>
  <c r="BP55" i="1"/>
  <c r="BQ92" i="1"/>
  <c r="BU93" i="1"/>
  <c r="BU139" i="1"/>
  <c r="BQ138" i="1"/>
  <c r="BU203" i="1"/>
  <c r="BQ202" i="1"/>
  <c r="BU67" i="1"/>
  <c r="BQ66" i="1"/>
  <c r="BU133" i="1"/>
  <c r="BQ132" i="1"/>
  <c r="BQ56" i="1"/>
  <c r="BU57" i="1"/>
  <c r="BQ8" i="1"/>
  <c r="BU9" i="1"/>
  <c r="BQ13" i="1"/>
  <c r="BU14" i="1"/>
  <c r="BU59" i="1"/>
  <c r="BQ58" i="1"/>
  <c r="BO105" i="1"/>
  <c r="BS106" i="1"/>
  <c r="BO43" i="1"/>
  <c r="BS44" i="1"/>
  <c r="BU155" i="1"/>
  <c r="BQ154" i="1"/>
  <c r="BU116" i="1"/>
  <c r="BQ115" i="1"/>
  <c r="BP209" i="1"/>
  <c r="BT210" i="1"/>
  <c r="BT111" i="1"/>
  <c r="BP110" i="1"/>
  <c r="BP191" i="1"/>
  <c r="BT192" i="1"/>
  <c r="BQ28" i="1"/>
  <c r="BU29" i="1"/>
  <c r="BT173" i="1"/>
  <c r="BP172" i="1"/>
  <c r="BU3" i="1"/>
  <c r="BQ3" i="1"/>
  <c r="BU5" i="1"/>
  <c r="BQ4" i="1"/>
  <c r="BU4" i="1"/>
  <c r="BP129" i="1"/>
  <c r="BT130" i="1"/>
  <c r="BP81" i="1"/>
  <c r="BT82" i="1"/>
  <c r="BP46" i="1"/>
  <c r="BT47" i="1"/>
  <c r="BT174" i="1"/>
  <c r="BP173" i="1"/>
  <c r="BP56" i="1"/>
  <c r="BT57" i="1"/>
  <c r="BP19" i="1"/>
  <c r="BT20" i="1"/>
  <c r="BS17" i="1"/>
  <c r="BO16" i="1"/>
  <c r="BP38" i="1"/>
  <c r="BT39" i="1"/>
  <c r="BP177" i="1"/>
  <c r="BT178" i="1"/>
  <c r="BP192" i="1"/>
  <c r="BT193" i="1"/>
  <c r="BS62" i="1"/>
  <c r="BO61" i="1"/>
  <c r="BO89" i="1"/>
  <c r="BS90" i="1"/>
  <c r="BS21" i="1"/>
  <c r="BO20" i="1"/>
  <c r="BS48" i="1"/>
  <c r="BO47" i="1"/>
  <c r="BT191" i="1"/>
  <c r="BP190" i="1"/>
  <c r="BT32" i="1"/>
  <c r="BP31" i="1"/>
  <c r="BS22" i="1"/>
  <c r="BO21" i="1"/>
  <c r="BT152" i="1"/>
  <c r="BP151" i="1"/>
  <c r="BP72" i="1"/>
  <c r="BT73" i="1"/>
  <c r="BO46" i="1"/>
  <c r="BS47" i="1"/>
  <c r="BP51" i="1"/>
  <c r="BT52" i="1"/>
  <c r="BU168" i="1"/>
  <c r="BQ167" i="1"/>
  <c r="BP112" i="1"/>
  <c r="BT113" i="1"/>
  <c r="BS56" i="1"/>
  <c r="BO55" i="1"/>
  <c r="BS23" i="1"/>
  <c r="BO22" i="1"/>
  <c r="BU60" i="1"/>
  <c r="BQ59" i="1"/>
  <c r="BT67" i="1"/>
  <c r="BP66" i="1"/>
  <c r="BP171" i="1"/>
  <c r="BT172" i="1"/>
  <c r="BU188" i="1"/>
  <c r="BQ187" i="1"/>
  <c r="BU52" i="1"/>
  <c r="BQ51" i="1"/>
  <c r="BQ94" i="1"/>
  <c r="BU95" i="1"/>
  <c r="BU117" i="1"/>
  <c r="BQ116" i="1"/>
  <c r="BQ166" i="1"/>
  <c r="BU167" i="1"/>
  <c r="BU90" i="1"/>
  <c r="BQ89" i="1"/>
  <c r="K3" i="1"/>
  <c r="R3" i="1"/>
  <c r="O3" i="1" a="1"/>
  <c r="O3" i="1" s="1"/>
  <c r="L3" i="1"/>
  <c r="L71" i="1" s="1"/>
  <c r="J3" i="1"/>
  <c r="J77" i="1" s="1"/>
  <c r="S3" i="1"/>
  <c r="S45" i="1" s="1"/>
  <c r="Q3" i="1"/>
  <c r="C37" i="26" l="1"/>
  <c r="D102" i="1"/>
  <c r="D99" i="1"/>
  <c r="D101" i="1"/>
  <c r="D97" i="1"/>
  <c r="D103" i="1"/>
  <c r="D100" i="1"/>
  <c r="D98" i="1"/>
  <c r="C102" i="1"/>
  <c r="C99" i="1"/>
  <c r="C101" i="1"/>
  <c r="C97" i="1"/>
  <c r="C103" i="1"/>
  <c r="C100" i="1"/>
  <c r="C98" i="1"/>
  <c r="E14" i="40"/>
  <c r="E62" i="40"/>
  <c r="E14" i="37"/>
  <c r="E62" i="37"/>
  <c r="E62" i="27"/>
  <c r="E14" i="27"/>
  <c r="E14" i="35"/>
  <c r="E62" i="35"/>
  <c r="E62" i="33"/>
  <c r="E14" i="33"/>
  <c r="E66" i="40"/>
  <c r="E18" i="40"/>
  <c r="E18" i="37"/>
  <c r="E66" i="37"/>
  <c r="E18" i="27"/>
  <c r="E66" i="27"/>
  <c r="E66" i="35"/>
  <c r="E18" i="35"/>
  <c r="E66" i="33"/>
  <c r="E18" i="33"/>
  <c r="E68" i="40"/>
  <c r="E20" i="40"/>
  <c r="E68" i="37"/>
  <c r="E20" i="37"/>
  <c r="E20" i="27"/>
  <c r="E68" i="27"/>
  <c r="E20" i="35"/>
  <c r="E68" i="35"/>
  <c r="E20" i="33"/>
  <c r="E68" i="33"/>
  <c r="E63" i="40"/>
  <c r="E15" i="40"/>
  <c r="E15" i="37"/>
  <c r="E63" i="37"/>
  <c r="E63" i="27"/>
  <c r="E15" i="27"/>
  <c r="E15" i="35"/>
  <c r="E63" i="35"/>
  <c r="E15" i="33"/>
  <c r="E63" i="33"/>
  <c r="E17" i="40"/>
  <c r="E65" i="40"/>
  <c r="E17" i="37"/>
  <c r="E65" i="37"/>
  <c r="E17" i="27"/>
  <c r="E65" i="27"/>
  <c r="E17" i="35"/>
  <c r="E65" i="35"/>
  <c r="E65" i="33"/>
  <c r="E17" i="33"/>
  <c r="J24" i="1"/>
  <c r="C31" i="2" s="1"/>
  <c r="J50" i="1"/>
  <c r="C31" i="24" s="1"/>
  <c r="J75" i="1"/>
  <c r="C30" i="26" s="1"/>
  <c r="J74" i="1"/>
  <c r="C29" i="26" s="1"/>
  <c r="J47" i="1"/>
  <c r="C28" i="24" s="1"/>
  <c r="J72" i="1"/>
  <c r="C27" i="26" s="1"/>
  <c r="J46" i="1"/>
  <c r="C27" i="24" s="1"/>
  <c r="J49" i="1"/>
  <c r="C30" i="24" s="1"/>
  <c r="J48" i="1"/>
  <c r="C29" i="24" s="1"/>
  <c r="J73" i="1"/>
  <c r="C28" i="26" s="1"/>
  <c r="J71" i="1"/>
  <c r="C26" i="26" s="1"/>
  <c r="J45" i="1"/>
  <c r="C26" i="24" s="1"/>
  <c r="J76" i="1"/>
  <c r="C31" i="26" s="1"/>
  <c r="J51" i="1"/>
  <c r="C32" i="24" s="1"/>
  <c r="C39" i="26"/>
  <c r="Q21" i="1"/>
  <c r="C40" i="2" s="1"/>
  <c r="Q73" i="1"/>
  <c r="C64" i="26" s="1"/>
  <c r="Q45" i="1"/>
  <c r="C38" i="24" s="1"/>
  <c r="Q76" i="1"/>
  <c r="C67" i="26" s="1"/>
  <c r="Q48" i="1"/>
  <c r="C41" i="24" s="1"/>
  <c r="Q72" i="1"/>
  <c r="C63" i="26" s="1"/>
  <c r="Q46" i="1"/>
  <c r="C39" i="24" s="1"/>
  <c r="Q71" i="1"/>
  <c r="C62" i="26" s="1"/>
  <c r="Q74" i="1"/>
  <c r="C65" i="26" s="1"/>
  <c r="Q47" i="1"/>
  <c r="C40" i="24" s="1"/>
  <c r="Q50" i="1"/>
  <c r="C67" i="24" s="1"/>
  <c r="Q51" i="1"/>
  <c r="C68" i="24" s="1"/>
  <c r="Q75" i="1"/>
  <c r="C66" i="26" s="1"/>
  <c r="Q49" i="1"/>
  <c r="C66" i="24" s="1"/>
  <c r="E16" i="40"/>
  <c r="E64" i="40"/>
  <c r="E16" i="37"/>
  <c r="E64" i="37"/>
  <c r="E64" i="27"/>
  <c r="E16" i="27"/>
  <c r="E64" i="35"/>
  <c r="E16" i="35"/>
  <c r="E64" i="33"/>
  <c r="E16" i="33"/>
  <c r="E67" i="40"/>
  <c r="E19" i="40"/>
  <c r="E19" i="37"/>
  <c r="E67" i="37"/>
  <c r="E67" i="27"/>
  <c r="E19" i="27"/>
  <c r="E19" i="35"/>
  <c r="E67" i="35"/>
  <c r="E19" i="33"/>
  <c r="E67" i="33"/>
  <c r="C63" i="24"/>
  <c r="C64" i="24"/>
  <c r="Q77" i="1"/>
  <c r="C68" i="26" s="1"/>
  <c r="E37" i="24"/>
  <c r="S81" i="1"/>
  <c r="D13" i="40"/>
  <c r="D13" i="37"/>
  <c r="D13" i="27"/>
  <c r="D13" i="35"/>
  <c r="D13" i="33"/>
  <c r="C49" i="40"/>
  <c r="C13" i="40"/>
  <c r="C13" i="37"/>
  <c r="C49" i="37"/>
  <c r="C13" i="27"/>
  <c r="C49" i="27"/>
  <c r="C13" i="35"/>
  <c r="C49" i="35"/>
  <c r="C49" i="33"/>
  <c r="C13" i="33"/>
  <c r="L45" i="1"/>
  <c r="E26" i="24" s="1"/>
  <c r="L22" i="1"/>
  <c r="E29" i="2" s="1"/>
  <c r="L77" i="1"/>
  <c r="E32" i="26" s="1"/>
  <c r="L46" i="1"/>
  <c r="E27" i="24" s="1"/>
  <c r="L50" i="1"/>
  <c r="E31" i="24" s="1"/>
  <c r="L72" i="1"/>
  <c r="E27" i="26" s="1"/>
  <c r="L48" i="1"/>
  <c r="E29" i="24" s="1"/>
  <c r="L74" i="1"/>
  <c r="E29" i="26" s="1"/>
  <c r="L76" i="1"/>
  <c r="E31" i="26" s="1"/>
  <c r="L47" i="1"/>
  <c r="E28" i="24" s="1"/>
  <c r="L73" i="1"/>
  <c r="E28" i="26" s="1"/>
  <c r="L49" i="1"/>
  <c r="E30" i="24" s="1"/>
  <c r="L75" i="1"/>
  <c r="E30" i="26" s="1"/>
  <c r="L51" i="1"/>
  <c r="E32" i="24" s="1"/>
  <c r="S71" i="1"/>
  <c r="E49" i="24"/>
  <c r="S48" i="1"/>
  <c r="S74" i="1"/>
  <c r="S50" i="1"/>
  <c r="S76" i="1"/>
  <c r="S51" i="1"/>
  <c r="S46" i="1"/>
  <c r="S47" i="1"/>
  <c r="S73" i="1"/>
  <c r="S49" i="1"/>
  <c r="S75" i="1"/>
  <c r="S77" i="1"/>
  <c r="S72" i="1"/>
  <c r="L85" i="1"/>
  <c r="Q84" i="1"/>
  <c r="C61" i="26"/>
  <c r="S84" i="1"/>
  <c r="Q82" i="1"/>
  <c r="J83" i="1"/>
  <c r="L86" i="1"/>
  <c r="E49" i="26"/>
  <c r="E37" i="26"/>
  <c r="L87" i="1"/>
  <c r="L81" i="1"/>
  <c r="C37" i="24"/>
  <c r="C61" i="24"/>
  <c r="J85" i="1"/>
  <c r="Q85" i="1"/>
  <c r="R84" i="1"/>
  <c r="R87" i="1"/>
  <c r="S86" i="1"/>
  <c r="C92" i="1"/>
  <c r="S83" i="1"/>
  <c r="K88" i="1"/>
  <c r="J88" i="1"/>
  <c r="J81" i="1"/>
  <c r="S88" i="1"/>
  <c r="L88" i="1"/>
  <c r="L83" i="1"/>
  <c r="R86" i="1"/>
  <c r="K83" i="1"/>
  <c r="K85" i="1"/>
  <c r="J82" i="1"/>
  <c r="K87" i="1"/>
  <c r="Q83" i="1"/>
  <c r="S85" i="1"/>
  <c r="K86" i="1"/>
  <c r="K82" i="1"/>
  <c r="Q81" i="1"/>
  <c r="J87" i="1"/>
  <c r="K84" i="1"/>
  <c r="Q88" i="1"/>
  <c r="R82" i="1"/>
  <c r="R83" i="1"/>
  <c r="J84" i="1"/>
  <c r="R85" i="1"/>
  <c r="Q87" i="1"/>
  <c r="L84" i="1"/>
  <c r="D92" i="1"/>
  <c r="E26" i="26"/>
  <c r="C32" i="26"/>
  <c r="D37" i="26"/>
  <c r="D49" i="26"/>
  <c r="D25" i="26"/>
  <c r="F25" i="26" s="1"/>
  <c r="D61" i="26"/>
  <c r="C59" i="26"/>
  <c r="C35" i="26"/>
  <c r="C11" i="26"/>
  <c r="J13" i="26" s="1"/>
  <c r="C23" i="26"/>
  <c r="C47" i="26"/>
  <c r="D37" i="24"/>
  <c r="F20" i="26"/>
  <c r="F14" i="26"/>
  <c r="F16" i="26"/>
  <c r="F15" i="26"/>
  <c r="F17" i="26"/>
  <c r="F18" i="26"/>
  <c r="F19" i="26"/>
  <c r="C47" i="24"/>
  <c r="C11" i="24"/>
  <c r="G13" i="24" s="1"/>
  <c r="C23" i="24"/>
  <c r="C35" i="24"/>
  <c r="E50" i="24"/>
  <c r="E38" i="24"/>
  <c r="D49" i="24"/>
  <c r="D25" i="24"/>
  <c r="F25" i="24" s="1"/>
  <c r="D61" i="24"/>
  <c r="R88" i="1"/>
  <c r="F17" i="24"/>
  <c r="F14" i="24"/>
  <c r="F15" i="24"/>
  <c r="F16" i="24"/>
  <c r="F20" i="24"/>
  <c r="F18" i="24"/>
  <c r="F19" i="24"/>
  <c r="S82" i="1"/>
  <c r="Q86" i="1"/>
  <c r="S87" i="1"/>
  <c r="L82" i="1"/>
  <c r="J86" i="1"/>
  <c r="C96" i="1"/>
  <c r="R81" i="1"/>
  <c r="E92" i="1"/>
  <c r="E96" i="1"/>
  <c r="K81" i="1"/>
  <c r="K103" i="1" s="1"/>
  <c r="D96" i="1"/>
  <c r="K75" i="1"/>
  <c r="K72" i="1"/>
  <c r="K76" i="1"/>
  <c r="K77" i="1"/>
  <c r="K73" i="1"/>
  <c r="K71" i="1"/>
  <c r="K74" i="1"/>
  <c r="K66" i="1"/>
  <c r="K70" i="1"/>
  <c r="L70" i="1"/>
  <c r="L66" i="1"/>
  <c r="S66" i="1"/>
  <c r="S70" i="1"/>
  <c r="R70" i="1"/>
  <c r="R66" i="1"/>
  <c r="J66" i="1"/>
  <c r="J70" i="1"/>
  <c r="R72" i="1"/>
  <c r="R77" i="1"/>
  <c r="R71" i="1"/>
  <c r="R75" i="1"/>
  <c r="R74" i="1"/>
  <c r="R73" i="1"/>
  <c r="R76" i="1"/>
  <c r="Q70" i="1"/>
  <c r="Q66" i="1"/>
  <c r="D25" i="2"/>
  <c r="K49" i="1"/>
  <c r="K46" i="1"/>
  <c r="K47" i="1"/>
  <c r="K51" i="1"/>
  <c r="K45" i="1"/>
  <c r="K50" i="1"/>
  <c r="K48" i="1"/>
  <c r="R20" i="1"/>
  <c r="R47" i="1"/>
  <c r="R51" i="1"/>
  <c r="R48" i="1"/>
  <c r="R49" i="1"/>
  <c r="R45" i="1"/>
  <c r="R50" i="1"/>
  <c r="R46" i="1"/>
  <c r="L40" i="1"/>
  <c r="L44" i="1"/>
  <c r="R44" i="1"/>
  <c r="R40" i="1"/>
  <c r="S40" i="1"/>
  <c r="S44" i="1"/>
  <c r="J40" i="1"/>
  <c r="J44" i="1"/>
  <c r="K40" i="1"/>
  <c r="K44" i="1"/>
  <c r="Q44" i="1"/>
  <c r="Q40" i="1"/>
  <c r="K20" i="1"/>
  <c r="K24" i="1"/>
  <c r="K21" i="1"/>
  <c r="K22" i="1"/>
  <c r="K14" i="1"/>
  <c r="K23" i="1"/>
  <c r="K19" i="1"/>
  <c r="K25" i="1"/>
  <c r="D56" i="2" s="1"/>
  <c r="J19" i="1"/>
  <c r="C26" i="2" s="1"/>
  <c r="R14" i="1"/>
  <c r="R22" i="1"/>
  <c r="R18" i="1"/>
  <c r="R21" i="1"/>
  <c r="R24" i="1"/>
  <c r="R19" i="1"/>
  <c r="K18" i="1"/>
  <c r="R25" i="1"/>
  <c r="D44" i="2" s="1"/>
  <c r="D37" i="2"/>
  <c r="L20" i="1"/>
  <c r="E27" i="2" s="1"/>
  <c r="R23" i="1"/>
  <c r="D61" i="2"/>
  <c r="L23" i="1"/>
  <c r="E30" i="2" s="1"/>
  <c r="L24" i="1"/>
  <c r="E31" i="2" s="1"/>
  <c r="L14" i="1"/>
  <c r="L25" i="1"/>
  <c r="E32" i="2" s="1"/>
  <c r="D49" i="2"/>
  <c r="J23" i="1"/>
  <c r="C30" i="2" s="1"/>
  <c r="J22" i="1"/>
  <c r="C29" i="2" s="1"/>
  <c r="J21" i="1"/>
  <c r="C28" i="2" s="1"/>
  <c r="L19" i="1"/>
  <c r="E25" i="2"/>
  <c r="Q19" i="1"/>
  <c r="C38" i="2" s="1"/>
  <c r="J18" i="1"/>
  <c r="Q20" i="1"/>
  <c r="C39" i="2" s="1"/>
  <c r="Q22" i="1"/>
  <c r="C41" i="2" s="1"/>
  <c r="J25" i="1"/>
  <c r="L18" i="1"/>
  <c r="J14" i="1"/>
  <c r="Q18" i="1"/>
  <c r="L21" i="1"/>
  <c r="E28" i="2" s="1"/>
  <c r="C25" i="2"/>
  <c r="Q25" i="1"/>
  <c r="Q14" i="1"/>
  <c r="Q24" i="1"/>
  <c r="C67" i="2" s="1"/>
  <c r="C61" i="2"/>
  <c r="E49" i="2"/>
  <c r="E37" i="2"/>
  <c r="C37" i="2"/>
  <c r="Q23" i="1"/>
  <c r="J20" i="1"/>
  <c r="C27" i="2" s="1"/>
  <c r="S25" i="1"/>
  <c r="E44" i="2" s="1"/>
  <c r="S19" i="1"/>
  <c r="S24" i="1"/>
  <c r="E55" i="2" s="1"/>
  <c r="S18" i="1"/>
  <c r="S23" i="1"/>
  <c r="E54" i="2" s="1"/>
  <c r="S14" i="1"/>
  <c r="S22" i="1"/>
  <c r="E41" i="2" s="1"/>
  <c r="S21" i="1"/>
  <c r="E40" i="2" s="1"/>
  <c r="S20" i="1"/>
  <c r="E39" i="2" s="1"/>
  <c r="S103" i="1" l="1"/>
  <c r="E44" i="35" s="1"/>
  <c r="S102" i="1"/>
  <c r="E55" i="27" s="1"/>
  <c r="S99" i="1"/>
  <c r="S101" i="1"/>
  <c r="E42" i="27" s="1"/>
  <c r="S98" i="1"/>
  <c r="S100" i="1"/>
  <c r="E41" i="33" s="1"/>
  <c r="L97" i="1"/>
  <c r="Q101" i="1"/>
  <c r="C66" i="40" s="1"/>
  <c r="Q103" i="1"/>
  <c r="C68" i="40" s="1"/>
  <c r="Q102" i="1"/>
  <c r="Q99" i="1"/>
  <c r="Q98" i="1"/>
  <c r="Q100" i="1"/>
  <c r="Q97" i="1"/>
  <c r="L100" i="1"/>
  <c r="L102" i="1"/>
  <c r="L99" i="1"/>
  <c r="L101" i="1"/>
  <c r="L98" i="1"/>
  <c r="L103" i="1"/>
  <c r="R103" i="1"/>
  <c r="D44" i="37" s="1"/>
  <c r="S97" i="1"/>
  <c r="E38" i="33" s="1"/>
  <c r="J97" i="1"/>
  <c r="J102" i="1"/>
  <c r="J99" i="1"/>
  <c r="J101" i="1"/>
  <c r="J98" i="1"/>
  <c r="J100" i="1"/>
  <c r="J103" i="1"/>
  <c r="C32" i="35" s="1"/>
  <c r="C40" i="26"/>
  <c r="R101" i="1"/>
  <c r="R102" i="1"/>
  <c r="K101" i="1"/>
  <c r="D66" i="40" s="1"/>
  <c r="K102" i="1"/>
  <c r="D67" i="40" s="1"/>
  <c r="R99" i="1"/>
  <c r="D40" i="33" s="1"/>
  <c r="R100" i="1"/>
  <c r="D41" i="37" s="1"/>
  <c r="K99" i="1"/>
  <c r="D64" i="27" s="1"/>
  <c r="K100" i="1"/>
  <c r="D65" i="37" s="1"/>
  <c r="R97" i="1"/>
  <c r="D38" i="35" s="1"/>
  <c r="R98" i="1"/>
  <c r="D39" i="35" s="1"/>
  <c r="K97" i="1"/>
  <c r="D50" i="27" s="1"/>
  <c r="K98" i="1"/>
  <c r="D27" i="27" s="1"/>
  <c r="E40" i="35"/>
  <c r="E54" i="35"/>
  <c r="E39" i="35"/>
  <c r="E53" i="27"/>
  <c r="E26" i="27"/>
  <c r="C38" i="26"/>
  <c r="C65" i="24"/>
  <c r="C41" i="26"/>
  <c r="D32" i="27"/>
  <c r="D43" i="35"/>
  <c r="D42" i="40"/>
  <c r="F13" i="40"/>
  <c r="C44" i="26"/>
  <c r="C42" i="24"/>
  <c r="C44" i="24"/>
  <c r="C42" i="26"/>
  <c r="D18" i="40"/>
  <c r="D18" i="37"/>
  <c r="D18" i="27"/>
  <c r="D18" i="35"/>
  <c r="D18" i="33"/>
  <c r="C54" i="40"/>
  <c r="C18" i="40"/>
  <c r="C18" i="37"/>
  <c r="C54" i="37"/>
  <c r="C54" i="27"/>
  <c r="C18" i="27"/>
  <c r="C18" i="35"/>
  <c r="C54" i="35"/>
  <c r="C18" i="33"/>
  <c r="C54" i="33"/>
  <c r="C65" i="2"/>
  <c r="C43" i="24"/>
  <c r="C43" i="26"/>
  <c r="D15" i="40"/>
  <c r="D15" i="37"/>
  <c r="D15" i="27"/>
  <c r="D15" i="35"/>
  <c r="D15" i="33"/>
  <c r="D19" i="40"/>
  <c r="D19" i="37"/>
  <c r="D19" i="27"/>
  <c r="D19" i="35"/>
  <c r="D19" i="33"/>
  <c r="C19" i="40"/>
  <c r="C55" i="40"/>
  <c r="C55" i="37"/>
  <c r="C19" i="37"/>
  <c r="C55" i="27"/>
  <c r="C19" i="27"/>
  <c r="C55" i="35"/>
  <c r="C19" i="35"/>
  <c r="C19" i="33"/>
  <c r="C55" i="33"/>
  <c r="D20" i="40"/>
  <c r="D20" i="37"/>
  <c r="D20" i="27"/>
  <c r="D20" i="35"/>
  <c r="D20" i="33"/>
  <c r="C56" i="40"/>
  <c r="C20" i="40"/>
  <c r="C20" i="37"/>
  <c r="C56" i="37"/>
  <c r="C56" i="27"/>
  <c r="C20" i="27"/>
  <c r="C20" i="35"/>
  <c r="C56" i="35"/>
  <c r="C20" i="33"/>
  <c r="C56" i="33"/>
  <c r="D14" i="40"/>
  <c r="D14" i="37"/>
  <c r="D14" i="27"/>
  <c r="D14" i="35"/>
  <c r="D14" i="33"/>
  <c r="C62" i="24"/>
  <c r="C64" i="2"/>
  <c r="C15" i="40"/>
  <c r="C51" i="40"/>
  <c r="C15" i="37"/>
  <c r="C51" i="37"/>
  <c r="C15" i="27"/>
  <c r="C51" i="27"/>
  <c r="C51" i="35"/>
  <c r="C15" i="35"/>
  <c r="C51" i="33"/>
  <c r="C15" i="33"/>
  <c r="D16" i="40"/>
  <c r="D16" i="37"/>
  <c r="D16" i="27"/>
  <c r="D16" i="35"/>
  <c r="D16" i="33"/>
  <c r="C52" i="40"/>
  <c r="C16" i="40"/>
  <c r="C52" i="37"/>
  <c r="C16" i="37"/>
  <c r="C16" i="27"/>
  <c r="C52" i="27"/>
  <c r="C52" i="35"/>
  <c r="C16" i="35"/>
  <c r="C16" i="33"/>
  <c r="C52" i="33"/>
  <c r="D17" i="40"/>
  <c r="D17" i="37"/>
  <c r="D17" i="27"/>
  <c r="D17" i="35"/>
  <c r="D17" i="33"/>
  <c r="C53" i="40"/>
  <c r="C17" i="40"/>
  <c r="C17" i="37"/>
  <c r="C53" i="37"/>
  <c r="C17" i="27"/>
  <c r="C53" i="27"/>
  <c r="C17" i="35"/>
  <c r="C53" i="35"/>
  <c r="C53" i="33"/>
  <c r="C17" i="33"/>
  <c r="C14" i="40"/>
  <c r="C50" i="40"/>
  <c r="C14" i="37"/>
  <c r="C50" i="37"/>
  <c r="C50" i="27"/>
  <c r="C14" i="27"/>
  <c r="C50" i="35"/>
  <c r="C14" i="35"/>
  <c r="C50" i="33"/>
  <c r="C14" i="33"/>
  <c r="F13" i="33"/>
  <c r="F13" i="37"/>
  <c r="F13" i="27"/>
  <c r="F13" i="35"/>
  <c r="E25" i="40"/>
  <c r="E25" i="37"/>
  <c r="E25" i="27"/>
  <c r="E49" i="40"/>
  <c r="E37" i="40"/>
  <c r="E37" i="37"/>
  <c r="E49" i="37"/>
  <c r="E37" i="27"/>
  <c r="E49" i="27"/>
  <c r="E37" i="35"/>
  <c r="E49" i="35"/>
  <c r="E37" i="33"/>
  <c r="E49" i="33"/>
  <c r="C37" i="40"/>
  <c r="C61" i="40"/>
  <c r="C61" i="37"/>
  <c r="C37" i="37"/>
  <c r="C61" i="27"/>
  <c r="C37" i="27"/>
  <c r="C37" i="35"/>
  <c r="C61" i="35"/>
  <c r="C61" i="33"/>
  <c r="C37" i="33"/>
  <c r="C25" i="40"/>
  <c r="C25" i="37"/>
  <c r="C25" i="27"/>
  <c r="C25" i="35"/>
  <c r="C25" i="33"/>
  <c r="C59" i="40"/>
  <c r="C23" i="40"/>
  <c r="C11" i="40"/>
  <c r="C35" i="40"/>
  <c r="C47" i="40"/>
  <c r="C35" i="37"/>
  <c r="C47" i="37"/>
  <c r="C23" i="37"/>
  <c r="C11" i="37"/>
  <c r="C59" i="37"/>
  <c r="C35" i="35"/>
  <c r="C11" i="35"/>
  <c r="C23" i="35"/>
  <c r="C47" i="35"/>
  <c r="C59" i="35"/>
  <c r="C11" i="33"/>
  <c r="C47" i="33"/>
  <c r="C23" i="33"/>
  <c r="C59" i="33"/>
  <c r="C35" i="33"/>
  <c r="D37" i="37"/>
  <c r="D37" i="40"/>
  <c r="D49" i="40"/>
  <c r="D25" i="40"/>
  <c r="D61" i="40"/>
  <c r="D61" i="27"/>
  <c r="D49" i="37"/>
  <c r="D61" i="37"/>
  <c r="D25" i="37"/>
  <c r="D25" i="27"/>
  <c r="D49" i="27"/>
  <c r="D37" i="35"/>
  <c r="D37" i="27"/>
  <c r="E50" i="26"/>
  <c r="D37" i="33"/>
  <c r="F49" i="24"/>
  <c r="J49" i="24" s="1"/>
  <c r="F61" i="26"/>
  <c r="J61" i="26" s="1"/>
  <c r="E56" i="24"/>
  <c r="E44" i="24"/>
  <c r="E55" i="26"/>
  <c r="E43" i="26"/>
  <c r="E41" i="26"/>
  <c r="E53" i="26"/>
  <c r="E41" i="24"/>
  <c r="E53" i="24"/>
  <c r="E56" i="2"/>
  <c r="E51" i="26"/>
  <c r="E39" i="26"/>
  <c r="E56" i="26"/>
  <c r="E44" i="26"/>
  <c r="E40" i="26"/>
  <c r="E52" i="26"/>
  <c r="E55" i="24"/>
  <c r="E43" i="24"/>
  <c r="E54" i="26"/>
  <c r="E42" i="26"/>
  <c r="E54" i="24"/>
  <c r="E42" i="24"/>
  <c r="E38" i="26"/>
  <c r="E52" i="24"/>
  <c r="E40" i="24"/>
  <c r="E39" i="24"/>
  <c r="E51" i="24"/>
  <c r="F61" i="24"/>
  <c r="J61" i="24" s="1"/>
  <c r="F49" i="26"/>
  <c r="G49" i="26" s="1"/>
  <c r="F37" i="26"/>
  <c r="J37" i="26" s="1"/>
  <c r="F37" i="24"/>
  <c r="G37" i="24" s="1"/>
  <c r="Q96" i="1"/>
  <c r="J92" i="1"/>
  <c r="L96" i="1"/>
  <c r="K92" i="1"/>
  <c r="C59" i="27"/>
  <c r="C47" i="27"/>
  <c r="C23" i="27"/>
  <c r="C11" i="27"/>
  <c r="C35" i="27"/>
  <c r="D38" i="26"/>
  <c r="D41" i="26"/>
  <c r="D43" i="26"/>
  <c r="D40" i="26"/>
  <c r="D42" i="26"/>
  <c r="D39" i="26"/>
  <c r="D44" i="26"/>
  <c r="D64" i="26"/>
  <c r="D28" i="26"/>
  <c r="F28" i="26" s="1"/>
  <c r="J28" i="26" s="1"/>
  <c r="D52" i="26"/>
  <c r="D31" i="26"/>
  <c r="F31" i="26" s="1"/>
  <c r="J31" i="26" s="1"/>
  <c r="D67" i="26"/>
  <c r="D55" i="26"/>
  <c r="D68" i="26"/>
  <c r="D56" i="26"/>
  <c r="D32" i="26"/>
  <c r="F32" i="26" s="1"/>
  <c r="J32" i="26" s="1"/>
  <c r="D63" i="26"/>
  <c r="D51" i="26"/>
  <c r="D27" i="26"/>
  <c r="F27" i="26" s="1"/>
  <c r="J27" i="26" s="1"/>
  <c r="D29" i="26"/>
  <c r="F29" i="26" s="1"/>
  <c r="J29" i="26" s="1"/>
  <c r="D65" i="26"/>
  <c r="D53" i="26"/>
  <c r="D66" i="26"/>
  <c r="D54" i="26"/>
  <c r="D30" i="26"/>
  <c r="F30" i="26" s="1"/>
  <c r="J30" i="26" s="1"/>
  <c r="D62" i="26"/>
  <c r="D50" i="26"/>
  <c r="D26" i="26"/>
  <c r="F26" i="26" s="1"/>
  <c r="J26" i="26" s="1"/>
  <c r="J17" i="26"/>
  <c r="D44" i="24"/>
  <c r="J18" i="26"/>
  <c r="J15" i="26"/>
  <c r="J16" i="26"/>
  <c r="J14" i="26"/>
  <c r="J20" i="26"/>
  <c r="G15" i="26"/>
  <c r="G13" i="26"/>
  <c r="G20" i="26"/>
  <c r="G17" i="26"/>
  <c r="G16" i="26"/>
  <c r="G14" i="26"/>
  <c r="G18" i="26"/>
  <c r="G19" i="26"/>
  <c r="G25" i="26"/>
  <c r="J25" i="26"/>
  <c r="D39" i="24"/>
  <c r="D43" i="24"/>
  <c r="D38" i="24"/>
  <c r="D42" i="24"/>
  <c r="D40" i="24"/>
  <c r="D41" i="24"/>
  <c r="J19" i="26"/>
  <c r="J13" i="24"/>
  <c r="R92" i="1"/>
  <c r="D26" i="24"/>
  <c r="D62" i="24"/>
  <c r="D50" i="24"/>
  <c r="D68" i="24"/>
  <c r="D56" i="24"/>
  <c r="D32" i="24"/>
  <c r="D64" i="24"/>
  <c r="D52" i="24"/>
  <c r="D28" i="24"/>
  <c r="F28" i="24" s="1"/>
  <c r="D63" i="24"/>
  <c r="D51" i="24"/>
  <c r="D27" i="24"/>
  <c r="F27" i="24" s="1"/>
  <c r="D65" i="24"/>
  <c r="D53" i="24"/>
  <c r="D29" i="24"/>
  <c r="F29" i="24" s="1"/>
  <c r="D66" i="24"/>
  <c r="D54" i="24"/>
  <c r="D30" i="24"/>
  <c r="F30" i="24" s="1"/>
  <c r="D67" i="24"/>
  <c r="D31" i="24"/>
  <c r="F31" i="24" s="1"/>
  <c r="D55" i="24"/>
  <c r="J18" i="24"/>
  <c r="G18" i="24"/>
  <c r="G20" i="24"/>
  <c r="J20" i="24"/>
  <c r="J16" i="24"/>
  <c r="G16" i="24"/>
  <c r="J15" i="24"/>
  <c r="G15" i="24"/>
  <c r="J19" i="24"/>
  <c r="G19" i="24"/>
  <c r="J14" i="24"/>
  <c r="G14" i="24"/>
  <c r="J17" i="24"/>
  <c r="G17" i="24"/>
  <c r="S92" i="1"/>
  <c r="S96" i="1"/>
  <c r="D68" i="2"/>
  <c r="D62" i="2"/>
  <c r="C42" i="2"/>
  <c r="D66" i="2"/>
  <c r="C32" i="2"/>
  <c r="D64" i="2"/>
  <c r="D67" i="2"/>
  <c r="D65" i="2"/>
  <c r="D63" i="2"/>
  <c r="D38" i="2"/>
  <c r="J25" i="24"/>
  <c r="G25" i="24"/>
  <c r="E26" i="2"/>
  <c r="D43" i="2"/>
  <c r="D42" i="2"/>
  <c r="D40" i="2"/>
  <c r="D39" i="2"/>
  <c r="C44" i="2"/>
  <c r="D41" i="2"/>
  <c r="L92" i="1"/>
  <c r="J96" i="1"/>
  <c r="Q92" i="1"/>
  <c r="R96" i="1"/>
  <c r="K96" i="1"/>
  <c r="D51" i="2"/>
  <c r="D28" i="2"/>
  <c r="D55" i="2"/>
  <c r="D31" i="2"/>
  <c r="D29" i="2"/>
  <c r="D27" i="2"/>
  <c r="D30" i="2"/>
  <c r="D54" i="2"/>
  <c r="D53" i="2"/>
  <c r="D32" i="2"/>
  <c r="D50" i="2"/>
  <c r="D52" i="2"/>
  <c r="D26" i="2"/>
  <c r="C43" i="2"/>
  <c r="E53" i="2"/>
  <c r="C62" i="2"/>
  <c r="E42" i="2"/>
  <c r="C68" i="2"/>
  <c r="C66" i="2"/>
  <c r="E52" i="2"/>
  <c r="E43" i="2"/>
  <c r="E51" i="2"/>
  <c r="C63" i="2"/>
  <c r="E38" i="2"/>
  <c r="E50" i="2"/>
  <c r="E42" i="35" l="1"/>
  <c r="E53" i="33"/>
  <c r="E41" i="35"/>
  <c r="E54" i="27"/>
  <c r="E38" i="37"/>
  <c r="E50" i="37"/>
  <c r="E50" i="27"/>
  <c r="E56" i="35"/>
  <c r="E50" i="35"/>
  <c r="E38" i="35"/>
  <c r="E38" i="27"/>
  <c r="E56" i="33"/>
  <c r="E50" i="33"/>
  <c r="E56" i="27"/>
  <c r="E44" i="27"/>
  <c r="E50" i="40"/>
  <c r="E38" i="40"/>
  <c r="E44" i="33"/>
  <c r="C68" i="33"/>
  <c r="C44" i="33"/>
  <c r="C44" i="27"/>
  <c r="C68" i="27"/>
  <c r="C44" i="35"/>
  <c r="C68" i="37"/>
  <c r="C44" i="40"/>
  <c r="C68" i="35"/>
  <c r="C44" i="37"/>
  <c r="E55" i="33"/>
  <c r="E26" i="40"/>
  <c r="E26" i="37"/>
  <c r="D44" i="27"/>
  <c r="D44" i="35"/>
  <c r="C32" i="27"/>
  <c r="C32" i="40"/>
  <c r="C32" i="33"/>
  <c r="D44" i="33"/>
  <c r="D68" i="40"/>
  <c r="C32" i="37"/>
  <c r="D44" i="40"/>
  <c r="F18" i="40"/>
  <c r="G18" i="40" s="1"/>
  <c r="D32" i="40"/>
  <c r="D56" i="40"/>
  <c r="F20" i="40"/>
  <c r="J20" i="40" s="1"/>
  <c r="F16" i="40"/>
  <c r="J16" i="40" s="1"/>
  <c r="D32" i="37"/>
  <c r="D68" i="37"/>
  <c r="D56" i="37"/>
  <c r="D68" i="27"/>
  <c r="C42" i="35"/>
  <c r="F14" i="40"/>
  <c r="G14" i="40" s="1"/>
  <c r="D56" i="27"/>
  <c r="E41" i="27"/>
  <c r="E39" i="33"/>
  <c r="E51" i="35"/>
  <c r="E51" i="27"/>
  <c r="E39" i="27"/>
  <c r="E52" i="33"/>
  <c r="E42" i="33"/>
  <c r="E53" i="35"/>
  <c r="E51" i="33"/>
  <c r="E43" i="33"/>
  <c r="E43" i="35"/>
  <c r="E40" i="33"/>
  <c r="E54" i="33"/>
  <c r="F18" i="37"/>
  <c r="J18" i="37" s="1"/>
  <c r="F14" i="37"/>
  <c r="J14" i="37" s="1"/>
  <c r="F19" i="40"/>
  <c r="J19" i="40" s="1"/>
  <c r="E55" i="35"/>
  <c r="E43" i="27"/>
  <c r="F18" i="33"/>
  <c r="J18" i="33" s="1"/>
  <c r="F15" i="37"/>
  <c r="G15" i="37" s="1"/>
  <c r="F17" i="37"/>
  <c r="G17" i="37" s="1"/>
  <c r="F15" i="40"/>
  <c r="G15" i="40" s="1"/>
  <c r="F16" i="37"/>
  <c r="G16" i="37" s="1"/>
  <c r="F17" i="40"/>
  <c r="G17" i="40" s="1"/>
  <c r="F19" i="37"/>
  <c r="G19" i="37" s="1"/>
  <c r="F20" i="37"/>
  <c r="J20" i="37" s="1"/>
  <c r="C42" i="37"/>
  <c r="D66" i="27"/>
  <c r="C66" i="35"/>
  <c r="C66" i="27"/>
  <c r="C42" i="40"/>
  <c r="C27" i="27"/>
  <c r="C27" i="33"/>
  <c r="C27" i="40"/>
  <c r="C27" i="35"/>
  <c r="C27" i="37"/>
  <c r="C66" i="37"/>
  <c r="E56" i="37"/>
  <c r="E44" i="37"/>
  <c r="E56" i="40"/>
  <c r="E44" i="40"/>
  <c r="C30" i="37"/>
  <c r="C30" i="40"/>
  <c r="C30" i="27"/>
  <c r="C30" i="35"/>
  <c r="C30" i="33"/>
  <c r="E27" i="37"/>
  <c r="E27" i="40"/>
  <c r="E27" i="27"/>
  <c r="C26" i="27"/>
  <c r="C26" i="35"/>
  <c r="C26" i="33"/>
  <c r="C26" i="40"/>
  <c r="C26" i="37"/>
  <c r="E30" i="40"/>
  <c r="E30" i="37"/>
  <c r="E30" i="27"/>
  <c r="C62" i="35"/>
  <c r="C62" i="37"/>
  <c r="C38" i="40"/>
  <c r="C62" i="33"/>
  <c r="C38" i="37"/>
  <c r="C38" i="33"/>
  <c r="C38" i="35"/>
  <c r="C38" i="27"/>
  <c r="C62" i="40"/>
  <c r="C62" i="27"/>
  <c r="E41" i="37"/>
  <c r="E53" i="40"/>
  <c r="E53" i="37"/>
  <c r="E41" i="40"/>
  <c r="C65" i="37"/>
  <c r="C41" i="37"/>
  <c r="C65" i="40"/>
  <c r="C65" i="35"/>
  <c r="C65" i="27"/>
  <c r="C41" i="40"/>
  <c r="C41" i="33"/>
  <c r="C65" i="33"/>
  <c r="C41" i="27"/>
  <c r="C41" i="35"/>
  <c r="E51" i="40"/>
  <c r="E39" i="40"/>
  <c r="E51" i="37"/>
  <c r="E39" i="37"/>
  <c r="E31" i="37"/>
  <c r="E31" i="40"/>
  <c r="E31" i="27"/>
  <c r="C64" i="40"/>
  <c r="C64" i="27"/>
  <c r="C64" i="33"/>
  <c r="C40" i="40"/>
  <c r="C64" i="37"/>
  <c r="C64" i="35"/>
  <c r="C40" i="35"/>
  <c r="C40" i="33"/>
  <c r="C40" i="37"/>
  <c r="C40" i="27"/>
  <c r="E40" i="40"/>
  <c r="E52" i="40"/>
  <c r="E40" i="37"/>
  <c r="E52" i="37"/>
  <c r="E29" i="37"/>
  <c r="E29" i="40"/>
  <c r="E29" i="27"/>
  <c r="E52" i="35"/>
  <c r="C42" i="27"/>
  <c r="E40" i="27"/>
  <c r="C66" i="33"/>
  <c r="C28" i="40"/>
  <c r="C28" i="27"/>
  <c r="C28" i="33"/>
  <c r="C28" i="35"/>
  <c r="C28" i="37"/>
  <c r="C31" i="40"/>
  <c r="C31" i="27"/>
  <c r="C31" i="37"/>
  <c r="C31" i="33"/>
  <c r="C31" i="35"/>
  <c r="C29" i="40"/>
  <c r="C29" i="35"/>
  <c r="C29" i="27"/>
  <c r="C29" i="33"/>
  <c r="C29" i="37"/>
  <c r="F20" i="35"/>
  <c r="G20" i="35" s="1"/>
  <c r="F16" i="27"/>
  <c r="J16" i="27" s="1"/>
  <c r="E28" i="37"/>
  <c r="E28" i="40"/>
  <c r="E28" i="27"/>
  <c r="C39" i="27"/>
  <c r="C39" i="37"/>
  <c r="C63" i="33"/>
  <c r="C63" i="27"/>
  <c r="C39" i="40"/>
  <c r="C63" i="37"/>
  <c r="C63" i="35"/>
  <c r="C63" i="40"/>
  <c r="C39" i="33"/>
  <c r="C39" i="35"/>
  <c r="E42" i="37"/>
  <c r="E42" i="40"/>
  <c r="E54" i="40"/>
  <c r="E54" i="37"/>
  <c r="E32" i="40"/>
  <c r="E32" i="37"/>
  <c r="E32" i="27"/>
  <c r="C42" i="33"/>
  <c r="C67" i="27"/>
  <c r="C43" i="33"/>
  <c r="C43" i="27"/>
  <c r="C43" i="40"/>
  <c r="C67" i="37"/>
  <c r="C43" i="37"/>
  <c r="C43" i="35"/>
  <c r="C67" i="35"/>
  <c r="C67" i="40"/>
  <c r="C67" i="33"/>
  <c r="E55" i="37"/>
  <c r="E43" i="37"/>
  <c r="E43" i="40"/>
  <c r="E55" i="40"/>
  <c r="E52" i="27"/>
  <c r="D42" i="27"/>
  <c r="D66" i="37"/>
  <c r="D42" i="37"/>
  <c r="D42" i="33"/>
  <c r="D30" i="37"/>
  <c r="D54" i="37"/>
  <c r="D54" i="27"/>
  <c r="D30" i="27"/>
  <c r="D31" i="37"/>
  <c r="D67" i="37"/>
  <c r="D43" i="33"/>
  <c r="J13" i="33"/>
  <c r="D55" i="27"/>
  <c r="D67" i="27"/>
  <c r="D43" i="40"/>
  <c r="D43" i="37"/>
  <c r="D55" i="37"/>
  <c r="D31" i="27"/>
  <c r="D43" i="27"/>
  <c r="D31" i="40"/>
  <c r="D55" i="40"/>
  <c r="J13" i="37"/>
  <c r="D42" i="35"/>
  <c r="D54" i="40"/>
  <c r="D40" i="40"/>
  <c r="F19" i="33"/>
  <c r="G19" i="33" s="1"/>
  <c r="D30" i="40"/>
  <c r="D40" i="37"/>
  <c r="F15" i="33"/>
  <c r="J15" i="33" s="1"/>
  <c r="F14" i="33"/>
  <c r="G14" i="33" s="1"/>
  <c r="F20" i="33"/>
  <c r="J20" i="33" s="1"/>
  <c r="F17" i="33"/>
  <c r="J17" i="33" s="1"/>
  <c r="G13" i="37"/>
  <c r="F16" i="33"/>
  <c r="J16" i="33" s="1"/>
  <c r="D39" i="37"/>
  <c r="D40" i="27"/>
  <c r="D41" i="35"/>
  <c r="D40" i="35"/>
  <c r="D41" i="33"/>
  <c r="F15" i="27"/>
  <c r="J15" i="27" s="1"/>
  <c r="D41" i="27"/>
  <c r="F19" i="27"/>
  <c r="J19" i="27" s="1"/>
  <c r="D53" i="40"/>
  <c r="D62" i="37"/>
  <c r="F18" i="35"/>
  <c r="J18" i="35" s="1"/>
  <c r="F15" i="35"/>
  <c r="G15" i="35" s="1"/>
  <c r="D26" i="27"/>
  <c r="F18" i="27"/>
  <c r="J18" i="27" s="1"/>
  <c r="D50" i="37"/>
  <c r="F19" i="35"/>
  <c r="G19" i="35" s="1"/>
  <c r="D65" i="40"/>
  <c r="D29" i="40"/>
  <c r="D26" i="37"/>
  <c r="F14" i="27"/>
  <c r="J14" i="27" s="1"/>
  <c r="F20" i="27"/>
  <c r="G20" i="27" s="1"/>
  <c r="D39" i="40"/>
  <c r="D65" i="27"/>
  <c r="D51" i="40"/>
  <c r="D27" i="37"/>
  <c r="D63" i="37"/>
  <c r="D62" i="27"/>
  <c r="D51" i="37"/>
  <c r="D38" i="33"/>
  <c r="D52" i="27"/>
  <c r="D41" i="40"/>
  <c r="F17" i="27"/>
  <c r="G17" i="27" s="1"/>
  <c r="F14" i="35"/>
  <c r="J14" i="35" s="1"/>
  <c r="D62" i="40"/>
  <c r="F17" i="35"/>
  <c r="G17" i="35" s="1"/>
  <c r="D27" i="40"/>
  <c r="D50" i="40"/>
  <c r="F16" i="35"/>
  <c r="J16" i="35" s="1"/>
  <c r="D63" i="40"/>
  <c r="D26" i="40"/>
  <c r="D28" i="27"/>
  <c r="D52" i="40"/>
  <c r="D28" i="40"/>
  <c r="D39" i="33"/>
  <c r="D63" i="27"/>
  <c r="D52" i="37"/>
  <c r="D64" i="40"/>
  <c r="D64" i="37"/>
  <c r="D53" i="27"/>
  <c r="D28" i="37"/>
  <c r="D38" i="37"/>
  <c r="D53" i="37"/>
  <c r="D29" i="27"/>
  <c r="D29" i="37"/>
  <c r="D38" i="40"/>
  <c r="D38" i="27"/>
  <c r="D39" i="27"/>
  <c r="D51" i="27"/>
  <c r="F49" i="40"/>
  <c r="F61" i="37"/>
  <c r="F49" i="37"/>
  <c r="F61" i="40"/>
  <c r="J61" i="40" s="1"/>
  <c r="F37" i="40"/>
  <c r="F37" i="37"/>
  <c r="G37" i="37" s="1"/>
  <c r="F25" i="37"/>
  <c r="G13" i="35"/>
  <c r="J16" i="37"/>
  <c r="J13" i="35"/>
  <c r="F37" i="33"/>
  <c r="F37" i="27"/>
  <c r="J37" i="27" s="1"/>
  <c r="F25" i="40"/>
  <c r="G13" i="40"/>
  <c r="J18" i="40"/>
  <c r="G13" i="33"/>
  <c r="F37" i="35"/>
  <c r="J37" i="35" s="1"/>
  <c r="J13" i="40"/>
  <c r="D56" i="35"/>
  <c r="D26" i="35"/>
  <c r="D64" i="35"/>
  <c r="D28" i="35"/>
  <c r="D66" i="35"/>
  <c r="D51" i="35"/>
  <c r="D49" i="35"/>
  <c r="F49" i="35" s="1"/>
  <c r="D30" i="35"/>
  <c r="D68" i="35"/>
  <c r="D53" i="35"/>
  <c r="D32" i="35"/>
  <c r="D55" i="35"/>
  <c r="D63" i="35"/>
  <c r="D61" i="35"/>
  <c r="F61" i="35" s="1"/>
  <c r="D27" i="35"/>
  <c r="D25" i="35"/>
  <c r="D65" i="35"/>
  <c r="D50" i="35"/>
  <c r="D29" i="35"/>
  <c r="D67" i="35"/>
  <c r="D52" i="35"/>
  <c r="D31" i="35"/>
  <c r="D54" i="35"/>
  <c r="D62" i="35"/>
  <c r="E28" i="35"/>
  <c r="E30" i="35"/>
  <c r="E32" i="35"/>
  <c r="E27" i="35"/>
  <c r="E25" i="35"/>
  <c r="E29" i="35"/>
  <c r="E31" i="35"/>
  <c r="E26" i="35"/>
  <c r="D56" i="33"/>
  <c r="D26" i="33"/>
  <c r="D64" i="33"/>
  <c r="D30" i="33"/>
  <c r="D28" i="33"/>
  <c r="D66" i="33"/>
  <c r="D51" i="33"/>
  <c r="D49" i="33"/>
  <c r="F49" i="33" s="1"/>
  <c r="D53" i="33"/>
  <c r="D68" i="33"/>
  <c r="D32" i="33"/>
  <c r="D55" i="33"/>
  <c r="D27" i="33"/>
  <c r="D63" i="33"/>
  <c r="D61" i="33"/>
  <c r="F61" i="33" s="1"/>
  <c r="D25" i="33"/>
  <c r="D65" i="33"/>
  <c r="D50" i="33"/>
  <c r="D29" i="33"/>
  <c r="D67" i="33"/>
  <c r="D52" i="33"/>
  <c r="D31" i="33"/>
  <c r="D54" i="33"/>
  <c r="D62" i="33"/>
  <c r="E28" i="33"/>
  <c r="E30" i="33"/>
  <c r="E32" i="33"/>
  <c r="E27" i="33"/>
  <c r="E25" i="33"/>
  <c r="E29" i="33"/>
  <c r="E31" i="33"/>
  <c r="E26" i="33"/>
  <c r="G49" i="24"/>
  <c r="F56" i="24"/>
  <c r="G56" i="24" s="1"/>
  <c r="F68" i="26"/>
  <c r="G68" i="26" s="1"/>
  <c r="G61" i="26"/>
  <c r="F62" i="26"/>
  <c r="J62" i="26" s="1"/>
  <c r="F67" i="26"/>
  <c r="J67" i="26" s="1"/>
  <c r="F65" i="26"/>
  <c r="J65" i="26" s="1"/>
  <c r="F63" i="26"/>
  <c r="J63" i="26" s="1"/>
  <c r="F64" i="26"/>
  <c r="J64" i="26" s="1"/>
  <c r="F55" i="24"/>
  <c r="G55" i="24" s="1"/>
  <c r="F52" i="24"/>
  <c r="J52" i="24" s="1"/>
  <c r="F66" i="26"/>
  <c r="J66" i="26" s="1"/>
  <c r="F51" i="24"/>
  <c r="G51" i="24" s="1"/>
  <c r="F54" i="24"/>
  <c r="G54" i="24" s="1"/>
  <c r="F53" i="24"/>
  <c r="J53" i="24" s="1"/>
  <c r="F63" i="24"/>
  <c r="J63" i="24" s="1"/>
  <c r="F65" i="24"/>
  <c r="G65" i="24" s="1"/>
  <c r="F64" i="24"/>
  <c r="G64" i="24" s="1"/>
  <c r="E6" i="9"/>
  <c r="F68" i="24"/>
  <c r="J68" i="24" s="1"/>
  <c r="G61" i="24"/>
  <c r="F67" i="24"/>
  <c r="J67" i="24" s="1"/>
  <c r="E7" i="9"/>
  <c r="F62" i="24"/>
  <c r="J62" i="24" s="1"/>
  <c r="F61" i="27"/>
  <c r="F49" i="27"/>
  <c r="F40" i="26"/>
  <c r="J40" i="26" s="1"/>
  <c r="F51" i="26"/>
  <c r="J51" i="26" s="1"/>
  <c r="J49" i="26"/>
  <c r="F56" i="26"/>
  <c r="J56" i="26" s="1"/>
  <c r="F50" i="26"/>
  <c r="J50" i="26" s="1"/>
  <c r="F54" i="26"/>
  <c r="J54" i="26" s="1"/>
  <c r="J37" i="24"/>
  <c r="F41" i="26"/>
  <c r="J41" i="26" s="1"/>
  <c r="F38" i="26"/>
  <c r="J38" i="26" s="1"/>
  <c r="G37" i="26"/>
  <c r="F41" i="24"/>
  <c r="G41" i="24" s="1"/>
  <c r="F44" i="24"/>
  <c r="J44" i="24" s="1"/>
  <c r="F43" i="24"/>
  <c r="G43" i="24" s="1"/>
  <c r="F55" i="26"/>
  <c r="J55" i="26" s="1"/>
  <c r="F52" i="26"/>
  <c r="J52" i="26" s="1"/>
  <c r="F53" i="26"/>
  <c r="J53" i="26" s="1"/>
  <c r="F44" i="26"/>
  <c r="J44" i="26" s="1"/>
  <c r="F39" i="26"/>
  <c r="J39" i="26" s="1"/>
  <c r="F42" i="26"/>
  <c r="J42" i="26" s="1"/>
  <c r="F43" i="26"/>
  <c r="J43" i="26" s="1"/>
  <c r="F40" i="24"/>
  <c r="G40" i="24" s="1"/>
  <c r="F39" i="24"/>
  <c r="J39" i="24" s="1"/>
  <c r="J13" i="27"/>
  <c r="G13" i="27"/>
  <c r="G27" i="26"/>
  <c r="G30" i="26"/>
  <c r="G29" i="26"/>
  <c r="G26" i="26"/>
  <c r="G28" i="26"/>
  <c r="G32" i="26"/>
  <c r="G31" i="26"/>
  <c r="F32" i="24"/>
  <c r="G32" i="24" s="1"/>
  <c r="J30" i="24"/>
  <c r="G30" i="24"/>
  <c r="G29" i="24"/>
  <c r="J29" i="24"/>
  <c r="F42" i="24"/>
  <c r="F66" i="24"/>
  <c r="G31" i="24"/>
  <c r="J31" i="24"/>
  <c r="F50" i="24"/>
  <c r="F26" i="24"/>
  <c r="J28" i="24"/>
  <c r="G28" i="24"/>
  <c r="F38" i="24"/>
  <c r="J27" i="24"/>
  <c r="G27" i="24"/>
  <c r="J14" i="40" l="1"/>
  <c r="G16" i="40"/>
  <c r="G20" i="40"/>
  <c r="J15" i="40"/>
  <c r="J17" i="40"/>
  <c r="J17" i="37"/>
  <c r="G19" i="40"/>
  <c r="G20" i="37"/>
  <c r="G18" i="37"/>
  <c r="J15" i="37"/>
  <c r="G18" i="33"/>
  <c r="G14" i="37"/>
  <c r="J19" i="37"/>
  <c r="G16" i="27"/>
  <c r="J20" i="35"/>
  <c r="F56" i="37"/>
  <c r="J56" i="37" s="1"/>
  <c r="G20" i="33"/>
  <c r="G15" i="27"/>
  <c r="G17" i="33"/>
  <c r="J19" i="33"/>
  <c r="F30" i="40"/>
  <c r="G30" i="40" s="1"/>
  <c r="F43" i="33"/>
  <c r="G43" i="33" s="1"/>
  <c r="G15" i="33"/>
  <c r="J14" i="33"/>
  <c r="F40" i="40"/>
  <c r="J40" i="40" s="1"/>
  <c r="G16" i="33"/>
  <c r="F50" i="40"/>
  <c r="J50" i="40" s="1"/>
  <c r="G19" i="27"/>
  <c r="J15" i="35"/>
  <c r="G14" i="27"/>
  <c r="G18" i="27"/>
  <c r="G18" i="35"/>
  <c r="J19" i="35"/>
  <c r="F63" i="40"/>
  <c r="J63" i="40" s="1"/>
  <c r="J20" i="27"/>
  <c r="F27" i="37"/>
  <c r="G27" i="37" s="1"/>
  <c r="F42" i="37"/>
  <c r="J42" i="37" s="1"/>
  <c r="F63" i="37"/>
  <c r="J63" i="37" s="1"/>
  <c r="G14" i="35"/>
  <c r="F39" i="37"/>
  <c r="J39" i="37" s="1"/>
  <c r="J17" i="35"/>
  <c r="J37" i="37"/>
  <c r="G16" i="35"/>
  <c r="J17" i="27"/>
  <c r="F62" i="40"/>
  <c r="J62" i="40" s="1"/>
  <c r="F64" i="40"/>
  <c r="G64" i="40" s="1"/>
  <c r="F68" i="40"/>
  <c r="J68" i="40" s="1"/>
  <c r="F41" i="40"/>
  <c r="G41" i="40" s="1"/>
  <c r="F62" i="37"/>
  <c r="G62" i="37" s="1"/>
  <c r="J49" i="40"/>
  <c r="F66" i="37"/>
  <c r="G66" i="37" s="1"/>
  <c r="F51" i="40"/>
  <c r="G51" i="40" s="1"/>
  <c r="F38" i="37"/>
  <c r="J38" i="37" s="1"/>
  <c r="F64" i="37"/>
  <c r="J64" i="37" s="1"/>
  <c r="F67" i="37"/>
  <c r="J67" i="37" s="1"/>
  <c r="F65" i="37"/>
  <c r="G65" i="37" s="1"/>
  <c r="G49" i="40"/>
  <c r="F52" i="40"/>
  <c r="J52" i="40" s="1"/>
  <c r="F53" i="37"/>
  <c r="G53" i="37" s="1"/>
  <c r="F68" i="37"/>
  <c r="G68" i="37" s="1"/>
  <c r="F54" i="40"/>
  <c r="J54" i="40" s="1"/>
  <c r="F55" i="40"/>
  <c r="G55" i="40" s="1"/>
  <c r="F53" i="40"/>
  <c r="J53" i="40" s="1"/>
  <c r="F56" i="40"/>
  <c r="G56" i="40" s="1"/>
  <c r="F44" i="37"/>
  <c r="J44" i="37" s="1"/>
  <c r="F42" i="40"/>
  <c r="G42" i="40" s="1"/>
  <c r="F43" i="40"/>
  <c r="J43" i="40" s="1"/>
  <c r="F67" i="40"/>
  <c r="J67" i="40" s="1"/>
  <c r="F26" i="37"/>
  <c r="J26" i="37" s="1"/>
  <c r="F39" i="40"/>
  <c r="J39" i="40" s="1"/>
  <c r="F43" i="37"/>
  <c r="J43" i="37" s="1"/>
  <c r="F65" i="40"/>
  <c r="J65" i="40" s="1"/>
  <c r="F41" i="37"/>
  <c r="J41" i="37" s="1"/>
  <c r="G49" i="37"/>
  <c r="F50" i="37"/>
  <c r="J50" i="37" s="1"/>
  <c r="G61" i="37"/>
  <c r="J61" i="37"/>
  <c r="G37" i="27"/>
  <c r="G25" i="40"/>
  <c r="F51" i="37"/>
  <c r="G51" i="37" s="1"/>
  <c r="J37" i="40"/>
  <c r="F66" i="40"/>
  <c r="J66" i="40" s="1"/>
  <c r="J25" i="40"/>
  <c r="G25" i="37"/>
  <c r="F40" i="37"/>
  <c r="G40" i="37" s="1"/>
  <c r="F54" i="37"/>
  <c r="J54" i="37" s="1"/>
  <c r="F52" i="37"/>
  <c r="G52" i="37" s="1"/>
  <c r="F43" i="27"/>
  <c r="J43" i="27" s="1"/>
  <c r="F55" i="37"/>
  <c r="J55" i="37" s="1"/>
  <c r="G37" i="40"/>
  <c r="F38" i="40"/>
  <c r="G38" i="40" s="1"/>
  <c r="F28" i="40"/>
  <c r="G28" i="40" s="1"/>
  <c r="F30" i="37"/>
  <c r="G30" i="37" s="1"/>
  <c r="F41" i="35"/>
  <c r="J41" i="35" s="1"/>
  <c r="F38" i="27"/>
  <c r="J38" i="27" s="1"/>
  <c r="F43" i="35"/>
  <c r="G43" i="35" s="1"/>
  <c r="F41" i="27"/>
  <c r="G41" i="27" s="1"/>
  <c r="F42" i="35"/>
  <c r="J42" i="35" s="1"/>
  <c r="F39" i="27"/>
  <c r="J39" i="27" s="1"/>
  <c r="F31" i="37"/>
  <c r="G31" i="37" s="1"/>
  <c r="F32" i="37"/>
  <c r="J32" i="37" s="1"/>
  <c r="G37" i="35"/>
  <c r="F39" i="35"/>
  <c r="J39" i="35" s="1"/>
  <c r="J49" i="37"/>
  <c r="J25" i="37"/>
  <c r="F29" i="37"/>
  <c r="J29" i="37" s="1"/>
  <c r="F32" i="40"/>
  <c r="J32" i="40" s="1"/>
  <c r="F38" i="35"/>
  <c r="G38" i="35" s="1"/>
  <c r="F31" i="40"/>
  <c r="J31" i="40" s="1"/>
  <c r="F44" i="35"/>
  <c r="J44" i="35" s="1"/>
  <c r="F28" i="37"/>
  <c r="J28" i="37" s="1"/>
  <c r="F44" i="40"/>
  <c r="G44" i="40" s="1"/>
  <c r="F40" i="27"/>
  <c r="J40" i="27" s="1"/>
  <c r="G61" i="40"/>
  <c r="F42" i="27"/>
  <c r="G42" i="27" s="1"/>
  <c r="F44" i="27"/>
  <c r="G44" i="27" s="1"/>
  <c r="F40" i="35"/>
  <c r="J40" i="35" s="1"/>
  <c r="F29" i="40"/>
  <c r="J29" i="40" s="1"/>
  <c r="F27" i="40"/>
  <c r="G27" i="40" s="1"/>
  <c r="F40" i="33"/>
  <c r="G40" i="33" s="1"/>
  <c r="F39" i="33"/>
  <c r="G39" i="33" s="1"/>
  <c r="F42" i="33"/>
  <c r="G42" i="33" s="1"/>
  <c r="G37" i="33"/>
  <c r="F44" i="33"/>
  <c r="J44" i="33" s="1"/>
  <c r="F41" i="33"/>
  <c r="G41" i="33" s="1"/>
  <c r="F26" i="40"/>
  <c r="G26" i="40" s="1"/>
  <c r="J37" i="33"/>
  <c r="F38" i="33"/>
  <c r="J38" i="33" s="1"/>
  <c r="F62" i="35"/>
  <c r="G62" i="35" s="1"/>
  <c r="F67" i="35"/>
  <c r="J67" i="35" s="1"/>
  <c r="F66" i="35"/>
  <c r="J66" i="35" s="1"/>
  <c r="F68" i="35"/>
  <c r="J68" i="35" s="1"/>
  <c r="F54" i="35"/>
  <c r="J54" i="35" s="1"/>
  <c r="F65" i="35"/>
  <c r="G65" i="35" s="1"/>
  <c r="F53" i="35"/>
  <c r="J53" i="35" s="1"/>
  <c r="F64" i="35"/>
  <c r="J64" i="35" s="1"/>
  <c r="J49" i="35"/>
  <c r="G49" i="35"/>
  <c r="F51" i="35"/>
  <c r="F52" i="35"/>
  <c r="F50" i="35"/>
  <c r="F56" i="35"/>
  <c r="F25" i="35"/>
  <c r="F30" i="35" s="1"/>
  <c r="J61" i="35"/>
  <c r="G61" i="35"/>
  <c r="F63" i="35"/>
  <c r="F55" i="35"/>
  <c r="F56" i="33"/>
  <c r="J56" i="33" s="1"/>
  <c r="F50" i="33"/>
  <c r="G50" i="33" s="1"/>
  <c r="F55" i="33"/>
  <c r="J55" i="33" s="1"/>
  <c r="F64" i="33"/>
  <c r="J64" i="33" s="1"/>
  <c r="F67" i="33"/>
  <c r="G67" i="33" s="1"/>
  <c r="F54" i="33"/>
  <c r="J54" i="33" s="1"/>
  <c r="F52" i="33"/>
  <c r="J52" i="33" s="1"/>
  <c r="F65" i="33"/>
  <c r="J65" i="33" s="1"/>
  <c r="F66" i="33"/>
  <c r="J66" i="33" s="1"/>
  <c r="F51" i="33"/>
  <c r="G51" i="33" s="1"/>
  <c r="F53" i="33"/>
  <c r="J53" i="33" s="1"/>
  <c r="F25" i="33"/>
  <c r="F29" i="33" s="1"/>
  <c r="F63" i="33"/>
  <c r="J61" i="33"/>
  <c r="G61" i="33"/>
  <c r="F68" i="33"/>
  <c r="F62" i="33"/>
  <c r="J49" i="33"/>
  <c r="G49" i="33"/>
  <c r="J56" i="24"/>
  <c r="J68" i="26"/>
  <c r="G65" i="26"/>
  <c r="G62" i="26"/>
  <c r="G67" i="26"/>
  <c r="G52" i="24"/>
  <c r="G63" i="26"/>
  <c r="J55" i="24"/>
  <c r="G64" i="26"/>
  <c r="G66" i="26"/>
  <c r="J51" i="24"/>
  <c r="G53" i="24"/>
  <c r="J54" i="24"/>
  <c r="J65" i="24"/>
  <c r="G63" i="24"/>
  <c r="J64" i="24"/>
  <c r="G68" i="24"/>
  <c r="G67" i="24"/>
  <c r="G62" i="24"/>
  <c r="F64" i="27"/>
  <c r="G64" i="27" s="1"/>
  <c r="F62" i="27"/>
  <c r="G62" i="27" s="1"/>
  <c r="F50" i="27"/>
  <c r="G50" i="27" s="1"/>
  <c r="F68" i="27"/>
  <c r="J68" i="27" s="1"/>
  <c r="F66" i="27"/>
  <c r="J66" i="27" s="1"/>
  <c r="F53" i="27"/>
  <c r="J53" i="27" s="1"/>
  <c r="F63" i="27"/>
  <c r="J63" i="27" s="1"/>
  <c r="J61" i="27"/>
  <c r="F55" i="27"/>
  <c r="G55" i="27" s="1"/>
  <c r="F56" i="27"/>
  <c r="J56" i="27" s="1"/>
  <c r="F65" i="27"/>
  <c r="J65" i="27" s="1"/>
  <c r="G61" i="27"/>
  <c r="F51" i="27"/>
  <c r="J51" i="27" s="1"/>
  <c r="F67" i="27"/>
  <c r="J67" i="27" s="1"/>
  <c r="F52" i="27"/>
  <c r="J52" i="27" s="1"/>
  <c r="J49" i="27"/>
  <c r="G49" i="27"/>
  <c r="F54" i="27"/>
  <c r="J54" i="27" s="1"/>
  <c r="F25" i="27"/>
  <c r="G25" i="27" s="1"/>
  <c r="G40" i="26"/>
  <c r="G41" i="26"/>
  <c r="G38" i="26"/>
  <c r="G54" i="26"/>
  <c r="J41" i="24"/>
  <c r="G56" i="26"/>
  <c r="G51" i="26"/>
  <c r="G50" i="26"/>
  <c r="J43" i="24"/>
  <c r="G43" i="26"/>
  <c r="J40" i="24"/>
  <c r="G55" i="26"/>
  <c r="G44" i="24"/>
  <c r="G53" i="26"/>
  <c r="G39" i="24"/>
  <c r="G42" i="26"/>
  <c r="G52" i="26"/>
  <c r="G39" i="26"/>
  <c r="G44" i="26"/>
  <c r="J32" i="24"/>
  <c r="J50" i="24"/>
  <c r="G50" i="24"/>
  <c r="G26" i="24"/>
  <c r="J26" i="24"/>
  <c r="J38" i="24"/>
  <c r="G38" i="24"/>
  <c r="J66" i="24"/>
  <c r="G66" i="24"/>
  <c r="J42" i="24"/>
  <c r="G42" i="24"/>
  <c r="J43" i="33" l="1"/>
  <c r="J30" i="40"/>
  <c r="G40" i="40"/>
  <c r="G56" i="37"/>
  <c r="J27" i="37"/>
  <c r="G50" i="40"/>
  <c r="G63" i="37"/>
  <c r="G63" i="40"/>
  <c r="G42" i="37"/>
  <c r="G68" i="40"/>
  <c r="J41" i="40"/>
  <c r="G43" i="37"/>
  <c r="G62" i="40"/>
  <c r="G39" i="37"/>
  <c r="J64" i="40"/>
  <c r="G38" i="37"/>
  <c r="G52" i="40"/>
  <c r="J66" i="37"/>
  <c r="J62" i="37"/>
  <c r="G64" i="37"/>
  <c r="G67" i="37"/>
  <c r="J56" i="40"/>
  <c r="J51" i="40"/>
  <c r="J55" i="40"/>
  <c r="J53" i="37"/>
  <c r="J65" i="37"/>
  <c r="G67" i="40"/>
  <c r="G53" i="40"/>
  <c r="G43" i="40"/>
  <c r="J68" i="37"/>
  <c r="G44" i="37"/>
  <c r="G54" i="40"/>
  <c r="G41" i="37"/>
  <c r="G50" i="37"/>
  <c r="J42" i="40"/>
  <c r="G65" i="40"/>
  <c r="G39" i="40"/>
  <c r="G26" i="37"/>
  <c r="G43" i="27"/>
  <c r="G54" i="37"/>
  <c r="J51" i="37"/>
  <c r="J40" i="37"/>
  <c r="J28" i="40"/>
  <c r="G66" i="40"/>
  <c r="G55" i="37"/>
  <c r="J30" i="37"/>
  <c r="J52" i="37"/>
  <c r="G39" i="27"/>
  <c r="J41" i="27"/>
  <c r="G41" i="35"/>
  <c r="J38" i="40"/>
  <c r="J26" i="40"/>
  <c r="G39" i="35"/>
  <c r="G42" i="35"/>
  <c r="G38" i="27"/>
  <c r="J43" i="35"/>
  <c r="G29" i="37"/>
  <c r="J31" i="37"/>
  <c r="J38" i="35"/>
  <c r="J41" i="33"/>
  <c r="J27" i="40"/>
  <c r="G29" i="40"/>
  <c r="G32" i="37"/>
  <c r="J44" i="40"/>
  <c r="G31" i="40"/>
  <c r="G32" i="40"/>
  <c r="G28" i="37"/>
  <c r="G38" i="33"/>
  <c r="G44" i="35"/>
  <c r="J39" i="33"/>
  <c r="J40" i="33"/>
  <c r="J44" i="27"/>
  <c r="G44" i="33"/>
  <c r="G40" i="35"/>
  <c r="G40" i="27"/>
  <c r="J42" i="27"/>
  <c r="J42" i="33"/>
  <c r="G54" i="35"/>
  <c r="J62" i="35"/>
  <c r="G67" i="35"/>
  <c r="J65" i="35"/>
  <c r="G68" i="35"/>
  <c r="G66" i="35"/>
  <c r="G53" i="35"/>
  <c r="G64" i="35"/>
  <c r="F27" i="35"/>
  <c r="J27" i="35" s="1"/>
  <c r="G30" i="35"/>
  <c r="J30" i="35"/>
  <c r="J63" i="35"/>
  <c r="G63" i="35"/>
  <c r="J51" i="35"/>
  <c r="G51" i="35"/>
  <c r="F26" i="35"/>
  <c r="J52" i="35"/>
  <c r="G52" i="35"/>
  <c r="F31" i="35"/>
  <c r="J50" i="35"/>
  <c r="G50" i="35"/>
  <c r="J25" i="35"/>
  <c r="G25" i="35"/>
  <c r="J56" i="35"/>
  <c r="G56" i="35"/>
  <c r="F29" i="35"/>
  <c r="F28" i="35"/>
  <c r="F32" i="35"/>
  <c r="J55" i="35"/>
  <c r="G55" i="35"/>
  <c r="J51" i="33"/>
  <c r="G56" i="33"/>
  <c r="G55" i="33"/>
  <c r="J50" i="33"/>
  <c r="J67" i="33"/>
  <c r="G64" i="33"/>
  <c r="G54" i="33"/>
  <c r="G65" i="33"/>
  <c r="G66" i="33"/>
  <c r="G53" i="33"/>
  <c r="G52" i="33"/>
  <c r="F28" i="33"/>
  <c r="G28" i="33" s="1"/>
  <c r="F31" i="33"/>
  <c r="J31" i="33" s="1"/>
  <c r="F27" i="33"/>
  <c r="G27" i="33" s="1"/>
  <c r="F26" i="33"/>
  <c r="J26" i="33" s="1"/>
  <c r="F32" i="33"/>
  <c r="J32" i="33" s="1"/>
  <c r="F30" i="33"/>
  <c r="G30" i="33" s="1"/>
  <c r="J29" i="33"/>
  <c r="G29" i="33"/>
  <c r="J68" i="33"/>
  <c r="G68" i="33"/>
  <c r="J62" i="33"/>
  <c r="G62" i="33"/>
  <c r="J25" i="33"/>
  <c r="G25" i="33"/>
  <c r="J63" i="33"/>
  <c r="G63" i="33"/>
  <c r="J25" i="27"/>
  <c r="J64" i="27"/>
  <c r="G53" i="27"/>
  <c r="J50" i="27"/>
  <c r="J62" i="27"/>
  <c r="G68" i="27"/>
  <c r="G66" i="27"/>
  <c r="G63" i="27"/>
  <c r="J55" i="27"/>
  <c r="G52" i="27"/>
  <c r="G56" i="27"/>
  <c r="G65" i="27"/>
  <c r="F32" i="27"/>
  <c r="G32" i="27" s="1"/>
  <c r="G54" i="27"/>
  <c r="G67" i="27"/>
  <c r="F26" i="27"/>
  <c r="J26" i="27" s="1"/>
  <c r="F31" i="27"/>
  <c r="J31" i="27" s="1"/>
  <c r="F29" i="27"/>
  <c r="J29" i="27" s="1"/>
  <c r="G51" i="27"/>
  <c r="F30" i="27"/>
  <c r="G30" i="27" s="1"/>
  <c r="F27" i="27"/>
  <c r="F28" i="27"/>
  <c r="G27" i="35" l="1"/>
  <c r="J26" i="35"/>
  <c r="G26" i="35"/>
  <c r="J32" i="35"/>
  <c r="G32" i="35"/>
  <c r="J31" i="35"/>
  <c r="G31" i="35"/>
  <c r="J28" i="35"/>
  <c r="G28" i="35"/>
  <c r="J29" i="35"/>
  <c r="G29" i="35"/>
  <c r="G32" i="33"/>
  <c r="J28" i="33"/>
  <c r="G31" i="33"/>
  <c r="J27" i="33"/>
  <c r="G26" i="33"/>
  <c r="J30" i="33"/>
  <c r="G26" i="27"/>
  <c r="J32" i="27"/>
  <c r="G31" i="27"/>
  <c r="G29" i="27"/>
  <c r="J30" i="27"/>
  <c r="G27" i="27"/>
  <c r="J27" i="27"/>
  <c r="J28" i="27"/>
  <c r="G28" i="27"/>
  <c r="E8" i="9" l="1"/>
  <c r="B47" i="9"/>
  <c r="B46" i="9"/>
  <c r="B45" i="9"/>
  <c r="B44" i="9"/>
  <c r="B43" i="9"/>
  <c r="B42" i="9"/>
  <c r="B41" i="9"/>
  <c r="B40" i="9"/>
  <c r="U4" i="20"/>
  <c r="V4" i="20"/>
  <c r="U5" i="20"/>
  <c r="V5" i="20"/>
  <c r="U6" i="20"/>
  <c r="V6" i="20"/>
  <c r="U7" i="20"/>
  <c r="V7" i="20"/>
  <c r="U8" i="20"/>
  <c r="V8" i="20"/>
  <c r="U9" i="20"/>
  <c r="V9" i="20"/>
  <c r="U10" i="20"/>
  <c r="V10" i="20"/>
  <c r="U11" i="20"/>
  <c r="V11" i="20"/>
  <c r="U12" i="20"/>
  <c r="V12" i="20"/>
  <c r="U13" i="20"/>
  <c r="V13" i="20"/>
  <c r="U14" i="20"/>
  <c r="V14" i="20"/>
  <c r="U15" i="20"/>
  <c r="V15" i="20"/>
  <c r="U16" i="20"/>
  <c r="V16" i="20"/>
  <c r="U17" i="20"/>
  <c r="V17" i="20"/>
  <c r="U18" i="20"/>
  <c r="V18" i="20"/>
  <c r="U19" i="20"/>
  <c r="V19" i="20"/>
  <c r="U20" i="20"/>
  <c r="V20" i="20"/>
  <c r="U21" i="20"/>
  <c r="V21" i="20"/>
  <c r="U22" i="20"/>
  <c r="V22" i="20"/>
  <c r="U23" i="20"/>
  <c r="V23" i="20"/>
  <c r="U24" i="20"/>
  <c r="V24" i="20"/>
  <c r="U25" i="20"/>
  <c r="V25" i="20"/>
  <c r="V3" i="20"/>
  <c r="U3" i="20"/>
  <c r="BK211" i="20"/>
  <c r="BJ211" i="20"/>
  <c r="BH211" i="20"/>
  <c r="BG211" i="20"/>
  <c r="BK210" i="20"/>
  <c r="BJ210" i="20"/>
  <c r="BH210" i="20"/>
  <c r="BG210" i="20"/>
  <c r="BK209" i="20"/>
  <c r="BJ209" i="20"/>
  <c r="BH209" i="20"/>
  <c r="BG209" i="20"/>
  <c r="BK208" i="20"/>
  <c r="BJ208" i="20"/>
  <c r="BH208" i="20"/>
  <c r="BG208" i="20"/>
  <c r="BK207" i="20"/>
  <c r="BJ207" i="20"/>
  <c r="BH207" i="20"/>
  <c r="BG207" i="20"/>
  <c r="BK206" i="20"/>
  <c r="BJ206" i="20"/>
  <c r="BH206" i="20"/>
  <c r="BG206" i="20"/>
  <c r="BK205" i="20"/>
  <c r="BJ205" i="20"/>
  <c r="BH205" i="20"/>
  <c r="BG205" i="20"/>
  <c r="BK204" i="20"/>
  <c r="BJ204" i="20"/>
  <c r="BH204" i="20"/>
  <c r="BG204" i="20"/>
  <c r="BK203" i="20"/>
  <c r="BJ203" i="20"/>
  <c r="BH203" i="20"/>
  <c r="BG203" i="20"/>
  <c r="BK202" i="20"/>
  <c r="BJ202" i="20"/>
  <c r="BH202" i="20"/>
  <c r="BG202" i="20"/>
  <c r="BK201" i="20"/>
  <c r="BJ201" i="20"/>
  <c r="BH201" i="20"/>
  <c r="BG201" i="20"/>
  <c r="BK200" i="20"/>
  <c r="BJ200" i="20"/>
  <c r="BH200" i="20"/>
  <c r="BG200" i="20"/>
  <c r="BK199" i="20"/>
  <c r="BJ199" i="20"/>
  <c r="BH199" i="20"/>
  <c r="BG199" i="20"/>
  <c r="BK198" i="20"/>
  <c r="BJ198" i="20"/>
  <c r="BH198" i="20"/>
  <c r="BG198" i="20"/>
  <c r="BK197" i="20"/>
  <c r="BJ197" i="20"/>
  <c r="BH197" i="20"/>
  <c r="BG197" i="20"/>
  <c r="BK196" i="20"/>
  <c r="BJ196" i="20"/>
  <c r="BH196" i="20"/>
  <c r="BG196" i="20"/>
  <c r="BK195" i="20"/>
  <c r="BJ195" i="20"/>
  <c r="BH195" i="20"/>
  <c r="BG195" i="20"/>
  <c r="BK194" i="20"/>
  <c r="BJ194" i="20"/>
  <c r="BH194" i="20"/>
  <c r="BG194" i="20"/>
  <c r="BK193" i="20"/>
  <c r="BJ193" i="20"/>
  <c r="BH193" i="20"/>
  <c r="BG193" i="20"/>
  <c r="BK192" i="20"/>
  <c r="BJ192" i="20"/>
  <c r="BH192" i="20"/>
  <c r="BG192" i="20"/>
  <c r="BK191" i="20"/>
  <c r="BJ191" i="20"/>
  <c r="BH191" i="20"/>
  <c r="BG191" i="20"/>
  <c r="BK190" i="20"/>
  <c r="BJ190" i="20"/>
  <c r="BH190" i="20"/>
  <c r="BG190" i="20"/>
  <c r="BK189" i="20"/>
  <c r="BJ189" i="20"/>
  <c r="BH189" i="20"/>
  <c r="BG189" i="20"/>
  <c r="BK188" i="20"/>
  <c r="BJ188" i="20"/>
  <c r="BH188" i="20"/>
  <c r="BG188" i="20"/>
  <c r="BK187" i="20"/>
  <c r="BJ187" i="20"/>
  <c r="BH187" i="20"/>
  <c r="BG187" i="20"/>
  <c r="BK186" i="20"/>
  <c r="BJ186" i="20"/>
  <c r="BH186" i="20"/>
  <c r="BG186" i="20"/>
  <c r="BK185" i="20"/>
  <c r="BJ185" i="20"/>
  <c r="BH185" i="20"/>
  <c r="BG185" i="20"/>
  <c r="BK184" i="20"/>
  <c r="BJ184" i="20"/>
  <c r="BH184" i="20"/>
  <c r="BG184" i="20"/>
  <c r="BK183" i="20"/>
  <c r="BJ183" i="20"/>
  <c r="BH183" i="20"/>
  <c r="BG183" i="20"/>
  <c r="BK182" i="20"/>
  <c r="BJ182" i="20"/>
  <c r="BH182" i="20"/>
  <c r="BG182" i="20"/>
  <c r="BK181" i="20"/>
  <c r="BJ181" i="20"/>
  <c r="BH181" i="20"/>
  <c r="BG181" i="20"/>
  <c r="BK180" i="20"/>
  <c r="BJ180" i="20"/>
  <c r="BH180" i="20"/>
  <c r="BG180" i="20"/>
  <c r="BK179" i="20"/>
  <c r="BJ179" i="20"/>
  <c r="BH179" i="20"/>
  <c r="BG179" i="20"/>
  <c r="BK178" i="20"/>
  <c r="BJ178" i="20"/>
  <c r="BH178" i="20"/>
  <c r="BG178" i="20"/>
  <c r="BK177" i="20"/>
  <c r="BJ177" i="20"/>
  <c r="BH177" i="20"/>
  <c r="BG177" i="20"/>
  <c r="BK176" i="20"/>
  <c r="BJ176" i="20"/>
  <c r="BH176" i="20"/>
  <c r="BG176" i="20"/>
  <c r="BK175" i="20"/>
  <c r="BJ175" i="20"/>
  <c r="BH175" i="20"/>
  <c r="BG175" i="20"/>
  <c r="BK174" i="20"/>
  <c r="BJ174" i="20"/>
  <c r="BH174" i="20"/>
  <c r="BG174" i="20"/>
  <c r="BK173" i="20"/>
  <c r="BJ173" i="20"/>
  <c r="BH173" i="20"/>
  <c r="BG173" i="20"/>
  <c r="BK172" i="20"/>
  <c r="BJ172" i="20"/>
  <c r="BH172" i="20"/>
  <c r="BG172" i="20"/>
  <c r="BK171" i="20"/>
  <c r="BJ171" i="20"/>
  <c r="BH171" i="20"/>
  <c r="BG171" i="20"/>
  <c r="BK170" i="20"/>
  <c r="BJ170" i="20"/>
  <c r="BH170" i="20"/>
  <c r="BG170" i="20"/>
  <c r="BK169" i="20"/>
  <c r="BJ169" i="20"/>
  <c r="BH169" i="20"/>
  <c r="BG169" i="20"/>
  <c r="BK168" i="20"/>
  <c r="BJ168" i="20"/>
  <c r="BH168" i="20"/>
  <c r="BG168" i="20"/>
  <c r="BK167" i="20"/>
  <c r="BJ167" i="20"/>
  <c r="BH167" i="20"/>
  <c r="BG167" i="20"/>
  <c r="BK166" i="20"/>
  <c r="BJ166" i="20"/>
  <c r="BH166" i="20"/>
  <c r="BG166" i="20"/>
  <c r="BK165" i="20"/>
  <c r="BJ165" i="20"/>
  <c r="BH165" i="20"/>
  <c r="BG165" i="20"/>
  <c r="BK164" i="20"/>
  <c r="BJ164" i="20"/>
  <c r="BH164" i="20"/>
  <c r="BG164" i="20"/>
  <c r="BK163" i="20"/>
  <c r="BJ163" i="20"/>
  <c r="BH163" i="20"/>
  <c r="BG163" i="20"/>
  <c r="BK162" i="20"/>
  <c r="BJ162" i="20"/>
  <c r="BH162" i="20"/>
  <c r="BG162" i="20"/>
  <c r="BK161" i="20"/>
  <c r="BJ161" i="20"/>
  <c r="BH161" i="20"/>
  <c r="BG161" i="20"/>
  <c r="BK160" i="20"/>
  <c r="BJ160" i="20"/>
  <c r="BH160" i="20"/>
  <c r="BG160" i="20"/>
  <c r="BK159" i="20"/>
  <c r="BJ159" i="20"/>
  <c r="BH159" i="20"/>
  <c r="BG159" i="20"/>
  <c r="BK158" i="20"/>
  <c r="BJ158" i="20"/>
  <c r="BH158" i="20"/>
  <c r="BG158" i="20"/>
  <c r="BK157" i="20"/>
  <c r="BJ157" i="20"/>
  <c r="BH157" i="20"/>
  <c r="BG157" i="20"/>
  <c r="BK156" i="20"/>
  <c r="BJ156" i="20"/>
  <c r="BH156" i="20"/>
  <c r="BG156" i="20"/>
  <c r="BK155" i="20"/>
  <c r="BJ155" i="20"/>
  <c r="BH155" i="20"/>
  <c r="BG155" i="20"/>
  <c r="BK154" i="20"/>
  <c r="BJ154" i="20"/>
  <c r="BH154" i="20"/>
  <c r="BG154" i="20"/>
  <c r="BK153" i="20"/>
  <c r="BJ153" i="20"/>
  <c r="BH153" i="20"/>
  <c r="BG153" i="20"/>
  <c r="BK152" i="20"/>
  <c r="BJ152" i="20"/>
  <c r="BH152" i="20"/>
  <c r="BG152" i="20"/>
  <c r="BK151" i="20"/>
  <c r="BJ151" i="20"/>
  <c r="BH151" i="20"/>
  <c r="BG151" i="20"/>
  <c r="BK150" i="20"/>
  <c r="BJ150" i="20"/>
  <c r="BH150" i="20"/>
  <c r="BG150" i="20"/>
  <c r="BK149" i="20"/>
  <c r="BJ149" i="20"/>
  <c r="BH149" i="20"/>
  <c r="BG149" i="20"/>
  <c r="BK148" i="20"/>
  <c r="BJ148" i="20"/>
  <c r="BH148" i="20"/>
  <c r="BG148" i="20"/>
  <c r="BK147" i="20"/>
  <c r="BJ147" i="20"/>
  <c r="BH147" i="20"/>
  <c r="BG147" i="20"/>
  <c r="BK146" i="20"/>
  <c r="BJ146" i="20"/>
  <c r="BH146" i="20"/>
  <c r="BG146" i="20"/>
  <c r="BK145" i="20"/>
  <c r="BJ145" i="20"/>
  <c r="BH145" i="20"/>
  <c r="BG145" i="20"/>
  <c r="BK144" i="20"/>
  <c r="BJ144" i="20"/>
  <c r="BH144" i="20"/>
  <c r="BG144" i="20"/>
  <c r="BK143" i="20"/>
  <c r="BJ143" i="20"/>
  <c r="BH143" i="20"/>
  <c r="BG143" i="20"/>
  <c r="BK142" i="20"/>
  <c r="BJ142" i="20"/>
  <c r="BH142" i="20"/>
  <c r="BG142" i="20"/>
  <c r="BK141" i="20"/>
  <c r="BJ141" i="20"/>
  <c r="BH141" i="20"/>
  <c r="BG141" i="20"/>
  <c r="BK140" i="20"/>
  <c r="BJ140" i="20"/>
  <c r="BH140" i="20"/>
  <c r="BG140" i="20"/>
  <c r="BK139" i="20"/>
  <c r="BJ139" i="20"/>
  <c r="BH139" i="20"/>
  <c r="BG139" i="20"/>
  <c r="BK138" i="20"/>
  <c r="BJ138" i="20"/>
  <c r="BH138" i="20"/>
  <c r="BG138" i="20"/>
  <c r="BK137" i="20"/>
  <c r="BJ137" i="20"/>
  <c r="BH137" i="20"/>
  <c r="BG137" i="20"/>
  <c r="BK136" i="20"/>
  <c r="BJ136" i="20"/>
  <c r="BH136" i="20"/>
  <c r="BG136" i="20"/>
  <c r="BK135" i="20"/>
  <c r="BJ135" i="20"/>
  <c r="BH135" i="20"/>
  <c r="BG135" i="20"/>
  <c r="BK134" i="20"/>
  <c r="BJ134" i="20"/>
  <c r="BH134" i="20"/>
  <c r="BG134" i="20"/>
  <c r="BK133" i="20"/>
  <c r="BJ133" i="20"/>
  <c r="BH133" i="20"/>
  <c r="BG133" i="20"/>
  <c r="BK132" i="20"/>
  <c r="BJ132" i="20"/>
  <c r="BH132" i="20"/>
  <c r="BG132" i="20"/>
  <c r="BK131" i="20"/>
  <c r="BJ131" i="20"/>
  <c r="BH131" i="20"/>
  <c r="BG131" i="20"/>
  <c r="BK130" i="20"/>
  <c r="BJ130" i="20"/>
  <c r="BH130" i="20"/>
  <c r="BG130" i="20"/>
  <c r="BK129" i="20"/>
  <c r="BJ129" i="20"/>
  <c r="BH129" i="20"/>
  <c r="BG129" i="20"/>
  <c r="BK128" i="20"/>
  <c r="BJ128" i="20"/>
  <c r="BH128" i="20"/>
  <c r="BG128" i="20"/>
  <c r="BK127" i="20"/>
  <c r="BJ127" i="20"/>
  <c r="BH127" i="20"/>
  <c r="BG127" i="20"/>
  <c r="BK126" i="20"/>
  <c r="BJ126" i="20"/>
  <c r="BH126" i="20"/>
  <c r="BG126" i="20"/>
  <c r="BK125" i="20"/>
  <c r="BJ125" i="20"/>
  <c r="BH125" i="20"/>
  <c r="BG125" i="20"/>
  <c r="BK124" i="20"/>
  <c r="BJ124" i="20"/>
  <c r="BH124" i="20"/>
  <c r="BG124" i="20"/>
  <c r="BK123" i="20"/>
  <c r="BJ123" i="20"/>
  <c r="BH123" i="20"/>
  <c r="BG123" i="20"/>
  <c r="BK122" i="20"/>
  <c r="BJ122" i="20"/>
  <c r="BH122" i="20"/>
  <c r="BG122" i="20"/>
  <c r="BK121" i="20"/>
  <c r="BJ121" i="20"/>
  <c r="BH121" i="20"/>
  <c r="BG121" i="20"/>
  <c r="BK120" i="20"/>
  <c r="BJ120" i="20"/>
  <c r="BH120" i="20"/>
  <c r="BG120" i="20"/>
  <c r="BK119" i="20"/>
  <c r="BJ119" i="20"/>
  <c r="BH119" i="20"/>
  <c r="BG119" i="20"/>
  <c r="BK118" i="20"/>
  <c r="BJ118" i="20"/>
  <c r="BH118" i="20"/>
  <c r="BG118" i="20"/>
  <c r="BK117" i="20"/>
  <c r="BJ117" i="20"/>
  <c r="BH117" i="20"/>
  <c r="BG117" i="20"/>
  <c r="BK116" i="20"/>
  <c r="BJ116" i="20"/>
  <c r="BH116" i="20"/>
  <c r="BG116" i="20"/>
  <c r="BK115" i="20"/>
  <c r="BJ115" i="20"/>
  <c r="BH115" i="20"/>
  <c r="BG115" i="20"/>
  <c r="BK114" i="20"/>
  <c r="BJ114" i="20"/>
  <c r="BH114" i="20"/>
  <c r="BG114" i="20"/>
  <c r="BK113" i="20"/>
  <c r="BJ113" i="20"/>
  <c r="BH113" i="20"/>
  <c r="BG113" i="20"/>
  <c r="BK112" i="20"/>
  <c r="BJ112" i="20"/>
  <c r="BH112" i="20"/>
  <c r="BG112" i="20"/>
  <c r="BK111" i="20"/>
  <c r="BJ111" i="20"/>
  <c r="BH111" i="20"/>
  <c r="BG111" i="20"/>
  <c r="BK110" i="20"/>
  <c r="BJ110" i="20"/>
  <c r="BH110" i="20"/>
  <c r="BG110" i="20"/>
  <c r="BK109" i="20"/>
  <c r="BJ109" i="20"/>
  <c r="BH109" i="20"/>
  <c r="BG109" i="20"/>
  <c r="BK108" i="20"/>
  <c r="BJ108" i="20"/>
  <c r="BH108" i="20"/>
  <c r="BG108" i="20"/>
  <c r="BK107" i="20"/>
  <c r="BJ107" i="20"/>
  <c r="BH107" i="20"/>
  <c r="BG107" i="20"/>
  <c r="BK106" i="20"/>
  <c r="BJ106" i="20"/>
  <c r="BH106" i="20"/>
  <c r="BG106" i="20"/>
  <c r="BK105" i="20"/>
  <c r="BJ105" i="20"/>
  <c r="BH105" i="20"/>
  <c r="BG105" i="20"/>
  <c r="BK104" i="20"/>
  <c r="BJ104" i="20"/>
  <c r="BH104" i="20"/>
  <c r="BG104" i="20"/>
  <c r="BK103" i="20"/>
  <c r="BJ103" i="20"/>
  <c r="BH103" i="20"/>
  <c r="BG103" i="20"/>
  <c r="BK102" i="20"/>
  <c r="BJ102" i="20"/>
  <c r="BK101" i="20"/>
  <c r="BJ101" i="20"/>
  <c r="BK100" i="20"/>
  <c r="BJ100" i="20"/>
  <c r="BK99" i="20"/>
  <c r="BJ99" i="20"/>
  <c r="BK98" i="20"/>
  <c r="BJ98" i="20"/>
  <c r="BK97" i="20"/>
  <c r="BJ97" i="20"/>
  <c r="BK96" i="20"/>
  <c r="BJ96" i="20"/>
  <c r="BK95" i="20"/>
  <c r="BJ95" i="20"/>
  <c r="BK94" i="20"/>
  <c r="BJ94" i="20"/>
  <c r="BK93" i="20"/>
  <c r="BJ93" i="20"/>
  <c r="BK92" i="20"/>
  <c r="BJ92" i="20"/>
  <c r="BK91" i="20"/>
  <c r="BJ91" i="20"/>
  <c r="BK90" i="20"/>
  <c r="BJ90" i="20"/>
  <c r="BK89" i="20"/>
  <c r="BJ89" i="20"/>
  <c r="BK88" i="20"/>
  <c r="BJ88" i="20"/>
  <c r="BK87" i="20"/>
  <c r="BJ87" i="20"/>
  <c r="BK86" i="20"/>
  <c r="BJ86" i="20"/>
  <c r="BK85" i="20"/>
  <c r="BJ85" i="20"/>
  <c r="BK84" i="20"/>
  <c r="BJ84" i="20"/>
  <c r="BK83" i="20"/>
  <c r="BJ83" i="20"/>
  <c r="BK82" i="20"/>
  <c r="BJ82" i="20"/>
  <c r="BK81" i="20"/>
  <c r="BJ81" i="20"/>
  <c r="BK80" i="20"/>
  <c r="BJ80" i="20"/>
  <c r="BK79" i="20"/>
  <c r="BJ79" i="20"/>
  <c r="BK78" i="20"/>
  <c r="BJ78" i="20"/>
  <c r="BK77" i="20"/>
  <c r="BJ77" i="20"/>
  <c r="BK76" i="20"/>
  <c r="BJ76" i="20"/>
  <c r="BK75" i="20"/>
  <c r="BJ75" i="20"/>
  <c r="BK74" i="20"/>
  <c r="BJ74" i="20"/>
  <c r="BK73" i="20"/>
  <c r="BJ73" i="20"/>
  <c r="BK72" i="20"/>
  <c r="BJ72" i="20"/>
  <c r="BK71" i="20"/>
  <c r="BJ71" i="20"/>
  <c r="BK70" i="20"/>
  <c r="BJ70" i="20"/>
  <c r="BK69" i="20"/>
  <c r="BJ69" i="20"/>
  <c r="BK68" i="20"/>
  <c r="BJ68" i="20"/>
  <c r="BK67" i="20"/>
  <c r="BJ67" i="20"/>
  <c r="BK66" i="20"/>
  <c r="BJ66" i="20"/>
  <c r="BK65" i="20"/>
  <c r="BJ65" i="20"/>
  <c r="BK64" i="20"/>
  <c r="BJ64" i="20"/>
  <c r="BK63" i="20"/>
  <c r="BJ63" i="20"/>
  <c r="BK62" i="20"/>
  <c r="BJ62" i="20"/>
  <c r="BK61" i="20"/>
  <c r="BJ61" i="20"/>
  <c r="BK60" i="20"/>
  <c r="BJ60" i="20"/>
  <c r="BK59" i="20"/>
  <c r="BJ59" i="20"/>
  <c r="BK58" i="20"/>
  <c r="BJ58" i="20"/>
  <c r="BK57" i="20"/>
  <c r="BJ57" i="20"/>
  <c r="BK56" i="20"/>
  <c r="BJ56" i="20"/>
  <c r="BK55" i="20"/>
  <c r="BJ55" i="20"/>
  <c r="BK54" i="20"/>
  <c r="BJ54" i="20"/>
  <c r="BK53" i="20"/>
  <c r="BJ53" i="20"/>
  <c r="BK52" i="20"/>
  <c r="BJ52" i="20"/>
  <c r="BK51" i="20"/>
  <c r="BJ51" i="20"/>
  <c r="BK50" i="20"/>
  <c r="BJ50" i="20"/>
  <c r="BK49" i="20"/>
  <c r="BJ49" i="20"/>
  <c r="BK48" i="20"/>
  <c r="BJ48" i="20"/>
  <c r="BK47" i="20"/>
  <c r="BJ47" i="20"/>
  <c r="BK46" i="20"/>
  <c r="BJ46" i="20"/>
  <c r="BK45" i="20"/>
  <c r="BJ45" i="20"/>
  <c r="BK44" i="20"/>
  <c r="BJ44" i="20"/>
  <c r="BK43" i="20"/>
  <c r="BJ43" i="20"/>
  <c r="BK42" i="20"/>
  <c r="BJ42" i="20"/>
  <c r="BK41" i="20"/>
  <c r="BJ41" i="20"/>
  <c r="BK40" i="20"/>
  <c r="BJ40" i="20"/>
  <c r="BK39" i="20"/>
  <c r="BJ39" i="20"/>
  <c r="BK38" i="20"/>
  <c r="BJ38" i="20"/>
  <c r="BK37" i="20"/>
  <c r="BJ37" i="20"/>
  <c r="BK36" i="20"/>
  <c r="BJ36" i="20"/>
  <c r="BK35" i="20"/>
  <c r="BJ35" i="20"/>
  <c r="BK34" i="20"/>
  <c r="BJ34" i="20"/>
  <c r="BK33" i="20"/>
  <c r="BJ33" i="20"/>
  <c r="BK32" i="20"/>
  <c r="BJ32" i="20"/>
  <c r="BK31" i="20"/>
  <c r="BJ31" i="20"/>
  <c r="BK30" i="20"/>
  <c r="BJ30" i="20"/>
  <c r="BK29" i="20"/>
  <c r="BJ29" i="20"/>
  <c r="BK28" i="20"/>
  <c r="BJ28" i="20"/>
  <c r="BK27" i="20"/>
  <c r="BJ27" i="20"/>
  <c r="BK26" i="20"/>
  <c r="BJ26" i="20"/>
  <c r="BK25" i="20"/>
  <c r="BJ25" i="20"/>
  <c r="BK24" i="20"/>
  <c r="BJ24" i="20"/>
  <c r="BK23" i="20"/>
  <c r="BJ23" i="20"/>
  <c r="BK22" i="20"/>
  <c r="BJ22" i="20"/>
  <c r="BK21" i="20"/>
  <c r="BJ21" i="20"/>
  <c r="BK20" i="20"/>
  <c r="BJ20" i="20"/>
  <c r="BK19" i="20"/>
  <c r="BJ19" i="20"/>
  <c r="BK18" i="20"/>
  <c r="BJ18" i="20"/>
  <c r="BK17" i="20"/>
  <c r="BJ17" i="20"/>
  <c r="BK16" i="20"/>
  <c r="BJ16" i="20"/>
  <c r="BK15" i="20"/>
  <c r="BJ15" i="20"/>
  <c r="BK14" i="20"/>
  <c r="BJ14" i="20"/>
  <c r="BK13" i="20"/>
  <c r="BJ13" i="20"/>
  <c r="BK12" i="20"/>
  <c r="BJ12" i="20"/>
  <c r="BK11" i="20"/>
  <c r="BJ11" i="20"/>
  <c r="BK10" i="20"/>
  <c r="BJ10" i="20"/>
  <c r="BK9" i="20"/>
  <c r="BJ9" i="20"/>
  <c r="BK8" i="20"/>
  <c r="BJ8" i="20"/>
  <c r="BK7" i="20"/>
  <c r="BJ7" i="20"/>
  <c r="BK6" i="20"/>
  <c r="BJ6" i="20"/>
  <c r="BK5" i="20"/>
  <c r="BJ5" i="20"/>
  <c r="BK4" i="20"/>
  <c r="BJ4" i="20"/>
  <c r="BK3" i="20"/>
  <c r="BJ3" i="20"/>
  <c r="AH34" i="19" a="1"/>
  <c r="AH34" i="19" s="1"/>
  <c r="C1" i="2"/>
  <c r="P25" i="20"/>
  <c r="O25" i="20"/>
  <c r="P24" i="20"/>
  <c r="O24" i="20"/>
  <c r="P23" i="20"/>
  <c r="O23" i="20"/>
  <c r="P22" i="20"/>
  <c r="O22" i="20"/>
  <c r="P21" i="20"/>
  <c r="O21" i="20"/>
  <c r="P20" i="20"/>
  <c r="O20" i="20"/>
  <c r="P19" i="20"/>
  <c r="O19" i="20"/>
  <c r="P18" i="20"/>
  <c r="O18" i="20"/>
  <c r="P17" i="20"/>
  <c r="O17" i="20"/>
  <c r="P16" i="20"/>
  <c r="O16" i="20"/>
  <c r="P15" i="20"/>
  <c r="O15" i="20"/>
  <c r="P14" i="20"/>
  <c r="O14" i="20"/>
  <c r="P13" i="20"/>
  <c r="O13" i="20"/>
  <c r="P12" i="20"/>
  <c r="O12" i="20"/>
  <c r="P11" i="20"/>
  <c r="O11" i="20"/>
  <c r="P10" i="20"/>
  <c r="O10" i="20"/>
  <c r="P9" i="20"/>
  <c r="O9" i="20"/>
  <c r="P8" i="20"/>
  <c r="O8" i="20"/>
  <c r="P7" i="20"/>
  <c r="O7" i="20"/>
  <c r="P6" i="20"/>
  <c r="O6" i="20"/>
  <c r="P5" i="20"/>
  <c r="O5" i="20"/>
  <c r="P4" i="20"/>
  <c r="O4" i="20"/>
  <c r="AM103" i="20"/>
  <c r="AN103" i="20"/>
  <c r="AM104" i="20"/>
  <c r="AN104" i="20"/>
  <c r="AM105" i="20"/>
  <c r="AN105" i="20"/>
  <c r="AM106" i="20"/>
  <c r="AN106" i="20"/>
  <c r="AM107" i="20"/>
  <c r="AN107" i="20"/>
  <c r="AM108" i="20"/>
  <c r="AN108" i="20"/>
  <c r="AM109" i="20"/>
  <c r="AN109" i="20"/>
  <c r="AM110" i="20"/>
  <c r="AN110" i="20"/>
  <c r="AM111" i="20"/>
  <c r="AN111" i="20"/>
  <c r="AM112" i="20"/>
  <c r="AN112" i="20"/>
  <c r="AM113" i="20"/>
  <c r="AN113" i="20"/>
  <c r="AM114" i="20"/>
  <c r="AN114" i="20"/>
  <c r="AM115" i="20"/>
  <c r="AN115" i="20"/>
  <c r="AM116" i="20"/>
  <c r="AN116" i="20"/>
  <c r="AM117" i="20"/>
  <c r="AN117" i="20"/>
  <c r="AM118" i="20"/>
  <c r="AN118" i="20"/>
  <c r="AM119" i="20"/>
  <c r="AN119" i="20"/>
  <c r="AM120" i="20"/>
  <c r="AN120" i="20"/>
  <c r="AM121" i="20"/>
  <c r="AN121" i="20"/>
  <c r="AM122" i="20"/>
  <c r="AN122" i="20"/>
  <c r="AM123" i="20"/>
  <c r="AN123" i="20"/>
  <c r="AM124" i="20"/>
  <c r="AN124" i="20"/>
  <c r="AM125" i="20"/>
  <c r="AN125" i="20"/>
  <c r="AM126" i="20"/>
  <c r="AN126" i="20"/>
  <c r="AM127" i="20"/>
  <c r="AN127" i="20"/>
  <c r="AM128" i="20"/>
  <c r="AN128" i="20"/>
  <c r="AM129" i="20"/>
  <c r="AN129" i="20"/>
  <c r="AM130" i="20"/>
  <c r="AN130" i="20"/>
  <c r="AM131" i="20"/>
  <c r="AN131" i="20"/>
  <c r="AM132" i="20"/>
  <c r="AN132" i="20"/>
  <c r="AM133" i="20"/>
  <c r="AN133" i="20"/>
  <c r="AM134" i="20"/>
  <c r="AN134" i="20"/>
  <c r="AM135" i="20"/>
  <c r="AN135" i="20"/>
  <c r="AM136" i="20"/>
  <c r="AN136" i="20"/>
  <c r="AM137" i="20"/>
  <c r="AN137" i="20"/>
  <c r="AM138" i="20"/>
  <c r="AN138" i="20"/>
  <c r="AM139" i="20"/>
  <c r="AN139" i="20"/>
  <c r="AM140" i="20"/>
  <c r="AN140" i="20"/>
  <c r="AM141" i="20"/>
  <c r="AN141" i="20"/>
  <c r="AM142" i="20"/>
  <c r="AN142" i="20"/>
  <c r="AM143" i="20"/>
  <c r="AN143" i="20"/>
  <c r="AM144" i="20"/>
  <c r="AN144" i="20"/>
  <c r="AM145" i="20"/>
  <c r="AN145" i="20"/>
  <c r="AM146" i="20"/>
  <c r="AN146" i="20"/>
  <c r="AM147" i="20"/>
  <c r="AN147" i="20"/>
  <c r="AM148" i="20"/>
  <c r="AN148" i="20"/>
  <c r="AM149" i="20"/>
  <c r="AN149" i="20"/>
  <c r="AM150" i="20"/>
  <c r="AN150" i="20"/>
  <c r="AM151" i="20"/>
  <c r="AN151" i="20"/>
  <c r="AM152" i="20"/>
  <c r="AN152" i="20"/>
  <c r="AM153" i="20"/>
  <c r="AN153" i="20"/>
  <c r="AM154" i="20"/>
  <c r="AN154" i="20"/>
  <c r="AM155" i="20"/>
  <c r="AN155" i="20"/>
  <c r="AM156" i="20"/>
  <c r="AN156" i="20"/>
  <c r="AM157" i="20"/>
  <c r="AN157" i="20"/>
  <c r="AM158" i="20"/>
  <c r="AN158" i="20"/>
  <c r="AM159" i="20"/>
  <c r="AN159" i="20"/>
  <c r="AM160" i="20"/>
  <c r="AN160" i="20"/>
  <c r="AM161" i="20"/>
  <c r="AN161" i="20"/>
  <c r="AM162" i="20"/>
  <c r="AN162" i="20"/>
  <c r="AM163" i="20"/>
  <c r="AN163" i="20"/>
  <c r="AM164" i="20"/>
  <c r="AN164" i="20"/>
  <c r="AM165" i="20"/>
  <c r="AN165" i="20"/>
  <c r="AM166" i="20"/>
  <c r="AN166" i="20"/>
  <c r="AM167" i="20"/>
  <c r="AN167" i="20"/>
  <c r="AM168" i="20"/>
  <c r="AN168" i="20"/>
  <c r="AM169" i="20"/>
  <c r="AN169" i="20"/>
  <c r="AM170" i="20"/>
  <c r="AN170" i="20"/>
  <c r="AM171" i="20"/>
  <c r="AN171" i="20"/>
  <c r="AM172" i="20"/>
  <c r="AN172" i="20"/>
  <c r="AM173" i="20"/>
  <c r="AN173" i="20"/>
  <c r="AM174" i="20"/>
  <c r="AN174" i="20"/>
  <c r="AM175" i="20"/>
  <c r="AN175" i="20"/>
  <c r="AM176" i="20"/>
  <c r="AN176" i="20"/>
  <c r="AM177" i="20"/>
  <c r="AN177" i="20"/>
  <c r="AM178" i="20"/>
  <c r="AN178" i="20"/>
  <c r="AM179" i="20"/>
  <c r="AN179" i="20"/>
  <c r="AM180" i="20"/>
  <c r="AN180" i="20"/>
  <c r="AM181" i="20"/>
  <c r="AN181" i="20"/>
  <c r="AM182" i="20"/>
  <c r="AN182" i="20"/>
  <c r="AM183" i="20"/>
  <c r="AN183" i="20"/>
  <c r="AM184" i="20"/>
  <c r="AN184" i="20"/>
  <c r="AM185" i="20"/>
  <c r="AN185" i="20"/>
  <c r="AM186" i="20"/>
  <c r="AN186" i="20"/>
  <c r="AM187" i="20"/>
  <c r="AN187" i="20"/>
  <c r="AM188" i="20"/>
  <c r="AN188" i="20"/>
  <c r="AM189" i="20"/>
  <c r="AN189" i="20"/>
  <c r="AM190" i="20"/>
  <c r="AN190" i="20"/>
  <c r="AM191" i="20"/>
  <c r="AN191" i="20"/>
  <c r="AM192" i="20"/>
  <c r="AN192" i="20"/>
  <c r="AM193" i="20"/>
  <c r="AN193" i="20"/>
  <c r="AM194" i="20"/>
  <c r="AN194" i="20"/>
  <c r="AM195" i="20"/>
  <c r="AN195" i="20"/>
  <c r="AM196" i="20"/>
  <c r="AN196" i="20"/>
  <c r="AM197" i="20"/>
  <c r="AN197" i="20"/>
  <c r="AM198" i="20"/>
  <c r="AN198" i="20"/>
  <c r="AM199" i="20"/>
  <c r="AN199" i="20"/>
  <c r="AM200" i="20"/>
  <c r="AN200" i="20"/>
  <c r="AM201" i="20"/>
  <c r="AN201" i="20"/>
  <c r="AM202" i="20"/>
  <c r="AN202" i="20"/>
  <c r="AM203" i="20"/>
  <c r="AN203" i="20"/>
  <c r="AM204" i="20"/>
  <c r="AN204" i="20"/>
  <c r="AM205" i="20"/>
  <c r="AN205" i="20"/>
  <c r="AM206" i="20"/>
  <c r="AN206" i="20"/>
  <c r="AM207" i="20"/>
  <c r="AN207" i="20"/>
  <c r="AM208" i="20"/>
  <c r="AN208" i="20"/>
  <c r="AM209" i="20"/>
  <c r="AN209" i="20"/>
  <c r="AM210" i="20"/>
  <c r="AN210" i="20"/>
  <c r="AM211" i="20"/>
  <c r="AN211" i="20"/>
  <c r="AW103" i="20"/>
  <c r="AX103" i="20"/>
  <c r="AW104" i="20"/>
  <c r="AX104" i="20"/>
  <c r="AW105" i="20"/>
  <c r="AX105" i="20"/>
  <c r="AW106" i="20"/>
  <c r="AX106" i="20"/>
  <c r="AW107" i="20"/>
  <c r="AX107" i="20"/>
  <c r="AW108" i="20"/>
  <c r="AX108" i="20"/>
  <c r="AW109" i="20"/>
  <c r="AX109" i="20"/>
  <c r="AW110" i="20"/>
  <c r="AX110" i="20"/>
  <c r="AW111" i="20"/>
  <c r="AX111" i="20"/>
  <c r="AW112" i="20"/>
  <c r="AX112" i="20"/>
  <c r="AW113" i="20"/>
  <c r="AX113" i="20"/>
  <c r="AW114" i="20"/>
  <c r="AX114" i="20"/>
  <c r="AW115" i="20"/>
  <c r="AX115" i="20"/>
  <c r="AW116" i="20"/>
  <c r="AX116" i="20"/>
  <c r="AW117" i="20"/>
  <c r="AX117" i="20"/>
  <c r="AW118" i="20"/>
  <c r="AX118" i="20"/>
  <c r="AW119" i="20"/>
  <c r="AX119" i="20"/>
  <c r="AW120" i="20"/>
  <c r="AX120" i="20"/>
  <c r="AW121" i="20"/>
  <c r="AX121" i="20"/>
  <c r="AW122" i="20"/>
  <c r="AX122" i="20"/>
  <c r="AW123" i="20"/>
  <c r="AX123" i="20"/>
  <c r="AW124" i="20"/>
  <c r="AX124" i="20"/>
  <c r="AW125" i="20"/>
  <c r="AX125" i="20"/>
  <c r="AW126" i="20"/>
  <c r="AX126" i="20"/>
  <c r="AW127" i="20"/>
  <c r="AX127" i="20"/>
  <c r="AW128" i="20"/>
  <c r="AX128" i="20"/>
  <c r="AW129" i="20"/>
  <c r="AX129" i="20"/>
  <c r="AW130" i="20"/>
  <c r="AX130" i="20"/>
  <c r="AW131" i="20"/>
  <c r="AX131" i="20"/>
  <c r="AW132" i="20"/>
  <c r="AX132" i="20"/>
  <c r="AW133" i="20"/>
  <c r="AX133" i="20"/>
  <c r="AW134" i="20"/>
  <c r="AX134" i="20"/>
  <c r="AW135" i="20"/>
  <c r="AX135" i="20"/>
  <c r="AW136" i="20"/>
  <c r="AX136" i="20"/>
  <c r="AW137" i="20"/>
  <c r="AX137" i="20"/>
  <c r="AW138" i="20"/>
  <c r="AX138" i="20"/>
  <c r="AW139" i="20"/>
  <c r="AX139" i="20"/>
  <c r="AW140" i="20"/>
  <c r="AX140" i="20"/>
  <c r="AW141" i="20"/>
  <c r="AX141" i="20"/>
  <c r="AW142" i="20"/>
  <c r="AX142" i="20"/>
  <c r="AW143" i="20"/>
  <c r="AX143" i="20"/>
  <c r="AW144" i="20"/>
  <c r="AX144" i="20"/>
  <c r="AW145" i="20"/>
  <c r="AX145" i="20"/>
  <c r="AW146" i="20"/>
  <c r="AX146" i="20"/>
  <c r="AW147" i="20"/>
  <c r="AX147" i="20"/>
  <c r="AW148" i="20"/>
  <c r="AX148" i="20"/>
  <c r="AW149" i="20"/>
  <c r="AX149" i="20"/>
  <c r="AW150" i="20"/>
  <c r="AX150" i="20"/>
  <c r="AW151" i="20"/>
  <c r="AX151" i="20"/>
  <c r="AW152" i="20"/>
  <c r="AX152" i="20"/>
  <c r="AW153" i="20"/>
  <c r="AX153" i="20"/>
  <c r="AW154" i="20"/>
  <c r="AX154" i="20"/>
  <c r="AW155" i="20"/>
  <c r="AX155" i="20"/>
  <c r="AW156" i="20"/>
  <c r="AX156" i="20"/>
  <c r="AW157" i="20"/>
  <c r="AX157" i="20"/>
  <c r="AW158" i="20"/>
  <c r="AX158" i="20"/>
  <c r="AW159" i="20"/>
  <c r="AX159" i="20"/>
  <c r="AW160" i="20"/>
  <c r="AX160" i="20"/>
  <c r="AW161" i="20"/>
  <c r="AX161" i="20"/>
  <c r="AW162" i="20"/>
  <c r="AX162" i="20"/>
  <c r="AW163" i="20"/>
  <c r="AX163" i="20"/>
  <c r="AW164" i="20"/>
  <c r="AX164" i="20"/>
  <c r="AW165" i="20"/>
  <c r="AX165" i="20"/>
  <c r="AW166" i="20"/>
  <c r="AX166" i="20"/>
  <c r="AW167" i="20"/>
  <c r="AX167" i="20"/>
  <c r="AW168" i="20"/>
  <c r="AX168" i="20"/>
  <c r="AW169" i="20"/>
  <c r="AX169" i="20"/>
  <c r="AW170" i="20"/>
  <c r="AX170" i="20"/>
  <c r="AW171" i="20"/>
  <c r="AX171" i="20"/>
  <c r="AW172" i="20"/>
  <c r="AX172" i="20"/>
  <c r="AW173" i="20"/>
  <c r="AX173" i="20"/>
  <c r="AW174" i="20"/>
  <c r="AX174" i="20"/>
  <c r="AW175" i="20"/>
  <c r="AX175" i="20"/>
  <c r="AW176" i="20"/>
  <c r="AX176" i="20"/>
  <c r="AW177" i="20"/>
  <c r="AX177" i="20"/>
  <c r="AW178" i="20"/>
  <c r="AX178" i="20"/>
  <c r="AW179" i="20"/>
  <c r="AX179" i="20"/>
  <c r="AW180" i="20"/>
  <c r="AX180" i="20"/>
  <c r="AW181" i="20"/>
  <c r="AX181" i="20"/>
  <c r="AW182" i="20"/>
  <c r="AX182" i="20"/>
  <c r="AW183" i="20"/>
  <c r="AX183" i="20"/>
  <c r="AW184" i="20"/>
  <c r="AX184" i="20"/>
  <c r="AW185" i="20"/>
  <c r="AX185" i="20"/>
  <c r="AW186" i="20"/>
  <c r="AX186" i="20"/>
  <c r="AW187" i="20"/>
  <c r="AX187" i="20"/>
  <c r="AW188" i="20"/>
  <c r="AX188" i="20"/>
  <c r="AW189" i="20"/>
  <c r="AX189" i="20"/>
  <c r="AW190" i="20"/>
  <c r="AX190" i="20"/>
  <c r="AW191" i="20"/>
  <c r="AX191" i="20"/>
  <c r="AW192" i="20"/>
  <c r="AX192" i="20"/>
  <c r="AW193" i="20"/>
  <c r="AX193" i="20"/>
  <c r="AW194" i="20"/>
  <c r="AX194" i="20"/>
  <c r="AW195" i="20"/>
  <c r="AX195" i="20"/>
  <c r="AW196" i="20"/>
  <c r="AX196" i="20"/>
  <c r="AW197" i="20"/>
  <c r="AX197" i="20"/>
  <c r="AW198" i="20"/>
  <c r="AX198" i="20"/>
  <c r="AW199" i="20"/>
  <c r="AX199" i="20"/>
  <c r="AW200" i="20"/>
  <c r="AX200" i="20"/>
  <c r="AW201" i="20"/>
  <c r="AX201" i="20"/>
  <c r="AW202" i="20"/>
  <c r="AX202" i="20"/>
  <c r="AW203" i="20"/>
  <c r="AX203" i="20"/>
  <c r="AW204" i="20"/>
  <c r="AX204" i="20"/>
  <c r="AW205" i="20"/>
  <c r="AX205" i="20"/>
  <c r="AW206" i="20"/>
  <c r="AX206" i="20"/>
  <c r="AW207" i="20"/>
  <c r="AX207" i="20"/>
  <c r="AW208" i="20"/>
  <c r="AX208" i="20"/>
  <c r="AW209" i="20"/>
  <c r="AX209" i="20"/>
  <c r="AW210" i="20"/>
  <c r="AX210" i="20"/>
  <c r="AW211" i="20"/>
  <c r="AX211" i="20"/>
  <c r="P3" i="20"/>
  <c r="O3" i="20"/>
  <c r="G3" i="20" a="1"/>
  <c r="G3" i="20" s="1"/>
  <c r="J3" i="20" s="1"/>
  <c r="BA211" i="20"/>
  <c r="AZ211" i="20"/>
  <c r="BA210" i="20"/>
  <c r="AZ210" i="20"/>
  <c r="BA209" i="20"/>
  <c r="AZ209" i="20"/>
  <c r="BA208" i="20"/>
  <c r="AZ208" i="20"/>
  <c r="BA207" i="20"/>
  <c r="AZ207" i="20"/>
  <c r="BA206" i="20"/>
  <c r="AZ206" i="20"/>
  <c r="BA205" i="20"/>
  <c r="AZ205" i="20"/>
  <c r="BA204" i="20"/>
  <c r="AZ204" i="20"/>
  <c r="BA203" i="20"/>
  <c r="AZ203" i="20"/>
  <c r="BA202" i="20"/>
  <c r="AZ202" i="20"/>
  <c r="BA201" i="20"/>
  <c r="AZ201" i="20"/>
  <c r="BA200" i="20"/>
  <c r="AZ200" i="20"/>
  <c r="BA199" i="20"/>
  <c r="AZ199" i="20"/>
  <c r="BA198" i="20"/>
  <c r="AZ198" i="20"/>
  <c r="BA197" i="20"/>
  <c r="AZ197" i="20"/>
  <c r="BA196" i="20"/>
  <c r="AZ196" i="20"/>
  <c r="BA195" i="20"/>
  <c r="AZ195" i="20"/>
  <c r="BA194" i="20"/>
  <c r="AZ194" i="20"/>
  <c r="BA193" i="20"/>
  <c r="AZ193" i="20"/>
  <c r="BA192" i="20"/>
  <c r="AZ192" i="20"/>
  <c r="BA191" i="20"/>
  <c r="AZ191" i="20"/>
  <c r="BA190" i="20"/>
  <c r="AZ190" i="20"/>
  <c r="BA189" i="20"/>
  <c r="AZ189" i="20"/>
  <c r="BA188" i="20"/>
  <c r="AZ188" i="20"/>
  <c r="BA187" i="20"/>
  <c r="AZ187" i="20"/>
  <c r="BA186" i="20"/>
  <c r="AZ186" i="20"/>
  <c r="BA185" i="20"/>
  <c r="AZ185" i="20"/>
  <c r="BA184" i="20"/>
  <c r="AZ184" i="20"/>
  <c r="BA183" i="20"/>
  <c r="AZ183" i="20"/>
  <c r="BA182" i="20"/>
  <c r="AZ182" i="20"/>
  <c r="BA181" i="20"/>
  <c r="AZ181" i="20"/>
  <c r="BA180" i="20"/>
  <c r="AZ180" i="20"/>
  <c r="BA179" i="20"/>
  <c r="AZ179" i="20"/>
  <c r="BA178" i="20"/>
  <c r="AZ178" i="20"/>
  <c r="BA177" i="20"/>
  <c r="AZ177" i="20"/>
  <c r="BA176" i="20"/>
  <c r="AZ176" i="20"/>
  <c r="BA175" i="20"/>
  <c r="AZ175" i="20"/>
  <c r="BA174" i="20"/>
  <c r="AZ174" i="20"/>
  <c r="BA173" i="20"/>
  <c r="AZ173" i="20"/>
  <c r="BA172" i="20"/>
  <c r="AZ172" i="20"/>
  <c r="BA171" i="20"/>
  <c r="AZ171" i="20"/>
  <c r="BA170" i="20"/>
  <c r="AZ170" i="20"/>
  <c r="BA169" i="20"/>
  <c r="AZ169" i="20"/>
  <c r="BA168" i="20"/>
  <c r="AZ168" i="20"/>
  <c r="BA167" i="20"/>
  <c r="AZ167" i="20"/>
  <c r="BA166" i="20"/>
  <c r="AZ166" i="20"/>
  <c r="BA165" i="20"/>
  <c r="AZ165" i="20"/>
  <c r="BA164" i="20"/>
  <c r="AZ164" i="20"/>
  <c r="BA163" i="20"/>
  <c r="AZ163" i="20"/>
  <c r="BA162" i="20"/>
  <c r="AZ162" i="20"/>
  <c r="BA161" i="20"/>
  <c r="AZ161" i="20"/>
  <c r="BA160" i="20"/>
  <c r="AZ160" i="20"/>
  <c r="BA159" i="20"/>
  <c r="AZ159" i="20"/>
  <c r="BA158" i="20"/>
  <c r="AZ158" i="20"/>
  <c r="BA157" i="20"/>
  <c r="AZ157" i="20"/>
  <c r="BA156" i="20"/>
  <c r="AZ156" i="20"/>
  <c r="BA155" i="20"/>
  <c r="AZ155" i="20"/>
  <c r="BA154" i="20"/>
  <c r="AZ154" i="20"/>
  <c r="BA153" i="20"/>
  <c r="AZ153" i="20"/>
  <c r="BA152" i="20"/>
  <c r="AZ152" i="20"/>
  <c r="BA151" i="20"/>
  <c r="AZ151" i="20"/>
  <c r="BA150" i="20"/>
  <c r="AZ150" i="20"/>
  <c r="BA149" i="20"/>
  <c r="AZ149" i="20"/>
  <c r="BA148" i="20"/>
  <c r="AZ148" i="20"/>
  <c r="BA147" i="20"/>
  <c r="AZ147" i="20"/>
  <c r="BA146" i="20"/>
  <c r="AZ146" i="20"/>
  <c r="BA145" i="20"/>
  <c r="AZ145" i="20"/>
  <c r="BA144" i="20"/>
  <c r="AZ144" i="20"/>
  <c r="BA143" i="20"/>
  <c r="AZ143" i="20"/>
  <c r="BA142" i="20"/>
  <c r="AZ142" i="20"/>
  <c r="BA141" i="20"/>
  <c r="AZ141" i="20"/>
  <c r="BA140" i="20"/>
  <c r="AZ140" i="20"/>
  <c r="BA139" i="20"/>
  <c r="AZ139" i="20"/>
  <c r="BA138" i="20"/>
  <c r="AZ138" i="20"/>
  <c r="BA137" i="20"/>
  <c r="AZ137" i="20"/>
  <c r="BA136" i="20"/>
  <c r="AZ136" i="20"/>
  <c r="BA135" i="20"/>
  <c r="AZ135" i="20"/>
  <c r="BA134" i="20"/>
  <c r="AZ134" i="20"/>
  <c r="BA133" i="20"/>
  <c r="AZ133" i="20"/>
  <c r="BA132" i="20"/>
  <c r="AZ132" i="20"/>
  <c r="BA131" i="20"/>
  <c r="AZ131" i="20"/>
  <c r="BA130" i="20"/>
  <c r="AZ130" i="20"/>
  <c r="BA129" i="20"/>
  <c r="AZ129" i="20"/>
  <c r="BA128" i="20"/>
  <c r="AZ128" i="20"/>
  <c r="BA127" i="20"/>
  <c r="AZ127" i="20"/>
  <c r="BA126" i="20"/>
  <c r="AZ126" i="20"/>
  <c r="BA125" i="20"/>
  <c r="AZ125" i="20"/>
  <c r="BA124" i="20"/>
  <c r="AZ124" i="20"/>
  <c r="BA123" i="20"/>
  <c r="AZ123" i="20"/>
  <c r="BA122" i="20"/>
  <c r="AZ122" i="20"/>
  <c r="BA121" i="20"/>
  <c r="AZ121" i="20"/>
  <c r="BA120" i="20"/>
  <c r="AZ120" i="20"/>
  <c r="BA119" i="20"/>
  <c r="AZ119" i="20"/>
  <c r="BA118" i="20"/>
  <c r="AZ118" i="20"/>
  <c r="BA117" i="20"/>
  <c r="AZ117" i="20"/>
  <c r="BA116" i="20"/>
  <c r="AZ116" i="20"/>
  <c r="BA115" i="20"/>
  <c r="AZ115" i="20"/>
  <c r="BA114" i="20"/>
  <c r="AZ114" i="20"/>
  <c r="BA113" i="20"/>
  <c r="AZ113" i="20"/>
  <c r="BA112" i="20"/>
  <c r="AZ112" i="20"/>
  <c r="BA111" i="20"/>
  <c r="AZ111" i="20"/>
  <c r="BA110" i="20"/>
  <c r="AZ110" i="20"/>
  <c r="BA109" i="20"/>
  <c r="AZ109" i="20"/>
  <c r="BA108" i="20"/>
  <c r="AZ108" i="20"/>
  <c r="BA107" i="20"/>
  <c r="AZ107" i="20"/>
  <c r="BA106" i="20"/>
  <c r="AZ106" i="20"/>
  <c r="BA105" i="20"/>
  <c r="AZ105" i="20"/>
  <c r="BA104" i="20"/>
  <c r="AZ104" i="20"/>
  <c r="BA103" i="20"/>
  <c r="AZ103" i="20"/>
  <c r="BA102" i="20"/>
  <c r="AZ102" i="20"/>
  <c r="BA101" i="20"/>
  <c r="AZ101" i="20"/>
  <c r="BA100" i="20"/>
  <c r="AZ100" i="20"/>
  <c r="BA99" i="20"/>
  <c r="AZ99" i="20"/>
  <c r="BA98" i="20"/>
  <c r="AZ98" i="20"/>
  <c r="BA97" i="20"/>
  <c r="AZ97" i="20"/>
  <c r="BA96" i="20"/>
  <c r="AZ96" i="20"/>
  <c r="BA95" i="20"/>
  <c r="AZ95" i="20"/>
  <c r="BA94" i="20"/>
  <c r="AZ94" i="20"/>
  <c r="BA93" i="20"/>
  <c r="AZ93" i="20"/>
  <c r="BA92" i="20"/>
  <c r="AZ92" i="20"/>
  <c r="BA91" i="20"/>
  <c r="AZ91" i="20"/>
  <c r="BA90" i="20"/>
  <c r="AZ90" i="20"/>
  <c r="BA89" i="20"/>
  <c r="AZ89" i="20"/>
  <c r="BA88" i="20"/>
  <c r="AZ88" i="20"/>
  <c r="BA87" i="20"/>
  <c r="AZ87" i="20"/>
  <c r="BA86" i="20"/>
  <c r="AZ86" i="20"/>
  <c r="BA85" i="20"/>
  <c r="AZ85" i="20"/>
  <c r="BA84" i="20"/>
  <c r="AZ84" i="20"/>
  <c r="BA83" i="20"/>
  <c r="AZ83" i="20"/>
  <c r="BA82" i="20"/>
  <c r="AZ82" i="20"/>
  <c r="BA81" i="20"/>
  <c r="AZ81" i="20"/>
  <c r="BA80" i="20"/>
  <c r="AZ80" i="20"/>
  <c r="BA79" i="20"/>
  <c r="AZ79" i="20"/>
  <c r="BA78" i="20"/>
  <c r="AZ78" i="20"/>
  <c r="BA77" i="20"/>
  <c r="AZ77" i="20"/>
  <c r="BA76" i="20"/>
  <c r="AZ76" i="20"/>
  <c r="BA75" i="20"/>
  <c r="AZ75" i="20"/>
  <c r="BA74" i="20"/>
  <c r="AZ74" i="20"/>
  <c r="BA73" i="20"/>
  <c r="AZ73" i="20"/>
  <c r="BA72" i="20"/>
  <c r="AZ72" i="20"/>
  <c r="BA71" i="20"/>
  <c r="AZ71" i="20"/>
  <c r="BA70" i="20"/>
  <c r="AZ70" i="20"/>
  <c r="BA69" i="20"/>
  <c r="AZ69" i="20"/>
  <c r="BA68" i="20"/>
  <c r="AZ68" i="20"/>
  <c r="BA67" i="20"/>
  <c r="AZ67" i="20"/>
  <c r="BA66" i="20"/>
  <c r="AZ66" i="20"/>
  <c r="BA65" i="20"/>
  <c r="AZ65" i="20"/>
  <c r="BA64" i="20"/>
  <c r="AZ64" i="20"/>
  <c r="BA63" i="20"/>
  <c r="AZ63" i="20"/>
  <c r="BA62" i="20"/>
  <c r="AZ62" i="20"/>
  <c r="BA61" i="20"/>
  <c r="AZ61" i="20"/>
  <c r="BA60" i="20"/>
  <c r="AZ60" i="20"/>
  <c r="BA59" i="20"/>
  <c r="AZ59" i="20"/>
  <c r="BA58" i="20"/>
  <c r="AZ58" i="20"/>
  <c r="BA57" i="20"/>
  <c r="AZ57" i="20"/>
  <c r="BA56" i="20"/>
  <c r="AZ56" i="20"/>
  <c r="BA55" i="20"/>
  <c r="AZ55" i="20"/>
  <c r="BA54" i="20"/>
  <c r="AZ54" i="20"/>
  <c r="BA53" i="20"/>
  <c r="AZ53" i="20"/>
  <c r="BA52" i="20"/>
  <c r="AZ52" i="20"/>
  <c r="BA51" i="20"/>
  <c r="AZ51" i="20"/>
  <c r="BA50" i="20"/>
  <c r="AZ50" i="20"/>
  <c r="BA49" i="20"/>
  <c r="AZ49" i="20"/>
  <c r="BA48" i="20"/>
  <c r="AZ48" i="20"/>
  <c r="BA47" i="20"/>
  <c r="AZ47" i="20"/>
  <c r="BA46" i="20"/>
  <c r="AZ46" i="20"/>
  <c r="BA45" i="20"/>
  <c r="AZ45" i="20"/>
  <c r="BA44" i="20"/>
  <c r="AZ44" i="20"/>
  <c r="BA43" i="20"/>
  <c r="AZ43" i="20"/>
  <c r="BA42" i="20"/>
  <c r="AZ42" i="20"/>
  <c r="BA41" i="20"/>
  <c r="AZ41" i="20"/>
  <c r="BA40" i="20"/>
  <c r="AZ40" i="20"/>
  <c r="BA39" i="20"/>
  <c r="AZ39" i="20"/>
  <c r="BA38" i="20"/>
  <c r="AZ38" i="20"/>
  <c r="BA37" i="20"/>
  <c r="AZ37" i="20"/>
  <c r="BA36" i="20"/>
  <c r="AZ36" i="20"/>
  <c r="BA35" i="20"/>
  <c r="AZ35" i="20"/>
  <c r="BA34" i="20"/>
  <c r="AZ34" i="20"/>
  <c r="BA33" i="20"/>
  <c r="AZ33" i="20"/>
  <c r="BA32" i="20"/>
  <c r="AZ32" i="20"/>
  <c r="BA31" i="20"/>
  <c r="AZ31" i="20"/>
  <c r="BA30" i="20"/>
  <c r="AZ30" i="20"/>
  <c r="BA29" i="20"/>
  <c r="AZ29" i="20"/>
  <c r="BA28" i="20"/>
  <c r="AZ28" i="20"/>
  <c r="BA27" i="20"/>
  <c r="AZ27" i="20"/>
  <c r="BA26" i="20"/>
  <c r="AZ26" i="20"/>
  <c r="BA25" i="20"/>
  <c r="AZ25" i="20"/>
  <c r="BA24" i="20"/>
  <c r="AZ24" i="20"/>
  <c r="BA23" i="20"/>
  <c r="AZ23" i="20"/>
  <c r="BA22" i="20"/>
  <c r="AZ22" i="20"/>
  <c r="BA21" i="20"/>
  <c r="AZ21" i="20"/>
  <c r="BA20" i="20"/>
  <c r="AZ20" i="20"/>
  <c r="BA19" i="20"/>
  <c r="AZ19" i="20"/>
  <c r="BA18" i="20"/>
  <c r="AZ18" i="20"/>
  <c r="BA17" i="20"/>
  <c r="AZ17" i="20"/>
  <c r="BA16" i="20"/>
  <c r="AZ16" i="20"/>
  <c r="BA15" i="20"/>
  <c r="AZ15" i="20"/>
  <c r="BA14" i="20"/>
  <c r="AZ14" i="20"/>
  <c r="BA13" i="20"/>
  <c r="AZ13" i="20"/>
  <c r="BA12" i="20"/>
  <c r="AZ12" i="20"/>
  <c r="BA11" i="20"/>
  <c r="AZ11" i="20"/>
  <c r="BA10" i="20"/>
  <c r="AZ10" i="20"/>
  <c r="BA9" i="20"/>
  <c r="AZ9" i="20"/>
  <c r="BA8" i="20"/>
  <c r="AZ8" i="20"/>
  <c r="BA7" i="20"/>
  <c r="AZ7" i="20"/>
  <c r="BA6" i="20"/>
  <c r="AZ6" i="20"/>
  <c r="BA5" i="20"/>
  <c r="AZ5" i="20"/>
  <c r="BA4" i="20"/>
  <c r="AZ4" i="20"/>
  <c r="BA3" i="20"/>
  <c r="AZ3" i="20"/>
  <c r="AQ211" i="20"/>
  <c r="AP211" i="20"/>
  <c r="AQ210" i="20"/>
  <c r="AP210" i="20"/>
  <c r="AQ209" i="20"/>
  <c r="AP209" i="20"/>
  <c r="AQ208" i="20"/>
  <c r="AP208" i="20"/>
  <c r="AQ207" i="20"/>
  <c r="AP207" i="20"/>
  <c r="AQ206" i="20"/>
  <c r="AP206" i="20"/>
  <c r="AQ205" i="20"/>
  <c r="AP205" i="20"/>
  <c r="AQ204" i="20"/>
  <c r="AP204" i="20"/>
  <c r="AQ203" i="20"/>
  <c r="AP203" i="20"/>
  <c r="AQ202" i="20"/>
  <c r="AP202" i="20"/>
  <c r="AQ201" i="20"/>
  <c r="AP201" i="20"/>
  <c r="AQ200" i="20"/>
  <c r="AP200" i="20"/>
  <c r="AQ199" i="20"/>
  <c r="AP199" i="20"/>
  <c r="AQ198" i="20"/>
  <c r="AP198" i="20"/>
  <c r="AQ197" i="20"/>
  <c r="AP197" i="20"/>
  <c r="AQ196" i="20"/>
  <c r="AP196" i="20"/>
  <c r="AQ195" i="20"/>
  <c r="AP195" i="20"/>
  <c r="AQ194" i="20"/>
  <c r="AP194" i="20"/>
  <c r="AQ193" i="20"/>
  <c r="AP193" i="20"/>
  <c r="AQ192" i="20"/>
  <c r="AP192" i="20"/>
  <c r="AQ191" i="20"/>
  <c r="AP191" i="20"/>
  <c r="AQ190" i="20"/>
  <c r="AP190" i="20"/>
  <c r="AQ189" i="20"/>
  <c r="AP189" i="20"/>
  <c r="AQ188" i="20"/>
  <c r="AP188" i="20"/>
  <c r="AQ187" i="20"/>
  <c r="AP187" i="20"/>
  <c r="AQ186" i="20"/>
  <c r="AP186" i="20"/>
  <c r="AQ185" i="20"/>
  <c r="AP185" i="20"/>
  <c r="AQ184" i="20"/>
  <c r="AP184" i="20"/>
  <c r="AQ183" i="20"/>
  <c r="AP183" i="20"/>
  <c r="AQ182" i="20"/>
  <c r="AP182" i="20"/>
  <c r="AQ181" i="20"/>
  <c r="AP181" i="20"/>
  <c r="AQ180" i="20"/>
  <c r="AP180" i="20"/>
  <c r="AQ179" i="20"/>
  <c r="AP179" i="20"/>
  <c r="AQ178" i="20"/>
  <c r="AP178" i="20"/>
  <c r="AQ177" i="20"/>
  <c r="AP177" i="20"/>
  <c r="AQ176" i="20"/>
  <c r="AP176" i="20"/>
  <c r="AQ175" i="20"/>
  <c r="AP175" i="20"/>
  <c r="AQ174" i="20"/>
  <c r="AP174" i="20"/>
  <c r="AQ173" i="20"/>
  <c r="AP173" i="20"/>
  <c r="AQ172" i="20"/>
  <c r="AP172" i="20"/>
  <c r="AQ171" i="20"/>
  <c r="AP171" i="20"/>
  <c r="AQ170" i="20"/>
  <c r="AP170" i="20"/>
  <c r="AQ169" i="20"/>
  <c r="AP169" i="20"/>
  <c r="AQ168" i="20"/>
  <c r="AP168" i="20"/>
  <c r="AQ167" i="20"/>
  <c r="AP167" i="20"/>
  <c r="AQ166" i="20"/>
  <c r="AP166" i="20"/>
  <c r="AQ165" i="20"/>
  <c r="AP165" i="20"/>
  <c r="AQ164" i="20"/>
  <c r="AP164" i="20"/>
  <c r="AQ163" i="20"/>
  <c r="AP163" i="20"/>
  <c r="AQ162" i="20"/>
  <c r="AP162" i="20"/>
  <c r="AQ161" i="20"/>
  <c r="AP161" i="20"/>
  <c r="AQ160" i="20"/>
  <c r="AP160" i="20"/>
  <c r="AQ159" i="20"/>
  <c r="AP159" i="20"/>
  <c r="AQ158" i="20"/>
  <c r="AP158" i="20"/>
  <c r="AQ157" i="20"/>
  <c r="AP157" i="20"/>
  <c r="AQ156" i="20"/>
  <c r="AP156" i="20"/>
  <c r="AQ155" i="20"/>
  <c r="AP155" i="20"/>
  <c r="AQ154" i="20"/>
  <c r="AP154" i="20"/>
  <c r="AQ153" i="20"/>
  <c r="AP153" i="20"/>
  <c r="AQ152" i="20"/>
  <c r="AP152" i="20"/>
  <c r="AQ151" i="20"/>
  <c r="AP151" i="20"/>
  <c r="AQ150" i="20"/>
  <c r="AP150" i="20"/>
  <c r="AQ149" i="20"/>
  <c r="AP149" i="20"/>
  <c r="AQ148" i="20"/>
  <c r="AP148" i="20"/>
  <c r="AQ147" i="20"/>
  <c r="AP147" i="20"/>
  <c r="AQ146" i="20"/>
  <c r="AP146" i="20"/>
  <c r="AQ145" i="20"/>
  <c r="AP145" i="20"/>
  <c r="AQ144" i="20"/>
  <c r="AP144" i="20"/>
  <c r="AQ143" i="20"/>
  <c r="AP143" i="20"/>
  <c r="AQ142" i="20"/>
  <c r="AP142" i="20"/>
  <c r="AQ141" i="20"/>
  <c r="AP141" i="20"/>
  <c r="AQ140" i="20"/>
  <c r="AP140" i="20"/>
  <c r="AQ139" i="20"/>
  <c r="AP139" i="20"/>
  <c r="AQ138" i="20"/>
  <c r="AP138" i="20"/>
  <c r="AQ137" i="20"/>
  <c r="AP137" i="20"/>
  <c r="AQ136" i="20"/>
  <c r="AP136" i="20"/>
  <c r="AQ135" i="20"/>
  <c r="AP135" i="20"/>
  <c r="AQ134" i="20"/>
  <c r="AP134" i="20"/>
  <c r="AQ133" i="20"/>
  <c r="AP133" i="20"/>
  <c r="AQ132" i="20"/>
  <c r="AP132" i="20"/>
  <c r="AQ131" i="20"/>
  <c r="AP131" i="20"/>
  <c r="AQ130" i="20"/>
  <c r="AP130" i="20"/>
  <c r="AQ129" i="20"/>
  <c r="AP129" i="20"/>
  <c r="AQ128" i="20"/>
  <c r="AP128" i="20"/>
  <c r="AQ127" i="20"/>
  <c r="AP127" i="20"/>
  <c r="AQ126" i="20"/>
  <c r="AP126" i="20"/>
  <c r="AQ125" i="20"/>
  <c r="AP125" i="20"/>
  <c r="AQ124" i="20"/>
  <c r="AP124" i="20"/>
  <c r="AQ123" i="20"/>
  <c r="AP123" i="20"/>
  <c r="AQ122" i="20"/>
  <c r="AP122" i="20"/>
  <c r="AQ121" i="20"/>
  <c r="AP121" i="20"/>
  <c r="AQ120" i="20"/>
  <c r="AP120" i="20"/>
  <c r="AQ119" i="20"/>
  <c r="AP119" i="20"/>
  <c r="AQ118" i="20"/>
  <c r="AP118" i="20"/>
  <c r="AQ117" i="20"/>
  <c r="AP117" i="20"/>
  <c r="AQ116" i="20"/>
  <c r="AP116" i="20"/>
  <c r="AQ115" i="20"/>
  <c r="AP115" i="20"/>
  <c r="AQ114" i="20"/>
  <c r="AP114" i="20"/>
  <c r="AQ113" i="20"/>
  <c r="AP113" i="20"/>
  <c r="AQ112" i="20"/>
  <c r="AP112" i="20"/>
  <c r="AQ111" i="20"/>
  <c r="AP111" i="20"/>
  <c r="AQ110" i="20"/>
  <c r="AP110" i="20"/>
  <c r="AQ109" i="20"/>
  <c r="AP109" i="20"/>
  <c r="AQ108" i="20"/>
  <c r="AP108" i="20"/>
  <c r="AQ107" i="20"/>
  <c r="AP107" i="20"/>
  <c r="AQ106" i="20"/>
  <c r="AP106" i="20"/>
  <c r="AQ105" i="20"/>
  <c r="AP105" i="20"/>
  <c r="AQ104" i="20"/>
  <c r="AP104" i="20"/>
  <c r="AQ103" i="20"/>
  <c r="AP103" i="20"/>
  <c r="AQ102" i="20"/>
  <c r="AP102" i="20"/>
  <c r="AQ101" i="20"/>
  <c r="AP101" i="20"/>
  <c r="AQ100" i="20"/>
  <c r="AP100" i="20"/>
  <c r="AQ99" i="20"/>
  <c r="AP99" i="20"/>
  <c r="AQ98" i="20"/>
  <c r="AP98" i="20"/>
  <c r="AQ97" i="20"/>
  <c r="AP97" i="20"/>
  <c r="AQ96" i="20"/>
  <c r="AP96" i="20"/>
  <c r="AQ95" i="20"/>
  <c r="AP95" i="20"/>
  <c r="AQ94" i="20"/>
  <c r="AP94" i="20"/>
  <c r="AQ93" i="20"/>
  <c r="AP93" i="20"/>
  <c r="AQ92" i="20"/>
  <c r="AP92" i="20"/>
  <c r="AQ91" i="20"/>
  <c r="AP91" i="20"/>
  <c r="AQ90" i="20"/>
  <c r="AP90" i="20"/>
  <c r="AQ89" i="20"/>
  <c r="AP89" i="20"/>
  <c r="AQ88" i="20"/>
  <c r="AP88" i="20"/>
  <c r="AQ87" i="20"/>
  <c r="AP87" i="20"/>
  <c r="AQ86" i="20"/>
  <c r="AP86" i="20"/>
  <c r="AQ85" i="20"/>
  <c r="AP85" i="20"/>
  <c r="AQ84" i="20"/>
  <c r="AP84" i="20"/>
  <c r="AQ83" i="20"/>
  <c r="AP83" i="20"/>
  <c r="AQ82" i="20"/>
  <c r="AP82" i="20"/>
  <c r="AQ81" i="20"/>
  <c r="AP81" i="20"/>
  <c r="AQ80" i="20"/>
  <c r="AP80" i="20"/>
  <c r="AQ79" i="20"/>
  <c r="AP79" i="20"/>
  <c r="AQ78" i="20"/>
  <c r="AP78" i="20"/>
  <c r="AQ77" i="20"/>
  <c r="AP77" i="20"/>
  <c r="AQ76" i="20"/>
  <c r="AP76" i="20"/>
  <c r="AQ75" i="20"/>
  <c r="AP75" i="20"/>
  <c r="AQ74" i="20"/>
  <c r="AP74" i="20"/>
  <c r="AQ73" i="20"/>
  <c r="AP73" i="20"/>
  <c r="AQ72" i="20"/>
  <c r="AP72" i="20"/>
  <c r="AQ71" i="20"/>
  <c r="AP71" i="20"/>
  <c r="AQ70" i="20"/>
  <c r="AP70" i="20"/>
  <c r="AQ69" i="20"/>
  <c r="AP69" i="20"/>
  <c r="AQ68" i="20"/>
  <c r="AP68" i="20"/>
  <c r="AQ67" i="20"/>
  <c r="AP67" i="20"/>
  <c r="AQ66" i="20"/>
  <c r="AP66" i="20"/>
  <c r="AQ65" i="20"/>
  <c r="AP65" i="20"/>
  <c r="AQ64" i="20"/>
  <c r="AP64" i="20"/>
  <c r="AQ63" i="20"/>
  <c r="AP63" i="20"/>
  <c r="AQ62" i="20"/>
  <c r="AP62" i="20"/>
  <c r="AQ61" i="20"/>
  <c r="AP61" i="20"/>
  <c r="AQ60" i="20"/>
  <c r="AP60" i="20"/>
  <c r="AQ59" i="20"/>
  <c r="AP59" i="20"/>
  <c r="AQ58" i="20"/>
  <c r="AP58" i="20"/>
  <c r="AQ57" i="20"/>
  <c r="AP57" i="20"/>
  <c r="AQ56" i="20"/>
  <c r="AP56" i="20"/>
  <c r="AQ55" i="20"/>
  <c r="AP55" i="20"/>
  <c r="AQ54" i="20"/>
  <c r="AP54" i="20"/>
  <c r="AQ53" i="20"/>
  <c r="AP53" i="20"/>
  <c r="AQ52" i="20"/>
  <c r="AP52" i="20"/>
  <c r="AQ51" i="20"/>
  <c r="AP51" i="20"/>
  <c r="AQ50" i="20"/>
  <c r="AP50" i="20"/>
  <c r="AQ49" i="20"/>
  <c r="AP49" i="20"/>
  <c r="AQ48" i="20"/>
  <c r="AP48" i="20"/>
  <c r="AQ47" i="20"/>
  <c r="AP47" i="20"/>
  <c r="AQ46" i="20"/>
  <c r="AP46" i="20"/>
  <c r="AQ45" i="20"/>
  <c r="AP45" i="20"/>
  <c r="AQ44" i="20"/>
  <c r="AP44" i="20"/>
  <c r="AQ43" i="20"/>
  <c r="AP43" i="20"/>
  <c r="AQ42" i="20"/>
  <c r="AP42" i="20"/>
  <c r="AQ41" i="20"/>
  <c r="AP41" i="20"/>
  <c r="AQ40" i="20"/>
  <c r="AP40" i="20"/>
  <c r="AQ39" i="20"/>
  <c r="AP39" i="20"/>
  <c r="AQ38" i="20"/>
  <c r="AP38" i="20"/>
  <c r="AQ37" i="20"/>
  <c r="AP37" i="20"/>
  <c r="AQ36" i="20"/>
  <c r="AP36" i="20"/>
  <c r="AQ35" i="20"/>
  <c r="AP35" i="20"/>
  <c r="AQ34" i="20"/>
  <c r="AP34" i="20"/>
  <c r="AQ33" i="20"/>
  <c r="AP33" i="20"/>
  <c r="AQ32" i="20"/>
  <c r="AP32" i="20"/>
  <c r="AQ31" i="20"/>
  <c r="AP31" i="20"/>
  <c r="AQ30" i="20"/>
  <c r="AP30" i="20"/>
  <c r="AQ29" i="20"/>
  <c r="AP29" i="20"/>
  <c r="AQ28" i="20"/>
  <c r="AP28" i="20"/>
  <c r="AQ27" i="20"/>
  <c r="AP27" i="20"/>
  <c r="AQ26" i="20"/>
  <c r="AP26" i="20"/>
  <c r="AQ25" i="20"/>
  <c r="AP25" i="20"/>
  <c r="AQ24" i="20"/>
  <c r="AP24" i="20"/>
  <c r="AQ23" i="20"/>
  <c r="AP23" i="20"/>
  <c r="AQ22" i="20"/>
  <c r="AP22" i="20"/>
  <c r="AQ21" i="20"/>
  <c r="AP21" i="20"/>
  <c r="AQ20" i="20"/>
  <c r="AP20" i="20"/>
  <c r="AQ19" i="20"/>
  <c r="AP19" i="20"/>
  <c r="AQ18" i="20"/>
  <c r="AP18" i="20"/>
  <c r="AQ17" i="20"/>
  <c r="AP17" i="20"/>
  <c r="AQ16" i="20"/>
  <c r="AP16" i="20"/>
  <c r="AQ15" i="20"/>
  <c r="AP15" i="20"/>
  <c r="AQ14" i="20"/>
  <c r="AP14" i="20"/>
  <c r="AQ13" i="20"/>
  <c r="AP13" i="20"/>
  <c r="AQ12" i="20"/>
  <c r="AP12" i="20"/>
  <c r="AQ11" i="20"/>
  <c r="AP11" i="20"/>
  <c r="AQ10" i="20"/>
  <c r="AP10" i="20"/>
  <c r="AQ9" i="20"/>
  <c r="AP9" i="20"/>
  <c r="AQ8" i="20"/>
  <c r="AP8" i="20"/>
  <c r="AQ7" i="20"/>
  <c r="AP7" i="20"/>
  <c r="AQ6" i="20"/>
  <c r="AP6" i="20"/>
  <c r="AQ5" i="20"/>
  <c r="AP5" i="20"/>
  <c r="AQ4" i="20"/>
  <c r="AP4" i="20"/>
  <c r="AQ3" i="20"/>
  <c r="AP3" i="20"/>
  <c r="AJ2" i="20" a="1"/>
  <c r="AJ2" i="20" s="1"/>
  <c r="AM2" i="20" s="1" a="1"/>
  <c r="AM2" i="20" s="1"/>
  <c r="AP2" i="20" s="1" a="1"/>
  <c r="AP2" i="20" s="1"/>
  <c r="AD40" i="20"/>
  <c r="AC83" i="20"/>
  <c r="AC98" i="20"/>
  <c r="AD98" i="20"/>
  <c r="AC102" i="20"/>
  <c r="AD102" i="20"/>
  <c r="AC103" i="20"/>
  <c r="AD103" i="20"/>
  <c r="AC104" i="20"/>
  <c r="AD104" i="20"/>
  <c r="AC105" i="20"/>
  <c r="AD105" i="20"/>
  <c r="AC106" i="20"/>
  <c r="AD106" i="20"/>
  <c r="AC107" i="20"/>
  <c r="AD107" i="20"/>
  <c r="AC108" i="20"/>
  <c r="AD108" i="20"/>
  <c r="AC109" i="20"/>
  <c r="AD109" i="20"/>
  <c r="AC110" i="20"/>
  <c r="AD110" i="20"/>
  <c r="AC111" i="20"/>
  <c r="AD111" i="20"/>
  <c r="AC112" i="20"/>
  <c r="AD112" i="20"/>
  <c r="AC113" i="20"/>
  <c r="AD113" i="20"/>
  <c r="AC114" i="20"/>
  <c r="AD114" i="20"/>
  <c r="AC115" i="20"/>
  <c r="AD115" i="20"/>
  <c r="AC116" i="20"/>
  <c r="AD116" i="20"/>
  <c r="AC117" i="20"/>
  <c r="AD117" i="20"/>
  <c r="AC118" i="20"/>
  <c r="AD118" i="20"/>
  <c r="AC119" i="20"/>
  <c r="AD119" i="20"/>
  <c r="AC120" i="20"/>
  <c r="AD120" i="20"/>
  <c r="AC121" i="20"/>
  <c r="AD121" i="20"/>
  <c r="AC122" i="20"/>
  <c r="AD122" i="20"/>
  <c r="AC123" i="20"/>
  <c r="AD123" i="20"/>
  <c r="AC124" i="20"/>
  <c r="AD124" i="20"/>
  <c r="AC125" i="20"/>
  <c r="AD125" i="20"/>
  <c r="AC126" i="20"/>
  <c r="AD126" i="20"/>
  <c r="AC127" i="20"/>
  <c r="AD127" i="20"/>
  <c r="AC128" i="20"/>
  <c r="AD128" i="20"/>
  <c r="AC129" i="20"/>
  <c r="AD129" i="20"/>
  <c r="AC130" i="20"/>
  <c r="AD130" i="20"/>
  <c r="AC131" i="20"/>
  <c r="AD131" i="20"/>
  <c r="AC132" i="20"/>
  <c r="AD132" i="20"/>
  <c r="AC133" i="20"/>
  <c r="AD133" i="20"/>
  <c r="AC134" i="20"/>
  <c r="AD134" i="20"/>
  <c r="AC135" i="20"/>
  <c r="AD135" i="20"/>
  <c r="AC136" i="20"/>
  <c r="AD136" i="20"/>
  <c r="AC137" i="20"/>
  <c r="AD137" i="20"/>
  <c r="AC138" i="20"/>
  <c r="AD138" i="20"/>
  <c r="AC139" i="20"/>
  <c r="AD139" i="20"/>
  <c r="AC140" i="20"/>
  <c r="AD140" i="20"/>
  <c r="AC141" i="20"/>
  <c r="AD141" i="20"/>
  <c r="AC142" i="20"/>
  <c r="AD142" i="20"/>
  <c r="AC143" i="20"/>
  <c r="AD143" i="20"/>
  <c r="AC144" i="20"/>
  <c r="AD144" i="20"/>
  <c r="AC145" i="20"/>
  <c r="AD145" i="20"/>
  <c r="AC146" i="20"/>
  <c r="AD146" i="20"/>
  <c r="AC147" i="20"/>
  <c r="AD147" i="20"/>
  <c r="AC148" i="20"/>
  <c r="AD148" i="20"/>
  <c r="AC149" i="20"/>
  <c r="AD149" i="20"/>
  <c r="AC150" i="20"/>
  <c r="AD150" i="20"/>
  <c r="AC151" i="20"/>
  <c r="AD151" i="20"/>
  <c r="AC152" i="20"/>
  <c r="AD152" i="20"/>
  <c r="AC153" i="20"/>
  <c r="AD153" i="20"/>
  <c r="AC154" i="20"/>
  <c r="AD154" i="20"/>
  <c r="AC155" i="20"/>
  <c r="AD155" i="20"/>
  <c r="AC156" i="20"/>
  <c r="AD156" i="20"/>
  <c r="AC157" i="20"/>
  <c r="AD157" i="20"/>
  <c r="AC158" i="20"/>
  <c r="AD158" i="20"/>
  <c r="AC159" i="20"/>
  <c r="AD159" i="20"/>
  <c r="AC160" i="20"/>
  <c r="AD160" i="20"/>
  <c r="AC161" i="20"/>
  <c r="AD161" i="20"/>
  <c r="AC162" i="20"/>
  <c r="AD162" i="20"/>
  <c r="AC163" i="20"/>
  <c r="AD163" i="20"/>
  <c r="AC164" i="20"/>
  <c r="AD164" i="20"/>
  <c r="AC165" i="20"/>
  <c r="AD165" i="20"/>
  <c r="AC166" i="20"/>
  <c r="AD166" i="20"/>
  <c r="AC167" i="20"/>
  <c r="AD167" i="20"/>
  <c r="AC168" i="20"/>
  <c r="AD168" i="20"/>
  <c r="AC169" i="20"/>
  <c r="AD169" i="20"/>
  <c r="AC170" i="20"/>
  <c r="AD170" i="20"/>
  <c r="AC171" i="20"/>
  <c r="AD171" i="20"/>
  <c r="AC172" i="20"/>
  <c r="AD172" i="20"/>
  <c r="AC173" i="20"/>
  <c r="AD173" i="20"/>
  <c r="AC174" i="20"/>
  <c r="AD174" i="20"/>
  <c r="AC175" i="20"/>
  <c r="AD175" i="20"/>
  <c r="AC176" i="20"/>
  <c r="AD176" i="20"/>
  <c r="AC177" i="20"/>
  <c r="AD177" i="20"/>
  <c r="AC178" i="20"/>
  <c r="AD178" i="20"/>
  <c r="AC179" i="20"/>
  <c r="AD179" i="20"/>
  <c r="AC180" i="20"/>
  <c r="AD180" i="20"/>
  <c r="AC181" i="20"/>
  <c r="AD181" i="20"/>
  <c r="AC182" i="20"/>
  <c r="AD182" i="20"/>
  <c r="AC183" i="20"/>
  <c r="AD183" i="20"/>
  <c r="AC184" i="20"/>
  <c r="AD184" i="20"/>
  <c r="AC185" i="20"/>
  <c r="AD185" i="20"/>
  <c r="AC186" i="20"/>
  <c r="AD186" i="20"/>
  <c r="AC187" i="20"/>
  <c r="AD187" i="20"/>
  <c r="AC188" i="20"/>
  <c r="AD188" i="20"/>
  <c r="AC189" i="20"/>
  <c r="AD189" i="20"/>
  <c r="AC190" i="20"/>
  <c r="AD190" i="20"/>
  <c r="AC191" i="20"/>
  <c r="AD191" i="20"/>
  <c r="AC192" i="20"/>
  <c r="AD192" i="20"/>
  <c r="AC193" i="20"/>
  <c r="AD193" i="20"/>
  <c r="AC194" i="20"/>
  <c r="AD194" i="20"/>
  <c r="AC195" i="20"/>
  <c r="AD195" i="20"/>
  <c r="AC196" i="20"/>
  <c r="AD196" i="20"/>
  <c r="AC197" i="20"/>
  <c r="AD197" i="20"/>
  <c r="AC198" i="20"/>
  <c r="AD198" i="20"/>
  <c r="AC199" i="20"/>
  <c r="AD199" i="20"/>
  <c r="AC200" i="20"/>
  <c r="AD200" i="20"/>
  <c r="AC201" i="20"/>
  <c r="AD201" i="20"/>
  <c r="AC202" i="20"/>
  <c r="AD202" i="20"/>
  <c r="AC203" i="20"/>
  <c r="AD203" i="20"/>
  <c r="AC204" i="20"/>
  <c r="AD204" i="20"/>
  <c r="AC205" i="20"/>
  <c r="AD205" i="20"/>
  <c r="AC206" i="20"/>
  <c r="AD206" i="20"/>
  <c r="AC207" i="20"/>
  <c r="AD207" i="20"/>
  <c r="AC208" i="20"/>
  <c r="AD208" i="20"/>
  <c r="AC209" i="20"/>
  <c r="AD209" i="20"/>
  <c r="AC210" i="20"/>
  <c r="AD210" i="20"/>
  <c r="AC211" i="20"/>
  <c r="AD211" i="20"/>
  <c r="Z2" i="20" a="1"/>
  <c r="Z2" i="20" s="1"/>
  <c r="AC2" i="20" s="1" a="1"/>
  <c r="AC2" i="20" s="1"/>
  <c r="C14" i="20"/>
  <c r="D14" i="20"/>
  <c r="C15" i="20"/>
  <c r="D15" i="20"/>
  <c r="C16" i="20"/>
  <c r="D16" i="20"/>
  <c r="C17" i="20"/>
  <c r="D17" i="20"/>
  <c r="C18" i="20"/>
  <c r="D18" i="20"/>
  <c r="C19" i="20"/>
  <c r="D19" i="20"/>
  <c r="C20" i="20"/>
  <c r="D20" i="20"/>
  <c r="C21" i="20"/>
  <c r="D21" i="20"/>
  <c r="C22" i="20"/>
  <c r="D22" i="20"/>
  <c r="C23" i="20"/>
  <c r="D23" i="20"/>
  <c r="C24" i="20"/>
  <c r="D24" i="20"/>
  <c r="C25" i="20"/>
  <c r="D25" i="20"/>
  <c r="C4" i="20"/>
  <c r="D4" i="20"/>
  <c r="C5" i="20"/>
  <c r="D5" i="20"/>
  <c r="C6" i="20"/>
  <c r="D6" i="20"/>
  <c r="C7" i="20"/>
  <c r="D7" i="20"/>
  <c r="C8" i="20"/>
  <c r="D8" i="20"/>
  <c r="C9" i="20"/>
  <c r="D9" i="20"/>
  <c r="C10" i="20"/>
  <c r="D10" i="20"/>
  <c r="C11" i="20"/>
  <c r="D11" i="20"/>
  <c r="C12" i="20"/>
  <c r="D12" i="20"/>
  <c r="C13" i="20"/>
  <c r="D13" i="20"/>
  <c r="D3" i="20"/>
  <c r="C3" i="20"/>
  <c r="AF4" i="20"/>
  <c r="AG4" i="20"/>
  <c r="AF5" i="20"/>
  <c r="AG5" i="20"/>
  <c r="AF6" i="20"/>
  <c r="AG6" i="20"/>
  <c r="AF7" i="20"/>
  <c r="AG7" i="20"/>
  <c r="AF8" i="20"/>
  <c r="AG8" i="20"/>
  <c r="AF9" i="20"/>
  <c r="AG9" i="20"/>
  <c r="AF10" i="20"/>
  <c r="AG10" i="20"/>
  <c r="AF11" i="20"/>
  <c r="AG11" i="20"/>
  <c r="AF12" i="20"/>
  <c r="AG12" i="20"/>
  <c r="AF13" i="20"/>
  <c r="AG13" i="20"/>
  <c r="AF14" i="20"/>
  <c r="AG14" i="20"/>
  <c r="AF15" i="20"/>
  <c r="AG15" i="20"/>
  <c r="AF16" i="20"/>
  <c r="AG16" i="20"/>
  <c r="AF17" i="20"/>
  <c r="AG17" i="20"/>
  <c r="AF18" i="20"/>
  <c r="AG18" i="20"/>
  <c r="AF19" i="20"/>
  <c r="AG19" i="20"/>
  <c r="AF20" i="20"/>
  <c r="AG20" i="20"/>
  <c r="AF21" i="20"/>
  <c r="AG21" i="20"/>
  <c r="AF22" i="20"/>
  <c r="AG22" i="20"/>
  <c r="AF23" i="20"/>
  <c r="AG23" i="20"/>
  <c r="AF24" i="20"/>
  <c r="AG24" i="20"/>
  <c r="AF25" i="20"/>
  <c r="AG25" i="20"/>
  <c r="AF26" i="20"/>
  <c r="AG26" i="20"/>
  <c r="AF27" i="20"/>
  <c r="AG27" i="20"/>
  <c r="AF28" i="20"/>
  <c r="AG28" i="20"/>
  <c r="AF29" i="20"/>
  <c r="AG29" i="20"/>
  <c r="AF30" i="20"/>
  <c r="AG30" i="20"/>
  <c r="AF31" i="20"/>
  <c r="AG31" i="20"/>
  <c r="AF32" i="20"/>
  <c r="AG32" i="20"/>
  <c r="AF33" i="20"/>
  <c r="AG33" i="20"/>
  <c r="AF34" i="20"/>
  <c r="AG34" i="20"/>
  <c r="AF35" i="20"/>
  <c r="AG35" i="20"/>
  <c r="AF36" i="20"/>
  <c r="AG36" i="20"/>
  <c r="AF37" i="20"/>
  <c r="AG37" i="20"/>
  <c r="AF38" i="20"/>
  <c r="AG38" i="20"/>
  <c r="AF39" i="20"/>
  <c r="AG39" i="20"/>
  <c r="AF40" i="20"/>
  <c r="AG40" i="20"/>
  <c r="AF41" i="20"/>
  <c r="AG41" i="20"/>
  <c r="AF42" i="20"/>
  <c r="AG42" i="20"/>
  <c r="AF43" i="20"/>
  <c r="AG43" i="20"/>
  <c r="AF44" i="20"/>
  <c r="AG44" i="20"/>
  <c r="AF45" i="20"/>
  <c r="AG45" i="20"/>
  <c r="AF46" i="20"/>
  <c r="AG46" i="20"/>
  <c r="AF47" i="20"/>
  <c r="AG47" i="20"/>
  <c r="AF48" i="20"/>
  <c r="AG48" i="20"/>
  <c r="AF49" i="20"/>
  <c r="AG49" i="20"/>
  <c r="AF50" i="20"/>
  <c r="AG50" i="20"/>
  <c r="AF51" i="20"/>
  <c r="AG51" i="20"/>
  <c r="AF52" i="20"/>
  <c r="AG52" i="20"/>
  <c r="AF53" i="20"/>
  <c r="AG53" i="20"/>
  <c r="AF54" i="20"/>
  <c r="AG54" i="20"/>
  <c r="AF55" i="20"/>
  <c r="AG55" i="20"/>
  <c r="AF56" i="20"/>
  <c r="AG56" i="20"/>
  <c r="AF57" i="20"/>
  <c r="AG57" i="20"/>
  <c r="AF58" i="20"/>
  <c r="AG58" i="20"/>
  <c r="AF59" i="20"/>
  <c r="AG59" i="20"/>
  <c r="AF60" i="20"/>
  <c r="AG60" i="20"/>
  <c r="AF61" i="20"/>
  <c r="AG61" i="20"/>
  <c r="AF62" i="20"/>
  <c r="AG62" i="20"/>
  <c r="AF63" i="20"/>
  <c r="AG63" i="20"/>
  <c r="AF64" i="20"/>
  <c r="AG64" i="20"/>
  <c r="AF65" i="20"/>
  <c r="AG65" i="20"/>
  <c r="AF66" i="20"/>
  <c r="AG66" i="20"/>
  <c r="AF67" i="20"/>
  <c r="AG67" i="20"/>
  <c r="AF68" i="20"/>
  <c r="AG68" i="20"/>
  <c r="AF69" i="20"/>
  <c r="AG69" i="20"/>
  <c r="AF70" i="20"/>
  <c r="AG70" i="20"/>
  <c r="AF71" i="20"/>
  <c r="AG71" i="20"/>
  <c r="AF72" i="20"/>
  <c r="AG72" i="20"/>
  <c r="AF73" i="20"/>
  <c r="AG73" i="20"/>
  <c r="AF74" i="20"/>
  <c r="AG74" i="20"/>
  <c r="AF75" i="20"/>
  <c r="AG75" i="20"/>
  <c r="AF76" i="20"/>
  <c r="AG76" i="20"/>
  <c r="AF77" i="20"/>
  <c r="AG77" i="20"/>
  <c r="AF78" i="20"/>
  <c r="AG78" i="20"/>
  <c r="AF79" i="20"/>
  <c r="AG79" i="20"/>
  <c r="AF80" i="20"/>
  <c r="AG80" i="20"/>
  <c r="AF81" i="20"/>
  <c r="AG81" i="20"/>
  <c r="AF82" i="20"/>
  <c r="AG82" i="20"/>
  <c r="AF83" i="20"/>
  <c r="AG83" i="20"/>
  <c r="AF84" i="20"/>
  <c r="AG84" i="20"/>
  <c r="AF85" i="20"/>
  <c r="AG85" i="20"/>
  <c r="AF86" i="20"/>
  <c r="AG86" i="20"/>
  <c r="AF87" i="20"/>
  <c r="AG87" i="20"/>
  <c r="AF88" i="20"/>
  <c r="AG88" i="20"/>
  <c r="AF89" i="20"/>
  <c r="AG89" i="20"/>
  <c r="AF90" i="20"/>
  <c r="AG90" i="20"/>
  <c r="AF91" i="20"/>
  <c r="AG91" i="20"/>
  <c r="AF92" i="20"/>
  <c r="AG92" i="20"/>
  <c r="AF93" i="20"/>
  <c r="AG93" i="20"/>
  <c r="AF94" i="20"/>
  <c r="AG94" i="20"/>
  <c r="AF95" i="20"/>
  <c r="AG95" i="20"/>
  <c r="AF96" i="20"/>
  <c r="AG96" i="20"/>
  <c r="AF97" i="20"/>
  <c r="AG97" i="20"/>
  <c r="AF98" i="20"/>
  <c r="AG98" i="20"/>
  <c r="AF99" i="20"/>
  <c r="AG99" i="20"/>
  <c r="AF100" i="20"/>
  <c r="AG100" i="20"/>
  <c r="AF101" i="20"/>
  <c r="AG101" i="20"/>
  <c r="AF102" i="20"/>
  <c r="AG102" i="20"/>
  <c r="AF103" i="20"/>
  <c r="AG103" i="20"/>
  <c r="AF104" i="20"/>
  <c r="AG104" i="20"/>
  <c r="AF105" i="20"/>
  <c r="AG105" i="20"/>
  <c r="AF106" i="20"/>
  <c r="AG106" i="20"/>
  <c r="AF107" i="20"/>
  <c r="AG107" i="20"/>
  <c r="AF108" i="20"/>
  <c r="AG108" i="20"/>
  <c r="AF109" i="20"/>
  <c r="AG109" i="20"/>
  <c r="AF110" i="20"/>
  <c r="AG110" i="20"/>
  <c r="AF111" i="20"/>
  <c r="AG111" i="20"/>
  <c r="AF112" i="20"/>
  <c r="AG112" i="20"/>
  <c r="AF113" i="20"/>
  <c r="AG113" i="20"/>
  <c r="AF114" i="20"/>
  <c r="AG114" i="20"/>
  <c r="AF115" i="20"/>
  <c r="AG115" i="20"/>
  <c r="AF116" i="20"/>
  <c r="AG116" i="20"/>
  <c r="AF117" i="20"/>
  <c r="AG117" i="20"/>
  <c r="AF118" i="20"/>
  <c r="AG118" i="20"/>
  <c r="AF119" i="20"/>
  <c r="AG119" i="20"/>
  <c r="AF120" i="20"/>
  <c r="AG120" i="20"/>
  <c r="AF121" i="20"/>
  <c r="AG121" i="20"/>
  <c r="AF122" i="20"/>
  <c r="AG122" i="20"/>
  <c r="AF123" i="20"/>
  <c r="AG123" i="20"/>
  <c r="AF124" i="20"/>
  <c r="AG124" i="20"/>
  <c r="AF125" i="20"/>
  <c r="AG125" i="20"/>
  <c r="AF126" i="20"/>
  <c r="AG126" i="20"/>
  <c r="AF127" i="20"/>
  <c r="AG127" i="20"/>
  <c r="AF128" i="20"/>
  <c r="AG128" i="20"/>
  <c r="AF129" i="20"/>
  <c r="AG129" i="20"/>
  <c r="AF130" i="20"/>
  <c r="AG130" i="20"/>
  <c r="AF131" i="20"/>
  <c r="AG131" i="20"/>
  <c r="AF132" i="20"/>
  <c r="AG132" i="20"/>
  <c r="AF133" i="20"/>
  <c r="AG133" i="20"/>
  <c r="AF134" i="20"/>
  <c r="AG134" i="20"/>
  <c r="AF135" i="20"/>
  <c r="AG135" i="20"/>
  <c r="AF136" i="20"/>
  <c r="AG136" i="20"/>
  <c r="AF137" i="20"/>
  <c r="AG137" i="20"/>
  <c r="AF138" i="20"/>
  <c r="AG138" i="20"/>
  <c r="AF139" i="20"/>
  <c r="AG139" i="20"/>
  <c r="AF140" i="20"/>
  <c r="AG140" i="20"/>
  <c r="AF141" i="20"/>
  <c r="AG141" i="20"/>
  <c r="AF142" i="20"/>
  <c r="AG142" i="20"/>
  <c r="AF143" i="20"/>
  <c r="AG143" i="20"/>
  <c r="AF144" i="20"/>
  <c r="AG144" i="20"/>
  <c r="AF145" i="20"/>
  <c r="AG145" i="20"/>
  <c r="AF146" i="20"/>
  <c r="AG146" i="20"/>
  <c r="AF147" i="20"/>
  <c r="AG147" i="20"/>
  <c r="AF148" i="20"/>
  <c r="AG148" i="20"/>
  <c r="AF149" i="20"/>
  <c r="AG149" i="20"/>
  <c r="AF150" i="20"/>
  <c r="AG150" i="20"/>
  <c r="AF151" i="20"/>
  <c r="AG151" i="20"/>
  <c r="AF152" i="20"/>
  <c r="AG152" i="20"/>
  <c r="AF153" i="20"/>
  <c r="AG153" i="20"/>
  <c r="AF154" i="20"/>
  <c r="AG154" i="20"/>
  <c r="AF155" i="20"/>
  <c r="AG155" i="20"/>
  <c r="AF156" i="20"/>
  <c r="AG156" i="20"/>
  <c r="AF157" i="20"/>
  <c r="AG157" i="20"/>
  <c r="AF158" i="20"/>
  <c r="AG158" i="20"/>
  <c r="AF159" i="20"/>
  <c r="AG159" i="20"/>
  <c r="AF160" i="20"/>
  <c r="AG160" i="20"/>
  <c r="AF161" i="20"/>
  <c r="AG161" i="20"/>
  <c r="AF162" i="20"/>
  <c r="AG162" i="20"/>
  <c r="AF163" i="20"/>
  <c r="AG163" i="20"/>
  <c r="AF164" i="20"/>
  <c r="AG164" i="20"/>
  <c r="AF165" i="20"/>
  <c r="AG165" i="20"/>
  <c r="AF166" i="20"/>
  <c r="AG166" i="20"/>
  <c r="AF167" i="20"/>
  <c r="AG167" i="20"/>
  <c r="AF168" i="20"/>
  <c r="AG168" i="20"/>
  <c r="AF169" i="20"/>
  <c r="AG169" i="20"/>
  <c r="AF170" i="20"/>
  <c r="AG170" i="20"/>
  <c r="AF171" i="20"/>
  <c r="AG171" i="20"/>
  <c r="AF172" i="20"/>
  <c r="AG172" i="20"/>
  <c r="AF173" i="20"/>
  <c r="AG173" i="20"/>
  <c r="AF174" i="20"/>
  <c r="AG174" i="20"/>
  <c r="AF175" i="20"/>
  <c r="AG175" i="20"/>
  <c r="AF176" i="20"/>
  <c r="AG176" i="20"/>
  <c r="AF177" i="20"/>
  <c r="AG177" i="20"/>
  <c r="AF178" i="20"/>
  <c r="AG178" i="20"/>
  <c r="AF179" i="20"/>
  <c r="AG179" i="20"/>
  <c r="AF180" i="20"/>
  <c r="AG180" i="20"/>
  <c r="AF181" i="20"/>
  <c r="AG181" i="20"/>
  <c r="AF182" i="20"/>
  <c r="AG182" i="20"/>
  <c r="AF183" i="20"/>
  <c r="AG183" i="20"/>
  <c r="AF184" i="20"/>
  <c r="AG184" i="20"/>
  <c r="AF185" i="20"/>
  <c r="AG185" i="20"/>
  <c r="AF186" i="20"/>
  <c r="AG186" i="20"/>
  <c r="AF187" i="20"/>
  <c r="AG187" i="20"/>
  <c r="AF188" i="20"/>
  <c r="AG188" i="20"/>
  <c r="AF189" i="20"/>
  <c r="AG189" i="20"/>
  <c r="AF190" i="20"/>
  <c r="AG190" i="20"/>
  <c r="AF191" i="20"/>
  <c r="AG191" i="20"/>
  <c r="AF192" i="20"/>
  <c r="AG192" i="20"/>
  <c r="AF193" i="20"/>
  <c r="AG193" i="20"/>
  <c r="AF194" i="20"/>
  <c r="AG194" i="20"/>
  <c r="AF195" i="20"/>
  <c r="AG195" i="20"/>
  <c r="AF196" i="20"/>
  <c r="AG196" i="20"/>
  <c r="AF197" i="20"/>
  <c r="AG197" i="20"/>
  <c r="AF198" i="20"/>
  <c r="AG198" i="20"/>
  <c r="AF199" i="20"/>
  <c r="AG199" i="20"/>
  <c r="AF200" i="20"/>
  <c r="AG200" i="20"/>
  <c r="AF201" i="20"/>
  <c r="AG201" i="20"/>
  <c r="AF202" i="20"/>
  <c r="AG202" i="20"/>
  <c r="AF203" i="20"/>
  <c r="AG203" i="20"/>
  <c r="AF204" i="20"/>
  <c r="AG204" i="20"/>
  <c r="AF205" i="20"/>
  <c r="AG205" i="20"/>
  <c r="AF206" i="20"/>
  <c r="AG206" i="20"/>
  <c r="AF207" i="20"/>
  <c r="AG207" i="20"/>
  <c r="AF208" i="20"/>
  <c r="AG208" i="20"/>
  <c r="AF209" i="20"/>
  <c r="AG209" i="20"/>
  <c r="AF210" i="20"/>
  <c r="AG210" i="20"/>
  <c r="AF211" i="20"/>
  <c r="AG211" i="20"/>
  <c r="AG3" i="20"/>
  <c r="AF3" i="20"/>
  <c r="E4" i="20"/>
  <c r="AF2" i="20" l="1" a="1"/>
  <c r="AF2" i="20" s="1"/>
  <c r="AT2" i="20" a="1"/>
  <c r="AT2" i="20" s="1"/>
  <c r="E5" i="20"/>
  <c r="AM61" i="20" s="1"/>
  <c r="AC68" i="20"/>
  <c r="AC13" i="20"/>
  <c r="AC60" i="20"/>
  <c r="AC43" i="20"/>
  <c r="AC63" i="20"/>
  <c r="AC28" i="20"/>
  <c r="AC49" i="20"/>
  <c r="AC40" i="20"/>
  <c r="H13" i="40" a="1"/>
  <c r="H13" i="37" a="1"/>
  <c r="H13" i="35" a="1"/>
  <c r="H13" i="33" a="1"/>
  <c r="H13" i="27" a="1"/>
  <c r="H13" i="24" a="1"/>
  <c r="H13" i="26" a="1"/>
  <c r="H13" i="2" a="1"/>
  <c r="H13" i="2" s="1"/>
  <c r="H25" i="2" s="1" a="1"/>
  <c r="H25" i="2" s="1"/>
  <c r="H37" i="2" s="1" a="1"/>
  <c r="H37" i="2" s="1"/>
  <c r="H49" i="2" s="1" a="1"/>
  <c r="H49" i="2" s="1"/>
  <c r="H61" i="2" s="1" a="1"/>
  <c r="H61" i="2" s="1"/>
  <c r="BD2" i="20" a="1"/>
  <c r="BD2" i="20" s="1"/>
  <c r="BG2" i="20" s="1" a="1"/>
  <c r="BG2" i="20" s="1"/>
  <c r="BJ2" i="20" s="1" a="1"/>
  <c r="BJ2" i="20" s="1"/>
  <c r="U26" i="20"/>
  <c r="V26" i="20"/>
  <c r="AC101" i="20"/>
  <c r="AN90" i="20"/>
  <c r="AW2" i="20" a="1"/>
  <c r="AW2" i="20" s="1"/>
  <c r="AZ2" i="20" s="1" a="1"/>
  <c r="AZ2" i="20" s="1"/>
  <c r="AM89" i="20"/>
  <c r="AN40" i="20"/>
  <c r="AC93" i="20"/>
  <c r="AD90" i="20"/>
  <c r="I25" i="20"/>
  <c r="J24" i="20"/>
  <c r="J20" i="20"/>
  <c r="I16" i="20"/>
  <c r="J17" i="20"/>
  <c r="J8" i="20"/>
  <c r="I7" i="20"/>
  <c r="I3" i="20"/>
  <c r="J15" i="20"/>
  <c r="J10" i="20"/>
  <c r="J6" i="20"/>
  <c r="I19" i="20"/>
  <c r="I10" i="20"/>
  <c r="J22" i="20"/>
  <c r="J13" i="20"/>
  <c r="J4" i="20"/>
  <c r="J21" i="20"/>
  <c r="J12" i="20"/>
  <c r="I21" i="20"/>
  <c r="I11" i="20"/>
  <c r="J18" i="20"/>
  <c r="J9" i="20"/>
  <c r="M3" i="20" a="1"/>
  <c r="M3" i="20" s="1"/>
  <c r="S3" i="20" s="1" a="1"/>
  <c r="S3" i="20" s="1"/>
  <c r="I18" i="20"/>
  <c r="I9" i="20"/>
  <c r="I17" i="20"/>
  <c r="I8" i="20"/>
  <c r="J25" i="20"/>
  <c r="J16" i="20"/>
  <c r="J7" i="20"/>
  <c r="I24" i="20"/>
  <c r="I15" i="20"/>
  <c r="I6" i="20"/>
  <c r="J23" i="20"/>
  <c r="J14" i="20"/>
  <c r="J5" i="20"/>
  <c r="I23" i="20"/>
  <c r="I14" i="20"/>
  <c r="I5" i="20"/>
  <c r="I22" i="20"/>
  <c r="I13" i="20"/>
  <c r="I20" i="20"/>
  <c r="I12" i="20"/>
  <c r="I4" i="20"/>
  <c r="J19" i="20"/>
  <c r="J11" i="20"/>
  <c r="AM59" i="20"/>
  <c r="AM90" i="20"/>
  <c r="AD28" i="20"/>
  <c r="AD12" i="20"/>
  <c r="AM40" i="20"/>
  <c r="AC90" i="20"/>
  <c r="AM47" i="20"/>
  <c r="AC89" i="20"/>
  <c r="AM101" i="20"/>
  <c r="AM93" i="20"/>
  <c r="AN28" i="20"/>
  <c r="AC79" i="20"/>
  <c r="P26" i="20"/>
  <c r="O26" i="20"/>
  <c r="C26" i="20"/>
  <c r="D26" i="20"/>
  <c r="E6" i="20"/>
  <c r="AN12" i="20" s="1"/>
  <c r="AM15" i="20" l="1"/>
  <c r="AM28" i="20"/>
  <c r="AC59" i="20"/>
  <c r="AC31" i="20"/>
  <c r="AC61" i="20"/>
  <c r="AC42" i="20"/>
  <c r="AC67" i="20"/>
  <c r="AC11" i="20"/>
  <c r="AC50" i="20"/>
  <c r="AC71" i="20"/>
  <c r="AC46" i="20"/>
  <c r="AC27" i="20"/>
  <c r="AC32" i="20"/>
  <c r="AC10" i="20"/>
  <c r="AC51" i="20"/>
  <c r="AC15" i="20"/>
  <c r="AD32" i="20"/>
  <c r="H13" i="33"/>
  <c r="I17" i="33"/>
  <c r="I20" i="33"/>
  <c r="I15" i="33"/>
  <c r="I16" i="33"/>
  <c r="I14" i="33"/>
  <c r="I18" i="33"/>
  <c r="I19" i="33"/>
  <c r="H13" i="35"/>
  <c r="I20" i="35"/>
  <c r="I16" i="35"/>
  <c r="I19" i="35"/>
  <c r="I17" i="35"/>
  <c r="I18" i="35"/>
  <c r="I15" i="35"/>
  <c r="I14" i="35"/>
  <c r="H13" i="37"/>
  <c r="I16" i="37"/>
  <c r="I19" i="37"/>
  <c r="I18" i="37"/>
  <c r="I15" i="37"/>
  <c r="I20" i="37"/>
  <c r="I17" i="37"/>
  <c r="I14" i="37"/>
  <c r="H13" i="40"/>
  <c r="I20" i="40"/>
  <c r="I16" i="40"/>
  <c r="I15" i="40"/>
  <c r="I17" i="40"/>
  <c r="I14" i="40"/>
  <c r="I19" i="40"/>
  <c r="I18" i="40"/>
  <c r="H13" i="26"/>
  <c r="I20" i="26"/>
  <c r="I19" i="26"/>
  <c r="I14" i="26"/>
  <c r="I17" i="26"/>
  <c r="I16" i="26"/>
  <c r="I18" i="26"/>
  <c r="I15" i="26"/>
  <c r="H13" i="24"/>
  <c r="I16" i="24"/>
  <c r="I19" i="24"/>
  <c r="I20" i="24"/>
  <c r="I15" i="24"/>
  <c r="I14" i="24"/>
  <c r="I18" i="24"/>
  <c r="I17" i="24"/>
  <c r="H13" i="27"/>
  <c r="I18" i="27"/>
  <c r="I20" i="27"/>
  <c r="I14" i="27"/>
  <c r="I17" i="27"/>
  <c r="I15" i="27"/>
  <c r="I19" i="27"/>
  <c r="I16" i="27"/>
  <c r="BG33" i="20"/>
  <c r="BH70" i="20"/>
  <c r="BH84" i="20"/>
  <c r="BH28" i="20"/>
  <c r="BG84" i="20"/>
  <c r="BG28" i="20"/>
  <c r="BG70" i="20"/>
  <c r="I26" i="20"/>
  <c r="AM13" i="20"/>
  <c r="AM31" i="20"/>
  <c r="AD42" i="20"/>
  <c r="AN42" i="20"/>
  <c r="AM42" i="20"/>
  <c r="AC85" i="20"/>
  <c r="AM51" i="20"/>
  <c r="J26" i="20"/>
  <c r="E7" i="20"/>
  <c r="AM6" i="20" s="1"/>
  <c r="AN6" i="20" l="1"/>
  <c r="AC16" i="20"/>
  <c r="AC52" i="20"/>
  <c r="AC23" i="20"/>
  <c r="AC72" i="20"/>
  <c r="AC6" i="20"/>
  <c r="AC66" i="20"/>
  <c r="AC33" i="20"/>
  <c r="AM33" i="20"/>
  <c r="AM16" i="20"/>
  <c r="AN48" i="20"/>
  <c r="AD48" i="20"/>
  <c r="AD16" i="20"/>
  <c r="AN16" i="20"/>
  <c r="AD6" i="20"/>
  <c r="H25" i="40" a="1"/>
  <c r="I13" i="40"/>
  <c r="H25" i="35" a="1"/>
  <c r="I13" i="35"/>
  <c r="H25" i="37" a="1"/>
  <c r="I13" i="37"/>
  <c r="H25" i="33" a="1"/>
  <c r="I13" i="33"/>
  <c r="H25" i="24" a="1"/>
  <c r="I13" i="24"/>
  <c r="H25" i="27" a="1"/>
  <c r="I13" i="27"/>
  <c r="H25" i="26" a="1"/>
  <c r="I13" i="26"/>
  <c r="BG77" i="20"/>
  <c r="BG49" i="20"/>
  <c r="BH100" i="20"/>
  <c r="BH32" i="20"/>
  <c r="BG87" i="20"/>
  <c r="BG67" i="20"/>
  <c r="BG27" i="20"/>
  <c r="BG23" i="20"/>
  <c r="BG15" i="20"/>
  <c r="BG7" i="20"/>
  <c r="AW27" i="20"/>
  <c r="AW67" i="20"/>
  <c r="AC87" i="20"/>
  <c r="AN100" i="20"/>
  <c r="AM49" i="20"/>
  <c r="AM77" i="20"/>
  <c r="AX100" i="20"/>
  <c r="AN32" i="20"/>
  <c r="AW77" i="20"/>
  <c r="AM7" i="20"/>
  <c r="AM23" i="20"/>
  <c r="AM87" i="20"/>
  <c r="AW7" i="20"/>
  <c r="AW23" i="20"/>
  <c r="AW87" i="20"/>
  <c r="AX32" i="20"/>
  <c r="AD100" i="20"/>
  <c r="AC77" i="20"/>
  <c r="AW33" i="20"/>
  <c r="AW49" i="20"/>
  <c r="AM27" i="20"/>
  <c r="E8" i="20"/>
  <c r="AC7" i="20" l="1"/>
  <c r="AC73" i="20"/>
  <c r="AC17" i="20"/>
  <c r="AC22" i="20"/>
  <c r="AC45" i="20"/>
  <c r="AC65" i="20"/>
  <c r="AC53" i="20"/>
  <c r="AC34" i="20"/>
  <c r="AC82" i="20"/>
  <c r="AM79" i="20"/>
  <c r="AD82" i="20"/>
  <c r="AM82" i="20"/>
  <c r="AN82" i="20"/>
  <c r="AD22" i="20"/>
  <c r="BG73" i="20"/>
  <c r="AN22" i="20"/>
  <c r="AM17" i="20"/>
  <c r="AM53" i="20"/>
  <c r="AM22" i="20"/>
  <c r="BG53" i="20"/>
  <c r="H25" i="35"/>
  <c r="I30" i="35"/>
  <c r="I27" i="35"/>
  <c r="I26" i="35"/>
  <c r="I31" i="35"/>
  <c r="I29" i="35"/>
  <c r="I28" i="35"/>
  <c r="I32" i="35"/>
  <c r="H25" i="37"/>
  <c r="I32" i="37"/>
  <c r="I26" i="37"/>
  <c r="I28" i="37"/>
  <c r="I29" i="37"/>
  <c r="I30" i="37"/>
  <c r="I31" i="37"/>
  <c r="I27" i="37"/>
  <c r="H25" i="33"/>
  <c r="I32" i="33"/>
  <c r="I29" i="33"/>
  <c r="I26" i="33"/>
  <c r="I31" i="33"/>
  <c r="I30" i="33"/>
  <c r="I28" i="33"/>
  <c r="I27" i="33"/>
  <c r="H25" i="40"/>
  <c r="I29" i="40"/>
  <c r="I26" i="40"/>
  <c r="I31" i="40"/>
  <c r="I30" i="40"/>
  <c r="I32" i="40"/>
  <c r="I27" i="40"/>
  <c r="I28" i="40"/>
  <c r="H25" i="27"/>
  <c r="I26" i="27"/>
  <c r="I31" i="27"/>
  <c r="I29" i="27"/>
  <c r="I30" i="27"/>
  <c r="I28" i="27"/>
  <c r="I32" i="27"/>
  <c r="I27" i="27"/>
  <c r="H25" i="26"/>
  <c r="I32" i="26"/>
  <c r="I31" i="26"/>
  <c r="I27" i="26"/>
  <c r="I26" i="26"/>
  <c r="I28" i="26"/>
  <c r="I29" i="26"/>
  <c r="I30" i="26"/>
  <c r="H25" i="24"/>
  <c r="I29" i="24"/>
  <c r="I30" i="24"/>
  <c r="I28" i="24"/>
  <c r="I27" i="24"/>
  <c r="I31" i="24"/>
  <c r="I32" i="24"/>
  <c r="I26" i="24"/>
  <c r="BG61" i="20"/>
  <c r="BH94" i="20"/>
  <c r="BH66" i="20"/>
  <c r="BH42" i="20"/>
  <c r="BG99" i="20"/>
  <c r="BG91" i="20"/>
  <c r="BG83" i="20"/>
  <c r="BG11" i="20"/>
  <c r="BG94" i="20"/>
  <c r="BG66" i="20"/>
  <c r="AX66" i="20"/>
  <c r="AD94" i="20"/>
  <c r="AW11" i="20"/>
  <c r="AW83" i="20"/>
  <c r="AW91" i="20"/>
  <c r="AW99" i="20"/>
  <c r="AM94" i="20"/>
  <c r="AM102" i="20"/>
  <c r="AW53" i="20"/>
  <c r="AW61" i="20"/>
  <c r="AC99" i="20"/>
  <c r="AN94" i="20"/>
  <c r="AN102" i="20"/>
  <c r="AW94" i="20"/>
  <c r="AC91" i="20"/>
  <c r="AX94" i="20"/>
  <c r="AD66" i="20"/>
  <c r="AM66" i="20"/>
  <c r="AN66" i="20"/>
  <c r="AM11" i="20"/>
  <c r="AM91" i="20"/>
  <c r="AM99" i="20"/>
  <c r="AW66" i="20"/>
  <c r="AC94" i="20"/>
  <c r="E9" i="20"/>
  <c r="AC26" i="20" l="1"/>
  <c r="AC54" i="20"/>
  <c r="AC35" i="20"/>
  <c r="AC18" i="20"/>
  <c r="AC44" i="20"/>
  <c r="AC64" i="20"/>
  <c r="AC9" i="20"/>
  <c r="AC74" i="20"/>
  <c r="AD44" i="20"/>
  <c r="AD64" i="20"/>
  <c r="AM44" i="20"/>
  <c r="AN64" i="20"/>
  <c r="AN44" i="20"/>
  <c r="AM64" i="20"/>
  <c r="AN74" i="20"/>
  <c r="AM35" i="20"/>
  <c r="AM85" i="20"/>
  <c r="AD74" i="20"/>
  <c r="AX18" i="20"/>
  <c r="BH44" i="20"/>
  <c r="AD18" i="20"/>
  <c r="AW15" i="20"/>
  <c r="BH18" i="20"/>
  <c r="BG44" i="20"/>
  <c r="AW44" i="20"/>
  <c r="AX44" i="20"/>
  <c r="AN18" i="20"/>
  <c r="H37" i="33" a="1"/>
  <c r="I25" i="33"/>
  <c r="H37" i="40" a="1"/>
  <c r="I25" i="40"/>
  <c r="H37" i="37" a="1"/>
  <c r="I25" i="37"/>
  <c r="H37" i="35" a="1"/>
  <c r="I25" i="35"/>
  <c r="H37" i="26" a="1"/>
  <c r="I25" i="26"/>
  <c r="H37" i="24" a="1"/>
  <c r="I25" i="24"/>
  <c r="H37" i="27" a="1"/>
  <c r="I25" i="27"/>
  <c r="BG97" i="20"/>
  <c r="BG89" i="20"/>
  <c r="BG9" i="20"/>
  <c r="BH62" i="20"/>
  <c r="BH6" i="20"/>
  <c r="BG30" i="20"/>
  <c r="BH68" i="20"/>
  <c r="BH40" i="20"/>
  <c r="BH102" i="20"/>
  <c r="BH74" i="20"/>
  <c r="BG68" i="20"/>
  <c r="BG40" i="20"/>
  <c r="BG59" i="20"/>
  <c r="BH30" i="20"/>
  <c r="BG102" i="20"/>
  <c r="BG62" i="20"/>
  <c r="BG6" i="20"/>
  <c r="AX74" i="20"/>
  <c r="AD30" i="20"/>
  <c r="AD62" i="20"/>
  <c r="AM97" i="20"/>
  <c r="AM68" i="20"/>
  <c r="AM73" i="20"/>
  <c r="AN68" i="20"/>
  <c r="AW68" i="20"/>
  <c r="AX68" i="20"/>
  <c r="AM30" i="20"/>
  <c r="AM62" i="20"/>
  <c r="AC97" i="20"/>
  <c r="AN30" i="20"/>
  <c r="AN62" i="20"/>
  <c r="AW6" i="20"/>
  <c r="AW30" i="20"/>
  <c r="AW62" i="20"/>
  <c r="AW102" i="20"/>
  <c r="AX6" i="20"/>
  <c r="AX30" i="20"/>
  <c r="AX102" i="20"/>
  <c r="AD68" i="20"/>
  <c r="AM9" i="20"/>
  <c r="AW9" i="20"/>
  <c r="AW73" i="20"/>
  <c r="AW89" i="20"/>
  <c r="AW97" i="20"/>
  <c r="AM83" i="20"/>
  <c r="E10" i="20"/>
  <c r="AC36" i="20" l="1"/>
  <c r="AC25" i="20"/>
  <c r="AC8" i="20"/>
  <c r="AC19" i="20"/>
  <c r="AC55" i="20"/>
  <c r="AC75" i="20"/>
  <c r="AM19" i="20"/>
  <c r="AM8" i="20"/>
  <c r="AD8" i="20"/>
  <c r="AM75" i="20"/>
  <c r="AN8" i="20"/>
  <c r="BG81" i="20"/>
  <c r="AN36" i="20"/>
  <c r="AD36" i="20"/>
  <c r="AX36" i="20"/>
  <c r="AM36" i="20"/>
  <c r="BH36" i="20"/>
  <c r="AW36" i="20"/>
  <c r="BG36" i="20"/>
  <c r="AW19" i="20"/>
  <c r="AW75" i="20"/>
  <c r="AW25" i="20"/>
  <c r="BG25" i="20"/>
  <c r="BH8" i="20"/>
  <c r="BG75" i="20"/>
  <c r="BG19" i="20"/>
  <c r="AM25" i="20"/>
  <c r="AW8" i="20"/>
  <c r="BG8" i="20"/>
  <c r="AX8" i="20"/>
  <c r="AW59" i="20"/>
  <c r="AW40" i="20"/>
  <c r="H37" i="35"/>
  <c r="I40" i="35"/>
  <c r="I42" i="35"/>
  <c r="I41" i="35"/>
  <c r="I39" i="35"/>
  <c r="I44" i="35"/>
  <c r="I38" i="35"/>
  <c r="I43" i="35"/>
  <c r="H37" i="40"/>
  <c r="I42" i="40"/>
  <c r="I38" i="40"/>
  <c r="I39" i="40"/>
  <c r="I43" i="40"/>
  <c r="I41" i="40"/>
  <c r="I40" i="40"/>
  <c r="I44" i="40"/>
  <c r="H37" i="37"/>
  <c r="I44" i="37"/>
  <c r="I39" i="37"/>
  <c r="I43" i="37"/>
  <c r="I38" i="37"/>
  <c r="I41" i="37"/>
  <c r="I42" i="37"/>
  <c r="I40" i="37"/>
  <c r="H37" i="33"/>
  <c r="I38" i="33"/>
  <c r="I39" i="33"/>
  <c r="I41" i="33"/>
  <c r="I40" i="33"/>
  <c r="I42" i="33"/>
  <c r="I44" i="33"/>
  <c r="I43" i="33"/>
  <c r="H37" i="24"/>
  <c r="I44" i="24"/>
  <c r="I39" i="24"/>
  <c r="I43" i="24"/>
  <c r="I38" i="24"/>
  <c r="I41" i="24"/>
  <c r="I42" i="24"/>
  <c r="I40" i="24"/>
  <c r="H37" i="27"/>
  <c r="I39" i="27"/>
  <c r="I43" i="27"/>
  <c r="I38" i="27"/>
  <c r="I40" i="27"/>
  <c r="I42" i="27"/>
  <c r="I44" i="27"/>
  <c r="I41" i="27"/>
  <c r="H37" i="26"/>
  <c r="I40" i="26"/>
  <c r="I39" i="26"/>
  <c r="I38" i="26"/>
  <c r="I42" i="26"/>
  <c r="I41" i="26"/>
  <c r="I43" i="26"/>
  <c r="I44" i="26"/>
  <c r="BG45" i="20"/>
  <c r="BG17" i="20"/>
  <c r="BH64" i="20"/>
  <c r="BH52" i="20"/>
  <c r="BH48" i="20"/>
  <c r="BH34" i="20"/>
  <c r="BH26" i="20"/>
  <c r="BH14" i="20"/>
  <c r="BG64" i="20"/>
  <c r="BG52" i="20"/>
  <c r="BG31" i="20"/>
  <c r="BG34" i="20"/>
  <c r="BG26" i="20"/>
  <c r="BG14" i="20"/>
  <c r="AX26" i="20"/>
  <c r="AX34" i="20"/>
  <c r="AD14" i="20"/>
  <c r="AM52" i="20"/>
  <c r="AW64" i="20"/>
  <c r="AN52" i="20"/>
  <c r="AM45" i="20"/>
  <c r="AW52" i="20"/>
  <c r="AX52" i="20"/>
  <c r="AM14" i="20"/>
  <c r="AW45" i="20"/>
  <c r="AN14" i="20"/>
  <c r="AW14" i="20"/>
  <c r="AD26" i="20"/>
  <c r="AX14" i="20"/>
  <c r="AD34" i="20"/>
  <c r="AW31" i="20"/>
  <c r="AX48" i="20"/>
  <c r="AX64" i="20"/>
  <c r="AD52" i="20"/>
  <c r="AN26" i="20"/>
  <c r="AM26" i="20"/>
  <c r="AM34" i="20"/>
  <c r="AW17" i="20"/>
  <c r="AN34" i="20"/>
  <c r="AM67" i="20"/>
  <c r="AW26" i="20"/>
  <c r="AW34" i="20"/>
  <c r="E11" i="20"/>
  <c r="AM20" i="20" s="1"/>
  <c r="AW20" i="20" l="1"/>
  <c r="AM37" i="20"/>
  <c r="BG37" i="20"/>
  <c r="AX20" i="20"/>
  <c r="AN20" i="20"/>
  <c r="AD20" i="20"/>
  <c r="BH20" i="20"/>
  <c r="AC56" i="20"/>
  <c r="AC37" i="20"/>
  <c r="AC20" i="20"/>
  <c r="AC24" i="20"/>
  <c r="AC5" i="20"/>
  <c r="AX24" i="20"/>
  <c r="AN24" i="20"/>
  <c r="AM5" i="20"/>
  <c r="AM24" i="20"/>
  <c r="AD24" i="20"/>
  <c r="BG5" i="20"/>
  <c r="AC80" i="20"/>
  <c r="AD80" i="20"/>
  <c r="BG80" i="20"/>
  <c r="AN80" i="20"/>
  <c r="BH80" i="20"/>
  <c r="AM80" i="20"/>
  <c r="AX80" i="20"/>
  <c r="AW80" i="20"/>
  <c r="AW37" i="20"/>
  <c r="AW5" i="20"/>
  <c r="BG20" i="20"/>
  <c r="H49" i="33" a="1"/>
  <c r="I37" i="33"/>
  <c r="H49" i="37" a="1"/>
  <c r="I37" i="37"/>
  <c r="H49" i="40" a="1"/>
  <c r="I37" i="40"/>
  <c r="H49" i="35" a="1"/>
  <c r="I37" i="35"/>
  <c r="H49" i="26" a="1"/>
  <c r="I37" i="26"/>
  <c r="H49" i="27" a="1"/>
  <c r="I37" i="27"/>
  <c r="H49" i="24" a="1"/>
  <c r="I37" i="24"/>
  <c r="BG13" i="20"/>
  <c r="BH98" i="20"/>
  <c r="BH54" i="20"/>
  <c r="BH72" i="20"/>
  <c r="BH24" i="20"/>
  <c r="BH90" i="20"/>
  <c r="BH86" i="20"/>
  <c r="BH50" i="20"/>
  <c r="BH10" i="20"/>
  <c r="BG72" i="20"/>
  <c r="BG24" i="20"/>
  <c r="BG43" i="20"/>
  <c r="BG98" i="20"/>
  <c r="BG90" i="20"/>
  <c r="BG86" i="20"/>
  <c r="BG54" i="20"/>
  <c r="BG50" i="20"/>
  <c r="BG10" i="20"/>
  <c r="AX10" i="20"/>
  <c r="AX50" i="20"/>
  <c r="AX90" i="20"/>
  <c r="AX98" i="20"/>
  <c r="AD54" i="20"/>
  <c r="AD86" i="20"/>
  <c r="AN72" i="20"/>
  <c r="AW72" i="20"/>
  <c r="AM84" i="20"/>
  <c r="AW43" i="20"/>
  <c r="AN4" i="20"/>
  <c r="AN84" i="20"/>
  <c r="AW84" i="20"/>
  <c r="AD72" i="20"/>
  <c r="AX4" i="20"/>
  <c r="AX84" i="20"/>
  <c r="AM54" i="20"/>
  <c r="AM86" i="20"/>
  <c r="AW13" i="20"/>
  <c r="AN54" i="20"/>
  <c r="AN86" i="20"/>
  <c r="AW54" i="20"/>
  <c r="AW86" i="20"/>
  <c r="AW24" i="20"/>
  <c r="AC84" i="20"/>
  <c r="AX54" i="20"/>
  <c r="AX86" i="20"/>
  <c r="AD10" i="20"/>
  <c r="AD50" i="20"/>
  <c r="AM72" i="20"/>
  <c r="AX72" i="20"/>
  <c r="AD4" i="20"/>
  <c r="AD84" i="20"/>
  <c r="AN10" i="20"/>
  <c r="AM10" i="20"/>
  <c r="AM50" i="20"/>
  <c r="AM98" i="20"/>
  <c r="AN50" i="20"/>
  <c r="AN98" i="20"/>
  <c r="AM43" i="20"/>
  <c r="AW10" i="20"/>
  <c r="AW50" i="20"/>
  <c r="AW90" i="20"/>
  <c r="AW98" i="20"/>
  <c r="AC86" i="20"/>
  <c r="E12" i="20"/>
  <c r="AC57" i="20" l="1"/>
  <c r="AC21" i="20"/>
  <c r="AC4" i="20"/>
  <c r="AC39" i="20"/>
  <c r="AM57" i="20"/>
  <c r="BG57" i="20"/>
  <c r="AW57" i="20"/>
  <c r="BH4" i="20"/>
  <c r="H49" i="37"/>
  <c r="I54" i="37"/>
  <c r="I56" i="37"/>
  <c r="I55" i="37"/>
  <c r="I50" i="37"/>
  <c r="I52" i="37"/>
  <c r="I51" i="37"/>
  <c r="I53" i="37"/>
  <c r="H49" i="40"/>
  <c r="I52" i="40"/>
  <c r="I51" i="40"/>
  <c r="I54" i="40"/>
  <c r="I55" i="40"/>
  <c r="I50" i="40"/>
  <c r="I53" i="40"/>
  <c r="I56" i="40"/>
  <c r="H49" i="35"/>
  <c r="I54" i="35"/>
  <c r="I53" i="35"/>
  <c r="I50" i="35"/>
  <c r="I52" i="35"/>
  <c r="I55" i="35"/>
  <c r="I51" i="35"/>
  <c r="I56" i="35"/>
  <c r="H49" i="33"/>
  <c r="I54" i="33"/>
  <c r="I56" i="33"/>
  <c r="I53" i="33"/>
  <c r="I52" i="33"/>
  <c r="I55" i="33"/>
  <c r="I50" i="33"/>
  <c r="I51" i="33"/>
  <c r="H49" i="27"/>
  <c r="I51" i="27"/>
  <c r="I54" i="27"/>
  <c r="I53" i="27"/>
  <c r="I52" i="27"/>
  <c r="I56" i="27"/>
  <c r="I55" i="27"/>
  <c r="I50" i="27"/>
  <c r="H49" i="24"/>
  <c r="I52" i="24"/>
  <c r="I53" i="24"/>
  <c r="I51" i="24"/>
  <c r="I54" i="24"/>
  <c r="I55" i="24"/>
  <c r="I56" i="24"/>
  <c r="I50" i="24"/>
  <c r="H49" i="26"/>
  <c r="I53" i="26"/>
  <c r="I50" i="26"/>
  <c r="I52" i="26"/>
  <c r="I54" i="26"/>
  <c r="I55" i="26"/>
  <c r="I51" i="26"/>
  <c r="I56" i="26"/>
  <c r="BG65" i="20"/>
  <c r="BG41" i="20"/>
  <c r="BH88" i="20"/>
  <c r="BH76" i="20"/>
  <c r="BH56" i="20"/>
  <c r="BH16" i="20"/>
  <c r="BH12" i="20"/>
  <c r="BH22" i="20"/>
  <c r="BG88" i="20"/>
  <c r="BG76" i="20"/>
  <c r="BG56" i="20"/>
  <c r="BG16" i="20"/>
  <c r="BG51" i="20"/>
  <c r="BG47" i="20"/>
  <c r="BG39" i="20"/>
  <c r="BG22" i="20"/>
  <c r="AD70" i="20"/>
  <c r="AM76" i="20"/>
  <c r="AW51" i="20"/>
  <c r="AN88" i="20"/>
  <c r="AW88" i="20"/>
  <c r="AN76" i="20"/>
  <c r="AW76" i="20"/>
  <c r="AC88" i="20"/>
  <c r="AD56" i="20"/>
  <c r="AD88" i="20"/>
  <c r="AM41" i="20"/>
  <c r="AX12" i="20"/>
  <c r="AX76" i="20"/>
  <c r="AM70" i="20"/>
  <c r="AN56" i="20"/>
  <c r="AW16" i="20"/>
  <c r="AN70" i="20"/>
  <c r="AM39" i="20"/>
  <c r="AW22" i="20"/>
  <c r="AW70" i="20"/>
  <c r="AX22" i="20"/>
  <c r="AM56" i="20"/>
  <c r="AM88" i="20"/>
  <c r="AW39" i="20"/>
  <c r="AW47" i="20"/>
  <c r="AX16" i="20"/>
  <c r="AX56" i="20"/>
  <c r="AX88" i="20"/>
  <c r="AD76" i="20"/>
  <c r="AW56" i="20"/>
  <c r="AW41" i="20"/>
  <c r="AW65" i="20"/>
  <c r="AM65" i="20"/>
  <c r="E13" i="20"/>
  <c r="AC58" i="20" l="1"/>
  <c r="AC3" i="20"/>
  <c r="AC38" i="20"/>
  <c r="AM3" i="20"/>
  <c r="AD38" i="20"/>
  <c r="AM38" i="20"/>
  <c r="AN38" i="20"/>
  <c r="BG3" i="20"/>
  <c r="AW3" i="20"/>
  <c r="AM58" i="20"/>
  <c r="BH58" i="20"/>
  <c r="BH38" i="20"/>
  <c r="AW58" i="20"/>
  <c r="AD58" i="20"/>
  <c r="AX58" i="20"/>
  <c r="AX38" i="20"/>
  <c r="BG58" i="20"/>
  <c r="AN58" i="20"/>
  <c r="H61" i="33" a="1"/>
  <c r="I49" i="33"/>
  <c r="H61" i="35" a="1"/>
  <c r="I49" i="35"/>
  <c r="H61" i="37" a="1"/>
  <c r="I49" i="37"/>
  <c r="H61" i="40" a="1"/>
  <c r="I49" i="40"/>
  <c r="H61" i="24" a="1"/>
  <c r="I49" i="24"/>
  <c r="H61" i="26" a="1"/>
  <c r="I49" i="26"/>
  <c r="H61" i="27" a="1"/>
  <c r="I49" i="27"/>
  <c r="BG101" i="20"/>
  <c r="BG85" i="20"/>
  <c r="BG21" i="20"/>
  <c r="BH82" i="20"/>
  <c r="BH96" i="20"/>
  <c r="BH92" i="20"/>
  <c r="BH78" i="20"/>
  <c r="BG96" i="20"/>
  <c r="BG92" i="20"/>
  <c r="BG71" i="20"/>
  <c r="BG63" i="20"/>
  <c r="BG55" i="20"/>
  <c r="BG35" i="20"/>
  <c r="BG82" i="20"/>
  <c r="BG78" i="20"/>
  <c r="AX82" i="20"/>
  <c r="AD78" i="20"/>
  <c r="AM92" i="20"/>
  <c r="AW35" i="20"/>
  <c r="AN92" i="20"/>
  <c r="AM21" i="20"/>
  <c r="AW28" i="20"/>
  <c r="AW92" i="20"/>
  <c r="AC96" i="20"/>
  <c r="AX28" i="20"/>
  <c r="AX92" i="20"/>
  <c r="AD96" i="20"/>
  <c r="AM78" i="20"/>
  <c r="AW21" i="20"/>
  <c r="AW85" i="20"/>
  <c r="AW101" i="20"/>
  <c r="AN78" i="20"/>
  <c r="AM55" i="20"/>
  <c r="AM63" i="20"/>
  <c r="AM71" i="20"/>
  <c r="AW78" i="20"/>
  <c r="AN96" i="20"/>
  <c r="AW96" i="20"/>
  <c r="AX78" i="20"/>
  <c r="AM96" i="20"/>
  <c r="AW55" i="20"/>
  <c r="AW63" i="20"/>
  <c r="AW71" i="20"/>
  <c r="AX96" i="20"/>
  <c r="AD92" i="20"/>
  <c r="AC92" i="20"/>
  <c r="AW82" i="20"/>
  <c r="AC78" i="20"/>
  <c r="E14" i="20"/>
  <c r="AC29" i="20" l="1"/>
  <c r="AC69" i="20"/>
  <c r="AC48" i="20"/>
  <c r="AC12" i="20"/>
  <c r="AM69" i="20"/>
  <c r="AM48" i="20"/>
  <c r="AM12" i="20"/>
  <c r="AM29" i="20"/>
  <c r="BG48" i="20"/>
  <c r="AW48" i="20"/>
  <c r="AW69" i="20"/>
  <c r="BG69" i="20"/>
  <c r="AW12" i="20"/>
  <c r="BG12" i="20"/>
  <c r="H61" i="35"/>
  <c r="I61" i="35" s="1"/>
  <c r="I66" i="35"/>
  <c r="I68" i="35"/>
  <c r="I64" i="35"/>
  <c r="I67" i="35"/>
  <c r="I65" i="35"/>
  <c r="I62" i="35"/>
  <c r="I63" i="35"/>
  <c r="H61" i="37"/>
  <c r="I61" i="37" s="1"/>
  <c r="I67" i="37"/>
  <c r="I63" i="37"/>
  <c r="I64" i="37"/>
  <c r="I62" i="37"/>
  <c r="I65" i="37"/>
  <c r="I68" i="37"/>
  <c r="I66" i="37"/>
  <c r="H61" i="40"/>
  <c r="I61" i="40" s="1"/>
  <c r="I62" i="40"/>
  <c r="I63" i="40"/>
  <c r="I68" i="40"/>
  <c r="I66" i="40"/>
  <c r="I64" i="40"/>
  <c r="I67" i="40"/>
  <c r="I65" i="40"/>
  <c r="H61" i="33"/>
  <c r="I61" i="33" s="1"/>
  <c r="I64" i="33"/>
  <c r="I65" i="33"/>
  <c r="I66" i="33"/>
  <c r="I62" i="33"/>
  <c r="I63" i="33"/>
  <c r="I68" i="33"/>
  <c r="I67" i="33"/>
  <c r="H61" i="26"/>
  <c r="I61" i="26" s="1"/>
  <c r="I65" i="26"/>
  <c r="I63" i="26"/>
  <c r="I64" i="26"/>
  <c r="I67" i="26"/>
  <c r="I62" i="26"/>
  <c r="I66" i="26"/>
  <c r="I68" i="26"/>
  <c r="H61" i="27"/>
  <c r="I61" i="27" s="1"/>
  <c r="I65" i="27"/>
  <c r="I68" i="27"/>
  <c r="I66" i="27"/>
  <c r="I67" i="27"/>
  <c r="I63" i="27"/>
  <c r="I62" i="27"/>
  <c r="I64" i="27"/>
  <c r="H61" i="24"/>
  <c r="I61" i="24" s="1"/>
  <c r="I62" i="24"/>
  <c r="I63" i="24"/>
  <c r="I68" i="24"/>
  <c r="I67" i="24"/>
  <c r="I64" i="24"/>
  <c r="I65" i="24"/>
  <c r="I66" i="24"/>
  <c r="BG93" i="20"/>
  <c r="BG29" i="20"/>
  <c r="BG100" i="20"/>
  <c r="BG60" i="20"/>
  <c r="BG32" i="20"/>
  <c r="BG4" i="20"/>
  <c r="BG95" i="20"/>
  <c r="BG79" i="20"/>
  <c r="BG74" i="20"/>
  <c r="BG42" i="20"/>
  <c r="BG38" i="20"/>
  <c r="BG18" i="20"/>
  <c r="BG46" i="20"/>
  <c r="AM4" i="20"/>
  <c r="AM60" i="20"/>
  <c r="AM100" i="20"/>
  <c r="AC95" i="20"/>
  <c r="AW32" i="20"/>
  <c r="AC100" i="20"/>
  <c r="AW4" i="20"/>
  <c r="AW60" i="20"/>
  <c r="AW100" i="20"/>
  <c r="AM46" i="20"/>
  <c r="AW29" i="20"/>
  <c r="AW93" i="20"/>
  <c r="AC81" i="20"/>
  <c r="AM95" i="20"/>
  <c r="AW38" i="20"/>
  <c r="AW46" i="20"/>
  <c r="AM32" i="20"/>
  <c r="AW79" i="20"/>
  <c r="AW95" i="20"/>
  <c r="AM81" i="20"/>
  <c r="AM18" i="20"/>
  <c r="AM74" i="20"/>
  <c r="AW81" i="20"/>
  <c r="AW18" i="20"/>
  <c r="AW42" i="20"/>
  <c r="AW74" i="20"/>
  <c r="E15" i="20"/>
  <c r="I1" i="37" l="1"/>
  <c r="M23" i="37" s="1"/>
  <c r="I1" i="33"/>
  <c r="I2" i="33" s="1"/>
  <c r="I1" i="35"/>
  <c r="I2" i="35" s="1"/>
  <c r="I1" i="40"/>
  <c r="I1" i="27"/>
  <c r="I1" i="26"/>
  <c r="I1" i="24"/>
  <c r="AD57" i="20"/>
  <c r="E16" i="20"/>
  <c r="BH47" i="20" s="1"/>
  <c r="AD83" i="20" l="1"/>
  <c r="M21" i="37"/>
  <c r="M22" i="37"/>
  <c r="M24" i="37"/>
  <c r="M25" i="37"/>
  <c r="M23" i="40"/>
  <c r="M24" i="40"/>
  <c r="M21" i="40"/>
  <c r="M25" i="40"/>
  <c r="M22" i="40"/>
  <c r="M21" i="27"/>
  <c r="M22" i="27"/>
  <c r="M23" i="27"/>
  <c r="M24" i="27"/>
  <c r="M25" i="27"/>
  <c r="I2" i="26"/>
  <c r="C7" i="9"/>
  <c r="C6" i="9"/>
  <c r="I2" i="24"/>
  <c r="C8" i="9"/>
  <c r="AD47" i="20"/>
  <c r="AD79" i="20"/>
  <c r="AN69" i="20"/>
  <c r="AN93" i="20"/>
  <c r="AD89" i="20"/>
  <c r="AN47" i="20"/>
  <c r="AN89" i="20"/>
  <c r="AD93" i="20"/>
  <c r="AD69" i="20"/>
  <c r="E17" i="20"/>
  <c r="AD67" i="20" s="1"/>
  <c r="AD61" i="20" l="1"/>
  <c r="AN61" i="20"/>
  <c r="O21" i="37" a="1"/>
  <c r="O21" i="37" s="1"/>
  <c r="I2" i="37" s="1"/>
  <c r="O21" i="40" a="1"/>
  <c r="O21" i="40" s="1"/>
  <c r="I2" i="40" s="1"/>
  <c r="D6" i="9"/>
  <c r="D7" i="9"/>
  <c r="AN59" i="20"/>
  <c r="AN75" i="20"/>
  <c r="AD95" i="20"/>
  <c r="AD59" i="20"/>
  <c r="AN101" i="20"/>
  <c r="AN95" i="20"/>
  <c r="AD75" i="20"/>
  <c r="AD101" i="20"/>
  <c r="E18" i="20"/>
  <c r="AD15" i="20" l="1"/>
  <c r="AN15" i="20"/>
  <c r="AN51" i="20"/>
  <c r="AD31" i="20"/>
  <c r="AN13" i="20"/>
  <c r="AN29" i="20"/>
  <c r="AN31" i="20"/>
  <c r="AD13" i="20"/>
  <c r="AD29" i="20"/>
  <c r="AD85" i="20"/>
  <c r="AD51" i="20"/>
  <c r="E19" i="20"/>
  <c r="BH33" i="20" s="1"/>
  <c r="AX62" i="20" l="1"/>
  <c r="AX70" i="20"/>
  <c r="AX47" i="20"/>
  <c r="AN33" i="20"/>
  <c r="AD33" i="20"/>
  <c r="BH93" i="20"/>
  <c r="BH77" i="20"/>
  <c r="BH57" i="20"/>
  <c r="BH49" i="20"/>
  <c r="BH29" i="20"/>
  <c r="BH87" i="20"/>
  <c r="BH67" i="20"/>
  <c r="BH27" i="20"/>
  <c r="BH23" i="20"/>
  <c r="BH15" i="20"/>
  <c r="AN27" i="20"/>
  <c r="AD27" i="20"/>
  <c r="AX23" i="20"/>
  <c r="AX87" i="20"/>
  <c r="AX67" i="20"/>
  <c r="AD23" i="20"/>
  <c r="AD87" i="20"/>
  <c r="AN77" i="20"/>
  <c r="AX93" i="20"/>
  <c r="AD49" i="20"/>
  <c r="AN23" i="20"/>
  <c r="AN87" i="20"/>
  <c r="AN49" i="20"/>
  <c r="AN57" i="20"/>
  <c r="AX57" i="20"/>
  <c r="AD77" i="20"/>
  <c r="AX33" i="20"/>
  <c r="E20" i="20"/>
  <c r="AD7" i="20" s="1"/>
  <c r="AX49" i="20" l="1"/>
  <c r="AN7" i="20"/>
  <c r="AX7" i="20"/>
  <c r="AX77" i="20"/>
  <c r="BH7" i="20"/>
  <c r="AX29" i="20"/>
  <c r="AX42" i="20"/>
  <c r="AD53" i="20"/>
  <c r="AN79" i="20"/>
  <c r="BH73" i="20"/>
  <c r="AN17" i="20"/>
  <c r="BH53" i="20"/>
  <c r="AN53" i="20"/>
  <c r="AD17" i="20"/>
  <c r="AX27" i="20"/>
  <c r="BH61" i="20"/>
  <c r="BH25" i="20"/>
  <c r="BH99" i="20"/>
  <c r="BH91" i="20"/>
  <c r="BH83" i="20"/>
  <c r="BH75" i="20"/>
  <c r="BH11" i="20"/>
  <c r="AN11" i="20"/>
  <c r="AN91" i="20"/>
  <c r="AN99" i="20"/>
  <c r="AD99" i="20"/>
  <c r="AX11" i="20"/>
  <c r="AX75" i="20"/>
  <c r="AX83" i="20"/>
  <c r="AX91" i="20"/>
  <c r="AX99" i="20"/>
  <c r="AD11" i="20"/>
  <c r="AD91" i="20"/>
  <c r="AX53" i="20"/>
  <c r="AX61" i="20"/>
  <c r="AD25" i="20"/>
  <c r="AN25" i="20"/>
  <c r="AX25" i="20"/>
  <c r="E21" i="20"/>
  <c r="AN35" i="20" l="1"/>
  <c r="AD35" i="20"/>
  <c r="AN85" i="20"/>
  <c r="AX15" i="20"/>
  <c r="BH97" i="20"/>
  <c r="BH89" i="20"/>
  <c r="BH9" i="20"/>
  <c r="BH59" i="20"/>
  <c r="AN83" i="20"/>
  <c r="AX59" i="20"/>
  <c r="AD73" i="20"/>
  <c r="AD97" i="20"/>
  <c r="AD9" i="20"/>
  <c r="AN9" i="20"/>
  <c r="AN73" i="20"/>
  <c r="AN97" i="20"/>
  <c r="AX9" i="20"/>
  <c r="AX73" i="20"/>
  <c r="AX89" i="20"/>
  <c r="AX97" i="20"/>
  <c r="E22" i="20"/>
  <c r="AX40" i="20" l="1"/>
  <c r="AD19" i="20"/>
  <c r="AN19" i="20"/>
  <c r="AD81" i="20"/>
  <c r="AN81" i="20"/>
  <c r="BH81" i="20"/>
  <c r="AX19" i="20"/>
  <c r="AX81" i="20"/>
  <c r="BH19" i="20"/>
  <c r="BH45" i="20"/>
  <c r="BH17" i="20"/>
  <c r="BH60" i="20"/>
  <c r="BH79" i="20"/>
  <c r="BH95" i="20"/>
  <c r="BH31" i="20"/>
  <c r="AN67" i="20"/>
  <c r="AN60" i="20"/>
  <c r="AX79" i="20"/>
  <c r="AN37" i="20"/>
  <c r="AN45" i="20"/>
  <c r="AX60" i="20"/>
  <c r="AX45" i="20"/>
  <c r="AX31" i="20"/>
  <c r="AX95" i="20"/>
  <c r="AD60" i="20"/>
  <c r="AD45" i="20"/>
  <c r="AX17" i="20"/>
  <c r="E23" i="20"/>
  <c r="AX5" i="20" s="1"/>
  <c r="BH37" i="20" l="1"/>
  <c r="AN5" i="20"/>
  <c r="AD5" i="20"/>
  <c r="BH5" i="20"/>
  <c r="AD37" i="20"/>
  <c r="AX37" i="20"/>
  <c r="BH69" i="20"/>
  <c r="BH13" i="20"/>
  <c r="BH46" i="20"/>
  <c r="BH43" i="20"/>
  <c r="AN43" i="20"/>
  <c r="AD46" i="20"/>
  <c r="AX43" i="20"/>
  <c r="AN46" i="20"/>
  <c r="AX13" i="20"/>
  <c r="AX69" i="20"/>
  <c r="AD43" i="20"/>
  <c r="AX46" i="20"/>
  <c r="E24" i="20"/>
  <c r="AD21" i="20" s="1"/>
  <c r="AN21" i="20" l="1"/>
  <c r="BH65" i="20"/>
  <c r="BH41" i="20"/>
  <c r="BH39" i="20"/>
  <c r="BH51" i="20"/>
  <c r="AX51" i="20"/>
  <c r="AD39" i="20"/>
  <c r="AX39" i="20"/>
  <c r="AD41" i="20"/>
  <c r="AD65" i="20"/>
  <c r="AN39" i="20"/>
  <c r="AN41" i="20"/>
  <c r="AN65" i="20"/>
  <c r="AX41" i="20"/>
  <c r="AX65" i="20"/>
  <c r="E25" i="20"/>
  <c r="AD3" i="20" l="1"/>
  <c r="AN3" i="20"/>
  <c r="AX3" i="20"/>
  <c r="BH3" i="20"/>
  <c r="K3" i="20" a="1"/>
  <c r="K3" i="20" s="1"/>
  <c r="Q3" i="20" s="1" a="1"/>
  <c r="Q3" i="20" s="1"/>
  <c r="W3" i="20" s="1" a="1"/>
  <c r="W3" i="20" s="1"/>
  <c r="BH101" i="20"/>
  <c r="BH85" i="20"/>
  <c r="BH21" i="20"/>
  <c r="BH63" i="20"/>
  <c r="BH55" i="20"/>
  <c r="BH35" i="20"/>
  <c r="BH71" i="20"/>
  <c r="AD71" i="20"/>
  <c r="AX55" i="20"/>
  <c r="AD55" i="20"/>
  <c r="AX71" i="20"/>
  <c r="AX35" i="20"/>
  <c r="AD63" i="20"/>
  <c r="AX63" i="20"/>
  <c r="AX21" i="20"/>
  <c r="AX85" i="20"/>
  <c r="AX101" i="20"/>
  <c r="AN55" i="20"/>
  <c r="AN63" i="20"/>
  <c r="AN71" i="20"/>
  <c r="AE3" i="19" l="1" a="1"/>
  <c r="AE3" i="19" s="1"/>
  <c r="V3" i="19" a="1"/>
  <c r="V3" i="19" s="1"/>
  <c r="AB3" i="19" a="1"/>
  <c r="AB3" i="19" s="1"/>
  <c r="Y3" i="19" a="1"/>
  <c r="Y3" i="19" s="1"/>
  <c r="AI33" i="19" l="1" a="1"/>
  <c r="X3" i="2" a="1"/>
  <c r="X3" i="2" s="1"/>
  <c r="X15" i="2" s="1"/>
  <c r="Z3" i="2" a="1"/>
  <c r="Z3" i="2" s="1"/>
  <c r="Z15" i="2" s="1"/>
  <c r="AA3" i="2" a="1"/>
  <c r="AA3" i="2" s="1"/>
  <c r="AA15" i="2" s="1"/>
  <c r="AB3" i="2" a="1"/>
  <c r="AB3" i="2" s="1"/>
  <c r="AB15" i="2" s="1"/>
  <c r="AC3" i="2" a="1"/>
  <c r="AC3" i="2" s="1"/>
  <c r="AC15" i="2" s="1"/>
  <c r="AD3" i="2" a="1"/>
  <c r="AD3" i="2" s="1"/>
  <c r="AD15" i="2" s="1"/>
  <c r="AE3" i="2" a="1"/>
  <c r="AE3" i="2" s="1"/>
  <c r="AE15" i="2" s="1"/>
  <c r="AF3" i="2" a="1"/>
  <c r="AF3" i="2" s="1"/>
  <c r="AF15" i="2" s="1"/>
  <c r="AG3" i="2" a="1"/>
  <c r="AG3" i="2" s="1"/>
  <c r="AG15" i="2" s="1"/>
  <c r="W3" i="2" a="1"/>
  <c r="W3" i="2" s="1"/>
  <c r="W15" i="2" s="1"/>
  <c r="R3" i="2" a="1"/>
  <c r="R3" i="2" s="1"/>
  <c r="AH18" i="19" s="1" a="1"/>
  <c r="O3" i="2" a="1"/>
  <c r="O3" i="2" s="1"/>
  <c r="M3" i="2" a="1"/>
  <c r="M3" i="2" s="1"/>
  <c r="AH2" i="19" s="1" a="1"/>
  <c r="B1" i="9"/>
  <c r="F2" i="19" a="1"/>
  <c r="F2" i="19" s="1"/>
  <c r="AH18" i="19" l="1"/>
  <c r="AH2" i="19"/>
  <c r="AI33" i="19"/>
  <c r="Y3" i="2" a="1"/>
  <c r="Y3" i="2" s="1"/>
  <c r="Y15" i="2" s="1"/>
  <c r="T3" i="2" s="1" a="1"/>
  <c r="T3" i="2" s="1"/>
  <c r="T16" i="2" s="1" a="1"/>
  <c r="T16" i="2" s="1"/>
  <c r="O14" i="2" s="1"/>
  <c r="O15" i="2" s="1"/>
  <c r="T15" i="2" l="1"/>
  <c r="BY130" i="1" l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176" i="1"/>
  <c r="BY177" i="1"/>
  <c r="BY178" i="1"/>
  <c r="BY179" i="1"/>
  <c r="BY180" i="1"/>
  <c r="BY181" i="1"/>
  <c r="BY182" i="1"/>
  <c r="BY183" i="1"/>
  <c r="BY184" i="1"/>
  <c r="BY185" i="1"/>
  <c r="BY186" i="1"/>
  <c r="BY187" i="1"/>
  <c r="BY188" i="1"/>
  <c r="BY189" i="1"/>
  <c r="BY190" i="1"/>
  <c r="BY191" i="1"/>
  <c r="BY192" i="1"/>
  <c r="BY193" i="1"/>
  <c r="BY194" i="1"/>
  <c r="BY195" i="1"/>
  <c r="BY196" i="1"/>
  <c r="BY197" i="1"/>
  <c r="BY198" i="1"/>
  <c r="BY199" i="1"/>
  <c r="BY200" i="1"/>
  <c r="BY201" i="1"/>
  <c r="BY202" i="1"/>
  <c r="BY203" i="1"/>
  <c r="BY204" i="1"/>
  <c r="BY205" i="1"/>
  <c r="BY206" i="1"/>
  <c r="BY207" i="1"/>
  <c r="BY208" i="1"/>
  <c r="BY209" i="1"/>
  <c r="BY210" i="1"/>
  <c r="BY211" i="1"/>
  <c r="CA189" i="1"/>
  <c r="CB189" i="1"/>
  <c r="CC189" i="1"/>
  <c r="CA190" i="1"/>
  <c r="CB190" i="1"/>
  <c r="CC190" i="1"/>
  <c r="CA191" i="1"/>
  <c r="CB191" i="1"/>
  <c r="CC191" i="1"/>
  <c r="CA192" i="1"/>
  <c r="CB192" i="1"/>
  <c r="CC192" i="1"/>
  <c r="CA193" i="1"/>
  <c r="CB193" i="1"/>
  <c r="CC193" i="1"/>
  <c r="CA194" i="1"/>
  <c r="CB194" i="1"/>
  <c r="CC194" i="1"/>
  <c r="CA195" i="1"/>
  <c r="CB195" i="1"/>
  <c r="CC195" i="1"/>
  <c r="CA196" i="1"/>
  <c r="CB196" i="1"/>
  <c r="CC196" i="1"/>
  <c r="CA197" i="1"/>
  <c r="CB197" i="1"/>
  <c r="CC197" i="1"/>
  <c r="CA198" i="1"/>
  <c r="CB198" i="1"/>
  <c r="CC198" i="1"/>
  <c r="CA199" i="1"/>
  <c r="CB199" i="1"/>
  <c r="CC199" i="1"/>
  <c r="CA200" i="1"/>
  <c r="CB200" i="1"/>
  <c r="CC200" i="1"/>
  <c r="CA201" i="1"/>
  <c r="CB201" i="1"/>
  <c r="CC201" i="1"/>
  <c r="CA202" i="1"/>
  <c r="CB202" i="1"/>
  <c r="CC202" i="1"/>
  <c r="CA203" i="1"/>
  <c r="CB203" i="1"/>
  <c r="CC203" i="1"/>
  <c r="CA204" i="1"/>
  <c r="CB204" i="1"/>
  <c r="CC204" i="1"/>
  <c r="CA205" i="1"/>
  <c r="CB205" i="1"/>
  <c r="CC205" i="1"/>
  <c r="CA206" i="1"/>
  <c r="CB206" i="1"/>
  <c r="CC206" i="1"/>
  <c r="CA207" i="1"/>
  <c r="CB207" i="1"/>
  <c r="CC207" i="1"/>
  <c r="CA208" i="1"/>
  <c r="CB208" i="1"/>
  <c r="CC208" i="1"/>
  <c r="CA209" i="1"/>
  <c r="CB209" i="1"/>
  <c r="CC209" i="1"/>
  <c r="CA210" i="1"/>
  <c r="CB210" i="1"/>
  <c r="CC210" i="1"/>
  <c r="CA211" i="1"/>
  <c r="CB211" i="1"/>
  <c r="CC211" i="1"/>
  <c r="CA4" i="1"/>
  <c r="CB4" i="1"/>
  <c r="CC4" i="1"/>
  <c r="CA5" i="1"/>
  <c r="CB5" i="1"/>
  <c r="CC5" i="1"/>
  <c r="CA6" i="1"/>
  <c r="CB6" i="1"/>
  <c r="CC6" i="1"/>
  <c r="CA7" i="1"/>
  <c r="CB7" i="1"/>
  <c r="CC7" i="1"/>
  <c r="CA8" i="1"/>
  <c r="CB8" i="1"/>
  <c r="CC8" i="1"/>
  <c r="CA9" i="1"/>
  <c r="CB9" i="1"/>
  <c r="CC9" i="1"/>
  <c r="CA10" i="1"/>
  <c r="CB10" i="1"/>
  <c r="CC10" i="1"/>
  <c r="CA11" i="1"/>
  <c r="CB11" i="1"/>
  <c r="CC11" i="1"/>
  <c r="CA12" i="1"/>
  <c r="CB12" i="1"/>
  <c r="CC12" i="1"/>
  <c r="CA13" i="1"/>
  <c r="CB13" i="1"/>
  <c r="CC13" i="1"/>
  <c r="CA14" i="1"/>
  <c r="CB14" i="1"/>
  <c r="CC14" i="1"/>
  <c r="CA15" i="1"/>
  <c r="CB15" i="1"/>
  <c r="CC15" i="1"/>
  <c r="CA16" i="1"/>
  <c r="CB16" i="1"/>
  <c r="CC16" i="1"/>
  <c r="CA17" i="1"/>
  <c r="CB17" i="1"/>
  <c r="CC17" i="1"/>
  <c r="CA18" i="1"/>
  <c r="CB18" i="1"/>
  <c r="CC18" i="1"/>
  <c r="CA19" i="1"/>
  <c r="CB19" i="1"/>
  <c r="CC19" i="1"/>
  <c r="CA20" i="1"/>
  <c r="CB20" i="1"/>
  <c r="CC20" i="1"/>
  <c r="CA21" i="1"/>
  <c r="CB21" i="1"/>
  <c r="CC21" i="1"/>
  <c r="CA22" i="1"/>
  <c r="CB22" i="1"/>
  <c r="CC22" i="1"/>
  <c r="CA23" i="1"/>
  <c r="CB23" i="1"/>
  <c r="CC23" i="1"/>
  <c r="CA24" i="1"/>
  <c r="CB24" i="1"/>
  <c r="CC24" i="1"/>
  <c r="CA25" i="1"/>
  <c r="CB25" i="1"/>
  <c r="CC25" i="1"/>
  <c r="CA26" i="1"/>
  <c r="CB26" i="1"/>
  <c r="CC26" i="1"/>
  <c r="CA27" i="1"/>
  <c r="CB27" i="1"/>
  <c r="CC27" i="1"/>
  <c r="CA28" i="1"/>
  <c r="CB28" i="1"/>
  <c r="CC28" i="1"/>
  <c r="CA29" i="1"/>
  <c r="CB29" i="1"/>
  <c r="CC29" i="1"/>
  <c r="CA30" i="1"/>
  <c r="CB30" i="1"/>
  <c r="CC30" i="1"/>
  <c r="CA31" i="1"/>
  <c r="CB31" i="1"/>
  <c r="CC31" i="1"/>
  <c r="CA32" i="1"/>
  <c r="CB32" i="1"/>
  <c r="CC32" i="1"/>
  <c r="CA33" i="1"/>
  <c r="CB33" i="1"/>
  <c r="CC33" i="1"/>
  <c r="CA34" i="1"/>
  <c r="CB34" i="1"/>
  <c r="CC34" i="1"/>
  <c r="CA35" i="1"/>
  <c r="CB35" i="1"/>
  <c r="CC35" i="1"/>
  <c r="CA36" i="1"/>
  <c r="CB36" i="1"/>
  <c r="CC36" i="1"/>
  <c r="CA37" i="1"/>
  <c r="CB37" i="1"/>
  <c r="CC37" i="1"/>
  <c r="CA38" i="1"/>
  <c r="CB38" i="1"/>
  <c r="CC38" i="1"/>
  <c r="CA39" i="1"/>
  <c r="CB39" i="1"/>
  <c r="CC39" i="1"/>
  <c r="CA40" i="1"/>
  <c r="CB40" i="1"/>
  <c r="CC40" i="1"/>
  <c r="CA41" i="1"/>
  <c r="CB41" i="1"/>
  <c r="CC41" i="1"/>
  <c r="CA42" i="1"/>
  <c r="CB42" i="1"/>
  <c r="CC42" i="1"/>
  <c r="CA43" i="1"/>
  <c r="CB43" i="1"/>
  <c r="CC43" i="1"/>
  <c r="CA44" i="1"/>
  <c r="CB44" i="1"/>
  <c r="CC44" i="1"/>
  <c r="CA45" i="1"/>
  <c r="CB45" i="1"/>
  <c r="CC45" i="1"/>
  <c r="CA46" i="1"/>
  <c r="CB46" i="1"/>
  <c r="CC46" i="1"/>
  <c r="CA47" i="1"/>
  <c r="CB47" i="1"/>
  <c r="CC47" i="1"/>
  <c r="CA48" i="1"/>
  <c r="CB48" i="1"/>
  <c r="CC48" i="1"/>
  <c r="CA49" i="1"/>
  <c r="CB49" i="1"/>
  <c r="CC49" i="1"/>
  <c r="CA50" i="1"/>
  <c r="CB50" i="1"/>
  <c r="CC50" i="1"/>
  <c r="CA51" i="1"/>
  <c r="CB51" i="1"/>
  <c r="CC51" i="1"/>
  <c r="CA52" i="1"/>
  <c r="CB52" i="1"/>
  <c r="CC52" i="1"/>
  <c r="CA53" i="1"/>
  <c r="CB53" i="1"/>
  <c r="CC53" i="1"/>
  <c r="CA54" i="1"/>
  <c r="CB54" i="1"/>
  <c r="CC54" i="1"/>
  <c r="CA55" i="1"/>
  <c r="CB55" i="1"/>
  <c r="CC55" i="1"/>
  <c r="CA56" i="1"/>
  <c r="CB56" i="1"/>
  <c r="CC56" i="1"/>
  <c r="CA57" i="1"/>
  <c r="CB57" i="1"/>
  <c r="CC57" i="1"/>
  <c r="CA58" i="1"/>
  <c r="CB58" i="1"/>
  <c r="CC58" i="1"/>
  <c r="CA59" i="1"/>
  <c r="CB59" i="1"/>
  <c r="CC59" i="1"/>
  <c r="CA60" i="1"/>
  <c r="CB60" i="1"/>
  <c r="CC60" i="1"/>
  <c r="CA61" i="1"/>
  <c r="CB61" i="1"/>
  <c r="CC61" i="1"/>
  <c r="CA62" i="1"/>
  <c r="CB62" i="1"/>
  <c r="CC62" i="1"/>
  <c r="CA63" i="1"/>
  <c r="CB63" i="1"/>
  <c r="CC63" i="1"/>
  <c r="CA64" i="1"/>
  <c r="CB64" i="1"/>
  <c r="CC64" i="1"/>
  <c r="CA65" i="1"/>
  <c r="CB65" i="1"/>
  <c r="CC65" i="1"/>
  <c r="CA66" i="1"/>
  <c r="CB66" i="1"/>
  <c r="CC66" i="1"/>
  <c r="CA67" i="1"/>
  <c r="CB67" i="1"/>
  <c r="CC67" i="1"/>
  <c r="CA68" i="1"/>
  <c r="CB68" i="1"/>
  <c r="CC68" i="1"/>
  <c r="CA69" i="1"/>
  <c r="CB69" i="1"/>
  <c r="CC69" i="1"/>
  <c r="CA70" i="1"/>
  <c r="CB70" i="1"/>
  <c r="CC70" i="1"/>
  <c r="CA71" i="1"/>
  <c r="CB71" i="1"/>
  <c r="CC71" i="1"/>
  <c r="CA72" i="1"/>
  <c r="CB72" i="1"/>
  <c r="CC72" i="1"/>
  <c r="CA73" i="1"/>
  <c r="CB73" i="1"/>
  <c r="CC73" i="1"/>
  <c r="CA74" i="1"/>
  <c r="CB74" i="1"/>
  <c r="CC74" i="1"/>
  <c r="CA75" i="1"/>
  <c r="CB75" i="1"/>
  <c r="CC75" i="1"/>
  <c r="CA76" i="1"/>
  <c r="CB76" i="1"/>
  <c r="CC76" i="1"/>
  <c r="CA77" i="1"/>
  <c r="CB77" i="1"/>
  <c r="CC77" i="1"/>
  <c r="CA78" i="1"/>
  <c r="CB78" i="1"/>
  <c r="CC78" i="1"/>
  <c r="CA79" i="1"/>
  <c r="CB79" i="1"/>
  <c r="CC79" i="1"/>
  <c r="CA80" i="1"/>
  <c r="CB80" i="1"/>
  <c r="CC80" i="1"/>
  <c r="CA81" i="1"/>
  <c r="CB81" i="1"/>
  <c r="CC81" i="1"/>
  <c r="CA82" i="1"/>
  <c r="CB82" i="1"/>
  <c r="CC82" i="1"/>
  <c r="CA83" i="1"/>
  <c r="CB83" i="1"/>
  <c r="CC83" i="1"/>
  <c r="CA84" i="1"/>
  <c r="CB84" i="1"/>
  <c r="CC84" i="1"/>
  <c r="CA85" i="1"/>
  <c r="CB85" i="1"/>
  <c r="CC85" i="1"/>
  <c r="CA86" i="1"/>
  <c r="CB86" i="1"/>
  <c r="CC86" i="1"/>
  <c r="CA87" i="1"/>
  <c r="CB87" i="1"/>
  <c r="CC87" i="1"/>
  <c r="CA88" i="1"/>
  <c r="CB88" i="1"/>
  <c r="CC88" i="1"/>
  <c r="CA89" i="1"/>
  <c r="CB89" i="1"/>
  <c r="CC89" i="1"/>
  <c r="CA90" i="1"/>
  <c r="CB90" i="1"/>
  <c r="CC90" i="1"/>
  <c r="CA91" i="1"/>
  <c r="CB91" i="1"/>
  <c r="CC91" i="1"/>
  <c r="CA92" i="1"/>
  <c r="CB92" i="1"/>
  <c r="CC92" i="1"/>
  <c r="CA93" i="1"/>
  <c r="CB93" i="1"/>
  <c r="CC93" i="1"/>
  <c r="CA94" i="1"/>
  <c r="CB94" i="1"/>
  <c r="CC94" i="1"/>
  <c r="CA95" i="1"/>
  <c r="CB95" i="1"/>
  <c r="CC95" i="1"/>
  <c r="CA96" i="1"/>
  <c r="CB96" i="1"/>
  <c r="CC96" i="1"/>
  <c r="CA97" i="1"/>
  <c r="CB97" i="1"/>
  <c r="CC97" i="1"/>
  <c r="CA98" i="1"/>
  <c r="CB98" i="1"/>
  <c r="CC98" i="1"/>
  <c r="CA99" i="1"/>
  <c r="CB99" i="1"/>
  <c r="CC99" i="1"/>
  <c r="CA100" i="1"/>
  <c r="CB100" i="1"/>
  <c r="CC100" i="1"/>
  <c r="CA101" i="1"/>
  <c r="CB101" i="1"/>
  <c r="CC101" i="1"/>
  <c r="CA102" i="1"/>
  <c r="CB102" i="1"/>
  <c r="CC102" i="1"/>
  <c r="CA103" i="1"/>
  <c r="CB103" i="1"/>
  <c r="CC103" i="1"/>
  <c r="CA104" i="1"/>
  <c r="CB104" i="1"/>
  <c r="CC104" i="1"/>
  <c r="CA105" i="1"/>
  <c r="CB105" i="1"/>
  <c r="CC105" i="1"/>
  <c r="CA106" i="1"/>
  <c r="CB106" i="1"/>
  <c r="CC106" i="1"/>
  <c r="CA107" i="1"/>
  <c r="CB107" i="1"/>
  <c r="CC107" i="1"/>
  <c r="CA108" i="1"/>
  <c r="CB108" i="1"/>
  <c r="CC108" i="1"/>
  <c r="CA109" i="1"/>
  <c r="CB109" i="1"/>
  <c r="CC109" i="1"/>
  <c r="CA110" i="1"/>
  <c r="CB110" i="1"/>
  <c r="CC110" i="1"/>
  <c r="CA111" i="1"/>
  <c r="CB111" i="1"/>
  <c r="CC111" i="1"/>
  <c r="CA112" i="1"/>
  <c r="CB112" i="1"/>
  <c r="CC112" i="1"/>
  <c r="CA113" i="1"/>
  <c r="CB113" i="1"/>
  <c r="CC113" i="1"/>
  <c r="CA114" i="1"/>
  <c r="CB114" i="1"/>
  <c r="CC114" i="1"/>
  <c r="CA115" i="1"/>
  <c r="CB115" i="1"/>
  <c r="CC115" i="1"/>
  <c r="CA116" i="1"/>
  <c r="CB116" i="1"/>
  <c r="CC116" i="1"/>
  <c r="CA117" i="1"/>
  <c r="CB117" i="1"/>
  <c r="CC117" i="1"/>
  <c r="CA118" i="1"/>
  <c r="CB118" i="1"/>
  <c r="CC118" i="1"/>
  <c r="CA119" i="1"/>
  <c r="CB119" i="1"/>
  <c r="CC119" i="1"/>
  <c r="CA120" i="1"/>
  <c r="CB120" i="1"/>
  <c r="CC120" i="1"/>
  <c r="CA121" i="1"/>
  <c r="CB121" i="1"/>
  <c r="CC121" i="1"/>
  <c r="CA122" i="1"/>
  <c r="CB122" i="1"/>
  <c r="CC122" i="1"/>
  <c r="CA123" i="1"/>
  <c r="CB123" i="1"/>
  <c r="CC123" i="1"/>
  <c r="CA124" i="1"/>
  <c r="CB124" i="1"/>
  <c r="CC124" i="1"/>
  <c r="CA125" i="1"/>
  <c r="CB125" i="1"/>
  <c r="CC125" i="1"/>
  <c r="CA126" i="1"/>
  <c r="CB126" i="1"/>
  <c r="CC126" i="1"/>
  <c r="CA127" i="1"/>
  <c r="CB127" i="1"/>
  <c r="CC127" i="1"/>
  <c r="CA128" i="1"/>
  <c r="CB128" i="1"/>
  <c r="CC128" i="1"/>
  <c r="CA129" i="1"/>
  <c r="CB129" i="1"/>
  <c r="CC129" i="1"/>
  <c r="CA130" i="1"/>
  <c r="CB130" i="1"/>
  <c r="CC130" i="1"/>
  <c r="CA131" i="1"/>
  <c r="CB131" i="1"/>
  <c r="CC131" i="1"/>
  <c r="CA132" i="1"/>
  <c r="CB132" i="1"/>
  <c r="CC132" i="1"/>
  <c r="CA133" i="1"/>
  <c r="CB133" i="1"/>
  <c r="CC133" i="1"/>
  <c r="CA134" i="1"/>
  <c r="CB134" i="1"/>
  <c r="CC134" i="1"/>
  <c r="CA135" i="1"/>
  <c r="CB135" i="1"/>
  <c r="CC135" i="1"/>
  <c r="CA136" i="1"/>
  <c r="CB136" i="1"/>
  <c r="CC136" i="1"/>
  <c r="CA137" i="1"/>
  <c r="CB137" i="1"/>
  <c r="CC137" i="1"/>
  <c r="CA138" i="1"/>
  <c r="CB138" i="1"/>
  <c r="CC138" i="1"/>
  <c r="CA139" i="1"/>
  <c r="CB139" i="1"/>
  <c r="CC139" i="1"/>
  <c r="CA140" i="1"/>
  <c r="CB140" i="1"/>
  <c r="CC140" i="1"/>
  <c r="CA141" i="1"/>
  <c r="CB141" i="1"/>
  <c r="CC141" i="1"/>
  <c r="CA142" i="1"/>
  <c r="CB142" i="1"/>
  <c r="CC142" i="1"/>
  <c r="CA143" i="1"/>
  <c r="CB143" i="1"/>
  <c r="CC143" i="1"/>
  <c r="CA144" i="1"/>
  <c r="CB144" i="1"/>
  <c r="CC144" i="1"/>
  <c r="CA145" i="1"/>
  <c r="CB145" i="1"/>
  <c r="CC145" i="1"/>
  <c r="CA146" i="1"/>
  <c r="CB146" i="1"/>
  <c r="CC146" i="1"/>
  <c r="CA147" i="1"/>
  <c r="CB147" i="1"/>
  <c r="CC147" i="1"/>
  <c r="CA148" i="1"/>
  <c r="CB148" i="1"/>
  <c r="CC148" i="1"/>
  <c r="CA149" i="1"/>
  <c r="CB149" i="1"/>
  <c r="CC149" i="1"/>
  <c r="CA150" i="1"/>
  <c r="CB150" i="1"/>
  <c r="CC150" i="1"/>
  <c r="CA151" i="1"/>
  <c r="CB151" i="1"/>
  <c r="CC151" i="1"/>
  <c r="CA152" i="1"/>
  <c r="CB152" i="1"/>
  <c r="CC152" i="1"/>
  <c r="CA153" i="1"/>
  <c r="CB153" i="1"/>
  <c r="CC153" i="1"/>
  <c r="CA154" i="1"/>
  <c r="CB154" i="1"/>
  <c r="CC154" i="1"/>
  <c r="CA155" i="1"/>
  <c r="CB155" i="1"/>
  <c r="CC155" i="1"/>
  <c r="CA156" i="1"/>
  <c r="CB156" i="1"/>
  <c r="CC156" i="1"/>
  <c r="CA157" i="1"/>
  <c r="CB157" i="1"/>
  <c r="CC157" i="1"/>
  <c r="CA158" i="1"/>
  <c r="CB158" i="1"/>
  <c r="CC158" i="1"/>
  <c r="CA159" i="1"/>
  <c r="CB159" i="1"/>
  <c r="CC159" i="1"/>
  <c r="CA160" i="1"/>
  <c r="CB160" i="1"/>
  <c r="CC160" i="1"/>
  <c r="CA161" i="1"/>
  <c r="CB161" i="1"/>
  <c r="CC161" i="1"/>
  <c r="CA162" i="1"/>
  <c r="CB162" i="1"/>
  <c r="CC162" i="1"/>
  <c r="CA163" i="1"/>
  <c r="CB163" i="1"/>
  <c r="CC163" i="1"/>
  <c r="CA164" i="1"/>
  <c r="CB164" i="1"/>
  <c r="CC164" i="1"/>
  <c r="CA165" i="1"/>
  <c r="CB165" i="1"/>
  <c r="CC165" i="1"/>
  <c r="CA166" i="1"/>
  <c r="CB166" i="1"/>
  <c r="CC166" i="1"/>
  <c r="CA167" i="1"/>
  <c r="CB167" i="1"/>
  <c r="CC167" i="1"/>
  <c r="CA168" i="1"/>
  <c r="CB168" i="1"/>
  <c r="CC168" i="1"/>
  <c r="CA169" i="1"/>
  <c r="CB169" i="1"/>
  <c r="CC169" i="1"/>
  <c r="CA170" i="1"/>
  <c r="CB170" i="1"/>
  <c r="CC170" i="1"/>
  <c r="CA171" i="1"/>
  <c r="CB171" i="1"/>
  <c r="CC171" i="1"/>
  <c r="CA172" i="1"/>
  <c r="CB172" i="1"/>
  <c r="CC172" i="1"/>
  <c r="CA173" i="1"/>
  <c r="CB173" i="1"/>
  <c r="CC173" i="1"/>
  <c r="CA174" i="1"/>
  <c r="CB174" i="1"/>
  <c r="CC174" i="1"/>
  <c r="CA175" i="1"/>
  <c r="CB175" i="1"/>
  <c r="CC175" i="1"/>
  <c r="CA176" i="1"/>
  <c r="CB176" i="1"/>
  <c r="CC176" i="1"/>
  <c r="CA177" i="1"/>
  <c r="CB177" i="1"/>
  <c r="CC177" i="1"/>
  <c r="CA178" i="1"/>
  <c r="CB178" i="1"/>
  <c r="CC178" i="1"/>
  <c r="CA179" i="1"/>
  <c r="CB179" i="1"/>
  <c r="CC179" i="1"/>
  <c r="CA180" i="1"/>
  <c r="CB180" i="1"/>
  <c r="CC180" i="1"/>
  <c r="CA181" i="1"/>
  <c r="CB181" i="1"/>
  <c r="CC181" i="1"/>
  <c r="CA182" i="1"/>
  <c r="CB182" i="1"/>
  <c r="CC182" i="1"/>
  <c r="CA183" i="1"/>
  <c r="CB183" i="1"/>
  <c r="CC183" i="1"/>
  <c r="CA184" i="1"/>
  <c r="CB184" i="1"/>
  <c r="CC184" i="1"/>
  <c r="CA185" i="1"/>
  <c r="CB185" i="1"/>
  <c r="CC185" i="1"/>
  <c r="CA186" i="1"/>
  <c r="CB186" i="1"/>
  <c r="CC186" i="1"/>
  <c r="CA187" i="1"/>
  <c r="CB187" i="1"/>
  <c r="CC187" i="1"/>
  <c r="CA188" i="1"/>
  <c r="CB188" i="1"/>
  <c r="CC188" i="1"/>
  <c r="CB3" i="1"/>
  <c r="CC3" i="1"/>
  <c r="CA3" i="1"/>
  <c r="N2" i="19" l="1" a="1"/>
  <c r="N2" i="19" s="1"/>
  <c r="J2" i="19" a="1"/>
  <c r="J2" i="19" s="1"/>
  <c r="BW189" i="1" l="1"/>
  <c r="BX189" i="1"/>
  <c r="BW190" i="1"/>
  <c r="BX190" i="1"/>
  <c r="BW191" i="1"/>
  <c r="BX191" i="1"/>
  <c r="BW192" i="1"/>
  <c r="BX192" i="1"/>
  <c r="BW193" i="1"/>
  <c r="BX193" i="1"/>
  <c r="BW194" i="1"/>
  <c r="BX194" i="1"/>
  <c r="BW195" i="1"/>
  <c r="BX195" i="1"/>
  <c r="BW196" i="1"/>
  <c r="BX196" i="1"/>
  <c r="BW197" i="1"/>
  <c r="BX197" i="1"/>
  <c r="BW198" i="1"/>
  <c r="BX198" i="1"/>
  <c r="BW199" i="1"/>
  <c r="BX199" i="1"/>
  <c r="BW200" i="1"/>
  <c r="BX200" i="1"/>
  <c r="BW201" i="1"/>
  <c r="BX201" i="1"/>
  <c r="BW202" i="1"/>
  <c r="BX202" i="1"/>
  <c r="BW203" i="1"/>
  <c r="BX203" i="1"/>
  <c r="BW204" i="1"/>
  <c r="BX204" i="1"/>
  <c r="BW205" i="1"/>
  <c r="BX205" i="1"/>
  <c r="BW206" i="1"/>
  <c r="BX206" i="1"/>
  <c r="BW207" i="1"/>
  <c r="BX207" i="1"/>
  <c r="BW208" i="1"/>
  <c r="BX208" i="1"/>
  <c r="BW209" i="1"/>
  <c r="BX209" i="1"/>
  <c r="BW210" i="1"/>
  <c r="BX210" i="1"/>
  <c r="BW211" i="1"/>
  <c r="BX211" i="1"/>
  <c r="BW107" i="1" l="1"/>
  <c r="BX107" i="1"/>
  <c r="BY107" i="1"/>
  <c r="BW108" i="1"/>
  <c r="BX108" i="1"/>
  <c r="BY108" i="1"/>
  <c r="BW109" i="1"/>
  <c r="BX109" i="1"/>
  <c r="BY109" i="1"/>
  <c r="BW110" i="1"/>
  <c r="BX110" i="1"/>
  <c r="BY110" i="1"/>
  <c r="BW111" i="1"/>
  <c r="BX111" i="1"/>
  <c r="BY111" i="1"/>
  <c r="BW112" i="1"/>
  <c r="BX112" i="1"/>
  <c r="BY112" i="1"/>
  <c r="BW113" i="1"/>
  <c r="BX113" i="1"/>
  <c r="BY113" i="1"/>
  <c r="BW114" i="1"/>
  <c r="BX114" i="1"/>
  <c r="BY114" i="1"/>
  <c r="BW115" i="1"/>
  <c r="BX115" i="1"/>
  <c r="BY115" i="1"/>
  <c r="BW116" i="1"/>
  <c r="BX116" i="1"/>
  <c r="BY116" i="1"/>
  <c r="BW117" i="1"/>
  <c r="BX117" i="1"/>
  <c r="BY117" i="1"/>
  <c r="BW118" i="1"/>
  <c r="BX118" i="1"/>
  <c r="BY118" i="1"/>
  <c r="BW119" i="1"/>
  <c r="BX119" i="1"/>
  <c r="BY119" i="1"/>
  <c r="BW120" i="1"/>
  <c r="BX120" i="1"/>
  <c r="BY120" i="1"/>
  <c r="BW121" i="1"/>
  <c r="BX121" i="1"/>
  <c r="BY121" i="1"/>
  <c r="BW122" i="1"/>
  <c r="BX122" i="1"/>
  <c r="BY122" i="1"/>
  <c r="BW123" i="1"/>
  <c r="BX123" i="1"/>
  <c r="BY123" i="1"/>
  <c r="BW124" i="1"/>
  <c r="BX124" i="1"/>
  <c r="BY124" i="1"/>
  <c r="BW125" i="1"/>
  <c r="BX125" i="1"/>
  <c r="BY125" i="1"/>
  <c r="BW126" i="1"/>
  <c r="BX126" i="1"/>
  <c r="BY126" i="1"/>
  <c r="BW127" i="1"/>
  <c r="BX127" i="1"/>
  <c r="BY127" i="1"/>
  <c r="BW128" i="1"/>
  <c r="BX128" i="1"/>
  <c r="BY128" i="1"/>
  <c r="BW129" i="1"/>
  <c r="BX129" i="1"/>
  <c r="BY129" i="1"/>
  <c r="BW130" i="1"/>
  <c r="BX130" i="1"/>
  <c r="BW131" i="1"/>
  <c r="BX131" i="1"/>
  <c r="BW132" i="1"/>
  <c r="BX132" i="1"/>
  <c r="BW133" i="1"/>
  <c r="BX133" i="1"/>
  <c r="BW134" i="1"/>
  <c r="BX134" i="1"/>
  <c r="BW135" i="1"/>
  <c r="BX135" i="1"/>
  <c r="BW136" i="1"/>
  <c r="BX136" i="1"/>
  <c r="BW137" i="1"/>
  <c r="BX137" i="1"/>
  <c r="BW138" i="1"/>
  <c r="BX138" i="1"/>
  <c r="BW139" i="1"/>
  <c r="BX139" i="1"/>
  <c r="BW140" i="1"/>
  <c r="BX140" i="1"/>
  <c r="BW141" i="1"/>
  <c r="BX141" i="1"/>
  <c r="BW142" i="1"/>
  <c r="BX142" i="1"/>
  <c r="BW143" i="1"/>
  <c r="BX143" i="1"/>
  <c r="BW144" i="1"/>
  <c r="BX144" i="1"/>
  <c r="BW145" i="1"/>
  <c r="BX145" i="1"/>
  <c r="BW146" i="1"/>
  <c r="BX146" i="1"/>
  <c r="BW147" i="1"/>
  <c r="BX147" i="1"/>
  <c r="BW148" i="1"/>
  <c r="BX148" i="1"/>
  <c r="BW149" i="1"/>
  <c r="BX149" i="1"/>
  <c r="BW150" i="1"/>
  <c r="BX150" i="1"/>
  <c r="BW151" i="1"/>
  <c r="BX151" i="1"/>
  <c r="BW152" i="1"/>
  <c r="BX152" i="1"/>
  <c r="BW153" i="1"/>
  <c r="BX153" i="1"/>
  <c r="BW154" i="1"/>
  <c r="BX154" i="1"/>
  <c r="BW155" i="1"/>
  <c r="BX155" i="1"/>
  <c r="BW156" i="1"/>
  <c r="BX156" i="1"/>
  <c r="BW157" i="1"/>
  <c r="BX157" i="1"/>
  <c r="BW158" i="1"/>
  <c r="BX158" i="1"/>
  <c r="BW159" i="1"/>
  <c r="BX159" i="1"/>
  <c r="BW160" i="1"/>
  <c r="BX160" i="1"/>
  <c r="BW161" i="1"/>
  <c r="BX161" i="1"/>
  <c r="BW162" i="1"/>
  <c r="BX162" i="1"/>
  <c r="BW163" i="1"/>
  <c r="BX163" i="1"/>
  <c r="BW164" i="1"/>
  <c r="BX164" i="1"/>
  <c r="BW165" i="1"/>
  <c r="BX165" i="1"/>
  <c r="BW166" i="1"/>
  <c r="BX166" i="1"/>
  <c r="BW167" i="1"/>
  <c r="BX167" i="1"/>
  <c r="BW168" i="1"/>
  <c r="BX168" i="1"/>
  <c r="BW169" i="1"/>
  <c r="BX169" i="1"/>
  <c r="BW170" i="1"/>
  <c r="BX170" i="1"/>
  <c r="BW171" i="1"/>
  <c r="BX171" i="1"/>
  <c r="BW172" i="1"/>
  <c r="BX172" i="1"/>
  <c r="BW173" i="1"/>
  <c r="BX173" i="1"/>
  <c r="BW174" i="1"/>
  <c r="BX174" i="1"/>
  <c r="BW175" i="1"/>
  <c r="BX175" i="1"/>
  <c r="BW176" i="1"/>
  <c r="BX176" i="1"/>
  <c r="BW177" i="1"/>
  <c r="BX177" i="1"/>
  <c r="BW178" i="1"/>
  <c r="BX178" i="1"/>
  <c r="BW179" i="1"/>
  <c r="BX179" i="1"/>
  <c r="BW180" i="1"/>
  <c r="BX180" i="1"/>
  <c r="BW181" i="1"/>
  <c r="BX181" i="1"/>
  <c r="BW182" i="1"/>
  <c r="BX182" i="1"/>
  <c r="BW183" i="1"/>
  <c r="BX183" i="1"/>
  <c r="BW184" i="1"/>
  <c r="BX184" i="1"/>
  <c r="BW185" i="1"/>
  <c r="BX185" i="1"/>
  <c r="BW186" i="1"/>
  <c r="BX186" i="1"/>
  <c r="BW187" i="1"/>
  <c r="BX187" i="1"/>
  <c r="BW188" i="1"/>
  <c r="BX188" i="1"/>
  <c r="F25" i="2" l="1"/>
  <c r="F37" i="2" l="1"/>
  <c r="F49" i="2"/>
  <c r="F61" i="2"/>
  <c r="C20" i="1"/>
  <c r="C23" i="1"/>
  <c r="C21" i="1"/>
  <c r="C22" i="1"/>
  <c r="C14" i="1"/>
  <c r="C18" i="1"/>
  <c r="C25" i="1"/>
  <c r="C24" i="1"/>
  <c r="C19" i="1"/>
  <c r="BW4" i="1"/>
  <c r="BX4" i="1"/>
  <c r="BY4" i="1"/>
  <c r="BW5" i="1"/>
  <c r="BX5" i="1"/>
  <c r="BY5" i="1"/>
  <c r="BW6" i="1"/>
  <c r="BX6" i="1"/>
  <c r="BY6" i="1"/>
  <c r="BW7" i="1"/>
  <c r="BX7" i="1"/>
  <c r="BY7" i="1"/>
  <c r="BW8" i="1"/>
  <c r="BX8" i="1"/>
  <c r="BY8" i="1"/>
  <c r="BW9" i="1"/>
  <c r="BX9" i="1"/>
  <c r="BY9" i="1"/>
  <c r="BW10" i="1"/>
  <c r="BX10" i="1"/>
  <c r="BY10" i="1"/>
  <c r="BW11" i="1"/>
  <c r="BX11" i="1"/>
  <c r="BY11" i="1"/>
  <c r="BW12" i="1"/>
  <c r="BX12" i="1"/>
  <c r="BY12" i="1"/>
  <c r="BW13" i="1"/>
  <c r="BX13" i="1"/>
  <c r="BY13" i="1"/>
  <c r="BW14" i="1"/>
  <c r="BX14" i="1"/>
  <c r="BY14" i="1"/>
  <c r="BW15" i="1"/>
  <c r="BX15" i="1"/>
  <c r="BY15" i="1"/>
  <c r="BW16" i="1"/>
  <c r="BX16" i="1"/>
  <c r="BY16" i="1"/>
  <c r="BW17" i="1"/>
  <c r="BX17" i="1"/>
  <c r="BY17" i="1"/>
  <c r="BW18" i="1"/>
  <c r="BX18" i="1"/>
  <c r="BY18" i="1"/>
  <c r="BW19" i="1"/>
  <c r="BX19" i="1"/>
  <c r="BY19" i="1"/>
  <c r="BW20" i="1"/>
  <c r="BX20" i="1"/>
  <c r="BY20" i="1"/>
  <c r="BW21" i="1"/>
  <c r="BX21" i="1"/>
  <c r="BY21" i="1"/>
  <c r="BW22" i="1"/>
  <c r="BX22" i="1"/>
  <c r="BY22" i="1"/>
  <c r="BW23" i="1"/>
  <c r="BX23" i="1"/>
  <c r="BY23" i="1"/>
  <c r="BW24" i="1"/>
  <c r="BX24" i="1"/>
  <c r="BY24" i="1"/>
  <c r="BW25" i="1"/>
  <c r="BX25" i="1"/>
  <c r="BY25" i="1"/>
  <c r="BW26" i="1"/>
  <c r="BX26" i="1"/>
  <c r="BY26" i="1"/>
  <c r="BW27" i="1"/>
  <c r="BX27" i="1"/>
  <c r="BY27" i="1"/>
  <c r="BW28" i="1"/>
  <c r="BX28" i="1"/>
  <c r="BY28" i="1"/>
  <c r="BW29" i="1"/>
  <c r="BX29" i="1"/>
  <c r="BY29" i="1"/>
  <c r="BW30" i="1"/>
  <c r="BX30" i="1"/>
  <c r="BY30" i="1"/>
  <c r="BW31" i="1"/>
  <c r="BX31" i="1"/>
  <c r="BY31" i="1"/>
  <c r="BW32" i="1"/>
  <c r="BX32" i="1"/>
  <c r="BY32" i="1"/>
  <c r="BW33" i="1"/>
  <c r="BX33" i="1"/>
  <c r="BY33" i="1"/>
  <c r="BW34" i="1"/>
  <c r="BX34" i="1"/>
  <c r="BY34" i="1"/>
  <c r="BW35" i="1"/>
  <c r="BX35" i="1"/>
  <c r="BY35" i="1"/>
  <c r="BW36" i="1"/>
  <c r="BX36" i="1"/>
  <c r="BY36" i="1"/>
  <c r="BW37" i="1"/>
  <c r="BX37" i="1"/>
  <c r="BY37" i="1"/>
  <c r="BW38" i="1"/>
  <c r="BX38" i="1"/>
  <c r="BY38" i="1"/>
  <c r="BW39" i="1"/>
  <c r="BX39" i="1"/>
  <c r="BY39" i="1"/>
  <c r="BW40" i="1"/>
  <c r="BX40" i="1"/>
  <c r="BY40" i="1"/>
  <c r="BW41" i="1"/>
  <c r="BX41" i="1"/>
  <c r="BY41" i="1"/>
  <c r="BW42" i="1"/>
  <c r="BX42" i="1"/>
  <c r="BY42" i="1"/>
  <c r="BW43" i="1"/>
  <c r="BX43" i="1"/>
  <c r="BY43" i="1"/>
  <c r="BW44" i="1"/>
  <c r="BX44" i="1"/>
  <c r="BY44" i="1"/>
  <c r="BW45" i="1"/>
  <c r="BX45" i="1"/>
  <c r="BY45" i="1"/>
  <c r="BW46" i="1"/>
  <c r="BX46" i="1"/>
  <c r="BY46" i="1"/>
  <c r="BW47" i="1"/>
  <c r="BX47" i="1"/>
  <c r="BY47" i="1"/>
  <c r="BW48" i="1"/>
  <c r="BX48" i="1"/>
  <c r="BY48" i="1"/>
  <c r="BW49" i="1"/>
  <c r="BX49" i="1"/>
  <c r="BY49" i="1"/>
  <c r="BW50" i="1"/>
  <c r="BX50" i="1"/>
  <c r="BY50" i="1"/>
  <c r="BW51" i="1"/>
  <c r="BX51" i="1"/>
  <c r="BY51" i="1"/>
  <c r="BW52" i="1"/>
  <c r="BX52" i="1"/>
  <c r="BY52" i="1"/>
  <c r="BW53" i="1"/>
  <c r="BX53" i="1"/>
  <c r="BY53" i="1"/>
  <c r="BW54" i="1"/>
  <c r="BX54" i="1"/>
  <c r="BY54" i="1"/>
  <c r="BW55" i="1"/>
  <c r="BX55" i="1"/>
  <c r="BY55" i="1"/>
  <c r="BW56" i="1"/>
  <c r="BX56" i="1"/>
  <c r="BY56" i="1"/>
  <c r="BW57" i="1"/>
  <c r="BX57" i="1"/>
  <c r="BY57" i="1"/>
  <c r="BW58" i="1"/>
  <c r="BX58" i="1"/>
  <c r="BY58" i="1"/>
  <c r="BW59" i="1"/>
  <c r="BX59" i="1"/>
  <c r="BY59" i="1"/>
  <c r="BW60" i="1"/>
  <c r="BX60" i="1"/>
  <c r="BY60" i="1"/>
  <c r="BW61" i="1"/>
  <c r="BX61" i="1"/>
  <c r="BY61" i="1"/>
  <c r="BW62" i="1"/>
  <c r="BX62" i="1"/>
  <c r="BY62" i="1"/>
  <c r="BW63" i="1"/>
  <c r="BX63" i="1"/>
  <c r="BY63" i="1"/>
  <c r="BW64" i="1"/>
  <c r="BX64" i="1"/>
  <c r="BY64" i="1"/>
  <c r="BW65" i="1"/>
  <c r="BX65" i="1"/>
  <c r="BY65" i="1"/>
  <c r="BW66" i="1"/>
  <c r="BX66" i="1"/>
  <c r="BY66" i="1"/>
  <c r="BW67" i="1"/>
  <c r="BX67" i="1"/>
  <c r="BY67" i="1"/>
  <c r="BW68" i="1"/>
  <c r="BX68" i="1"/>
  <c r="BY68" i="1"/>
  <c r="BW69" i="1"/>
  <c r="BX69" i="1"/>
  <c r="BY69" i="1"/>
  <c r="BW70" i="1"/>
  <c r="BX70" i="1"/>
  <c r="BY70" i="1"/>
  <c r="BW71" i="1"/>
  <c r="BX71" i="1"/>
  <c r="BY71" i="1"/>
  <c r="BW72" i="1"/>
  <c r="BX72" i="1"/>
  <c r="BY72" i="1"/>
  <c r="BW73" i="1"/>
  <c r="BX73" i="1"/>
  <c r="BY73" i="1"/>
  <c r="BW74" i="1"/>
  <c r="BX74" i="1"/>
  <c r="BY74" i="1"/>
  <c r="BW75" i="1"/>
  <c r="BX75" i="1"/>
  <c r="BY75" i="1"/>
  <c r="BW76" i="1"/>
  <c r="BX76" i="1"/>
  <c r="BY76" i="1"/>
  <c r="BW77" i="1"/>
  <c r="BX77" i="1"/>
  <c r="BY77" i="1"/>
  <c r="BW78" i="1"/>
  <c r="BX78" i="1"/>
  <c r="BY78" i="1"/>
  <c r="BW79" i="1"/>
  <c r="BX79" i="1"/>
  <c r="BY79" i="1"/>
  <c r="BW80" i="1"/>
  <c r="BX80" i="1"/>
  <c r="BY80" i="1"/>
  <c r="BW81" i="1"/>
  <c r="BX81" i="1"/>
  <c r="BY81" i="1"/>
  <c r="BW82" i="1"/>
  <c r="BX82" i="1"/>
  <c r="BY82" i="1"/>
  <c r="BW83" i="1"/>
  <c r="BX83" i="1"/>
  <c r="BY83" i="1"/>
  <c r="BW84" i="1"/>
  <c r="BX84" i="1"/>
  <c r="BY84" i="1"/>
  <c r="BW85" i="1"/>
  <c r="BX85" i="1"/>
  <c r="BY85" i="1"/>
  <c r="BW86" i="1"/>
  <c r="BX86" i="1"/>
  <c r="BY86" i="1"/>
  <c r="BW87" i="1"/>
  <c r="BX87" i="1"/>
  <c r="BY87" i="1"/>
  <c r="BW88" i="1"/>
  <c r="BX88" i="1"/>
  <c r="BY88" i="1"/>
  <c r="BW89" i="1"/>
  <c r="BX89" i="1"/>
  <c r="BY89" i="1"/>
  <c r="BW90" i="1"/>
  <c r="BX90" i="1"/>
  <c r="BY90" i="1"/>
  <c r="BW91" i="1"/>
  <c r="BX91" i="1"/>
  <c r="BY91" i="1"/>
  <c r="BW92" i="1"/>
  <c r="BX92" i="1"/>
  <c r="BY92" i="1"/>
  <c r="BW93" i="1"/>
  <c r="BX93" i="1"/>
  <c r="BY93" i="1"/>
  <c r="BW94" i="1"/>
  <c r="BX94" i="1"/>
  <c r="BY94" i="1"/>
  <c r="BW95" i="1"/>
  <c r="BX95" i="1"/>
  <c r="BY95" i="1"/>
  <c r="BW96" i="1"/>
  <c r="BX96" i="1"/>
  <c r="BY96" i="1"/>
  <c r="BW97" i="1"/>
  <c r="BX97" i="1"/>
  <c r="BY97" i="1"/>
  <c r="BW98" i="1"/>
  <c r="BX98" i="1"/>
  <c r="BY98" i="1"/>
  <c r="BW99" i="1"/>
  <c r="BX99" i="1"/>
  <c r="BY99" i="1"/>
  <c r="BW100" i="1"/>
  <c r="BX100" i="1"/>
  <c r="BY100" i="1"/>
  <c r="BW101" i="1"/>
  <c r="BX101" i="1"/>
  <c r="BY101" i="1"/>
  <c r="BW102" i="1"/>
  <c r="BX102" i="1"/>
  <c r="BY102" i="1"/>
  <c r="BW103" i="1"/>
  <c r="BX103" i="1"/>
  <c r="BY103" i="1"/>
  <c r="BW104" i="1"/>
  <c r="BX104" i="1"/>
  <c r="BY104" i="1"/>
  <c r="BW105" i="1"/>
  <c r="BX105" i="1"/>
  <c r="BY105" i="1"/>
  <c r="BW106" i="1"/>
  <c r="BX106" i="1"/>
  <c r="BY106" i="1"/>
  <c r="BX3" i="1"/>
  <c r="BY3" i="1"/>
  <c r="BW3" i="1"/>
  <c r="C55" i="2" l="1"/>
  <c r="C19" i="2"/>
  <c r="C17" i="2"/>
  <c r="C53" i="2"/>
  <c r="C16" i="2"/>
  <c r="C52" i="2"/>
  <c r="C18" i="2"/>
  <c r="C54" i="2"/>
  <c r="C15" i="2"/>
  <c r="C51" i="2"/>
  <c r="C56" i="2"/>
  <c r="C20" i="2"/>
  <c r="C50" i="2"/>
  <c r="C14" i="2"/>
  <c r="B2" i="19" a="1"/>
  <c r="B2" i="19" s="1"/>
  <c r="F13" i="2"/>
  <c r="D21" i="1" l="1"/>
  <c r="D16" i="2" s="1"/>
  <c r="E25" i="1"/>
  <c r="E20" i="1"/>
  <c r="E23" i="1"/>
  <c r="E22" i="1"/>
  <c r="E21" i="1"/>
  <c r="E24" i="1"/>
  <c r="E19" i="1"/>
  <c r="E14" i="1"/>
  <c r="E18" i="1"/>
  <c r="D18" i="1"/>
  <c r="D20" i="1"/>
  <c r="D15" i="2" s="1"/>
  <c r="D23" i="1"/>
  <c r="D18" i="2" s="1"/>
  <c r="D22" i="1"/>
  <c r="D17" i="2" s="1"/>
  <c r="D24" i="1"/>
  <c r="D19" i="2" s="1"/>
  <c r="D14" i="1"/>
  <c r="D25" i="1"/>
  <c r="D20" i="2" s="1"/>
  <c r="D19" i="1"/>
  <c r="D14" i="2" s="1"/>
  <c r="E15" i="2" l="1"/>
  <c r="E63" i="2"/>
  <c r="E64" i="2"/>
  <c r="E16" i="2"/>
  <c r="E18" i="2"/>
  <c r="E66" i="2"/>
  <c r="E67" i="2"/>
  <c r="E19" i="2"/>
  <c r="E20" i="2"/>
  <c r="E68" i="2"/>
  <c r="E17" i="2"/>
  <c r="E65" i="2"/>
  <c r="E62" i="2"/>
  <c r="E14" i="2"/>
  <c r="C59" i="2"/>
  <c r="C47" i="2"/>
  <c r="C23" i="2"/>
  <c r="C35" i="2"/>
  <c r="C11" i="2"/>
  <c r="G61" i="2" s="1"/>
  <c r="F67" i="2" l="1"/>
  <c r="G67" i="2" s="1"/>
  <c r="F55" i="2"/>
  <c r="J55" i="2" s="1"/>
  <c r="I55" i="2" s="1"/>
  <c r="F14" i="2"/>
  <c r="G14" i="2" s="1"/>
  <c r="F41" i="2"/>
  <c r="J41" i="2" s="1"/>
  <c r="I41" i="2" s="1"/>
  <c r="F50" i="2"/>
  <c r="G50" i="2" s="1"/>
  <c r="F51" i="2"/>
  <c r="J51" i="2" s="1"/>
  <c r="I51" i="2" s="1"/>
  <c r="F18" i="2"/>
  <c r="G18" i="2" s="1"/>
  <c r="F20" i="2"/>
  <c r="J20" i="2" s="1"/>
  <c r="I20" i="2" s="1"/>
  <c r="F42" i="2"/>
  <c r="J42" i="2" s="1"/>
  <c r="I42" i="2" s="1"/>
  <c r="F62" i="2"/>
  <c r="G62" i="2" s="1"/>
  <c r="F54" i="2"/>
  <c r="J54" i="2" s="1"/>
  <c r="I54" i="2" s="1"/>
  <c r="F19" i="2"/>
  <c r="G19" i="2" s="1"/>
  <c r="F39" i="2"/>
  <c r="G39" i="2" s="1"/>
  <c r="F38" i="2"/>
  <c r="G38" i="2" s="1"/>
  <c r="F44" i="2"/>
  <c r="J44" i="2" s="1"/>
  <c r="I44" i="2" s="1"/>
  <c r="F43" i="2"/>
  <c r="J43" i="2" s="1"/>
  <c r="I43" i="2" s="1"/>
  <c r="F52" i="2"/>
  <c r="G52" i="2" s="1"/>
  <c r="F16" i="2"/>
  <c r="G16" i="2" s="1"/>
  <c r="F53" i="2"/>
  <c r="G53" i="2" s="1"/>
  <c r="F15" i="2"/>
  <c r="G15" i="2" s="1"/>
  <c r="F17" i="2"/>
  <c r="J17" i="2" s="1"/>
  <c r="I17" i="2" s="1"/>
  <c r="F56" i="2"/>
  <c r="G56" i="2" s="1"/>
  <c r="F31" i="2"/>
  <c r="G31" i="2" s="1"/>
  <c r="F27" i="2"/>
  <c r="J27" i="2" s="1"/>
  <c r="I27" i="2" s="1"/>
  <c r="F29" i="2"/>
  <c r="G29" i="2" s="1"/>
  <c r="F28" i="2"/>
  <c r="G28" i="2" s="1"/>
  <c r="F32" i="2"/>
  <c r="J32" i="2" s="1"/>
  <c r="I32" i="2" s="1"/>
  <c r="F66" i="2"/>
  <c r="G66" i="2" s="1"/>
  <c r="F26" i="2"/>
  <c r="J26" i="2" s="1"/>
  <c r="I26" i="2" s="1"/>
  <c r="F63" i="2"/>
  <c r="G63" i="2" s="1"/>
  <c r="F64" i="2"/>
  <c r="J64" i="2" s="1"/>
  <c r="I64" i="2" s="1"/>
  <c r="F68" i="2"/>
  <c r="G68" i="2" s="1"/>
  <c r="F40" i="2"/>
  <c r="J40" i="2" s="1"/>
  <c r="I40" i="2" s="1"/>
  <c r="J37" i="2"/>
  <c r="I37" i="2" s="1"/>
  <c r="F65" i="2"/>
  <c r="J65" i="2" s="1"/>
  <c r="I65" i="2" s="1"/>
  <c r="G13" i="2"/>
  <c r="F30" i="2"/>
  <c r="J61" i="2"/>
  <c r="I61" i="2" s="1"/>
  <c r="J49" i="2"/>
  <c r="I49" i="2" s="1"/>
  <c r="J13" i="2"/>
  <c r="G25" i="2"/>
  <c r="G49" i="2"/>
  <c r="G37" i="2"/>
  <c r="J25" i="2"/>
  <c r="I25" i="2" s="1"/>
  <c r="J67" i="2" l="1"/>
  <c r="I67" i="2" s="1"/>
  <c r="G55" i="2"/>
  <c r="J52" i="2"/>
  <c r="I52" i="2" s="1"/>
  <c r="J14" i="2"/>
  <c r="I14" i="2" s="1"/>
  <c r="J50" i="2"/>
  <c r="I50" i="2" s="1"/>
  <c r="G41" i="2"/>
  <c r="G20" i="2"/>
  <c r="G43" i="2"/>
  <c r="G51" i="2"/>
  <c r="G17" i="2"/>
  <c r="J15" i="2"/>
  <c r="I15" i="2" s="1"/>
  <c r="J18" i="2"/>
  <c r="I18" i="2" s="1"/>
  <c r="J62" i="2"/>
  <c r="I62" i="2" s="1"/>
  <c r="J53" i="2"/>
  <c r="I53" i="2" s="1"/>
  <c r="G42" i="2"/>
  <c r="G44" i="2"/>
  <c r="J31" i="2"/>
  <c r="I31" i="2" s="1"/>
  <c r="J39" i="2"/>
  <c r="I39" i="2" s="1"/>
  <c r="J19" i="2"/>
  <c r="I19" i="2" s="1"/>
  <c r="J38" i="2"/>
  <c r="I38" i="2" s="1"/>
  <c r="G54" i="2"/>
  <c r="J56" i="2"/>
  <c r="I56" i="2" s="1"/>
  <c r="G32" i="2"/>
  <c r="J29" i="2"/>
  <c r="I29" i="2" s="1"/>
  <c r="J16" i="2"/>
  <c r="I16" i="2" s="1"/>
  <c r="J66" i="2"/>
  <c r="I66" i="2" s="1"/>
  <c r="G27" i="2"/>
  <c r="J28" i="2"/>
  <c r="I28" i="2" s="1"/>
  <c r="I13" i="2"/>
  <c r="G26" i="2"/>
  <c r="J63" i="2"/>
  <c r="I63" i="2" s="1"/>
  <c r="G40" i="2"/>
  <c r="G65" i="2"/>
  <c r="G64" i="2"/>
  <c r="J68" i="2"/>
  <c r="I68" i="2" s="1"/>
  <c r="J30" i="2"/>
  <c r="I30" i="2" s="1"/>
  <c r="G30" i="2"/>
  <c r="E5" i="9" l="1"/>
  <c r="I1" i="2"/>
  <c r="C5" i="9" l="1"/>
  <c r="I2" i="2"/>
  <c r="D5" i="9" l="1"/>
  <c r="B3" i="9" l="1"/>
  <c r="N65" i="28" l="1"/>
  <c r="N64" i="28"/>
  <c r="Q134" i="28" a="1"/>
  <c r="Q134" i="28" s="1"/>
  <c r="O64" i="28" l="1" a="1"/>
  <c r="O64" i="28" s="1"/>
  <c r="O62" i="28"/>
  <c r="O2" i="28" l="1"/>
  <c r="Q2" i="28" s="1"/>
  <c r="O21" i="27" l="1" a="1"/>
  <c r="O21" i="27" s="1"/>
  <c r="I2" i="27" s="1"/>
  <c r="D8" i="9" s="1"/>
  <c r="L4" i="32" a="1"/>
  <c r="L4" i="32" s="1"/>
  <c r="M4" i="32" s="1" a="1"/>
  <c r="M4" i="32" s="1"/>
  <c r="G2" i="31" l="1" a="1"/>
  <c r="G2" i="31" s="1"/>
  <c r="N4" i="32" a="1"/>
  <c r="N4" i="32" l="1"/>
  <c r="O4" i="32" s="1" a="1"/>
  <c r="N64" i="32"/>
  <c r="N65" i="32"/>
  <c r="O64" i="32" l="1" a="1"/>
  <c r="O64" i="32" s="1"/>
  <c r="O62" i="32"/>
  <c r="O4" i="32"/>
  <c r="O2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魏昶泰</author>
  </authors>
  <commentList>
    <comment ref="E1" authorId="0" shapeId="0" xr:uid="{D0F881DB-F582-4DFD-9618-1CC82C4D1A62}">
      <text>
        <r>
          <rPr>
            <b/>
            <sz val="20"/>
            <color indexed="81"/>
            <rFont val="細明體"/>
            <family val="3"/>
            <charset val="136"/>
          </rPr>
          <t>魏昶泰</t>
        </r>
        <r>
          <rPr>
            <b/>
            <sz val="20"/>
            <color indexed="81"/>
            <rFont val="Courier New"/>
            <family val="3"/>
          </rPr>
          <t>:</t>
        </r>
        <r>
          <rPr>
            <sz val="20"/>
            <color indexed="81"/>
            <rFont val="Courier New"/>
            <family val="3"/>
          </rPr>
          <t xml:space="preserve">
Extra Bet 2 </t>
        </r>
        <r>
          <rPr>
            <sz val="20"/>
            <color indexed="81"/>
            <rFont val="細明體"/>
            <family val="3"/>
            <charset val="136"/>
          </rPr>
          <t>為</t>
        </r>
        <r>
          <rPr>
            <sz val="20"/>
            <color indexed="81"/>
            <rFont val="Courier New"/>
            <family val="3"/>
          </rPr>
          <t xml:space="preserve"> 8 </t>
        </r>
        <r>
          <rPr>
            <sz val="20"/>
            <color indexed="81"/>
            <rFont val="細明體"/>
            <family val="3"/>
            <charset val="136"/>
          </rPr>
          <t>倍押注，可直接參與彩金，因此必須使用</t>
        </r>
        <r>
          <rPr>
            <sz val="20"/>
            <color indexed="81"/>
            <rFont val="Courier New"/>
            <family val="3"/>
          </rPr>
          <t>92</t>
        </r>
        <r>
          <rPr>
            <sz val="20"/>
            <color indexed="81"/>
            <rFont val="細明體"/>
            <family val="3"/>
            <charset val="136"/>
          </rPr>
          <t>版本權重。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<sst xmlns="http://schemas.openxmlformats.org/spreadsheetml/2006/main" count="12319" uniqueCount="296">
  <si>
    <t>Symbol</t>
  </si>
  <si>
    <t>R1</t>
    <phoneticPr fontId="2" type="noConversion"/>
  </si>
  <si>
    <t>R2</t>
    <phoneticPr fontId="2" type="noConversion"/>
  </si>
  <si>
    <t>R3</t>
    <phoneticPr fontId="2" type="noConversion"/>
  </si>
  <si>
    <t>Special Include Symbols</t>
  </si>
  <si>
    <t>Is Any Of These</t>
  </si>
  <si>
    <t>--</t>
  </si>
  <si>
    <t xml:space="preserve"> Pay Combo </t>
  </si>
  <si>
    <t>Hit%</t>
    <phoneticPr fontId="2" type="noConversion"/>
  </si>
  <si>
    <t>R3</t>
  </si>
  <si>
    <t>Total</t>
    <phoneticPr fontId="2" type="noConversion"/>
  </si>
  <si>
    <t>Symbol</t>
    <phoneticPr fontId="2" type="noConversion"/>
  </si>
  <si>
    <t>Symbol Name</t>
    <phoneticPr fontId="2" type="noConversion"/>
  </si>
  <si>
    <t>W1</t>
    <phoneticPr fontId="2" type="noConversion"/>
  </si>
  <si>
    <t xml:space="preserve">Pulls/Hit </t>
    <phoneticPr fontId="2" type="noConversion"/>
  </si>
  <si>
    <t>WW</t>
  </si>
  <si>
    <t>M1</t>
  </si>
  <si>
    <t>M2</t>
  </si>
  <si>
    <t>M3</t>
  </si>
  <si>
    <t>W1</t>
  </si>
  <si>
    <t>WW,M1</t>
  </si>
  <si>
    <t>W2</t>
  </si>
  <si>
    <t>WW,M2</t>
  </si>
  <si>
    <t>W3</t>
  </si>
  <si>
    <t>WW,M3</t>
  </si>
  <si>
    <t>WW</t>
    <phoneticPr fontId="2" type="noConversion"/>
  </si>
  <si>
    <t>M1</t>
    <phoneticPr fontId="2" type="noConversion"/>
  </si>
  <si>
    <t>M2</t>
    <phoneticPr fontId="2" type="noConversion"/>
  </si>
  <si>
    <t>M3</t>
    <phoneticPr fontId="2" type="noConversion"/>
  </si>
  <si>
    <t>ID</t>
    <phoneticPr fontId="2" type="noConversion"/>
  </si>
  <si>
    <t xml:space="preserve">Pays </t>
    <phoneticPr fontId="2" type="noConversion"/>
  </si>
  <si>
    <t>Contribution %</t>
    <phoneticPr fontId="2" type="noConversion"/>
  </si>
  <si>
    <t>Hits</t>
    <phoneticPr fontId="2" type="noConversion"/>
  </si>
  <si>
    <t>WW,C1,M1,M2,M3,M4,A,K,Q,J,TE,NI</t>
    <phoneticPr fontId="2" type="noConversion"/>
  </si>
  <si>
    <t>WW,A</t>
  </si>
  <si>
    <t>WW,K</t>
  </si>
  <si>
    <t>WW,Q</t>
  </si>
  <si>
    <t>WW,J</t>
  </si>
  <si>
    <t>K</t>
    <phoneticPr fontId="2" type="noConversion"/>
  </si>
  <si>
    <t>J</t>
    <phoneticPr fontId="2" type="noConversion"/>
  </si>
  <si>
    <t>Q</t>
    <phoneticPr fontId="2" type="noConversion"/>
  </si>
  <si>
    <t>A</t>
    <phoneticPr fontId="2" type="noConversion"/>
  </si>
  <si>
    <t>Model:</t>
    <phoneticPr fontId="2" type="noConversion"/>
  </si>
  <si>
    <t>Hold:</t>
    <phoneticPr fontId="2" type="noConversion"/>
  </si>
  <si>
    <t xml:space="preserve">Coin  </t>
    <phoneticPr fontId="2" type="noConversion"/>
  </si>
  <si>
    <t>Payline</t>
    <phoneticPr fontId="2" type="noConversion"/>
  </si>
  <si>
    <t>Pay Back</t>
    <phoneticPr fontId="2" type="noConversion"/>
  </si>
  <si>
    <t>Reel #</t>
    <phoneticPr fontId="2" type="noConversion"/>
  </si>
  <si>
    <t>Visible Window Size</t>
    <phoneticPr fontId="2" type="noConversion"/>
  </si>
  <si>
    <t>Feature:</t>
    <phoneticPr fontId="2" type="noConversion"/>
  </si>
  <si>
    <r>
      <t>Pay Table</t>
    </r>
    <r>
      <rPr>
        <b/>
        <sz val="12"/>
        <rFont val="細明體"/>
        <family val="3"/>
        <charset val="136"/>
      </rPr>
      <t>：</t>
    </r>
    <phoneticPr fontId="2" type="noConversion"/>
  </si>
  <si>
    <t>All wins show for 1 credit bet.</t>
    <phoneticPr fontId="2" type="noConversion"/>
  </si>
  <si>
    <t>Line #</t>
    <phoneticPr fontId="2" type="noConversion"/>
  </si>
  <si>
    <t xml:space="preserve"> Total Combos</t>
    <phoneticPr fontId="2" type="noConversion"/>
  </si>
  <si>
    <t>Wild</t>
    <phoneticPr fontId="2" type="noConversion"/>
  </si>
  <si>
    <t>WA</t>
    <phoneticPr fontId="2" type="noConversion"/>
  </si>
  <si>
    <t>WK</t>
    <phoneticPr fontId="2" type="noConversion"/>
  </si>
  <si>
    <t>WQ</t>
    <phoneticPr fontId="2" type="noConversion"/>
  </si>
  <si>
    <t>WJ</t>
    <phoneticPr fontId="2" type="noConversion"/>
  </si>
  <si>
    <t xml:space="preserve">Hit%  </t>
    <phoneticPr fontId="2" type="noConversion"/>
  </si>
  <si>
    <r>
      <t>Volatility</t>
    </r>
    <r>
      <rPr>
        <b/>
        <sz val="12"/>
        <rFont val="細明體"/>
        <family val="3"/>
        <charset val="136"/>
      </rPr>
      <t>：</t>
    </r>
    <phoneticPr fontId="2" type="noConversion"/>
  </si>
  <si>
    <r>
      <t>Bonus Hit Freq.</t>
    </r>
    <r>
      <rPr>
        <b/>
        <sz val="12"/>
        <rFont val="細明體"/>
        <family val="3"/>
        <charset val="136"/>
      </rPr>
      <t>：</t>
    </r>
    <phoneticPr fontId="2" type="noConversion"/>
  </si>
  <si>
    <t>Description</t>
    <phoneticPr fontId="2" type="noConversion"/>
  </si>
  <si>
    <t>WW</t>
    <phoneticPr fontId="2" type="noConversion"/>
  </si>
  <si>
    <t>C1*</t>
    <phoneticPr fontId="2" type="noConversion"/>
  </si>
  <si>
    <t>WA</t>
    <phoneticPr fontId="2" type="noConversion"/>
  </si>
  <si>
    <t>WK</t>
    <phoneticPr fontId="2" type="noConversion"/>
  </si>
  <si>
    <t>WQ</t>
    <phoneticPr fontId="2" type="noConversion"/>
  </si>
  <si>
    <t>WJ</t>
    <phoneticPr fontId="2" type="noConversion"/>
  </si>
  <si>
    <t>WW WW WW</t>
    <phoneticPr fontId="2" type="noConversion"/>
  </si>
  <si>
    <t>W1 W1 W1</t>
    <phoneticPr fontId="2" type="noConversion"/>
  </si>
  <si>
    <t>W2 W2 W2</t>
    <phoneticPr fontId="2" type="noConversion"/>
  </si>
  <si>
    <t>W3 W3 W3</t>
    <phoneticPr fontId="2" type="noConversion"/>
  </si>
  <si>
    <t>WA WA WA</t>
    <phoneticPr fontId="2" type="noConversion"/>
  </si>
  <si>
    <t>WK WK WK</t>
    <phoneticPr fontId="2" type="noConversion"/>
  </si>
  <si>
    <t>WQ WQ WQ</t>
    <phoneticPr fontId="2" type="noConversion"/>
  </si>
  <si>
    <t>WJ WJ WJ</t>
    <phoneticPr fontId="2" type="noConversion"/>
  </si>
  <si>
    <t>比例</t>
  </si>
  <si>
    <t>Line</t>
    <phoneticPr fontId="2" type="noConversion"/>
  </si>
  <si>
    <t>Line Overall</t>
    <phoneticPr fontId="2" type="noConversion"/>
  </si>
  <si>
    <t>Game Overall</t>
    <phoneticPr fontId="2" type="noConversion"/>
  </si>
  <si>
    <t>A</t>
  </si>
  <si>
    <t>K</t>
  </si>
  <si>
    <t>Q</t>
  </si>
  <si>
    <t>J</t>
  </si>
  <si>
    <t>Version:</t>
    <phoneticPr fontId="2" type="noConversion"/>
  </si>
  <si>
    <r>
      <rPr>
        <sz val="12"/>
        <rFont val="細明體"/>
        <family val="3"/>
        <charset val="136"/>
      </rPr>
      <t>權重</t>
    </r>
    <phoneticPr fontId="2" type="noConversion"/>
  </si>
  <si>
    <r>
      <rPr>
        <sz val="12"/>
        <rFont val="細明體"/>
        <family val="3"/>
        <charset val="136"/>
      </rPr>
      <t>倍數</t>
    </r>
    <phoneticPr fontId="2" type="noConversion"/>
  </si>
  <si>
    <r>
      <rPr>
        <sz val="12"/>
        <rFont val="細明體"/>
        <family val="3"/>
        <charset val="136"/>
      </rPr>
      <t>比例</t>
    </r>
    <phoneticPr fontId="2" type="noConversion"/>
  </si>
  <si>
    <r>
      <rPr>
        <sz val="12"/>
        <rFont val="細明體"/>
        <family val="3"/>
        <charset val="136"/>
      </rPr>
      <t>平均個數</t>
    </r>
    <phoneticPr fontId="2" type="noConversion"/>
  </si>
  <si>
    <r>
      <rPr>
        <sz val="12"/>
        <rFont val="細明體"/>
        <family val="3"/>
        <charset val="136"/>
      </rPr>
      <t>單顆平均倍數</t>
    </r>
    <phoneticPr fontId="2" type="noConversion"/>
  </si>
  <si>
    <t>實際倍數</t>
    <phoneticPr fontId="2" type="noConversion"/>
  </si>
  <si>
    <t>平均倍數</t>
    <phoneticPr fontId="2" type="noConversion"/>
  </si>
  <si>
    <r>
      <rPr>
        <sz val="12"/>
        <rFont val="細明體"/>
        <family val="3"/>
        <charset val="136"/>
      </rPr>
      <t>倍數</t>
    </r>
    <r>
      <rPr>
        <sz val="12"/>
        <rFont val="Courier New"/>
        <family val="3"/>
      </rPr>
      <t>\nudge</t>
    </r>
    <r>
      <rPr>
        <sz val="12"/>
        <rFont val="細明體"/>
        <family val="3"/>
        <charset val="136"/>
      </rPr>
      <t>次數</t>
    </r>
    <phoneticPr fontId="2" type="noConversion"/>
  </si>
  <si>
    <t>Normal R4</t>
    <phoneticPr fontId="2" type="noConversion"/>
  </si>
  <si>
    <t>Re-spin R4</t>
    <phoneticPr fontId="2" type="noConversion"/>
  </si>
  <si>
    <t>G1</t>
  </si>
  <si>
    <t>G2</t>
  </si>
  <si>
    <t>G3</t>
  </si>
  <si>
    <t>G5</t>
  </si>
  <si>
    <t>G10</t>
  </si>
  <si>
    <t>G15</t>
  </si>
  <si>
    <t>G20</t>
  </si>
  <si>
    <t>G25</t>
  </si>
  <si>
    <t>G50</t>
  </si>
  <si>
    <t>G100</t>
  </si>
  <si>
    <t>G500</t>
  </si>
  <si>
    <t>G3</t>
    <phoneticPr fontId="2" type="noConversion"/>
  </si>
  <si>
    <t>Reel 4 Multiple</t>
    <phoneticPr fontId="2" type="noConversion"/>
  </si>
  <si>
    <t>Re-spin times</t>
    <phoneticPr fontId="2" type="noConversion"/>
  </si>
  <si>
    <t>Multiple per Re-spin</t>
    <phoneticPr fontId="2" type="noConversion"/>
  </si>
  <si>
    <t>Normal</t>
    <phoneticPr fontId="2" type="noConversion"/>
  </si>
  <si>
    <t>Re-spin</t>
    <phoneticPr fontId="2" type="noConversion"/>
  </si>
  <si>
    <t>Normal Bet</t>
    <phoneticPr fontId="2" type="noConversion"/>
  </si>
  <si>
    <t>Extra Bet 1</t>
    <phoneticPr fontId="2" type="noConversion"/>
  </si>
  <si>
    <t>Extra Bet 2</t>
    <phoneticPr fontId="2" type="noConversion"/>
  </si>
  <si>
    <t>Normal Bet Weight</t>
    <phoneticPr fontId="2" type="noConversion"/>
  </si>
  <si>
    <t>Extra Bet 1 Weight</t>
    <phoneticPr fontId="2" type="noConversion"/>
  </si>
  <si>
    <t>Extra Bet 2 Weight</t>
    <phoneticPr fontId="2" type="noConversion"/>
  </si>
  <si>
    <t>Normal Bet R4</t>
    <phoneticPr fontId="2" type="noConversion"/>
  </si>
  <si>
    <t>Extra Bet 1 R4</t>
    <phoneticPr fontId="2" type="noConversion"/>
  </si>
  <si>
    <t>Extra Bet 2 R4</t>
    <phoneticPr fontId="2" type="noConversion"/>
  </si>
  <si>
    <t>Bet</t>
    <phoneticPr fontId="2" type="noConversion"/>
  </si>
  <si>
    <t>Lines Pay Back</t>
    <phoneticPr fontId="2" type="noConversion"/>
  </si>
  <si>
    <t>G2</t>
    <phoneticPr fontId="2" type="noConversion"/>
  </si>
  <si>
    <t>G20</t>
    <phoneticPr fontId="2" type="noConversion"/>
  </si>
  <si>
    <t>G15</t>
    <phoneticPr fontId="2" type="noConversion"/>
  </si>
  <si>
    <t>G100</t>
    <phoneticPr fontId="2" type="noConversion"/>
  </si>
  <si>
    <t>Strip Table</t>
    <phoneticPr fontId="2" type="noConversion"/>
  </si>
  <si>
    <t>Super Feature Buy</t>
    <phoneticPr fontId="2" type="noConversion"/>
  </si>
  <si>
    <r>
      <t>Re-spin</t>
    </r>
    <r>
      <rPr>
        <sz val="12"/>
        <rFont val="細明體"/>
        <family val="3"/>
        <charset val="136"/>
      </rPr>
      <t>數</t>
    </r>
    <phoneticPr fontId="2" type="noConversion"/>
  </si>
  <si>
    <r>
      <t>Re-spin</t>
    </r>
    <r>
      <rPr>
        <sz val="12"/>
        <rFont val="細明體"/>
        <family val="3"/>
        <charset val="136"/>
      </rPr>
      <t>倍數權重</t>
    </r>
    <phoneticPr fontId="2" type="noConversion"/>
  </si>
  <si>
    <t>r</t>
  </si>
  <si>
    <t>r</t>
    <phoneticPr fontId="2" type="noConversion"/>
  </si>
  <si>
    <t>For Pay Combo</t>
    <phoneticPr fontId="2" type="noConversion"/>
  </si>
  <si>
    <t>W2</t>
    <phoneticPr fontId="2" type="noConversion"/>
  </si>
  <si>
    <t>W3</t>
    <phoneticPr fontId="2" type="noConversion"/>
  </si>
  <si>
    <t>All wins show for 1 credit bet.</t>
  </si>
  <si>
    <t>Normal Bet Row 1</t>
    <phoneticPr fontId="2" type="noConversion"/>
  </si>
  <si>
    <t>Normal Bet Row 2</t>
    <phoneticPr fontId="2" type="noConversion"/>
  </si>
  <si>
    <t>Normal Bet Row 3</t>
    <phoneticPr fontId="2" type="noConversion"/>
  </si>
  <si>
    <t>Normal Row 1</t>
    <phoneticPr fontId="2" type="noConversion"/>
  </si>
  <si>
    <t>Normal Row 3</t>
    <phoneticPr fontId="2" type="noConversion"/>
  </si>
  <si>
    <t>Normal Row 2</t>
    <phoneticPr fontId="2" type="noConversion"/>
  </si>
  <si>
    <t>Lines</t>
    <phoneticPr fontId="2" type="noConversion"/>
  </si>
  <si>
    <t>Extra Bet 1 Row 1</t>
    <phoneticPr fontId="2" type="noConversion"/>
  </si>
  <si>
    <t>Extra Bet 1 Row 2</t>
    <phoneticPr fontId="2" type="noConversion"/>
  </si>
  <si>
    <t>Extra Bet 1 Row 3</t>
    <phoneticPr fontId="2" type="noConversion"/>
  </si>
  <si>
    <t>Extra Bet 2 Row 1</t>
    <phoneticPr fontId="2" type="noConversion"/>
  </si>
  <si>
    <t>Extra Bet 2 Row 2</t>
    <phoneticPr fontId="2" type="noConversion"/>
  </si>
  <si>
    <t>Extra Bet 2 Row 3</t>
    <phoneticPr fontId="2" type="noConversion"/>
  </si>
  <si>
    <t>Super Feature Buy Row 1</t>
    <phoneticPr fontId="2" type="noConversion"/>
  </si>
  <si>
    <t>Super Feature Buy Row 2</t>
    <phoneticPr fontId="2" type="noConversion"/>
  </si>
  <si>
    <t>Super Feature Buy Row 3</t>
    <phoneticPr fontId="2" type="noConversion"/>
  </si>
  <si>
    <t>Super Feature Buy Weight</t>
    <phoneticPr fontId="2" type="noConversion"/>
  </si>
  <si>
    <t>Super Feature Buy R4</t>
    <phoneticPr fontId="2" type="noConversion"/>
  </si>
  <si>
    <t>Game spins</t>
    <phoneticPr fontId="2" type="noConversion"/>
  </si>
  <si>
    <t>Lower</t>
  </si>
  <si>
    <t>Upper</t>
  </si>
  <si>
    <t>Range</t>
  </si>
  <si>
    <t>Fixed Game</t>
    <phoneticPr fontId="2" type="noConversion"/>
  </si>
  <si>
    <t>Fix num</t>
    <phoneticPr fontId="2" type="noConversion"/>
  </si>
  <si>
    <t>Fixed Weight</t>
    <phoneticPr fontId="2" type="noConversion"/>
  </si>
  <si>
    <t>Fixed Prob.</t>
    <phoneticPr fontId="2" type="noConversion"/>
  </si>
  <si>
    <t>Real Prob.</t>
    <phoneticPr fontId="2" type="noConversion"/>
  </si>
  <si>
    <t>Real RTP</t>
    <phoneticPr fontId="2" type="noConversion"/>
  </si>
  <si>
    <t>Total RTP</t>
    <phoneticPr fontId="2" type="noConversion"/>
  </si>
  <si>
    <t>Simulator</t>
    <phoneticPr fontId="2" type="noConversion"/>
  </si>
  <si>
    <t>Count</t>
    <phoneticPr fontId="2" type="noConversion"/>
  </si>
  <si>
    <t>Pay</t>
    <phoneticPr fontId="2" type="noConversion"/>
  </si>
  <si>
    <t>Multi.</t>
    <phoneticPr fontId="2" type="noConversion"/>
  </si>
  <si>
    <t>Prob.</t>
    <phoneticPr fontId="2" type="noConversion"/>
  </si>
  <si>
    <t>RTP</t>
    <phoneticPr fontId="2" type="noConversion"/>
  </si>
  <si>
    <t>Fix freq</t>
    <phoneticPr fontId="2" type="noConversion"/>
  </si>
  <si>
    <t>Target</t>
    <phoneticPr fontId="2" type="noConversion"/>
  </si>
  <si>
    <t>Error</t>
    <phoneticPr fontId="2" type="noConversion"/>
  </si>
  <si>
    <t>參考修正值</t>
    <phoneticPr fontId="2" type="noConversion"/>
  </si>
  <si>
    <t>total spin/day</t>
    <phoneticPr fontId="2" type="noConversion"/>
  </si>
  <si>
    <t>&gt;300</t>
    <phoneticPr fontId="2" type="noConversion"/>
  </si>
  <si>
    <t>&gt;1000</t>
    <phoneticPr fontId="2" type="noConversion"/>
  </si>
  <si>
    <t>一天幾個</t>
    <phoneticPr fontId="2" type="noConversion"/>
  </si>
  <si>
    <r>
      <t xml:space="preserve">Spin </t>
    </r>
    <r>
      <rPr>
        <sz val="12"/>
        <rFont val="細明體"/>
        <family val="3"/>
        <charset val="136"/>
      </rPr>
      <t>數</t>
    </r>
    <phoneticPr fontId="2" type="noConversion"/>
  </si>
  <si>
    <t>Normal Game</t>
    <phoneticPr fontId="2" type="noConversion"/>
  </si>
  <si>
    <t>scale</t>
    <phoneticPr fontId="2" type="noConversion"/>
  </si>
  <si>
    <t>G1</t>
    <phoneticPr fontId="2" type="noConversion"/>
  </si>
  <si>
    <t xml:space="preserve">BaseGame 00 </t>
  </si>
  <si>
    <t xml:space="preserve">BaseGame 0x </t>
  </si>
  <si>
    <t xml:space="preserve"> Pay </t>
  </si>
  <si>
    <t xml:space="preserve"> 1C1 </t>
  </si>
  <si>
    <t xml:space="preserve"> null</t>
  </si>
  <si>
    <t xml:space="preserve"> 2C1 </t>
  </si>
  <si>
    <t xml:space="preserve"> 3C1 </t>
  </si>
  <si>
    <t xml:space="preserve"> 4C1 </t>
  </si>
  <si>
    <t xml:space="preserve"> 5C1 </t>
  </si>
  <si>
    <t xml:space="preserve">BaseGame 1x </t>
  </si>
  <si>
    <t xml:space="preserve">BaseGame 2x </t>
  </si>
  <si>
    <t xml:space="preserve">BaseGame 3x </t>
  </si>
  <si>
    <t xml:space="preserve">BaseGame 4x </t>
  </si>
  <si>
    <t xml:space="preserve">BaseGame 5x </t>
  </si>
  <si>
    <t xml:space="preserve">BaseGame 6x </t>
  </si>
  <si>
    <t xml:space="preserve">BaseGame 7x </t>
  </si>
  <si>
    <t xml:space="preserve">BaseGame 8x </t>
  </si>
  <si>
    <t xml:space="preserve">BaseGame 9x </t>
  </si>
  <si>
    <t xml:space="preserve">BaseGame 10x </t>
  </si>
  <si>
    <t xml:space="preserve">BaseGame 15x </t>
  </si>
  <si>
    <t xml:space="preserve">BaseGame 20x </t>
  </si>
  <si>
    <t xml:space="preserve">BaseGame 25x </t>
  </si>
  <si>
    <t xml:space="preserve">BaseGame 30x </t>
  </si>
  <si>
    <t xml:space="preserve">BaseGame 35x </t>
  </si>
  <si>
    <t xml:space="preserve">BaseGame 40x </t>
  </si>
  <si>
    <t xml:space="preserve">BaseGame 45x </t>
  </si>
  <si>
    <t xml:space="preserve">BaseGame 50x </t>
  </si>
  <si>
    <t xml:space="preserve">BaseGame 60x </t>
  </si>
  <si>
    <t xml:space="preserve">BaseGame 70x </t>
  </si>
  <si>
    <t xml:space="preserve">BaseGame 80x </t>
  </si>
  <si>
    <t xml:space="preserve">BaseGame 90x </t>
  </si>
  <si>
    <t xml:space="preserve">BaseGame 100x </t>
  </si>
  <si>
    <t xml:space="preserve">BaseGame 120x </t>
  </si>
  <si>
    <t xml:space="preserve">BaseGame 140x </t>
  </si>
  <si>
    <t xml:space="preserve">BaseGame 160x </t>
  </si>
  <si>
    <t xml:space="preserve">BaseGame 180x </t>
  </si>
  <si>
    <t xml:space="preserve">BaseGame 200x </t>
  </si>
  <si>
    <t xml:space="preserve">BaseGame 250x </t>
  </si>
  <si>
    <t xml:space="preserve">BaseGame 300x </t>
  </si>
  <si>
    <t xml:space="preserve">BaseGame 350x </t>
  </si>
  <si>
    <t xml:space="preserve">BaseGame 400x </t>
  </si>
  <si>
    <t xml:space="preserve">BaseGame 450x </t>
  </si>
  <si>
    <t xml:space="preserve">BaseGame 500x </t>
  </si>
  <si>
    <t xml:space="preserve">BaseGame 550x </t>
  </si>
  <si>
    <t xml:space="preserve">BaseGame 600x </t>
  </si>
  <si>
    <t xml:space="preserve">BaseGame 650x </t>
  </si>
  <si>
    <t xml:space="preserve">BaseGame 700x </t>
  </si>
  <si>
    <t xml:space="preserve">BaseGame 750x </t>
  </si>
  <si>
    <t xml:space="preserve">BaseGame 800x </t>
  </si>
  <si>
    <t xml:space="preserve">BaseGame 850x </t>
  </si>
  <si>
    <t xml:space="preserve">BaseGame 900x </t>
  </si>
  <si>
    <t xml:space="preserve">BaseGame 950x </t>
  </si>
  <si>
    <t xml:space="preserve">BaseGame 1000x </t>
  </si>
  <si>
    <t xml:space="preserve">BaseGame 2000x </t>
  </si>
  <si>
    <t xml:space="preserve">BaseGame 3000x </t>
  </si>
  <si>
    <t xml:space="preserve">BaseGame 4000x </t>
  </si>
  <si>
    <t xml:space="preserve">BaseGame 5000x </t>
  </si>
  <si>
    <t xml:space="preserve">BaseGame 6000x </t>
  </si>
  <si>
    <t xml:space="preserve">BaseGame 7000x </t>
  </si>
  <si>
    <r>
      <t>(</t>
    </r>
    <r>
      <rPr>
        <sz val="12"/>
        <rFont val="細明體"/>
        <family val="3"/>
        <charset val="136"/>
      </rPr>
      <t>後端報表</t>
    </r>
    <r>
      <rPr>
        <sz val="12"/>
        <rFont val="Courier New"/>
        <family val="3"/>
      </rPr>
      <t>)</t>
    </r>
    <phoneticPr fontId="2" type="noConversion"/>
  </si>
  <si>
    <t xml:space="preserve">BaseGame 8000x </t>
  </si>
  <si>
    <t xml:space="preserve">BaseGame 9000x </t>
  </si>
  <si>
    <t xml:space="preserve">BaseGame 10000x </t>
  </si>
  <si>
    <t xml:space="preserve">BaseGame 20000x </t>
  </si>
  <si>
    <t xml:space="preserve">BaseGame 50000x </t>
  </si>
  <si>
    <t xml:space="preserve">BaseGame 100000x </t>
  </si>
  <si>
    <t>G10</t>
    <phoneticPr fontId="2" type="noConversion"/>
  </si>
  <si>
    <t>G25</t>
    <phoneticPr fontId="2" type="noConversion"/>
  </si>
  <si>
    <t>1.0.0.6</t>
    <phoneticPr fontId="2" type="noConversion"/>
  </si>
  <si>
    <t>Real value</t>
    <phoneticPr fontId="2" type="noConversion"/>
  </si>
  <si>
    <t>機率</t>
    <phoneticPr fontId="2" type="noConversion"/>
  </si>
  <si>
    <t>週期</t>
    <phoneticPr fontId="2" type="noConversion"/>
  </si>
  <si>
    <t>YB</t>
    <phoneticPr fontId="2" type="noConversion"/>
  </si>
  <si>
    <t>FG 2</t>
    <phoneticPr fontId="2" type="noConversion"/>
  </si>
  <si>
    <t xml:space="preserve">Big win </t>
    <phoneticPr fontId="2" type="noConversion"/>
  </si>
  <si>
    <t>Mega win</t>
    <phoneticPr fontId="2" type="noConversion"/>
  </si>
  <si>
    <t>Jumbo win</t>
    <phoneticPr fontId="2" type="noConversion"/>
  </si>
  <si>
    <t>Normal Real value</t>
    <phoneticPr fontId="2" type="noConversion"/>
  </si>
  <si>
    <t>EX1 Real value</t>
    <phoneticPr fontId="2" type="noConversion"/>
  </si>
  <si>
    <t>EX 2 Real value</t>
    <phoneticPr fontId="2" type="noConversion"/>
  </si>
  <si>
    <t>Scatter Combo Rate</t>
    <phoneticPr fontId="2" type="noConversion"/>
  </si>
  <si>
    <t>EX1</t>
    <phoneticPr fontId="2" type="noConversion"/>
  </si>
  <si>
    <t>EX2</t>
    <phoneticPr fontId="2" type="noConversion"/>
  </si>
  <si>
    <r>
      <rPr>
        <sz val="12"/>
        <rFont val="細明體"/>
        <family val="3"/>
        <charset val="136"/>
      </rPr>
      <t>老手</t>
    </r>
    <phoneticPr fontId="2" type="noConversion"/>
  </si>
  <si>
    <r>
      <rPr>
        <sz val="12"/>
        <rFont val="細明體"/>
        <family val="3"/>
        <charset val="136"/>
      </rPr>
      <t>新手</t>
    </r>
    <phoneticPr fontId="2" type="noConversion"/>
  </si>
  <si>
    <t>&lt;1</t>
    <phoneticPr fontId="2" type="noConversion"/>
  </si>
  <si>
    <t>&gt;2</t>
    <phoneticPr fontId="2" type="noConversion"/>
  </si>
  <si>
    <t>&gt;40</t>
    <phoneticPr fontId="2" type="noConversion"/>
  </si>
  <si>
    <t>&gt;4</t>
    <phoneticPr fontId="2" type="noConversion"/>
  </si>
  <si>
    <t>&gt;1</t>
    <phoneticPr fontId="2" type="noConversion"/>
  </si>
  <si>
    <t>spin 1</t>
  </si>
  <si>
    <t>Hit% pre spin</t>
    <phoneticPr fontId="2" type="noConversion"/>
  </si>
  <si>
    <t>spin 2</t>
  </si>
  <si>
    <t>spin 3</t>
  </si>
  <si>
    <t>spin 4</t>
  </si>
  <si>
    <t>spin 5</t>
  </si>
  <si>
    <t>current average multi</t>
    <phoneticPr fontId="2" type="noConversion"/>
  </si>
  <si>
    <t>Line RTP</t>
    <phoneticPr fontId="2" type="noConversion"/>
  </si>
  <si>
    <t>OA RTP per spin</t>
    <phoneticPr fontId="2" type="noConversion"/>
  </si>
  <si>
    <t>Super Buy</t>
    <phoneticPr fontId="2" type="noConversion"/>
  </si>
  <si>
    <t>simulate value</t>
    <phoneticPr fontId="2" type="noConversion"/>
  </si>
  <si>
    <t>&gt;5</t>
    <phoneticPr fontId="2" type="noConversion"/>
  </si>
  <si>
    <t>&gt;10</t>
    <phoneticPr fontId="2" type="noConversion"/>
  </si>
  <si>
    <t>&gt;100</t>
    <phoneticPr fontId="2" type="noConversion"/>
  </si>
  <si>
    <r>
      <rPr>
        <sz val="12"/>
        <rFont val="細明體"/>
        <family val="3"/>
        <charset val="136"/>
      </rPr>
      <t>倍率</t>
    </r>
    <r>
      <rPr>
        <sz val="12"/>
        <rFont val="Courier New"/>
        <family val="3"/>
      </rPr>
      <t>(250x)</t>
    </r>
    <phoneticPr fontId="2" type="noConversion"/>
  </si>
  <si>
    <t>prob.</t>
    <phoneticPr fontId="2" type="noConversion"/>
  </si>
  <si>
    <r>
      <rPr>
        <sz val="12"/>
        <rFont val="細明體"/>
        <family val="3"/>
        <charset val="136"/>
      </rPr>
      <t>金額</t>
    </r>
    <r>
      <rPr>
        <sz val="12"/>
        <rFont val="Courier New"/>
        <family val="3"/>
      </rPr>
      <t>($10)</t>
    </r>
    <phoneticPr fontId="2" type="noConversion"/>
  </si>
  <si>
    <r>
      <rPr>
        <b/>
        <u/>
        <sz val="12"/>
        <rFont val="Courier New"/>
        <family val="3"/>
      </rPr>
      <t>Normal Bet        : x1,</t>
    </r>
    <r>
      <rPr>
        <sz val="12"/>
        <rFont val="細明體"/>
        <family val="3"/>
        <charset val="136"/>
      </rPr>
      <t xml:space="preserve">
                         </t>
    </r>
    <r>
      <rPr>
        <sz val="12"/>
        <rFont val="Courier New"/>
        <family val="3"/>
      </rPr>
      <t xml:space="preserve">multiple : 1x, 2x, 3x, 5x, 10x, 15x, 20x, 25x, 50x, 100x, 500x
</t>
    </r>
    <r>
      <rPr>
        <b/>
        <u/>
        <sz val="12"/>
        <rFont val="Courier New"/>
        <family val="3"/>
      </rPr>
      <t>Extra Bet 1       : x1.5</t>
    </r>
    <r>
      <rPr>
        <b/>
        <sz val="12"/>
        <rFont val="Courier New"/>
        <family val="3"/>
      </rPr>
      <t>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</t>
    </r>
    <r>
      <rPr>
        <sz val="12"/>
        <rFont val="Courier New"/>
        <family val="3"/>
      </rPr>
      <t xml:space="preserve"> 2x, 3x, 5x, 10x, 15x, 20x, 25x, 50x, 100x, 500x
</t>
    </r>
    <r>
      <rPr>
        <b/>
        <u/>
        <sz val="12"/>
        <rFont val="Courier New"/>
        <family val="3"/>
      </rPr>
      <t>Extra Bet 2       : x8,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 2x, 3x, 5x,</t>
    </r>
    <r>
      <rPr>
        <sz val="12"/>
        <rFont val="Courier New"/>
        <family val="3"/>
      </rPr>
      <t xml:space="preserve"> 10x, 15x, 20x, 25x, 50x, 100x, 500x
</t>
    </r>
    <r>
      <rPr>
        <b/>
        <u/>
        <sz val="12"/>
        <rFont val="Courier New"/>
        <family val="3"/>
      </rPr>
      <t>Super Feature Buy : x250,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5 Spins multiplier stay,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</t>
    </r>
    <r>
      <rPr>
        <sz val="12"/>
        <rFont val="Courier New"/>
        <family val="3"/>
      </rPr>
      <t xml:space="preserve"> 2x, 3x, 5x, 10x, 15x, 20x, 25x, 50x, 100x, 500x</t>
    </r>
    <phoneticPr fontId="2" type="noConversion"/>
  </si>
  <si>
    <t>--</t>
    <phoneticPr fontId="2" type="noConversion"/>
  </si>
  <si>
    <t>H020194</t>
    <phoneticPr fontId="2" type="noConversion"/>
  </si>
  <si>
    <t>2.2.0.0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</si>
</sst>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-&quot;$&quot;* #,##0.00_-;\-&quot;$&quot;* #,##0.00_-;_-&quot;$&quot;* &quot;-&quot;??_-;_-@_-"/>
    <numFmt numFmtId="176" formatCode="_(* #,##0.00_);_(* \(#,##0.00\);_(* &quot;-&quot;??_);_(@_)"/>
    <numFmt numFmtId="177" formatCode="0.000%"/>
    <numFmt numFmtId="178" formatCode="0.00_ "/>
    <numFmt numFmtId="179" formatCode="0_ "/>
    <numFmt numFmtId="180" formatCode="0.0000%"/>
    <numFmt numFmtId="181" formatCode="0.0000_ "/>
    <numFmt numFmtId="182" formatCode="0.00000%"/>
    <numFmt numFmtId="183" formatCode="0.0000"/>
    <numFmt numFmtId="184" formatCode="_(* #,##0_);_(* \(#,##0\);_(* &quot;-&quot;??_);_(@_)"/>
    <numFmt numFmtId="185" formatCode="0_);[Red]\(0\)"/>
    <numFmt numFmtId="186" formatCode="0.0"/>
    <numFmt numFmtId="187" formatCode="0.0%"/>
    <numFmt numFmtId="188" formatCode="0.000000%"/>
    <numFmt numFmtId="189" formatCode="0.00000000000000%"/>
    <numFmt numFmtId="190" formatCode="0.000000000"/>
    <numFmt numFmtId="191" formatCode="0.000000"/>
    <numFmt numFmtId="192" formatCode="0.000000000000000000%"/>
    <numFmt numFmtId="193" formatCode="0.000"/>
    <numFmt numFmtId="194" formatCode="_-[$₱-3409]* #,##0_-;\-[$₱-3409]* #,##0_-;_-[$₱-3409]* &quot;-&quot;??_-;_-@_-"/>
  </numFmts>
  <fonts count="16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Courier New"/>
      <family val="3"/>
    </font>
    <font>
      <b/>
      <sz val="12"/>
      <name val="Courier New"/>
      <family val="3"/>
    </font>
    <font>
      <b/>
      <sz val="12"/>
      <name val="細明體"/>
      <family val="3"/>
      <charset val="136"/>
    </font>
    <font>
      <sz val="12"/>
      <name val="細明體"/>
      <family val="3"/>
      <charset val="136"/>
    </font>
    <font>
      <strike/>
      <sz val="12"/>
      <name val="Courier New"/>
      <family val="3"/>
    </font>
    <font>
      <b/>
      <u/>
      <sz val="12"/>
      <name val="Courier New"/>
      <family val="3"/>
    </font>
    <font>
      <sz val="12"/>
      <color theme="0" tint="-0.249977111117893"/>
      <name val="Courier New"/>
      <family val="3"/>
    </font>
    <font>
      <sz val="12"/>
      <name val="Courier New"/>
      <family val="3"/>
      <charset val="136"/>
    </font>
    <font>
      <sz val="12"/>
      <color theme="0" tint="-0.34998626667073579"/>
      <name val="Courier New"/>
      <family val="3"/>
    </font>
    <font>
      <b/>
      <sz val="20"/>
      <color indexed="81"/>
      <name val="細明體"/>
      <family val="3"/>
      <charset val="136"/>
    </font>
    <font>
      <b/>
      <sz val="20"/>
      <color indexed="81"/>
      <name val="Courier New"/>
      <family val="3"/>
    </font>
    <font>
      <sz val="20"/>
      <color indexed="81"/>
      <name val="Courier New"/>
      <family val="3"/>
    </font>
    <font>
      <sz val="20"/>
      <color indexed="81"/>
      <name val="細明體"/>
      <family val="3"/>
      <charset val="136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</cellStyleXfs>
  <cellXfs count="333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177" fontId="3" fillId="0" borderId="0" xfId="0" applyNumberFormat="1" applyFo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179" fontId="3" fillId="0" borderId="0" xfId="0" applyNumberFormat="1" applyFont="1">
      <alignment vertical="center"/>
    </xf>
    <xf numFmtId="0" fontId="4" fillId="0" borderId="10" xfId="0" applyFont="1" applyBorder="1" applyAlignment="1">
      <alignment horizontal="center" vertical="center"/>
    </xf>
    <xf numFmtId="10" fontId="3" fillId="0" borderId="0" xfId="2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3" fillId="0" borderId="0" xfId="0" applyFont="1" applyBorder="1">
      <alignment vertical="center"/>
    </xf>
    <xf numFmtId="0" fontId="4" fillId="0" borderId="0" xfId="0" applyFont="1" applyFill="1">
      <alignment vertical="center"/>
    </xf>
    <xf numFmtId="0" fontId="3" fillId="0" borderId="0" xfId="0" applyFont="1" applyFill="1">
      <alignment vertical="center"/>
    </xf>
    <xf numFmtId="178" fontId="3" fillId="0" borderId="0" xfId="0" applyNumberFormat="1" applyFont="1">
      <alignment vertical="center"/>
    </xf>
    <xf numFmtId="10" fontId="3" fillId="0" borderId="0" xfId="0" applyNumberFormat="1" applyFont="1">
      <alignment vertical="center"/>
    </xf>
    <xf numFmtId="180" fontId="3" fillId="0" borderId="0" xfId="0" applyNumberFormat="1" applyFont="1">
      <alignment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78" fontId="4" fillId="0" borderId="10" xfId="0" applyNumberFormat="1" applyFont="1" applyBorder="1" applyAlignment="1">
      <alignment horizontal="center" vertical="center" wrapText="1"/>
    </xf>
    <xf numFmtId="10" fontId="4" fillId="0" borderId="10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top" wrapText="1"/>
    </xf>
    <xf numFmtId="0" fontId="3" fillId="0" borderId="11" xfId="0" applyFont="1" applyBorder="1" applyAlignment="1">
      <alignment vertical="top" wrapText="1"/>
    </xf>
    <xf numFmtId="179" fontId="3" fillId="0" borderId="11" xfId="0" applyNumberFormat="1" applyFont="1" applyBorder="1" applyAlignment="1">
      <alignment horizontal="right" vertical="top" wrapText="1"/>
    </xf>
    <xf numFmtId="177" fontId="3" fillId="0" borderId="11" xfId="0" applyNumberFormat="1" applyFont="1" applyBorder="1">
      <alignment vertical="center"/>
    </xf>
    <xf numFmtId="0" fontId="4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top" wrapText="1"/>
    </xf>
    <xf numFmtId="0" fontId="3" fillId="0" borderId="16" xfId="0" applyFont="1" applyBorder="1" applyAlignment="1">
      <alignment vertical="top" wrapText="1"/>
    </xf>
    <xf numFmtId="179" fontId="3" fillId="0" borderId="16" xfId="0" applyNumberFormat="1" applyFont="1" applyBorder="1" applyAlignment="1">
      <alignment horizontal="right" vertical="top" wrapText="1"/>
    </xf>
    <xf numFmtId="177" fontId="3" fillId="0" borderId="16" xfId="0" applyNumberFormat="1" applyFont="1" applyBorder="1">
      <alignment vertical="center"/>
    </xf>
    <xf numFmtId="180" fontId="3" fillId="0" borderId="16" xfId="0" applyNumberFormat="1" applyFont="1" applyBorder="1">
      <alignment vertical="center"/>
    </xf>
    <xf numFmtId="0" fontId="3" fillId="0" borderId="17" xfId="0" applyFont="1" applyBorder="1" applyAlignment="1">
      <alignment horizontal="center" vertical="top" wrapText="1"/>
    </xf>
    <xf numFmtId="0" fontId="3" fillId="0" borderId="17" xfId="0" applyFont="1" applyBorder="1" applyAlignment="1">
      <alignment vertical="top" wrapText="1"/>
    </xf>
    <xf numFmtId="179" fontId="3" fillId="0" borderId="17" xfId="0" applyNumberFormat="1" applyFont="1" applyBorder="1" applyAlignment="1">
      <alignment horizontal="right" vertical="top" wrapText="1"/>
    </xf>
    <xf numFmtId="177" fontId="3" fillId="0" borderId="17" xfId="0" applyNumberFormat="1" applyFont="1" applyBorder="1">
      <alignment vertical="center"/>
    </xf>
    <xf numFmtId="179" fontId="4" fillId="0" borderId="10" xfId="0" applyNumberFormat="1" applyFont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top" wrapText="1"/>
    </xf>
    <xf numFmtId="0" fontId="4" fillId="0" borderId="10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4" fillId="0" borderId="19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top" wrapText="1"/>
    </xf>
    <xf numFmtId="180" fontId="3" fillId="0" borderId="11" xfId="0" applyNumberFormat="1" applyFont="1" applyBorder="1">
      <alignment vertical="center"/>
    </xf>
    <xf numFmtId="0" fontId="3" fillId="0" borderId="13" xfId="0" applyFont="1" applyBorder="1" applyAlignment="1">
      <alignment vertical="top" wrapText="1"/>
    </xf>
    <xf numFmtId="180" fontId="3" fillId="0" borderId="17" xfId="0" applyNumberFormat="1" applyFont="1" applyBorder="1">
      <alignment vertical="center"/>
    </xf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center" vertical="top" wrapText="1"/>
    </xf>
    <xf numFmtId="179" fontId="3" fillId="0" borderId="0" xfId="0" applyNumberFormat="1" applyFont="1" applyBorder="1" applyAlignment="1">
      <alignment horizontal="right" vertical="top" wrapText="1"/>
    </xf>
    <xf numFmtId="178" fontId="3" fillId="0" borderId="0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3" fillId="0" borderId="20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vertical="center"/>
    </xf>
    <xf numFmtId="0" fontId="4" fillId="0" borderId="0" xfId="0" applyFont="1" applyAlignment="1">
      <alignment vertical="distributed"/>
    </xf>
    <xf numFmtId="0" fontId="4" fillId="0" borderId="8" xfId="0" applyFont="1" applyBorder="1" applyAlignment="1">
      <alignment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49" fontId="3" fillId="0" borderId="0" xfId="0" applyNumberFormat="1" applyFont="1" applyBorder="1" applyAlignment="1">
      <alignment horizontal="center" vertical="center" wrapText="1"/>
    </xf>
    <xf numFmtId="10" fontId="3" fillId="0" borderId="0" xfId="0" applyNumberFormat="1" applyFont="1" applyBorder="1" applyAlignment="1">
      <alignment horizontal="center" vertical="center" wrapText="1"/>
    </xf>
    <xf numFmtId="180" fontId="4" fillId="0" borderId="6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10" fontId="3" fillId="0" borderId="0" xfId="0" applyNumberFormat="1" applyFont="1" applyBorder="1">
      <alignment vertical="center"/>
    </xf>
    <xf numFmtId="2" fontId="3" fillId="0" borderId="0" xfId="0" applyNumberFormat="1" applyFont="1">
      <alignment vertical="center"/>
    </xf>
    <xf numFmtId="181" fontId="3" fillId="0" borderId="0" xfId="0" applyNumberFormat="1" applyFont="1">
      <alignment vertical="center"/>
    </xf>
    <xf numFmtId="182" fontId="3" fillId="0" borderId="11" xfId="0" applyNumberFormat="1" applyFont="1" applyBorder="1">
      <alignment vertical="center"/>
    </xf>
    <xf numFmtId="182" fontId="3" fillId="0" borderId="16" xfId="0" applyNumberFormat="1" applyFont="1" applyBorder="1">
      <alignment vertical="center"/>
    </xf>
    <xf numFmtId="182" fontId="3" fillId="0" borderId="17" xfId="0" applyNumberFormat="1" applyFont="1" applyBorder="1">
      <alignment vertical="center"/>
    </xf>
    <xf numFmtId="0" fontId="3" fillId="3" borderId="0" xfId="0" applyFont="1" applyFill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83" fontId="3" fillId="0" borderId="1" xfId="0" applyNumberFormat="1" applyFont="1" applyFill="1" applyBorder="1">
      <alignment vertical="center"/>
    </xf>
    <xf numFmtId="184" fontId="3" fillId="5" borderId="1" xfId="1" applyNumberFormat="1" applyFont="1" applyFill="1" applyBorder="1">
      <alignment vertical="center"/>
    </xf>
    <xf numFmtId="184" fontId="3" fillId="0" borderId="0" xfId="1" applyNumberFormat="1" applyFo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0" fontId="3" fillId="0" borderId="18" xfId="0" applyNumberFormat="1" applyFont="1" applyBorder="1">
      <alignment vertical="center"/>
    </xf>
    <xf numFmtId="10" fontId="3" fillId="0" borderId="9" xfId="0" applyNumberFormat="1" applyFont="1" applyBorder="1">
      <alignment vertical="center"/>
    </xf>
    <xf numFmtId="10" fontId="3" fillId="0" borderId="0" xfId="2" applyNumberFormat="1" applyFont="1" applyBorder="1" applyAlignment="1">
      <alignment horizontal="right" vertical="center"/>
    </xf>
    <xf numFmtId="180" fontId="6" fillId="0" borderId="0" xfId="0" applyNumberFormat="1" applyFont="1">
      <alignment vertical="center"/>
    </xf>
    <xf numFmtId="10" fontId="3" fillId="0" borderId="8" xfId="0" applyNumberFormat="1" applyFont="1" applyBorder="1">
      <alignment vertical="center"/>
    </xf>
    <xf numFmtId="10" fontId="3" fillId="0" borderId="8" xfId="2" applyNumberFormat="1" applyFont="1" applyBorder="1" applyAlignment="1">
      <alignment horizontal="right" vertical="center"/>
    </xf>
    <xf numFmtId="0" fontId="3" fillId="0" borderId="10" xfId="0" applyFont="1" applyBorder="1">
      <alignment vertical="center"/>
    </xf>
    <xf numFmtId="0" fontId="3" fillId="0" borderId="11" xfId="0" applyFont="1" applyBorder="1" applyAlignment="1">
      <alignment horizontal="right" vertical="center"/>
    </xf>
    <xf numFmtId="0" fontId="3" fillId="0" borderId="16" xfId="0" applyFont="1" applyBorder="1" applyAlignment="1">
      <alignment horizontal="right" vertical="center"/>
    </xf>
    <xf numFmtId="0" fontId="3" fillId="0" borderId="17" xfId="0" applyFont="1" applyBorder="1" applyAlignment="1">
      <alignment horizontal="right" vertical="center"/>
    </xf>
    <xf numFmtId="185" fontId="3" fillId="0" borderId="4" xfId="0" applyNumberFormat="1" applyFont="1" applyBorder="1">
      <alignment vertical="center"/>
    </xf>
    <xf numFmtId="185" fontId="3" fillId="0" borderId="5" xfId="0" applyNumberFormat="1" applyFont="1" applyBorder="1">
      <alignment vertical="center"/>
    </xf>
    <xf numFmtId="10" fontId="3" fillId="0" borderId="20" xfId="0" applyNumberFormat="1" applyFont="1" applyBorder="1">
      <alignment vertical="center"/>
    </xf>
    <xf numFmtId="10" fontId="3" fillId="0" borderId="19" xfId="0" applyNumberFormat="1" applyFont="1" applyBorder="1">
      <alignment vertical="center"/>
    </xf>
    <xf numFmtId="10" fontId="3" fillId="0" borderId="13" xfId="0" applyNumberFormat="1" applyFont="1" applyBorder="1">
      <alignment vertical="center"/>
    </xf>
    <xf numFmtId="10" fontId="3" fillId="0" borderId="7" xfId="0" applyNumberFormat="1" applyFont="1" applyBorder="1">
      <alignment vertical="center"/>
    </xf>
    <xf numFmtId="0" fontId="3" fillId="0" borderId="16" xfId="0" applyFont="1" applyBorder="1">
      <alignment vertical="center"/>
    </xf>
    <xf numFmtId="0" fontId="3" fillId="0" borderId="17" xfId="0" applyFont="1" applyBorder="1">
      <alignment vertical="center"/>
    </xf>
    <xf numFmtId="180" fontId="3" fillId="0" borderId="10" xfId="0" applyNumberFormat="1" applyFont="1" applyBorder="1" applyAlignment="1">
      <alignment horizontal="right" vertical="center"/>
    </xf>
    <xf numFmtId="180" fontId="6" fillId="0" borderId="10" xfId="0" applyNumberFormat="1" applyFont="1" applyBorder="1" applyAlignment="1">
      <alignment horizontal="right" vertical="center"/>
    </xf>
    <xf numFmtId="0" fontId="3" fillId="0" borderId="11" xfId="0" applyFont="1" applyBorder="1">
      <alignment vertical="center"/>
    </xf>
    <xf numFmtId="177" fontId="3" fillId="0" borderId="17" xfId="0" applyNumberFormat="1" applyFont="1" applyBorder="1" applyAlignment="1">
      <alignment horizontal="right" vertical="center"/>
    </xf>
    <xf numFmtId="186" fontId="3" fillId="0" borderId="17" xfId="0" applyNumberFormat="1" applyFont="1" applyBorder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2" applyNumberFormat="1" applyFont="1">
      <alignment vertical="center"/>
    </xf>
    <xf numFmtId="0" fontId="4" fillId="7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3" fillId="0" borderId="0" xfId="0" applyNumberFormat="1" applyFont="1" applyBorder="1" applyAlignment="1">
      <alignment horizontal="center" vertical="center" wrapText="1"/>
    </xf>
    <xf numFmtId="0" fontId="4" fillId="0" borderId="4" xfId="0" applyFont="1" applyBorder="1">
      <alignment vertical="center"/>
    </xf>
    <xf numFmtId="186" fontId="3" fillId="0" borderId="6" xfId="2" applyNumberFormat="1" applyFont="1" applyBorder="1">
      <alignment vertical="center"/>
    </xf>
    <xf numFmtId="0" fontId="3" fillId="0" borderId="8" xfId="0" applyNumberFormat="1" applyFont="1" applyBorder="1" applyAlignment="1">
      <alignment horizontal="center" vertical="center" wrapText="1"/>
    </xf>
    <xf numFmtId="10" fontId="3" fillId="0" borderId="18" xfId="0" applyNumberFormat="1" applyFont="1" applyBorder="1" applyAlignment="1">
      <alignment horizontal="center" vertical="center" wrapText="1"/>
    </xf>
    <xf numFmtId="10" fontId="3" fillId="0" borderId="8" xfId="0" applyNumberFormat="1" applyFont="1" applyBorder="1" applyAlignment="1">
      <alignment horizontal="center" vertical="center" wrapText="1"/>
    </xf>
    <xf numFmtId="10" fontId="3" fillId="0" borderId="9" xfId="0" applyNumberFormat="1" applyFont="1" applyBorder="1" applyAlignment="1">
      <alignment horizontal="center" vertical="center" wrapText="1"/>
    </xf>
    <xf numFmtId="0" fontId="4" fillId="9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3" fillId="7" borderId="0" xfId="0" applyFont="1" applyFill="1">
      <alignment vertical="center"/>
    </xf>
    <xf numFmtId="0" fontId="3" fillId="9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0" borderId="0" xfId="0" applyNumberFormat="1" applyFont="1">
      <alignment vertical="center"/>
    </xf>
    <xf numFmtId="0" fontId="4" fillId="0" borderId="19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3" fillId="0" borderId="19" xfId="0" applyNumberFormat="1" applyFont="1" applyBorder="1" applyAlignment="1">
      <alignment horizontal="center" vertical="center" wrapText="1"/>
    </xf>
    <xf numFmtId="10" fontId="3" fillId="0" borderId="19" xfId="0" applyNumberFormat="1" applyFont="1" applyBorder="1" applyAlignment="1">
      <alignment horizontal="center" vertical="center" wrapText="1"/>
    </xf>
    <xf numFmtId="10" fontId="3" fillId="0" borderId="12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10" borderId="0" xfId="0" applyFont="1" applyFill="1" applyAlignment="1">
      <alignment vertical="center"/>
    </xf>
    <xf numFmtId="0" fontId="3" fillId="10" borderId="0" xfId="0" applyFont="1" applyFill="1">
      <alignment vertical="center"/>
    </xf>
    <xf numFmtId="0" fontId="3" fillId="0" borderId="20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18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8" xfId="0" applyFont="1" applyBorder="1">
      <alignment vertical="center"/>
    </xf>
    <xf numFmtId="0" fontId="9" fillId="0" borderId="0" xfId="0" applyFont="1">
      <alignment vertical="center"/>
    </xf>
    <xf numFmtId="0" fontId="3" fillId="6" borderId="11" xfId="0" applyFont="1" applyFill="1" applyBorder="1">
      <alignment vertical="center"/>
    </xf>
    <xf numFmtId="0" fontId="3" fillId="6" borderId="16" xfId="0" applyFont="1" applyFill="1" applyBorder="1">
      <alignment vertical="center"/>
    </xf>
    <xf numFmtId="0" fontId="3" fillId="6" borderId="17" xfId="0" applyFont="1" applyFill="1" applyBorder="1">
      <alignment vertical="center"/>
    </xf>
    <xf numFmtId="0" fontId="3" fillId="6" borderId="11" xfId="0" applyFont="1" applyFill="1" applyBorder="1" applyAlignment="1">
      <alignment horizontal="right" vertical="center"/>
    </xf>
    <xf numFmtId="0" fontId="3" fillId="6" borderId="16" xfId="0" applyFont="1" applyFill="1" applyBorder="1" applyAlignment="1">
      <alignment horizontal="right" vertical="center"/>
    </xf>
    <xf numFmtId="185" fontId="3" fillId="6" borderId="21" xfId="0" applyNumberFormat="1" applyFont="1" applyFill="1" applyBorder="1">
      <alignment vertical="center"/>
    </xf>
    <xf numFmtId="185" fontId="3" fillId="6" borderId="22" xfId="0" applyNumberFormat="1" applyFont="1" applyFill="1" applyBorder="1">
      <alignment vertical="center"/>
    </xf>
    <xf numFmtId="185" fontId="3" fillId="0" borderId="0" xfId="2" applyNumberFormat="1" applyFont="1">
      <alignment vertical="center"/>
    </xf>
    <xf numFmtId="1" fontId="3" fillId="0" borderId="6" xfId="2" applyNumberFormat="1" applyFont="1" applyBorder="1">
      <alignment vertical="center"/>
    </xf>
    <xf numFmtId="1" fontId="3" fillId="0" borderId="0" xfId="0" applyNumberFormat="1" applyFont="1">
      <alignment vertical="center"/>
    </xf>
    <xf numFmtId="0" fontId="10" fillId="0" borderId="0" xfId="0" applyFont="1">
      <alignment vertical="center"/>
    </xf>
    <xf numFmtId="187" fontId="3" fillId="0" borderId="0" xfId="2" applyNumberFormat="1" applyFont="1">
      <alignment vertical="center"/>
    </xf>
    <xf numFmtId="187" fontId="3" fillId="0" borderId="0" xfId="0" applyNumberFormat="1" applyFont="1">
      <alignment vertical="center"/>
    </xf>
    <xf numFmtId="177" fontId="3" fillId="0" borderId="0" xfId="2" applyNumberFormat="1" applyFont="1">
      <alignment vertical="center"/>
    </xf>
    <xf numFmtId="180" fontId="3" fillId="0" borderId="0" xfId="2" applyNumberFormat="1" applyFont="1">
      <alignment vertical="center"/>
    </xf>
    <xf numFmtId="0" fontId="3" fillId="0" borderId="5" xfId="0" applyFont="1" applyBorder="1">
      <alignment vertical="center"/>
    </xf>
    <xf numFmtId="187" fontId="3" fillId="0" borderId="19" xfId="2" applyNumberFormat="1" applyFont="1" applyBorder="1">
      <alignment vertical="center"/>
    </xf>
    <xf numFmtId="10" fontId="3" fillId="0" borderId="12" xfId="2" applyNumberFormat="1" applyFont="1" applyBorder="1">
      <alignment vertical="center"/>
    </xf>
    <xf numFmtId="186" fontId="3" fillId="0" borderId="0" xfId="0" applyNumberFormat="1" applyFont="1" applyBorder="1">
      <alignment vertical="center"/>
    </xf>
    <xf numFmtId="187" fontId="3" fillId="0" borderId="0" xfId="2" applyNumberFormat="1" applyFont="1" applyBorder="1">
      <alignment vertical="center"/>
    </xf>
    <xf numFmtId="10" fontId="3" fillId="0" borderId="18" xfId="2" applyNumberFormat="1" applyFont="1" applyBorder="1">
      <alignment vertical="center"/>
    </xf>
    <xf numFmtId="186" fontId="3" fillId="0" borderId="8" xfId="0" applyNumberFormat="1" applyFont="1" applyBorder="1">
      <alignment vertical="center"/>
    </xf>
    <xf numFmtId="187" fontId="3" fillId="0" borderId="8" xfId="2" applyNumberFormat="1" applyFont="1" applyBorder="1">
      <alignment vertical="center"/>
    </xf>
    <xf numFmtId="10" fontId="3" fillId="0" borderId="9" xfId="2" applyNumberFormat="1" applyFont="1" applyBorder="1">
      <alignment vertical="center"/>
    </xf>
    <xf numFmtId="0" fontId="11" fillId="7" borderId="0" xfId="0" applyFont="1" applyFill="1">
      <alignment vertical="center"/>
    </xf>
    <xf numFmtId="188" fontId="3" fillId="0" borderId="19" xfId="2" applyNumberFormat="1" applyFont="1" applyBorder="1">
      <alignment vertical="center"/>
    </xf>
    <xf numFmtId="188" fontId="3" fillId="0" borderId="0" xfId="2" applyNumberFormat="1" applyFont="1" applyBorder="1">
      <alignment vertical="center"/>
    </xf>
    <xf numFmtId="188" fontId="3" fillId="0" borderId="8" xfId="2" applyNumberFormat="1" applyFont="1" applyBorder="1">
      <alignment vertical="center"/>
    </xf>
    <xf numFmtId="182" fontId="3" fillId="0" borderId="0" xfId="2" applyNumberFormat="1" applyFont="1">
      <alignment vertical="center"/>
    </xf>
    <xf numFmtId="188" fontId="3" fillId="0" borderId="0" xfId="2" applyNumberFormat="1" applyFont="1">
      <alignment vertical="center"/>
    </xf>
    <xf numFmtId="0" fontId="3" fillId="12" borderId="23" xfId="0" applyFont="1" applyFill="1" applyBorder="1">
      <alignment vertical="center"/>
    </xf>
    <xf numFmtId="0" fontId="3" fillId="12" borderId="24" xfId="0" applyFont="1" applyFill="1" applyBorder="1">
      <alignment vertical="center"/>
    </xf>
    <xf numFmtId="0" fontId="3" fillId="12" borderId="25" xfId="0" applyFont="1" applyFill="1" applyBorder="1">
      <alignment vertical="center"/>
    </xf>
    <xf numFmtId="0" fontId="3" fillId="12" borderId="26" xfId="0" applyFont="1" applyFill="1" applyBorder="1">
      <alignment vertical="center"/>
    </xf>
    <xf numFmtId="0" fontId="3" fillId="12" borderId="27" xfId="0" applyFont="1" applyFill="1" applyBorder="1">
      <alignment vertical="center"/>
    </xf>
    <xf numFmtId="0" fontId="3" fillId="12" borderId="28" xfId="0" applyFont="1" applyFill="1" applyBorder="1">
      <alignment vertical="center"/>
    </xf>
    <xf numFmtId="0" fontId="3" fillId="11" borderId="30" xfId="0" applyFont="1" applyFill="1" applyBorder="1">
      <alignment vertical="center"/>
    </xf>
    <xf numFmtId="0" fontId="3" fillId="11" borderId="31" xfId="0" applyFont="1" applyFill="1" applyBorder="1">
      <alignment vertical="center"/>
    </xf>
    <xf numFmtId="0" fontId="3" fillId="12" borderId="29" xfId="0" applyFont="1" applyFill="1" applyBorder="1">
      <alignment vertical="center"/>
    </xf>
    <xf numFmtId="0" fontId="3" fillId="12" borderId="30" xfId="0" applyFont="1" applyFill="1" applyBorder="1">
      <alignment vertical="center"/>
    </xf>
    <xf numFmtId="0" fontId="3" fillId="12" borderId="31" xfId="0" applyFont="1" applyFill="1" applyBorder="1">
      <alignment vertical="center"/>
    </xf>
    <xf numFmtId="177" fontId="3" fillId="0" borderId="11" xfId="2" applyNumberFormat="1" applyFont="1" applyBorder="1">
      <alignment vertical="center"/>
    </xf>
    <xf numFmtId="177" fontId="3" fillId="0" borderId="16" xfId="2" applyNumberFormat="1" applyFont="1" applyBorder="1">
      <alignment vertical="center"/>
    </xf>
    <xf numFmtId="177" fontId="3" fillId="0" borderId="17" xfId="2" applyNumberFormat="1" applyFont="1" applyBorder="1">
      <alignment vertical="center"/>
    </xf>
    <xf numFmtId="189" fontId="3" fillId="0" borderId="0" xfId="0" applyNumberFormat="1" applyFont="1">
      <alignment vertical="center"/>
    </xf>
    <xf numFmtId="0" fontId="3" fillId="13" borderId="16" xfId="0" applyFont="1" applyFill="1" applyBorder="1">
      <alignment vertical="center"/>
    </xf>
    <xf numFmtId="180" fontId="3" fillId="7" borderId="0" xfId="0" applyNumberFormat="1" applyFont="1" applyFill="1">
      <alignment vertical="center"/>
    </xf>
    <xf numFmtId="190" fontId="3" fillId="0" borderId="0" xfId="0" applyNumberFormat="1" applyFont="1">
      <alignment vertical="center"/>
    </xf>
    <xf numFmtId="191" fontId="3" fillId="11" borderId="29" xfId="0" applyNumberFormat="1" applyFont="1" applyFill="1" applyBorder="1">
      <alignment vertical="center"/>
    </xf>
    <xf numFmtId="1" fontId="3" fillId="0" borderId="13" xfId="0" applyNumberFormat="1" applyFont="1" applyBorder="1">
      <alignment vertical="center"/>
    </xf>
    <xf numFmtId="0" fontId="6" fillId="0" borderId="6" xfId="0" applyFont="1" applyBorder="1">
      <alignment vertical="center"/>
    </xf>
    <xf numFmtId="186" fontId="3" fillId="0" borderId="18" xfId="0" applyNumberFormat="1" applyFont="1" applyBorder="1">
      <alignment vertical="center"/>
    </xf>
    <xf numFmtId="0" fontId="0" fillId="9" borderId="0" xfId="0" applyFill="1">
      <alignment vertical="center"/>
    </xf>
    <xf numFmtId="177" fontId="3" fillId="9" borderId="0" xfId="0" applyNumberFormat="1" applyFont="1" applyFill="1">
      <alignment vertical="center"/>
    </xf>
    <xf numFmtId="0" fontId="0" fillId="8" borderId="0" xfId="0" applyFill="1">
      <alignment vertical="center"/>
    </xf>
    <xf numFmtId="177" fontId="3" fillId="8" borderId="0" xfId="0" applyNumberFormat="1" applyFont="1" applyFill="1">
      <alignment vertical="center"/>
    </xf>
    <xf numFmtId="0" fontId="0" fillId="7" borderId="0" xfId="0" applyFill="1">
      <alignment vertical="center"/>
    </xf>
    <xf numFmtId="0" fontId="3" fillId="14" borderId="4" xfId="0" applyFont="1" applyFill="1" applyBorder="1">
      <alignment vertical="center"/>
    </xf>
    <xf numFmtId="0" fontId="3" fillId="14" borderId="5" xfId="0" applyFont="1" applyFill="1" applyBorder="1">
      <alignment vertical="center"/>
    </xf>
    <xf numFmtId="0" fontId="3" fillId="14" borderId="6" xfId="0" applyFont="1" applyFill="1" applyBorder="1">
      <alignment vertical="center"/>
    </xf>
    <xf numFmtId="0" fontId="3" fillId="15" borderId="0" xfId="0" applyFont="1" applyFill="1">
      <alignment vertical="center"/>
    </xf>
    <xf numFmtId="0" fontId="0" fillId="15" borderId="0" xfId="0" applyFill="1">
      <alignment vertical="center"/>
    </xf>
    <xf numFmtId="177" fontId="3" fillId="15" borderId="0" xfId="0" applyNumberFormat="1" applyFont="1" applyFill="1">
      <alignment vertical="center"/>
    </xf>
    <xf numFmtId="186" fontId="3" fillId="0" borderId="0" xfId="0" applyNumberFormat="1" applyFont="1">
      <alignment vertical="center"/>
    </xf>
    <xf numFmtId="0" fontId="3" fillId="12" borderId="0" xfId="0" applyFont="1" applyFill="1" applyBorder="1">
      <alignment vertical="center"/>
    </xf>
    <xf numFmtId="0" fontId="3" fillId="11" borderId="0" xfId="0" applyFont="1" applyFill="1" applyBorder="1">
      <alignment vertical="center"/>
    </xf>
    <xf numFmtId="177" fontId="3" fillId="0" borderId="0" xfId="2" applyNumberFormat="1" applyFont="1" applyBorder="1">
      <alignment vertical="center"/>
    </xf>
    <xf numFmtId="0" fontId="3" fillId="14" borderId="20" xfId="0" applyFont="1" applyFill="1" applyBorder="1">
      <alignment vertical="center"/>
    </xf>
    <xf numFmtId="0" fontId="3" fillId="14" borderId="19" xfId="0" applyFont="1" applyFill="1" applyBorder="1">
      <alignment vertical="center"/>
    </xf>
    <xf numFmtId="0" fontId="3" fillId="14" borderId="12" xfId="0" applyFont="1" applyFill="1" applyBorder="1">
      <alignment vertical="center"/>
    </xf>
    <xf numFmtId="0" fontId="3" fillId="12" borderId="20" xfId="0" applyFont="1" applyFill="1" applyBorder="1">
      <alignment vertical="center"/>
    </xf>
    <xf numFmtId="0" fontId="3" fillId="12" borderId="19" xfId="0" applyFont="1" applyFill="1" applyBorder="1">
      <alignment vertical="center"/>
    </xf>
    <xf numFmtId="186" fontId="3" fillId="0" borderId="19" xfId="0" applyNumberFormat="1" applyFont="1" applyBorder="1">
      <alignment vertical="center"/>
    </xf>
    <xf numFmtId="0" fontId="3" fillId="12" borderId="13" xfId="0" applyFont="1" applyFill="1" applyBorder="1">
      <alignment vertical="center"/>
    </xf>
    <xf numFmtId="0" fontId="3" fillId="12" borderId="7" xfId="0" applyFont="1" applyFill="1" applyBorder="1">
      <alignment vertical="center"/>
    </xf>
    <xf numFmtId="0" fontId="3" fillId="12" borderId="8" xfId="0" applyFont="1" applyFill="1" applyBorder="1">
      <alignment vertical="center"/>
    </xf>
    <xf numFmtId="0" fontId="3" fillId="12" borderId="12" xfId="0" applyFont="1" applyFill="1" applyBorder="1">
      <alignment vertical="center"/>
    </xf>
    <xf numFmtId="0" fontId="3" fillId="12" borderId="18" xfId="0" applyFont="1" applyFill="1" applyBorder="1">
      <alignment vertical="center"/>
    </xf>
    <xf numFmtId="0" fontId="3" fillId="12" borderId="9" xfId="0" applyFont="1" applyFill="1" applyBorder="1">
      <alignment vertical="center"/>
    </xf>
    <xf numFmtId="191" fontId="3" fillId="11" borderId="19" xfId="0" applyNumberFormat="1" applyFont="1" applyFill="1" applyBorder="1">
      <alignment vertical="center"/>
    </xf>
    <xf numFmtId="188" fontId="3" fillId="0" borderId="18" xfId="2" applyNumberFormat="1" applyFont="1" applyBorder="1">
      <alignment vertical="center"/>
    </xf>
    <xf numFmtId="0" fontId="3" fillId="11" borderId="8" xfId="0" applyFont="1" applyFill="1" applyBorder="1">
      <alignment vertical="center"/>
    </xf>
    <xf numFmtId="188" fontId="3" fillId="0" borderId="9" xfId="2" applyNumberFormat="1" applyFont="1" applyBorder="1">
      <alignment vertical="center"/>
    </xf>
    <xf numFmtId="1" fontId="3" fillId="0" borderId="11" xfId="0" applyNumberFormat="1" applyFont="1" applyBorder="1">
      <alignment vertical="center"/>
    </xf>
    <xf numFmtId="1" fontId="3" fillId="0" borderId="17" xfId="0" applyNumberFormat="1" applyFont="1" applyBorder="1">
      <alignment vertical="center"/>
    </xf>
    <xf numFmtId="183" fontId="3" fillId="11" borderId="19" xfId="0" applyNumberFormat="1" applyFont="1" applyFill="1" applyBorder="1">
      <alignment vertical="center"/>
    </xf>
    <xf numFmtId="0" fontId="3" fillId="12" borderId="32" xfId="0" applyFont="1" applyFill="1" applyBorder="1">
      <alignment vertical="center"/>
    </xf>
    <xf numFmtId="0" fontId="3" fillId="12" borderId="33" xfId="0" applyFont="1" applyFill="1" applyBorder="1">
      <alignment vertical="center"/>
    </xf>
    <xf numFmtId="0" fontId="3" fillId="12" borderId="34" xfId="0" applyFont="1" applyFill="1" applyBorder="1">
      <alignment vertical="center"/>
    </xf>
    <xf numFmtId="0" fontId="3" fillId="12" borderId="35" xfId="0" applyFont="1" applyFill="1" applyBorder="1">
      <alignment vertical="center"/>
    </xf>
    <xf numFmtId="0" fontId="3" fillId="12" borderId="36" xfId="0" applyFont="1" applyFill="1" applyBorder="1">
      <alignment vertical="center"/>
    </xf>
    <xf numFmtId="0" fontId="3" fillId="12" borderId="37" xfId="0" applyFont="1" applyFill="1" applyBorder="1">
      <alignment vertical="center"/>
    </xf>
    <xf numFmtId="0" fontId="3" fillId="16" borderId="2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1" fontId="3" fillId="6" borderId="11" xfId="0" applyNumberFormat="1" applyFont="1" applyFill="1" applyBorder="1">
      <alignment vertical="center"/>
    </xf>
    <xf numFmtId="1" fontId="3" fillId="6" borderId="16" xfId="0" applyNumberFormat="1" applyFont="1" applyFill="1" applyBorder="1">
      <alignment vertical="center"/>
    </xf>
    <xf numFmtId="1" fontId="3" fillId="6" borderId="17" xfId="0" applyNumberFormat="1" applyFont="1" applyFill="1" applyBorder="1">
      <alignment vertical="center"/>
    </xf>
    <xf numFmtId="1" fontId="3" fillId="0" borderId="0" xfId="2" applyNumberFormat="1" applyFont="1">
      <alignment vertical="center"/>
    </xf>
    <xf numFmtId="192" fontId="3" fillId="0" borderId="0" xfId="0" applyNumberFormat="1" applyFont="1">
      <alignment vertical="center"/>
    </xf>
    <xf numFmtId="187" fontId="3" fillId="0" borderId="9" xfId="2" applyNumberFormat="1" applyFont="1" applyBorder="1">
      <alignment vertical="center"/>
    </xf>
    <xf numFmtId="187" fontId="3" fillId="0" borderId="11" xfId="2" applyNumberFormat="1" applyFont="1" applyBorder="1">
      <alignment vertical="center"/>
    </xf>
    <xf numFmtId="187" fontId="3" fillId="0" borderId="16" xfId="2" applyNumberFormat="1" applyFont="1" applyBorder="1">
      <alignment vertical="center"/>
    </xf>
    <xf numFmtId="187" fontId="3" fillId="0" borderId="17" xfId="2" applyNumberFormat="1" applyFont="1" applyBorder="1">
      <alignment vertical="center"/>
    </xf>
    <xf numFmtId="193" fontId="3" fillId="0" borderId="0" xfId="0" applyNumberFormat="1" applyFont="1">
      <alignment vertical="center"/>
    </xf>
    <xf numFmtId="0" fontId="3" fillId="0" borderId="11" xfId="0" applyFont="1" applyFill="1" applyBorder="1">
      <alignment vertical="center"/>
    </xf>
    <xf numFmtId="0" fontId="3" fillId="0" borderId="16" xfId="0" applyFont="1" applyFill="1" applyBorder="1">
      <alignment vertical="center"/>
    </xf>
    <xf numFmtId="0" fontId="3" fillId="17" borderId="16" xfId="0" applyFont="1" applyFill="1" applyBorder="1">
      <alignment vertical="center"/>
    </xf>
    <xf numFmtId="193" fontId="3" fillId="11" borderId="0" xfId="0" applyNumberFormat="1" applyFont="1" applyFill="1" applyBorder="1">
      <alignment vertical="center"/>
    </xf>
    <xf numFmtId="185" fontId="3" fillId="6" borderId="39" xfId="0" applyNumberFormat="1" applyFont="1" applyFill="1" applyBorder="1">
      <alignment vertical="center"/>
    </xf>
    <xf numFmtId="185" fontId="3" fillId="6" borderId="40" xfId="0" applyNumberFormat="1" applyFont="1" applyFill="1" applyBorder="1">
      <alignment vertical="center"/>
    </xf>
    <xf numFmtId="185" fontId="3" fillId="6" borderId="2" xfId="0" applyNumberFormat="1" applyFont="1" applyFill="1" applyBorder="1">
      <alignment vertical="center"/>
    </xf>
    <xf numFmtId="185" fontId="3" fillId="6" borderId="38" xfId="0" applyNumberFormat="1" applyFont="1" applyFill="1" applyBorder="1">
      <alignment vertical="center"/>
    </xf>
    <xf numFmtId="185" fontId="3" fillId="6" borderId="40" xfId="2" applyNumberFormat="1" applyFont="1" applyFill="1" applyBorder="1" applyAlignment="1">
      <alignment horizontal="right" vertical="center"/>
    </xf>
    <xf numFmtId="185" fontId="3" fillId="6" borderId="2" xfId="2" applyNumberFormat="1" applyFont="1" applyFill="1" applyBorder="1" applyAlignment="1">
      <alignment horizontal="right" vertical="center"/>
    </xf>
    <xf numFmtId="185" fontId="3" fillId="6" borderId="1" xfId="0" applyNumberFormat="1" applyFont="1" applyFill="1" applyBorder="1">
      <alignment vertical="center"/>
    </xf>
    <xf numFmtId="185" fontId="3" fillId="0" borderId="1" xfId="0" applyNumberFormat="1" applyFont="1" applyBorder="1">
      <alignment vertical="center"/>
    </xf>
    <xf numFmtId="9" fontId="3" fillId="0" borderId="0" xfId="2" applyFont="1">
      <alignment vertical="center"/>
    </xf>
    <xf numFmtId="10" fontId="0" fillId="0" borderId="0" xfId="2" applyNumberFormat="1" applyFont="1">
      <alignment vertical="center"/>
    </xf>
    <xf numFmtId="180" fontId="3" fillId="0" borderId="20" xfId="0" applyNumberFormat="1" applyFont="1" applyBorder="1">
      <alignment vertical="center"/>
    </xf>
    <xf numFmtId="193" fontId="3" fillId="0" borderId="19" xfId="0" applyNumberFormat="1" applyFont="1" applyBorder="1">
      <alignment vertical="center"/>
    </xf>
    <xf numFmtId="180" fontId="3" fillId="0" borderId="13" xfId="0" applyNumberFormat="1" applyFont="1" applyBorder="1">
      <alignment vertical="center"/>
    </xf>
    <xf numFmtId="193" fontId="3" fillId="0" borderId="0" xfId="0" applyNumberFormat="1" applyFont="1" applyBorder="1">
      <alignment vertical="center"/>
    </xf>
    <xf numFmtId="180" fontId="3" fillId="0" borderId="7" xfId="0" applyNumberFormat="1" applyFont="1" applyBorder="1">
      <alignment vertical="center"/>
    </xf>
    <xf numFmtId="193" fontId="3" fillId="0" borderId="8" xfId="0" applyNumberFormat="1" applyFont="1" applyBorder="1">
      <alignment vertical="center"/>
    </xf>
    <xf numFmtId="180" fontId="3" fillId="0" borderId="4" xfId="0" applyNumberFormat="1" applyFont="1" applyBorder="1">
      <alignment vertical="center"/>
    </xf>
    <xf numFmtId="180" fontId="3" fillId="0" borderId="5" xfId="0" applyNumberFormat="1" applyFont="1" applyBorder="1">
      <alignment vertical="center"/>
    </xf>
    <xf numFmtId="180" fontId="3" fillId="0" borderId="10" xfId="0" applyNumberFormat="1" applyFont="1" applyBorder="1">
      <alignment vertical="center"/>
    </xf>
    <xf numFmtId="1" fontId="3" fillId="0" borderId="19" xfId="0" applyNumberFormat="1" applyFont="1" applyBorder="1">
      <alignment vertical="center"/>
    </xf>
    <xf numFmtId="1" fontId="3" fillId="0" borderId="0" xfId="0" applyNumberFormat="1" applyFont="1" applyBorder="1">
      <alignment vertical="center"/>
    </xf>
    <xf numFmtId="1" fontId="3" fillId="0" borderId="8" xfId="0" applyNumberFormat="1" applyFont="1" applyBorder="1">
      <alignment vertical="center"/>
    </xf>
    <xf numFmtId="0" fontId="6" fillId="0" borderId="5" xfId="0" applyFont="1" applyBorder="1">
      <alignment vertical="center"/>
    </xf>
    <xf numFmtId="0" fontId="10" fillId="0" borderId="6" xfId="0" applyFont="1" applyBorder="1">
      <alignment vertical="center"/>
    </xf>
    <xf numFmtId="10" fontId="10" fillId="0" borderId="10" xfId="0" applyNumberFormat="1" applyFont="1" applyBorder="1">
      <alignment vertical="center"/>
    </xf>
    <xf numFmtId="194" fontId="3" fillId="0" borderId="12" xfId="3" applyNumberFormat="1" applyFont="1" applyBorder="1">
      <alignment vertical="center"/>
    </xf>
    <xf numFmtId="194" fontId="3" fillId="0" borderId="18" xfId="3" applyNumberFormat="1" applyFont="1" applyBorder="1">
      <alignment vertical="center"/>
    </xf>
    <xf numFmtId="194" fontId="3" fillId="0" borderId="9" xfId="3" applyNumberFormat="1" applyFont="1" applyBorder="1">
      <alignment vertical="center"/>
    </xf>
    <xf numFmtId="0" fontId="3" fillId="0" borderId="9" xfId="0" quotePrefix="1" applyFont="1" applyBorder="1">
      <alignment vertical="center"/>
    </xf>
    <xf numFmtId="180" fontId="3" fillId="9" borderId="0" xfId="0" applyNumberFormat="1" applyFont="1" applyFill="1">
      <alignment vertical="center"/>
    </xf>
    <xf numFmtId="180" fontId="3" fillId="8" borderId="0" xfId="0" applyNumberFormat="1" applyFont="1" applyFill="1">
      <alignment vertical="center"/>
    </xf>
    <xf numFmtId="180" fontId="3" fillId="15" borderId="0" xfId="0" applyNumberFormat="1" applyFont="1" applyFill="1">
      <alignment vertical="center"/>
    </xf>
    <xf numFmtId="0" fontId="4" fillId="18" borderId="0" xfId="0" applyFont="1" applyFill="1" applyAlignment="1">
      <alignment vertical="center"/>
    </xf>
    <xf numFmtId="0" fontId="4" fillId="18" borderId="1" xfId="0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8" borderId="0" xfId="0" applyFont="1" applyFill="1">
      <alignment vertical="center"/>
    </xf>
    <xf numFmtId="0" fontId="3" fillId="14" borderId="7" xfId="0" applyFont="1" applyFill="1" applyBorder="1">
      <alignment vertical="center"/>
    </xf>
    <xf numFmtId="0" fontId="3" fillId="14" borderId="8" xfId="0" applyFont="1" applyFill="1" applyBorder="1">
      <alignment vertical="center"/>
    </xf>
    <xf numFmtId="0" fontId="3" fillId="14" borderId="9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0" fillId="0" borderId="0" xfId="0" applyFill="1" applyBorder="1">
      <alignment vertical="center"/>
    </xf>
    <xf numFmtId="0" fontId="3" fillId="0" borderId="20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7" borderId="8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4">
    <cellStyle name="一般" xfId="0" builtinId="0"/>
    <cellStyle name="千分位" xfId="1" builtinId="3"/>
    <cellStyle name="百分比" xfId="2" builtinId="5"/>
    <cellStyle name="貨幣" xfId="3" builtinId="4"/>
  </cellStyles>
  <dxfs count="94"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theme="0" tint="-0.14996795556505021"/>
      </font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ill>
        <patternFill>
          <bgColor indexed="26"/>
        </patternFill>
      </fill>
    </dxf>
    <dxf>
      <fill>
        <patternFill>
          <bgColor indexed="50"/>
        </patternFill>
      </fill>
    </dxf>
    <dxf>
      <fill>
        <patternFill>
          <bgColor indexed="44"/>
        </patternFill>
      </fill>
    </dxf>
    <dxf>
      <font>
        <color theme="0" tint="-0.1499679555650502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Weight'!$I$4:$I$55</c15:sqref>
                  </c15:fullRef>
                </c:ext>
              </c:extLst>
              <c:f>'Multiplier Weight'!$I$5:$I$55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Weight'!$N$4:$N$55</c15:sqref>
                  </c15:fullRef>
                </c:ext>
              </c:extLst>
              <c:f>'Multiplier Weight'!$N$5:$N$55</c:f>
              <c:numCache>
                <c:formatCode>0.000000%</c:formatCode>
                <c:ptCount val="51"/>
                <c:pt idx="0">
                  <c:v>1.1469045000000001E-2</c:v>
                </c:pt>
                <c:pt idx="1">
                  <c:v>1.5919961E-2</c:v>
                </c:pt>
                <c:pt idx="2">
                  <c:v>1.1293805000000001E-2</c:v>
                </c:pt>
                <c:pt idx="3">
                  <c:v>1.2006272E-2</c:v>
                </c:pt>
                <c:pt idx="4">
                  <c:v>9.7940270000000003E-3</c:v>
                </c:pt>
                <c:pt idx="5">
                  <c:v>7.8186920000000004E-3</c:v>
                </c:pt>
                <c:pt idx="6">
                  <c:v>1.899979E-3</c:v>
                </c:pt>
                <c:pt idx="7">
                  <c:v>8.1584559999999997E-3</c:v>
                </c:pt>
                <c:pt idx="8">
                  <c:v>2.9851399999999998E-3</c:v>
                </c:pt>
                <c:pt idx="9">
                  <c:v>6.0053809999999997E-3</c:v>
                </c:pt>
                <c:pt idx="10">
                  <c:v>9.5660160000000001E-3</c:v>
                </c:pt>
                <c:pt idx="11">
                  <c:v>5.6794419999999998E-3</c:v>
                </c:pt>
                <c:pt idx="12">
                  <c:v>2.3807519999999999E-3</c:v>
                </c:pt>
                <c:pt idx="13">
                  <c:v>2.0636840000000001E-3</c:v>
                </c:pt>
                <c:pt idx="14">
                  <c:v>3.9434099999999998E-4</c:v>
                </c:pt>
                <c:pt idx="15">
                  <c:v>9.2011999999999997E-4</c:v>
                </c:pt>
                <c:pt idx="16">
                  <c:v>2.1370199999999999E-4</c:v>
                </c:pt>
                <c:pt idx="17">
                  <c:v>1.0684379999999999E-3</c:v>
                </c:pt>
                <c:pt idx="18">
                  <c:v>4.1658500000000002E-4</c:v>
                </c:pt>
                <c:pt idx="19">
                  <c:v>4.2827999999999997E-5</c:v>
                </c:pt>
                <c:pt idx="20">
                  <c:v>1.83597E-4</c:v>
                </c:pt>
                <c:pt idx="21">
                  <c:v>7.0643999999999997E-5</c:v>
                </c:pt>
                <c:pt idx="22">
                  <c:v>1.3325199999999999E-4</c:v>
                </c:pt>
                <c:pt idx="23">
                  <c:v>8.4025999999999998E-5</c:v>
                </c:pt>
                <c:pt idx="24">
                  <c:v>2.0360000000000002E-5</c:v>
                </c:pt>
                <c:pt idx="25">
                  <c:v>1.3704E-5</c:v>
                </c:pt>
                <c:pt idx="26">
                  <c:v>1.2213E-5</c:v>
                </c:pt>
                <c:pt idx="27">
                  <c:v>5.4219999999999999E-6</c:v>
                </c:pt>
                <c:pt idx="28">
                  <c:v>5.767E-6</c:v>
                </c:pt>
                <c:pt idx="29">
                  <c:v>6.7700000000000004E-7</c:v>
                </c:pt>
                <c:pt idx="30">
                  <c:v>3.39E-7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6.4000000000000004E-8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2.11E-7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F5-4700-99FC-13A11C86889F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Weight'!$N$69:$N$120</c15:sqref>
                  </c15:fullRef>
                </c:ext>
              </c:extLst>
              <c:f>'Multiplier Weight'!$N$70:$N$120</c:f>
              <c:numCache>
                <c:formatCode>0.000000%</c:formatCode>
                <c:ptCount val="51"/>
                <c:pt idx="0">
                  <c:v>3.944833E-3</c:v>
                </c:pt>
                <c:pt idx="1">
                  <c:v>1.1413820999999999E-2</c:v>
                </c:pt>
                <c:pt idx="2">
                  <c:v>5.8430110000000004E-3</c:v>
                </c:pt>
                <c:pt idx="3">
                  <c:v>1.0774192E-2</c:v>
                </c:pt>
                <c:pt idx="4">
                  <c:v>1.0054832999999999E-2</c:v>
                </c:pt>
                <c:pt idx="5">
                  <c:v>8.8825910000000004E-3</c:v>
                </c:pt>
                <c:pt idx="6">
                  <c:v>2.0271780000000001E-3</c:v>
                </c:pt>
                <c:pt idx="7">
                  <c:v>9.2404180000000002E-3</c:v>
                </c:pt>
                <c:pt idx="8">
                  <c:v>3.4892080000000002E-3</c:v>
                </c:pt>
                <c:pt idx="9">
                  <c:v>8.1170059999999995E-3</c:v>
                </c:pt>
                <c:pt idx="10">
                  <c:v>1.4159110000000001E-2</c:v>
                </c:pt>
                <c:pt idx="11">
                  <c:v>8.9138329999999995E-3</c:v>
                </c:pt>
                <c:pt idx="12">
                  <c:v>4.9764350000000004E-3</c:v>
                </c:pt>
                <c:pt idx="13">
                  <c:v>3.3166620000000002E-3</c:v>
                </c:pt>
                <c:pt idx="14">
                  <c:v>5.9554599999999997E-4</c:v>
                </c:pt>
                <c:pt idx="15">
                  <c:v>1.999153E-3</c:v>
                </c:pt>
                <c:pt idx="16">
                  <c:v>6.8281899999999998E-4</c:v>
                </c:pt>
                <c:pt idx="17">
                  <c:v>9.9677199999999994E-4</c:v>
                </c:pt>
                <c:pt idx="18">
                  <c:v>9.6195799999999995E-4</c:v>
                </c:pt>
                <c:pt idx="19">
                  <c:v>1.1090999999999999E-4</c:v>
                </c:pt>
                <c:pt idx="20">
                  <c:v>3.6705E-4</c:v>
                </c:pt>
                <c:pt idx="21">
                  <c:v>2.13909E-4</c:v>
                </c:pt>
                <c:pt idx="22">
                  <c:v>3.5900199999999998E-4</c:v>
                </c:pt>
                <c:pt idx="23">
                  <c:v>1.8386100000000001E-4</c:v>
                </c:pt>
                <c:pt idx="24">
                  <c:v>4.2070000000000002E-5</c:v>
                </c:pt>
                <c:pt idx="25">
                  <c:v>1.36131E-4</c:v>
                </c:pt>
                <c:pt idx="26">
                  <c:v>3.3189999999999999E-5</c:v>
                </c:pt>
                <c:pt idx="27">
                  <c:v>4.0923000000000001E-5</c:v>
                </c:pt>
                <c:pt idx="28">
                  <c:v>5.6385999999999999E-5</c:v>
                </c:pt>
                <c:pt idx="29">
                  <c:v>2.2098000000000001E-5</c:v>
                </c:pt>
                <c:pt idx="30">
                  <c:v>2.2050000000000001E-6</c:v>
                </c:pt>
                <c:pt idx="31">
                  <c:v>1.1000000000000001E-6</c:v>
                </c:pt>
                <c:pt idx="32">
                  <c:v>5.5169999999999999E-6</c:v>
                </c:pt>
                <c:pt idx="33">
                  <c:v>1.5446000000000001E-5</c:v>
                </c:pt>
                <c:pt idx="34">
                  <c:v>4.4100000000000001E-6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9.47E-7</c:v>
                </c:pt>
                <c:pt idx="45">
                  <c:v>4.2199999999999999E-7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F5-4700-99FC-13A11C868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Weight'!$I$4:$I$55</c15:sqref>
                        </c15:fullRef>
                        <c15:formulaRef>
                          <c15:sqref>'Multiplier Weight'!$I$5:$I$55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Weight'!$F$4:$F$55</c15:sqref>
                        </c15:fullRef>
                        <c15:formulaRef>
                          <c15:sqref>'Multiplier Weight'!$F$5:$F$55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1.2223533E-2</c:v>
                      </c:pt>
                      <c:pt idx="1">
                        <c:v>1.9854235000000001E-2</c:v>
                      </c:pt>
                      <c:pt idx="2">
                        <c:v>1.4020917000000001E-2</c:v>
                      </c:pt>
                      <c:pt idx="3">
                        <c:v>1.8463165E-2</c:v>
                      </c:pt>
                      <c:pt idx="4">
                        <c:v>1.2601097E-2</c:v>
                      </c:pt>
                      <c:pt idx="5">
                        <c:v>1.2543731000000001E-2</c:v>
                      </c:pt>
                      <c:pt idx="6">
                        <c:v>3.159125E-3</c:v>
                      </c:pt>
                      <c:pt idx="7">
                        <c:v>1.3147608E-2</c:v>
                      </c:pt>
                      <c:pt idx="8">
                        <c:v>5.7602790000000001E-3</c:v>
                      </c:pt>
                      <c:pt idx="9">
                        <c:v>7.136369E-3</c:v>
                      </c:pt>
                      <c:pt idx="10">
                        <c:v>1.7909726000000001E-2</c:v>
                      </c:pt>
                      <c:pt idx="11">
                        <c:v>1.1269242E-2</c:v>
                      </c:pt>
                      <c:pt idx="12">
                        <c:v>6.2142739999999997E-3</c:v>
                      </c:pt>
                      <c:pt idx="13">
                        <c:v>4.3279119999999997E-3</c:v>
                      </c:pt>
                      <c:pt idx="14">
                        <c:v>2.1453470000000001E-3</c:v>
                      </c:pt>
                      <c:pt idx="15">
                        <c:v>3.7781479999999998E-3</c:v>
                      </c:pt>
                      <c:pt idx="16">
                        <c:v>1.647988E-3</c:v>
                      </c:pt>
                      <c:pt idx="17">
                        <c:v>2.03404E-3</c:v>
                      </c:pt>
                      <c:pt idx="18">
                        <c:v>3.238075E-3</c:v>
                      </c:pt>
                      <c:pt idx="19">
                        <c:v>1.97518E-3</c:v>
                      </c:pt>
                      <c:pt idx="20">
                        <c:v>2.5611539999999999E-3</c:v>
                      </c:pt>
                      <c:pt idx="21">
                        <c:v>1.688794E-3</c:v>
                      </c:pt>
                      <c:pt idx="22">
                        <c:v>1.6731820000000001E-3</c:v>
                      </c:pt>
                      <c:pt idx="23">
                        <c:v>2.8563320000000001E-3</c:v>
                      </c:pt>
                      <c:pt idx="24">
                        <c:v>1.9702949999999999E-3</c:v>
                      </c:pt>
                      <c:pt idx="25">
                        <c:v>1.8481459999999999E-3</c:v>
                      </c:pt>
                      <c:pt idx="26">
                        <c:v>1.424062E-3</c:v>
                      </c:pt>
                      <c:pt idx="27">
                        <c:v>1.293811E-3</c:v>
                      </c:pt>
                      <c:pt idx="28">
                        <c:v>2.5036030000000001E-3</c:v>
                      </c:pt>
                      <c:pt idx="29">
                        <c:v>1.740187E-3</c:v>
                      </c:pt>
                      <c:pt idx="30">
                        <c:v>1.196831E-3</c:v>
                      </c:pt>
                      <c:pt idx="31">
                        <c:v>1.011971E-3</c:v>
                      </c:pt>
                      <c:pt idx="32">
                        <c:v>7.7170799999999996E-4</c:v>
                      </c:pt>
                      <c:pt idx="33">
                        <c:v>6.6979500000000005E-4</c:v>
                      </c:pt>
                      <c:pt idx="34">
                        <c:v>6.3955299999999995E-4</c:v>
                      </c:pt>
                      <c:pt idx="35">
                        <c:v>4.9441100000000005E-4</c:v>
                      </c:pt>
                      <c:pt idx="36">
                        <c:v>3.6221499999999999E-4</c:v>
                      </c:pt>
                      <c:pt idx="37">
                        <c:v>3.0541599999999998E-4</c:v>
                      </c:pt>
                      <c:pt idx="38">
                        <c:v>2.6460500000000001E-4</c:v>
                      </c:pt>
                      <c:pt idx="39">
                        <c:v>2.9601300000000003E-4</c:v>
                      </c:pt>
                      <c:pt idx="40">
                        <c:v>3.1597299999999999E-4</c:v>
                      </c:pt>
                      <c:pt idx="41">
                        <c:v>2.5198199999999999E-4</c:v>
                      </c:pt>
                      <c:pt idx="42">
                        <c:v>1.7547400000000001E-4</c:v>
                      </c:pt>
                      <c:pt idx="43">
                        <c:v>2.2338499999999999E-4</c:v>
                      </c:pt>
                      <c:pt idx="44">
                        <c:v>2.4714609999999999E-3</c:v>
                      </c:pt>
                      <c:pt idx="45">
                        <c:v>1.1042770000000001E-3</c:v>
                      </c:pt>
                      <c:pt idx="46">
                        <c:v>5.21194E-4</c:v>
                      </c:pt>
                      <c:pt idx="47">
                        <c:v>3.10888E-4</c:v>
                      </c:pt>
                      <c:pt idx="48">
                        <c:v>1.5022399999999999E-4</c:v>
                      </c:pt>
                      <c:pt idx="49">
                        <c:v>1.01847E-4</c:v>
                      </c:pt>
                      <c:pt idx="50">
                        <c:v>5.3374000000000001E-5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6F5-4700-99FC-13A11C86889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Weight'!$P$4:$P$55</c15:sqref>
                        </c15:fullRef>
                        <c15:formulaRef>
                          <c15:sqref>'Multiplier Weight'!$P$5:$P$55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1.1765347051168376E-2</c:v>
                      </c:pt>
                      <c:pt idx="1">
                        <c:v>1.6366761835715376E-2</c:v>
                      </c:pt>
                      <c:pt idx="2">
                        <c:v>1.1624640403900662E-2</c:v>
                      </c:pt>
                      <c:pt idx="3">
                        <c:v>1.2367798075398522E-2</c:v>
                      </c:pt>
                      <c:pt idx="4">
                        <c:v>1.0096140468408626E-2</c:v>
                      </c:pt>
                      <c:pt idx="5">
                        <c:v>8.0644016058650896E-3</c:v>
                      </c:pt>
                      <c:pt idx="6">
                        <c:v>1.9601644638672913E-3</c:v>
                      </c:pt>
                      <c:pt idx="7">
                        <c:v>8.4202434744829677E-3</c:v>
                      </c:pt>
                      <c:pt idx="8">
                        <c:v>3.0822244211840284E-3</c:v>
                      </c:pt>
                      <c:pt idx="9">
                        <c:v>6.2021371585412157E-3</c:v>
                      </c:pt>
                      <c:pt idx="10">
                        <c:v>9.886347575376592E-3</c:v>
                      </c:pt>
                      <c:pt idx="11">
                        <c:v>5.8748370439853752E-3</c:v>
                      </c:pt>
                      <c:pt idx="12">
                        <c:v>2.464368450227477E-3</c:v>
                      </c:pt>
                      <c:pt idx="13">
                        <c:v>2.1372963496844662E-3</c:v>
                      </c:pt>
                      <c:pt idx="14">
                        <c:v>4.0855510816272726E-4</c:v>
                      </c:pt>
                      <c:pt idx="15">
                        <c:v>9.536856097028299E-4</c:v>
                      </c:pt>
                      <c:pt idx="16">
                        <c:v>2.215736170282081E-4</c:v>
                      </c:pt>
                      <c:pt idx="17">
                        <c:v>1.1080800981705132E-3</c:v>
                      </c:pt>
                      <c:pt idx="18">
                        <c:v>4.3223056316148964E-4</c:v>
                      </c:pt>
                      <c:pt idx="19">
                        <c:v>4.4454732010010405E-5</c:v>
                      </c:pt>
                      <c:pt idx="20">
                        <c:v>1.9063971595438369E-4</c:v>
                      </c:pt>
                      <c:pt idx="21">
                        <c:v>7.3379509611142663E-5</c:v>
                      </c:pt>
                      <c:pt idx="22">
                        <c:v>1.3844850849153786E-4</c:v>
                      </c:pt>
                      <c:pt idx="23">
                        <c:v>8.7337367405251263E-5</c:v>
                      </c:pt>
                      <c:pt idx="24">
                        <c:v>2.1173301226400169E-5</c:v>
                      </c:pt>
                      <c:pt idx="25">
                        <c:v>1.4257876232041717E-5</c:v>
                      </c:pt>
                      <c:pt idx="26">
                        <c:v>1.2709781092306809E-5</c:v>
                      </c:pt>
                      <c:pt idx="27">
                        <c:v>5.6453469404415714E-6</c:v>
                      </c:pt>
                      <c:pt idx="28">
                        <c:v>6.0073691888808718E-6</c:v>
                      </c:pt>
                      <c:pt idx="29">
                        <c:v>7.0704345206238994E-7</c:v>
                      </c:pt>
                      <c:pt idx="30">
                        <c:v>3.550218182208606E-7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6.8004179264840897E-8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2.2201364407050998E-7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6F5-4700-99FC-13A11C86889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Weight'!$N$134:$N$185</c15:sqref>
                        </c15:fullRef>
                        <c15:formulaRef>
                          <c15:sqref>'Multiplier Weight'!$N$135:$N$185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3.2757534999999997E-2</c:v>
                      </c:pt>
                      <c:pt idx="8">
                        <c:v>0</c:v>
                      </c:pt>
                      <c:pt idx="9">
                        <c:v>2.4687357E-2</c:v>
                      </c:pt>
                      <c:pt idx="10">
                        <c:v>3.9406600000000003E-3</c:v>
                      </c:pt>
                      <c:pt idx="11">
                        <c:v>1.353794E-2</c:v>
                      </c:pt>
                      <c:pt idx="12">
                        <c:v>8.5287760000000001E-3</c:v>
                      </c:pt>
                      <c:pt idx="13">
                        <c:v>6.7664070000000003E-3</c:v>
                      </c:pt>
                      <c:pt idx="14">
                        <c:v>4.5285680000000002E-3</c:v>
                      </c:pt>
                      <c:pt idx="15">
                        <c:v>3.9681949999999999E-3</c:v>
                      </c:pt>
                      <c:pt idx="16">
                        <c:v>8.4299319999999994E-3</c:v>
                      </c:pt>
                      <c:pt idx="17">
                        <c:v>2.8741930000000001E-3</c:v>
                      </c:pt>
                      <c:pt idx="18">
                        <c:v>2.984329E-3</c:v>
                      </c:pt>
                      <c:pt idx="19">
                        <c:v>8.1694500000000002E-4</c:v>
                      </c:pt>
                      <c:pt idx="20">
                        <c:v>1.526204E-3</c:v>
                      </c:pt>
                      <c:pt idx="21">
                        <c:v>1.4340639000000001E-2</c:v>
                      </c:pt>
                      <c:pt idx="22">
                        <c:v>2.1598590000000001E-3</c:v>
                      </c:pt>
                      <c:pt idx="23">
                        <c:v>5.9298E-4</c:v>
                      </c:pt>
                      <c:pt idx="24">
                        <c:v>8.4153999999999994E-5</c:v>
                      </c:pt>
                      <c:pt idx="25">
                        <c:v>1.47952E-4</c:v>
                      </c:pt>
                      <c:pt idx="26">
                        <c:v>4.9230389999999997E-3</c:v>
                      </c:pt>
                      <c:pt idx="27">
                        <c:v>7.8465000000000002E-5</c:v>
                      </c:pt>
                      <c:pt idx="28">
                        <c:v>3.0351000000000001E-5</c:v>
                      </c:pt>
                      <c:pt idx="29">
                        <c:v>2.1059030000000001E-3</c:v>
                      </c:pt>
                      <c:pt idx="30">
                        <c:v>6.3129199999999999E-4</c:v>
                      </c:pt>
                      <c:pt idx="31">
                        <c:v>0</c:v>
                      </c:pt>
                      <c:pt idx="32">
                        <c:v>8.1938400000000004E-4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2.8090500000000002E-4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9.4530999999999993E-5</c:v>
                      </c:pt>
                      <c:pt idx="46">
                        <c:v>0</c:v>
                      </c:pt>
                      <c:pt idx="47">
                        <c:v>5.9284999999999999E-5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6F5-4700-99FC-13A11C86889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Weight'!$N$199:$N$250</c15:sqref>
                        </c15:fullRef>
                        <c15:formulaRef>
                          <c15:sqref>'Multiplier Weight'!$N$200:$N$250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9.0775122E-2</c:v>
                      </c:pt>
                      <c:pt idx="19">
                        <c:v>7.1105003E-2</c:v>
                      </c:pt>
                      <c:pt idx="20">
                        <c:v>6.1193335000000001E-2</c:v>
                      </c:pt>
                      <c:pt idx="21">
                        <c:v>7.4031785000000003E-2</c:v>
                      </c:pt>
                      <c:pt idx="22">
                        <c:v>0.13645348600000001</c:v>
                      </c:pt>
                      <c:pt idx="23">
                        <c:v>0.150348801</c:v>
                      </c:pt>
                      <c:pt idx="24">
                        <c:v>7.8930366000000002E-2</c:v>
                      </c:pt>
                      <c:pt idx="25">
                        <c:v>3.5891684E-2</c:v>
                      </c:pt>
                      <c:pt idx="26">
                        <c:v>2.0412396999999999E-2</c:v>
                      </c:pt>
                      <c:pt idx="27">
                        <c:v>2.9873269000000001E-2</c:v>
                      </c:pt>
                      <c:pt idx="28">
                        <c:v>1.2615593E-2</c:v>
                      </c:pt>
                      <c:pt idx="29">
                        <c:v>7.2873713000000007E-2</c:v>
                      </c:pt>
                      <c:pt idx="30">
                        <c:v>1.0912349E-2</c:v>
                      </c:pt>
                      <c:pt idx="31">
                        <c:v>1.2460420999999999E-2</c:v>
                      </c:pt>
                      <c:pt idx="32">
                        <c:v>9.6797129999999995E-3</c:v>
                      </c:pt>
                      <c:pt idx="33">
                        <c:v>1.2013041E-2</c:v>
                      </c:pt>
                      <c:pt idx="34">
                        <c:v>3.4555880999999997E-2</c:v>
                      </c:pt>
                      <c:pt idx="35">
                        <c:v>1.8163383000000002E-2</c:v>
                      </c:pt>
                      <c:pt idx="36">
                        <c:v>1.1977511999999999E-2</c:v>
                      </c:pt>
                      <c:pt idx="37">
                        <c:v>5.6306419999999999E-3</c:v>
                      </c:pt>
                      <c:pt idx="38">
                        <c:v>4.7552979999999998E-3</c:v>
                      </c:pt>
                      <c:pt idx="39">
                        <c:v>7.8102550000000003E-3</c:v>
                      </c:pt>
                      <c:pt idx="40">
                        <c:v>4.3760489999999999E-3</c:v>
                      </c:pt>
                      <c:pt idx="41">
                        <c:v>4.248122E-3</c:v>
                      </c:pt>
                      <c:pt idx="42">
                        <c:v>3.2606610000000002E-3</c:v>
                      </c:pt>
                      <c:pt idx="43">
                        <c:v>5.9459550000000002E-3</c:v>
                      </c:pt>
                      <c:pt idx="44">
                        <c:v>1.4672810999999999E-2</c:v>
                      </c:pt>
                      <c:pt idx="45">
                        <c:v>1.5052760000000001E-3</c:v>
                      </c:pt>
                      <c:pt idx="46">
                        <c:v>1.2085419999999999E-3</c:v>
                      </c:pt>
                      <c:pt idx="47">
                        <c:v>9.5571299999999996E-4</c:v>
                      </c:pt>
                      <c:pt idx="48">
                        <c:v>3.1576400000000001E-4</c:v>
                      </c:pt>
                      <c:pt idx="49">
                        <c:v>2.9737399999999999E-4</c:v>
                      </c:pt>
                      <c:pt idx="50">
                        <c:v>2.7636400000000003E-4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6F5-4700-99FC-13A11C86889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Weight'!$P$69:$P$120</c15:sqref>
                        </c15:fullRef>
                        <c15:formulaRef>
                          <c15:sqref>'Multiplier Weight'!$P$70:$P$120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4.0361703930230355E-3</c:v>
                      </c:pt>
                      <c:pt idx="1">
                        <c:v>1.1713281321625699E-2</c:v>
                      </c:pt>
                      <c:pt idx="2">
                        <c:v>6.0042766017396332E-3</c:v>
                      </c:pt>
                      <c:pt idx="3">
                        <c:v>1.1079075131773286E-2</c:v>
                      </c:pt>
                      <c:pt idx="4">
                        <c:v>1.0346060977555142E-2</c:v>
                      </c:pt>
                      <c:pt idx="5">
                        <c:v>9.1454352594481318E-3</c:v>
                      </c:pt>
                      <c:pt idx="6">
                        <c:v>2.0875943749210993E-3</c:v>
                      </c:pt>
                      <c:pt idx="7">
                        <c:v>9.5199849150527701E-3</c:v>
                      </c:pt>
                      <c:pt idx="8">
                        <c:v>3.5961320982492791E-3</c:v>
                      </c:pt>
                      <c:pt idx="9">
                        <c:v>8.3676136679093991E-3</c:v>
                      </c:pt>
                      <c:pt idx="10">
                        <c:v>1.4606271557210398E-2</c:v>
                      </c:pt>
                      <c:pt idx="11">
                        <c:v>9.2028818201265652E-3</c:v>
                      </c:pt>
                      <c:pt idx="12">
                        <c:v>5.1414351804073607E-3</c:v>
                      </c:pt>
                      <c:pt idx="13">
                        <c:v>3.4283894610811403E-3</c:v>
                      </c:pt>
                      <c:pt idx="14">
                        <c:v>6.1582301043258182E-4</c:v>
                      </c:pt>
                      <c:pt idx="15">
                        <c:v>2.0680631842966788E-3</c:v>
                      </c:pt>
                      <c:pt idx="16">
                        <c:v>7.065878962978679E-4</c:v>
                      </c:pt>
                      <c:pt idx="17">
                        <c:v>1.0317330697147604E-3</c:v>
                      </c:pt>
                      <c:pt idx="18">
                        <c:v>9.961167220992077E-4</c:v>
                      </c:pt>
                      <c:pt idx="19">
                        <c:v>1.1489212134710435E-4</c:v>
                      </c:pt>
                      <c:pt idx="20">
                        <c:v>3.803697124083931E-4</c:v>
                      </c:pt>
                      <c:pt idx="21">
                        <c:v>2.2174216420352264E-4</c:v>
                      </c:pt>
                      <c:pt idx="22">
                        <c:v>3.7225063316617972E-4</c:v>
                      </c:pt>
                      <c:pt idx="23">
                        <c:v>1.9072086143560762E-4</c:v>
                      </c:pt>
                      <c:pt idx="24">
                        <c:v>4.3658426106238795E-5</c:v>
                      </c:pt>
                      <c:pt idx="25">
                        <c:v>1.4131737925762155E-4</c:v>
                      </c:pt>
                      <c:pt idx="26">
                        <c:v>3.4467336401203274E-5</c:v>
                      </c:pt>
                      <c:pt idx="27">
                        <c:v>4.2509414891889347E-5</c:v>
                      </c:pt>
                      <c:pt idx="28">
                        <c:v>5.8594571883021578E-5</c:v>
                      </c:pt>
                      <c:pt idx="29">
                        <c:v>2.2978224267468849E-5</c:v>
                      </c:pt>
                      <c:pt idx="30">
                        <c:v>2.297022418938809E-6</c:v>
                      </c:pt>
                      <c:pt idx="31">
                        <c:v>1.1480112045893569E-6</c:v>
                      </c:pt>
                      <c:pt idx="32">
                        <c:v>5.7440560619871648E-6</c:v>
                      </c:pt>
                      <c:pt idx="33">
                        <c:v>1.6084156981372139E-5</c:v>
                      </c:pt>
                      <c:pt idx="34">
                        <c:v>4.5950448476377131E-6</c:v>
                      </c:pt>
                      <c:pt idx="35">
                        <c:v>0</c:v>
                      </c:pt>
                      <c:pt idx="36">
                        <c:v>2.5370247613616707E-6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9.9000966249430593E-7</c:v>
                      </c:pt>
                      <c:pt idx="45">
                        <c:v>4.430043237221995E-7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6F5-4700-99FC-13A11C86889F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Weight'!$I$4:$I$55</c15:sqref>
                  </c15:fullRef>
                </c:ext>
              </c:extLst>
              <c:f>('Multiplier Weight'!$I$28:$I$39,'Multiplier Weight'!$I$49:$I$50)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Weight'!$N$4:$N$55</c15:sqref>
                  </c15:fullRef>
                </c:ext>
              </c:extLst>
              <c:f>('Multiplier Weight'!$N$28:$N$39,'Multiplier Weight'!$N$49:$N$50)</c:f>
              <c:numCache>
                <c:formatCode>0.000000%</c:formatCode>
                <c:ptCount val="14"/>
                <c:pt idx="0">
                  <c:v>8.4025999999999998E-5</c:v>
                </c:pt>
                <c:pt idx="1">
                  <c:v>2.0360000000000002E-5</c:v>
                </c:pt>
                <c:pt idx="2">
                  <c:v>1.3704E-5</c:v>
                </c:pt>
                <c:pt idx="3">
                  <c:v>1.2213E-5</c:v>
                </c:pt>
                <c:pt idx="4">
                  <c:v>5.4219999999999999E-6</c:v>
                </c:pt>
                <c:pt idx="5">
                  <c:v>5.767E-6</c:v>
                </c:pt>
                <c:pt idx="6">
                  <c:v>6.7700000000000004E-7</c:v>
                </c:pt>
                <c:pt idx="7">
                  <c:v>3.39E-7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6.4000000000000004E-8</c:v>
                </c:pt>
                <c:pt idx="12">
                  <c:v>2.11E-7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8-4194-BF71-6D8C142C0695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Weight'!$P$4:$P$55</c15:sqref>
                  </c15:fullRef>
                </c:ext>
              </c:extLst>
              <c:f>('Multiplier Weight'!$P$28:$P$39,'Multiplier Weight'!$P$49:$P$50)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08-4194-BF71-6D8C142C0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Weight'!$I$4:$I$55</c15:sqref>
                        </c15:fullRef>
                        <c15:formulaRef>
                          <c15:sqref>('Multiplier Weight'!$I$28:$I$39,'Multiplier Weight'!$I$49:$I$50)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Weight'!$F$4:$F$55</c15:sqref>
                        </c15:fullRef>
                        <c15:formulaRef>
                          <c15:sqref>('Multiplier Weight'!$F$28:$F$39,'Multiplier Weight'!$F$49:$F$50)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2.8563320000000001E-3</c:v>
                      </c:pt>
                      <c:pt idx="1">
                        <c:v>1.9702949999999999E-3</c:v>
                      </c:pt>
                      <c:pt idx="2">
                        <c:v>1.8481459999999999E-3</c:v>
                      </c:pt>
                      <c:pt idx="3">
                        <c:v>1.424062E-3</c:v>
                      </c:pt>
                      <c:pt idx="4">
                        <c:v>1.293811E-3</c:v>
                      </c:pt>
                      <c:pt idx="5">
                        <c:v>2.5036030000000001E-3</c:v>
                      </c:pt>
                      <c:pt idx="6">
                        <c:v>1.740187E-3</c:v>
                      </c:pt>
                      <c:pt idx="7">
                        <c:v>1.196831E-3</c:v>
                      </c:pt>
                      <c:pt idx="8">
                        <c:v>1.011971E-3</c:v>
                      </c:pt>
                      <c:pt idx="9">
                        <c:v>7.7170799999999996E-4</c:v>
                      </c:pt>
                      <c:pt idx="10">
                        <c:v>6.6979500000000005E-4</c:v>
                      </c:pt>
                      <c:pt idx="11">
                        <c:v>6.3955299999999995E-4</c:v>
                      </c:pt>
                      <c:pt idx="12">
                        <c:v>2.4714609999999999E-3</c:v>
                      </c:pt>
                      <c:pt idx="13">
                        <c:v>1.1042770000000001E-3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EE08-4194-BF71-6D8C142C069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Weight'!$N$69:$N$120</c15:sqref>
                        </c15:fullRef>
                        <c15:formulaRef>
                          <c15:sqref>('Multiplier Weight'!$N$93:$N$104,'Multiplier Weight'!$N$114:$N$115)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1.8386100000000001E-4</c:v>
                      </c:pt>
                      <c:pt idx="1">
                        <c:v>4.2070000000000002E-5</c:v>
                      </c:pt>
                      <c:pt idx="2">
                        <c:v>1.36131E-4</c:v>
                      </c:pt>
                      <c:pt idx="3">
                        <c:v>3.3189999999999999E-5</c:v>
                      </c:pt>
                      <c:pt idx="4">
                        <c:v>4.0923000000000001E-5</c:v>
                      </c:pt>
                      <c:pt idx="5">
                        <c:v>5.6385999999999999E-5</c:v>
                      </c:pt>
                      <c:pt idx="6">
                        <c:v>2.2098000000000001E-5</c:v>
                      </c:pt>
                      <c:pt idx="7">
                        <c:v>2.2050000000000001E-6</c:v>
                      </c:pt>
                      <c:pt idx="8">
                        <c:v>1.1000000000000001E-6</c:v>
                      </c:pt>
                      <c:pt idx="9">
                        <c:v>5.5169999999999999E-6</c:v>
                      </c:pt>
                      <c:pt idx="10">
                        <c:v>1.5446000000000001E-5</c:v>
                      </c:pt>
                      <c:pt idx="11">
                        <c:v>4.4100000000000001E-6</c:v>
                      </c:pt>
                      <c:pt idx="12">
                        <c:v>9.47E-7</c:v>
                      </c:pt>
                      <c:pt idx="13">
                        <c:v>4.2199999999999999E-7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E08-4194-BF71-6D8C142C069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Weight'!$N$134:$N$185</c15:sqref>
                        </c15:fullRef>
                        <c15:formulaRef>
                          <c15:sqref>('Multiplier Weight'!$N$158:$N$169,'Multiplier Weight'!$N$179:$N$180)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5.9298E-4</c:v>
                      </c:pt>
                      <c:pt idx="1">
                        <c:v>8.4153999999999994E-5</c:v>
                      </c:pt>
                      <c:pt idx="2">
                        <c:v>1.47952E-4</c:v>
                      </c:pt>
                      <c:pt idx="3">
                        <c:v>4.9230389999999997E-3</c:v>
                      </c:pt>
                      <c:pt idx="4">
                        <c:v>7.8465000000000002E-5</c:v>
                      </c:pt>
                      <c:pt idx="5">
                        <c:v>3.0351000000000001E-5</c:v>
                      </c:pt>
                      <c:pt idx="6">
                        <c:v>2.1059030000000001E-3</c:v>
                      </c:pt>
                      <c:pt idx="7">
                        <c:v>6.3129199999999999E-4</c:v>
                      </c:pt>
                      <c:pt idx="8">
                        <c:v>0</c:v>
                      </c:pt>
                      <c:pt idx="9">
                        <c:v>8.1938400000000004E-4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9.4530999999999993E-5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E08-4194-BF71-6D8C142C069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Weight'!$N$199:$N$250</c15:sqref>
                        </c15:fullRef>
                        <c15:formulaRef>
                          <c15:sqref>('Multiplier Weight'!$N$223:$N$234,'Multiplier Weight'!$N$244:$N$245)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0.150348801</c:v>
                      </c:pt>
                      <c:pt idx="1">
                        <c:v>7.8930366000000002E-2</c:v>
                      </c:pt>
                      <c:pt idx="2">
                        <c:v>3.5891684E-2</c:v>
                      </c:pt>
                      <c:pt idx="3">
                        <c:v>2.0412396999999999E-2</c:v>
                      </c:pt>
                      <c:pt idx="4">
                        <c:v>2.9873269000000001E-2</c:v>
                      </c:pt>
                      <c:pt idx="5">
                        <c:v>1.2615593E-2</c:v>
                      </c:pt>
                      <c:pt idx="6">
                        <c:v>7.2873713000000007E-2</c:v>
                      </c:pt>
                      <c:pt idx="7">
                        <c:v>1.0912349E-2</c:v>
                      </c:pt>
                      <c:pt idx="8">
                        <c:v>1.2460420999999999E-2</c:v>
                      </c:pt>
                      <c:pt idx="9">
                        <c:v>9.6797129999999995E-3</c:v>
                      </c:pt>
                      <c:pt idx="10">
                        <c:v>1.2013041E-2</c:v>
                      </c:pt>
                      <c:pt idx="11">
                        <c:v>3.4555880999999997E-2</c:v>
                      </c:pt>
                      <c:pt idx="12">
                        <c:v>1.4672810999999999E-2</c:v>
                      </c:pt>
                      <c:pt idx="13">
                        <c:v>1.5052760000000001E-3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E08-4194-BF71-6D8C142C0695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'Multiplier Weight (new_player)'!$I$5:$I$55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  <c:extLst/>
            </c:strRef>
          </c:cat>
          <c:val>
            <c:numRef>
              <c:f>'Multiplier Weight (new_player)'!$N$5:$N$55</c:f>
              <c:numCache>
                <c:formatCode>0.000000%</c:formatCode>
                <c:ptCount val="51"/>
                <c:pt idx="0">
                  <c:v>5.5273529999999996E-3</c:v>
                </c:pt>
                <c:pt idx="1">
                  <c:v>8.9676440000000003E-3</c:v>
                </c:pt>
                <c:pt idx="2">
                  <c:v>6.3264669999999997E-3</c:v>
                </c:pt>
                <c:pt idx="3">
                  <c:v>8.3238199999999991E-3</c:v>
                </c:pt>
                <c:pt idx="4">
                  <c:v>5.6919020000000004E-3</c:v>
                </c:pt>
                <c:pt idx="5">
                  <c:v>5.6604719999999997E-3</c:v>
                </c:pt>
                <c:pt idx="6">
                  <c:v>1.4257989999999999E-3</c:v>
                </c:pt>
                <c:pt idx="7">
                  <c:v>1.4843510000000001E-2</c:v>
                </c:pt>
                <c:pt idx="8">
                  <c:v>3.236367E-3</c:v>
                </c:pt>
                <c:pt idx="9">
                  <c:v>4.0230800000000001E-3</c:v>
                </c:pt>
                <c:pt idx="10">
                  <c:v>2.0179465000000001E-2</c:v>
                </c:pt>
                <c:pt idx="11">
                  <c:v>5.0662420000000003E-3</c:v>
                </c:pt>
                <c:pt idx="12">
                  <c:v>7.0012959999999997E-3</c:v>
                </c:pt>
                <c:pt idx="13">
                  <c:v>2.4362559999999999E-3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702D-4FFD-A6D8-E80856027781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'Multiplier Weight (new_player)'!$N$70:$N$120</c:f>
              <c:numCache>
                <c:formatCode>0.000000%</c:formatCode>
                <c:ptCount val="51"/>
                <c:pt idx="0">
                  <c:v>9.938512E-3</c:v>
                </c:pt>
                <c:pt idx="1">
                  <c:v>1.6126273E-2</c:v>
                </c:pt>
                <c:pt idx="2">
                  <c:v>1.1375532000000001E-2</c:v>
                </c:pt>
                <c:pt idx="3">
                  <c:v>1.2413103999999999E-2</c:v>
                </c:pt>
                <c:pt idx="4">
                  <c:v>8.4878369999999998E-3</c:v>
                </c:pt>
                <c:pt idx="5">
                  <c:v>8.4408480000000008E-3</c:v>
                </c:pt>
                <c:pt idx="6">
                  <c:v>2.1261750000000001E-3</c:v>
                </c:pt>
                <c:pt idx="7">
                  <c:v>8.8538079999999995E-3</c:v>
                </c:pt>
                <c:pt idx="8">
                  <c:v>3.860792E-3</c:v>
                </c:pt>
                <c:pt idx="9">
                  <c:v>4.7992800000000004E-3</c:v>
                </c:pt>
                <c:pt idx="10">
                  <c:v>7.2565219999999996E-3</c:v>
                </c:pt>
                <c:pt idx="11">
                  <c:v>1.8217934000000002E-2</c:v>
                </c:pt>
                <c:pt idx="12">
                  <c:v>2.5176019999999999E-3</c:v>
                </c:pt>
                <c:pt idx="13">
                  <c:v>1.752094E-3</c:v>
                </c:pt>
                <c:pt idx="14">
                  <c:v>8.6656909999999997E-3</c:v>
                </c:pt>
                <c:pt idx="15">
                  <c:v>1.5223649999999999E-3</c:v>
                </c:pt>
                <c:pt idx="16">
                  <c:v>2.6720170000000001E-3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702D-4FFD-A6D8-E80856027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'Multiplier Weight (new_player)'!$I$5:$I$55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'Multiplier Weight (new_player)'!$F$5:$F$55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1.2223533E-2</c:v>
                      </c:pt>
                      <c:pt idx="1">
                        <c:v>1.9854235000000001E-2</c:v>
                      </c:pt>
                      <c:pt idx="2">
                        <c:v>1.4020917000000001E-2</c:v>
                      </c:pt>
                      <c:pt idx="3">
                        <c:v>1.8463165E-2</c:v>
                      </c:pt>
                      <c:pt idx="4">
                        <c:v>1.2601097E-2</c:v>
                      </c:pt>
                      <c:pt idx="5">
                        <c:v>1.2543731000000001E-2</c:v>
                      </c:pt>
                      <c:pt idx="6">
                        <c:v>3.159125E-3</c:v>
                      </c:pt>
                      <c:pt idx="7">
                        <c:v>1.3147608E-2</c:v>
                      </c:pt>
                      <c:pt idx="8">
                        <c:v>5.7602790000000001E-3</c:v>
                      </c:pt>
                      <c:pt idx="9">
                        <c:v>7.136369E-3</c:v>
                      </c:pt>
                      <c:pt idx="10">
                        <c:v>1.7909726000000001E-2</c:v>
                      </c:pt>
                      <c:pt idx="11">
                        <c:v>1.1269242E-2</c:v>
                      </c:pt>
                      <c:pt idx="12">
                        <c:v>6.2142739999999997E-3</c:v>
                      </c:pt>
                      <c:pt idx="13">
                        <c:v>4.3279119999999997E-3</c:v>
                      </c:pt>
                      <c:pt idx="14">
                        <c:v>2.1453470000000001E-3</c:v>
                      </c:pt>
                      <c:pt idx="15">
                        <c:v>3.7781479999999998E-3</c:v>
                      </c:pt>
                      <c:pt idx="16">
                        <c:v>1.647988E-3</c:v>
                      </c:pt>
                      <c:pt idx="17">
                        <c:v>2.03404E-3</c:v>
                      </c:pt>
                      <c:pt idx="18">
                        <c:v>3.238075E-3</c:v>
                      </c:pt>
                      <c:pt idx="19">
                        <c:v>1.97518E-3</c:v>
                      </c:pt>
                      <c:pt idx="20">
                        <c:v>2.5611539999999999E-3</c:v>
                      </c:pt>
                      <c:pt idx="21">
                        <c:v>1.688794E-3</c:v>
                      </c:pt>
                      <c:pt idx="22">
                        <c:v>1.6731820000000001E-3</c:v>
                      </c:pt>
                      <c:pt idx="23">
                        <c:v>2.8563320000000001E-3</c:v>
                      </c:pt>
                      <c:pt idx="24">
                        <c:v>1.9702949999999999E-3</c:v>
                      </c:pt>
                      <c:pt idx="25">
                        <c:v>1.8481459999999999E-3</c:v>
                      </c:pt>
                      <c:pt idx="26">
                        <c:v>1.424062E-3</c:v>
                      </c:pt>
                      <c:pt idx="27">
                        <c:v>1.293811E-3</c:v>
                      </c:pt>
                      <c:pt idx="28">
                        <c:v>2.5036030000000001E-3</c:v>
                      </c:pt>
                      <c:pt idx="29">
                        <c:v>1.740187E-3</c:v>
                      </c:pt>
                      <c:pt idx="30">
                        <c:v>1.196831E-3</c:v>
                      </c:pt>
                      <c:pt idx="31">
                        <c:v>1.011971E-3</c:v>
                      </c:pt>
                      <c:pt idx="32">
                        <c:v>7.7170799999999996E-4</c:v>
                      </c:pt>
                      <c:pt idx="33">
                        <c:v>6.6979500000000005E-4</c:v>
                      </c:pt>
                      <c:pt idx="34">
                        <c:v>6.3955299999999995E-4</c:v>
                      </c:pt>
                      <c:pt idx="35">
                        <c:v>4.9441100000000005E-4</c:v>
                      </c:pt>
                      <c:pt idx="36">
                        <c:v>3.6221499999999999E-4</c:v>
                      </c:pt>
                      <c:pt idx="37">
                        <c:v>3.0541599999999998E-4</c:v>
                      </c:pt>
                      <c:pt idx="38">
                        <c:v>2.6460500000000001E-4</c:v>
                      </c:pt>
                      <c:pt idx="39">
                        <c:v>2.9601300000000003E-4</c:v>
                      </c:pt>
                      <c:pt idx="40">
                        <c:v>3.1597299999999999E-4</c:v>
                      </c:pt>
                      <c:pt idx="41">
                        <c:v>2.5198199999999999E-4</c:v>
                      </c:pt>
                      <c:pt idx="42">
                        <c:v>1.7547400000000001E-4</c:v>
                      </c:pt>
                      <c:pt idx="43">
                        <c:v>2.2338499999999999E-4</c:v>
                      </c:pt>
                      <c:pt idx="44">
                        <c:v>2.4714609999999999E-3</c:v>
                      </c:pt>
                      <c:pt idx="45">
                        <c:v>1.1042770000000001E-3</c:v>
                      </c:pt>
                      <c:pt idx="46">
                        <c:v>5.21194E-4</c:v>
                      </c:pt>
                      <c:pt idx="47">
                        <c:v>3.10888E-4</c:v>
                      </c:pt>
                      <c:pt idx="48">
                        <c:v>1.5022399999999999E-4</c:v>
                      </c:pt>
                      <c:pt idx="49">
                        <c:v>1.01847E-4</c:v>
                      </c:pt>
                      <c:pt idx="50">
                        <c:v>5.3374000000000001E-5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02D-4FFD-A6D8-E8085602778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02D-4FFD-A6D8-E8085602778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3.2130939999999997E-2</c:v>
                      </c:pt>
                      <c:pt idx="8">
                        <c:v>0</c:v>
                      </c:pt>
                      <c:pt idx="9">
                        <c:v>4.8439260000000001E-3</c:v>
                      </c:pt>
                      <c:pt idx="10">
                        <c:v>3.8674159999999998E-3</c:v>
                      </c:pt>
                      <c:pt idx="11">
                        <c:v>1.3290161E-2</c:v>
                      </c:pt>
                      <c:pt idx="12">
                        <c:v>8.3748120000000006E-3</c:v>
                      </c:pt>
                      <c:pt idx="13">
                        <c:v>6.6450520000000003E-3</c:v>
                      </c:pt>
                      <c:pt idx="14">
                        <c:v>4.4480479999999996E-3</c:v>
                      </c:pt>
                      <c:pt idx="15">
                        <c:v>3.1187300000000001E-3</c:v>
                      </c:pt>
                      <c:pt idx="16">
                        <c:v>3.3130870000000001E-3</c:v>
                      </c:pt>
                      <c:pt idx="17">
                        <c:v>2.2594160000000002E-3</c:v>
                      </c:pt>
                      <c:pt idx="18">
                        <c:v>2.3464269999999999E-3</c:v>
                      </c:pt>
                      <c:pt idx="19">
                        <c:v>6.4238999999999995E-4</c:v>
                      </c:pt>
                      <c:pt idx="20">
                        <c:v>3.0007530000000001E-3</c:v>
                      </c:pt>
                      <c:pt idx="21">
                        <c:v>1.4099627E-2</c:v>
                      </c:pt>
                      <c:pt idx="22">
                        <c:v>2.435165E-3</c:v>
                      </c:pt>
                      <c:pt idx="23">
                        <c:v>1.9520799999999999E-3</c:v>
                      </c:pt>
                      <c:pt idx="24">
                        <c:v>7.05812E-4</c:v>
                      </c:pt>
                      <c:pt idx="25">
                        <c:v>2.3011099999999999E-3</c:v>
                      </c:pt>
                      <c:pt idx="26">
                        <c:v>6.458119E-3</c:v>
                      </c:pt>
                      <c:pt idx="27">
                        <c:v>2.3146859999999998E-3</c:v>
                      </c:pt>
                      <c:pt idx="28">
                        <c:v>6.4347659999999997E-3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02D-4FFD-A6D8-E8085602778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(new_player)'!#REF!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02D-4FFD-A6D8-E8085602778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(new_player)'!$P$70:$P$120</c15:sqref>
                        </c15:formulaRef>
                      </c:ext>
                    </c:extLst>
                    <c:numCache>
                      <c:formatCode>General</c:formatCode>
                      <c:ptCount val="5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02D-4FFD-A6D8-E80856027781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('Multiplier Weight (new_player)'!$I$28:$I$39,'Multiplier Weight (new_player)'!$I$49:$I$50)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  <c:extLst/>
            </c:strRef>
          </c:cat>
          <c:val>
            <c:numRef>
              <c:f>('Multiplier Weight (new_player)'!$N$28:$N$39,'Multiplier Weight (new_player)'!$N$49:$N$50)</c:f>
              <c:numCache>
                <c:formatCode>0.000000%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3242-4C3A-9D7D-389035EEAEC6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('Multiplier Weight (new_player)'!$P$28:$P$39,'Multiplier Weight (new_player)'!$P$49:$P$50)</c:f>
              <c:numCache>
                <c:formatCode>0.000000%</c:formatCode>
                <c:ptCount val="14"/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3242-4C3A-9D7D-389035EEA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('Multiplier Weight (new_player)'!$I$28:$I$39,'Multiplier Weight (new_player)'!$I$49:$I$50)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('Multiplier Weight (new_player)'!$F$28:$F$39,'Multiplier Weight (new_player)'!$F$49:$F$50)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2.8563320000000001E-3</c:v>
                      </c:pt>
                      <c:pt idx="1">
                        <c:v>1.9702949999999999E-3</c:v>
                      </c:pt>
                      <c:pt idx="2">
                        <c:v>1.8481459999999999E-3</c:v>
                      </c:pt>
                      <c:pt idx="3">
                        <c:v>1.424062E-3</c:v>
                      </c:pt>
                      <c:pt idx="4">
                        <c:v>1.293811E-3</c:v>
                      </c:pt>
                      <c:pt idx="5">
                        <c:v>2.5036030000000001E-3</c:v>
                      </c:pt>
                      <c:pt idx="6">
                        <c:v>1.740187E-3</c:v>
                      </c:pt>
                      <c:pt idx="7">
                        <c:v>1.196831E-3</c:v>
                      </c:pt>
                      <c:pt idx="8">
                        <c:v>1.011971E-3</c:v>
                      </c:pt>
                      <c:pt idx="9">
                        <c:v>7.7170799999999996E-4</c:v>
                      </c:pt>
                      <c:pt idx="10">
                        <c:v>6.6979500000000005E-4</c:v>
                      </c:pt>
                      <c:pt idx="11">
                        <c:v>6.3955299999999995E-4</c:v>
                      </c:pt>
                      <c:pt idx="12">
                        <c:v>2.4714609999999999E-3</c:v>
                      </c:pt>
                      <c:pt idx="13">
                        <c:v>1.1042770000000001E-3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242-4C3A-9D7D-389035EEAEC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('Multiplier Weight (new_player)'!$N$93:$N$104,'Multiplier Weight (new_player)'!$N$114:$N$115)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242-4C3A-9D7D-389035EEAEC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('Multiplier Weight (new_player)'!$N$158:$N$169,'Multiplier Weight (new_player)'!$N$179:$N$180)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1.9520799999999999E-3</c:v>
                      </c:pt>
                      <c:pt idx="1">
                        <c:v>7.05812E-4</c:v>
                      </c:pt>
                      <c:pt idx="2">
                        <c:v>2.3011099999999999E-3</c:v>
                      </c:pt>
                      <c:pt idx="3">
                        <c:v>6.458119E-3</c:v>
                      </c:pt>
                      <c:pt idx="4">
                        <c:v>2.3146859999999998E-3</c:v>
                      </c:pt>
                      <c:pt idx="5">
                        <c:v>6.4347659999999997E-3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242-4C3A-9D7D-389035EEAEC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(new_player)'!#REF!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242-4C3A-9D7D-389035EEAEC6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(bet100)'!$I$4:$I$55</c15:sqref>
                  </c15:fullRef>
                </c:ext>
              </c:extLst>
              <c:f>'Multiplier Weight (bet100)'!$I$5:$I$55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(bet100)'!$N$4:$N$55</c15:sqref>
                  </c15:fullRef>
                </c:ext>
              </c:extLst>
              <c:f>'Multiplier Weight (bet100)'!$N$5:$N$55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67-48D1-97D8-37BF5E8CE123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(bet100)'!$N$69:$N$120</c15:sqref>
                  </c15:fullRef>
                </c:ext>
              </c:extLst>
              <c:f>'Multiplier Weight (bet100)'!$N$70:$N$120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67-48D1-97D8-37BF5E8CE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(bet100)'!$I$4:$I$55</c15:sqref>
                        </c15:fullRef>
                        <c15:formulaRef>
                          <c15:sqref>'Multiplier Weight (bet100)'!$I$5:$I$55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(bet100)'!$F$4:$F$55</c15:sqref>
                        </c15:fullRef>
                        <c15:formulaRef>
                          <c15:sqref>'Multiplier Weight (bet100)'!$F$5:$F$55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967-48D1-97D8-37BF5E8CE12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(bet100)'!$P$4:$P$55</c15:sqref>
                        </c15:fullRef>
                        <c15:formulaRef>
                          <c15:sqref>'Multiplier Weight (bet100)'!$P$5:$P$55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967-48D1-97D8-37BF5E8CE12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(bet100)'!$N$134:$N$185</c15:sqref>
                        </c15:fullRef>
                        <c15:formulaRef>
                          <c15:sqref>'Multiplier Weight (bet100)'!$N$135:$N$185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967-48D1-97D8-37BF5E8CE12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(bet100)'!$N$199:$N$250</c15:sqref>
                        </c15:fullRef>
                        <c15:formulaRef>
                          <c15:sqref>'Multiplier Weight (bet100)'!$N$200:$N$250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5.9403852055428231E-2</c:v>
                      </c:pt>
                      <c:pt idx="13">
                        <c:v>5.7327529307359848E-2</c:v>
                      </c:pt>
                      <c:pt idx="14">
                        <c:v>3.9409001369045987E-2</c:v>
                      </c:pt>
                      <c:pt idx="15">
                        <c:v>0.14475050380865809</c:v>
                      </c:pt>
                      <c:pt idx="16">
                        <c:v>4.8704200826023128E-2</c:v>
                      </c:pt>
                      <c:pt idx="17">
                        <c:v>9.6834153506528284E-2</c:v>
                      </c:pt>
                      <c:pt idx="18">
                        <c:v>0.11115944124592543</c:v>
                      </c:pt>
                      <c:pt idx="19">
                        <c:v>4.1851544019673691E-2</c:v>
                      </c:pt>
                      <c:pt idx="20">
                        <c:v>3.6127466941780199E-2</c:v>
                      </c:pt>
                      <c:pt idx="21">
                        <c:v>4.382017594098165E-2</c:v>
                      </c:pt>
                      <c:pt idx="22">
                        <c:v>8.0955895157907923E-2</c:v>
                      </c:pt>
                      <c:pt idx="23">
                        <c:v>8.947309364983283E-2</c:v>
                      </c:pt>
                      <c:pt idx="24">
                        <c:v>4.7134171217762727E-2</c:v>
                      </c:pt>
                      <c:pt idx="25">
                        <c:v>2.1497268832013208E-2</c:v>
                      </c:pt>
                      <c:pt idx="26">
                        <c:v>1.2257939806083256E-2</c:v>
                      </c:pt>
                      <c:pt idx="27">
                        <c:v>1.7981228522109826E-2</c:v>
                      </c:pt>
                      <c:pt idx="28">
                        <c:v>1.343181559041929E-2</c:v>
                      </c:pt>
                      <c:pt idx="29">
                        <c:v>1.1050633109833969E-2</c:v>
                      </c:pt>
                      <c:pt idx="30">
                        <c:v>1.6605492383879761E-3</c:v>
                      </c:pt>
                      <c:pt idx="31">
                        <c:v>1.9018227211325175E-3</c:v>
                      </c:pt>
                      <c:pt idx="32">
                        <c:v>1.4812803171866142E-3</c:v>
                      </c:pt>
                      <c:pt idx="33">
                        <c:v>1.8426399787653837E-3</c:v>
                      </c:pt>
                      <c:pt idx="34">
                        <c:v>6.5740810981914964E-3</c:v>
                      </c:pt>
                      <c:pt idx="35">
                        <c:v>2.7971923002459848E-3</c:v>
                      </c:pt>
                      <c:pt idx="36">
                        <c:v>1.8477822030837307E-3</c:v>
                      </c:pt>
                      <c:pt idx="37">
                        <c:v>8.7004568816165446E-4</c:v>
                      </c:pt>
                      <c:pt idx="38">
                        <c:v>7.358881436121123E-4</c:v>
                      </c:pt>
                      <c:pt idx="39">
                        <c:v>1.210340002928675E-3</c:v>
                      </c:pt>
                      <c:pt idx="40">
                        <c:v>6.7903474247896993E-4</c:v>
                      </c:pt>
                      <c:pt idx="41">
                        <c:v>6.5999888138004216E-4</c:v>
                      </c:pt>
                      <c:pt idx="42">
                        <c:v>5.0717384128903635E-4</c:v>
                      </c:pt>
                      <c:pt idx="43">
                        <c:v>9.2587640324577234E-4</c:v>
                      </c:pt>
                      <c:pt idx="44">
                        <c:v>2.32902747788323E-3</c:v>
                      </c:pt>
                      <c:pt idx="45">
                        <c:v>2.3889350365763714E-4</c:v>
                      </c:pt>
                      <c:pt idx="46">
                        <c:v>1.9321021713762532E-4</c:v>
                      </c:pt>
                      <c:pt idx="47">
                        <c:v>1.5362134515053749E-4</c:v>
                      </c:pt>
                      <c:pt idx="48">
                        <c:v>5.097444569986714E-5</c:v>
                      </c:pt>
                      <c:pt idx="49">
                        <c:v>4.8177449000739268E-5</c:v>
                      </c:pt>
                      <c:pt idx="50">
                        <c:v>4.4908825240168116E-5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967-48D1-97D8-37BF5E8CE12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(bet100)'!$P$69:$P$120</c15:sqref>
                        </c15:fullRef>
                        <c15:formulaRef>
                          <c15:sqref>'Multiplier Weight (bet100)'!$P$70:$P$120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967-48D1-97D8-37BF5E8CE123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(bet100)'!$I$4:$I$55</c15:sqref>
                  </c15:fullRef>
                </c:ext>
              </c:extLst>
              <c:f>('Multiplier Weight (bet100)'!$I$28:$I$39,'Multiplier Weight (bet100)'!$I$49:$I$50)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(bet100)'!$N$4:$N$55</c15:sqref>
                  </c15:fullRef>
                </c:ext>
              </c:extLst>
              <c:f>('Multiplier Weight (bet100)'!$N$28:$N$39,'Multiplier Weight (bet100)'!$N$49:$N$50)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2F-4EC4-8EB9-F4C58348A8A9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(bet100)'!$P$4:$P$55</c15:sqref>
                  </c15:fullRef>
                </c:ext>
              </c:extLst>
              <c:f>('Multiplier Weight (bet100)'!$P$28:$P$39,'Multiplier Weight (bet100)'!$P$49:$P$50)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2F-4EC4-8EB9-F4C58348A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(bet100)'!$I$4:$I$55</c15:sqref>
                        </c15:fullRef>
                        <c15:formulaRef>
                          <c15:sqref>('Multiplier Weight (bet100)'!$I$28:$I$39,'Multiplier Weight (bet100)'!$I$49:$I$50)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(bet100)'!$F$4:$F$55</c15:sqref>
                        </c15:fullRef>
                        <c15:formulaRef>
                          <c15:sqref>('Multiplier Weight (bet100)'!$F$28:$F$39,'Multiplier Weight (bet100)'!$F$49:$F$50)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82F-4EC4-8EB9-F4C58348A8A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(bet100)'!$N$69:$N$120</c15:sqref>
                        </c15:fullRef>
                        <c15:formulaRef>
                          <c15:sqref>('Multiplier Weight (bet100)'!$N$93:$N$104,'Multiplier Weight (bet100)'!$N$114:$N$115)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82F-4EC4-8EB9-F4C58348A8A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(bet100)'!$N$134:$N$185</c15:sqref>
                        </c15:fullRef>
                        <c15:formulaRef>
                          <c15:sqref>('Multiplier Weight (bet100)'!$N$158:$N$169,'Multiplier Weight (bet100)'!$N$179:$N$180)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82F-4EC4-8EB9-F4C58348A8A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(bet100)'!$N$199:$N$250</c15:sqref>
                        </c15:fullRef>
                        <c15:formulaRef>
                          <c15:sqref>('Multiplier Weight (bet100)'!$N$223:$N$234,'Multiplier Weight (bet100)'!$N$244:$N$245)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8.947309364983283E-2</c:v>
                      </c:pt>
                      <c:pt idx="1">
                        <c:v>4.7134171217762727E-2</c:v>
                      </c:pt>
                      <c:pt idx="2">
                        <c:v>2.1497268832013208E-2</c:v>
                      </c:pt>
                      <c:pt idx="3">
                        <c:v>1.2257939806083256E-2</c:v>
                      </c:pt>
                      <c:pt idx="4">
                        <c:v>1.7981228522109826E-2</c:v>
                      </c:pt>
                      <c:pt idx="5">
                        <c:v>1.343181559041929E-2</c:v>
                      </c:pt>
                      <c:pt idx="6">
                        <c:v>1.1050633109833969E-2</c:v>
                      </c:pt>
                      <c:pt idx="7">
                        <c:v>1.6605492383879761E-3</c:v>
                      </c:pt>
                      <c:pt idx="8">
                        <c:v>1.9018227211325175E-3</c:v>
                      </c:pt>
                      <c:pt idx="9">
                        <c:v>1.4812803171866142E-3</c:v>
                      </c:pt>
                      <c:pt idx="10">
                        <c:v>1.8426399787653837E-3</c:v>
                      </c:pt>
                      <c:pt idx="11">
                        <c:v>6.5740810981914964E-3</c:v>
                      </c:pt>
                      <c:pt idx="12">
                        <c:v>2.32902747788323E-3</c:v>
                      </c:pt>
                      <c:pt idx="13">
                        <c:v>2.3889350365763714E-4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82F-4EC4-8EB9-F4C58348A8A9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(3FG)'!$I$4:$I$55</c15:sqref>
                  </c15:fullRef>
                </c:ext>
              </c:extLst>
              <c:f>'Multiplier Weight (3FG)'!$I$5:$I$55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(3FG)'!$N$4:$N$55</c15:sqref>
                  </c15:fullRef>
                </c:ext>
              </c:extLst>
              <c:f>'Multiplier Weight (3FG)'!$N$5:$N$55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7B-484C-AAC3-CECE0A638FBE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(3FG)'!$N$69:$N$120</c15:sqref>
                  </c15:fullRef>
                </c:ext>
              </c:extLst>
              <c:f>'Multiplier Weight (3FG)'!$N$70:$N$120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7B-484C-AAC3-CECE0A638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(3FG)'!$I$4:$I$55</c15:sqref>
                        </c15:fullRef>
                        <c15:formulaRef>
                          <c15:sqref>'Multiplier Weight (3FG)'!$I$5:$I$55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(3FG)'!$F$4:$F$55</c15:sqref>
                        </c15:fullRef>
                        <c15:formulaRef>
                          <c15:sqref>'Multiplier Weight (3FG)'!$F$5:$F$55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E7B-484C-AAC3-CECE0A638FB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(3FG)'!$P$4:$P$55</c15:sqref>
                        </c15:fullRef>
                        <c15:formulaRef>
                          <c15:sqref>'Multiplier Weight (3FG)'!$P$5:$P$55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E7B-484C-AAC3-CECE0A638FB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(3FG)'!$N$134:$N$185</c15:sqref>
                        </c15:fullRef>
                        <c15:formulaRef>
                          <c15:sqref>'Multiplier Weight (3FG)'!$N$135:$N$185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E7B-484C-AAC3-CECE0A638FB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(3FG)'!$N$199:$N$250</c15:sqref>
                        </c15:fullRef>
                        <c15:formulaRef>
                          <c15:sqref>'Multiplier Weight (3FG)'!$N$200:$N$250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7.9402315335495924E-2</c:v>
                      </c:pt>
                      <c:pt idx="22">
                        <c:v>8.0612828152872754E-2</c:v>
                      </c:pt>
                      <c:pt idx="23">
                        <c:v>0.25624162875535339</c:v>
                      </c:pt>
                      <c:pt idx="24">
                        <c:v>0.14097549009220797</c:v>
                      </c:pt>
                      <c:pt idx="25">
                        <c:v>9.1064031970134116E-2</c:v>
                      </c:pt>
                      <c:pt idx="26">
                        <c:v>7.0224662019571435E-2</c:v>
                      </c:pt>
                      <c:pt idx="27">
                        <c:v>4.4118672828784171E-2</c:v>
                      </c:pt>
                      <c:pt idx="28">
                        <c:v>3.8502217926236877E-2</c:v>
                      </c:pt>
                      <c:pt idx="29">
                        <c:v>4.30268268170469E-2</c:v>
                      </c:pt>
                      <c:pt idx="30">
                        <c:v>8.1911250087568065E-3</c:v>
                      </c:pt>
                      <c:pt idx="31">
                        <c:v>6.514510012630619E-3</c:v>
                      </c:pt>
                      <c:pt idx="32">
                        <c:v>7.7168637348166902E-3</c:v>
                      </c:pt>
                      <c:pt idx="33">
                        <c:v>6.6653458860890897E-3</c:v>
                      </c:pt>
                      <c:pt idx="34">
                        <c:v>6.9915284329409536E-2</c:v>
                      </c:pt>
                      <c:pt idx="35">
                        <c:v>8.0058897102461956E-3</c:v>
                      </c:pt>
                      <c:pt idx="36">
                        <c:v>7.2561144134270696E-3</c:v>
                      </c:pt>
                      <c:pt idx="37">
                        <c:v>3.2278154709199157E-3</c:v>
                      </c:pt>
                      <c:pt idx="38">
                        <c:v>2.7278614257195857E-3</c:v>
                      </c:pt>
                      <c:pt idx="39">
                        <c:v>2.4722601266254753E-3</c:v>
                      </c:pt>
                      <c:pt idx="40">
                        <c:v>2.6780501141775333E-3</c:v>
                      </c:pt>
                      <c:pt idx="41">
                        <c:v>2.3587479243693745E-3</c:v>
                      </c:pt>
                      <c:pt idx="42">
                        <c:v>2.148721438157379E-3</c:v>
                      </c:pt>
                      <c:pt idx="43">
                        <c:v>1.7940403542475686E-3</c:v>
                      </c:pt>
                      <c:pt idx="44">
                        <c:v>2.1313425890027358E-2</c:v>
                      </c:pt>
                      <c:pt idx="45">
                        <c:v>9.799812056174547E-4</c:v>
                      </c:pt>
                      <c:pt idx="46">
                        <c:v>6.6755182032057097E-4</c:v>
                      </c:pt>
                      <c:pt idx="47">
                        <c:v>5.2533291433142166E-4</c:v>
                      </c:pt>
                      <c:pt idx="48">
                        <c:v>1.3557031728438917E-4</c:v>
                      </c:pt>
                      <c:pt idx="49">
                        <c:v>1.1250205104359218E-4</c:v>
                      </c:pt>
                      <c:pt idx="50">
                        <c:v>7.8128587821680228E-5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E7B-484C-AAC3-CECE0A638FB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(3FG)'!$P$69:$P$120</c15:sqref>
                        </c15:fullRef>
                        <c15:formulaRef>
                          <c15:sqref>'Multiplier Weight (3FG)'!$P$70:$P$120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E7B-484C-AAC3-CECE0A638FBE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(3FG)'!$I$4:$I$55</c15:sqref>
                  </c15:fullRef>
                </c:ext>
              </c:extLst>
              <c:f>('Multiplier Weight (3FG)'!$I$28:$I$39,'Multiplier Weight (3FG)'!$I$49:$I$50)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(3FG)'!$N$4:$N$55</c15:sqref>
                  </c15:fullRef>
                </c:ext>
              </c:extLst>
              <c:f>('Multiplier Weight (3FG)'!$N$28:$N$39,'Multiplier Weight (3FG)'!$N$49:$N$50)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C9-4756-BF67-74D1DBDF3A4C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(3FG)'!$P$4:$P$55</c15:sqref>
                  </c15:fullRef>
                </c:ext>
              </c:extLst>
              <c:f>('Multiplier Weight (3FG)'!$P$28:$P$39,'Multiplier Weight (3FG)'!$P$49:$P$50)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C9-4756-BF67-74D1DBDF3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(3FG)'!$I$4:$I$55</c15:sqref>
                        </c15:fullRef>
                        <c15:formulaRef>
                          <c15:sqref>('Multiplier Weight (3FG)'!$I$28:$I$39,'Multiplier Weight (3FG)'!$I$49:$I$50)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(3FG)'!$F$4:$F$55</c15:sqref>
                        </c15:fullRef>
                        <c15:formulaRef>
                          <c15:sqref>('Multiplier Weight (3FG)'!$F$28:$F$39,'Multiplier Weight (3FG)'!$F$49:$F$50)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4C9-4756-BF67-74D1DBDF3A4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(3FG)'!$N$69:$N$120</c15:sqref>
                        </c15:fullRef>
                        <c15:formulaRef>
                          <c15:sqref>('Multiplier Weight (3FG)'!$N$93:$N$104,'Multiplier Weight (3FG)'!$N$114:$N$115)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4C9-4756-BF67-74D1DBDF3A4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(3FG)'!$N$134:$N$185</c15:sqref>
                        </c15:fullRef>
                        <c15:formulaRef>
                          <c15:sqref>('Multiplier Weight (3FG)'!$N$158:$N$169,'Multiplier Weight (3FG)'!$N$179:$N$180)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4C9-4756-BF67-74D1DBDF3A4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(3FG)'!$N$199:$N$250</c15:sqref>
                        </c15:fullRef>
                        <c15:formulaRef>
                          <c15:sqref>('Multiplier Weight (3FG)'!$N$223:$N$234,'Multiplier Weight (3FG)'!$N$244:$N$245)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0.25624162875535339</c:v>
                      </c:pt>
                      <c:pt idx="1">
                        <c:v>0.14097549009220797</c:v>
                      </c:pt>
                      <c:pt idx="2">
                        <c:v>9.1064031970134116E-2</c:v>
                      </c:pt>
                      <c:pt idx="3">
                        <c:v>7.0224662019571435E-2</c:v>
                      </c:pt>
                      <c:pt idx="4">
                        <c:v>4.4118672828784171E-2</c:v>
                      </c:pt>
                      <c:pt idx="5">
                        <c:v>3.8502217926236877E-2</c:v>
                      </c:pt>
                      <c:pt idx="6">
                        <c:v>4.30268268170469E-2</c:v>
                      </c:pt>
                      <c:pt idx="7">
                        <c:v>8.1911250087568065E-3</c:v>
                      </c:pt>
                      <c:pt idx="8">
                        <c:v>6.514510012630619E-3</c:v>
                      </c:pt>
                      <c:pt idx="9">
                        <c:v>7.7168637348166902E-3</c:v>
                      </c:pt>
                      <c:pt idx="10">
                        <c:v>6.6653458860890897E-3</c:v>
                      </c:pt>
                      <c:pt idx="11">
                        <c:v>6.9915284329409536E-2</c:v>
                      </c:pt>
                      <c:pt idx="12">
                        <c:v>2.1313425890027358E-2</c:v>
                      </c:pt>
                      <c:pt idx="13">
                        <c:v>9.799812056174547E-4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4C9-4756-BF67-74D1DBDF3A4C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(5FG 10x)'!$I$4:$I$55</c15:sqref>
                  </c15:fullRef>
                </c:ext>
              </c:extLst>
              <c:f>'Multiplier Weight (5FG 10x)'!$I$5:$I$55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10x)'!$N$4:$N$55</c15:sqref>
                  </c15:fullRef>
                </c:ext>
              </c:extLst>
              <c:f>'Multiplier Weight (5FG 10x)'!$N$5:$N$55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D5-4A7C-9125-E6CFB2837E93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10x)'!$N$69:$N$120</c15:sqref>
                  </c15:fullRef>
                </c:ext>
              </c:extLst>
              <c:f>'Multiplier Weight (5FG 10x)'!$N$70:$N$120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D5-4A7C-9125-E6CFB2837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(5FG 10x)'!$I$4:$I$55</c15:sqref>
                        </c15:fullRef>
                        <c15:formulaRef>
                          <c15:sqref>'Multiplier Weight (5FG 10x)'!$I$5:$I$55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(5FG 10x)'!$F$4:$F$55</c15:sqref>
                        </c15:fullRef>
                        <c15:formulaRef>
                          <c15:sqref>'Multiplier Weight (5FG 10x)'!$F$5:$F$55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ED5-4A7C-9125-E6CFB2837E9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10x)'!$P$4:$P$55</c15:sqref>
                        </c15:fullRef>
                        <c15:formulaRef>
                          <c15:sqref>'Multiplier Weight (5FG 10x)'!$P$5:$P$55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ED5-4A7C-9125-E6CFB2837E9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10x)'!$N$134:$N$185</c15:sqref>
                        </c15:fullRef>
                        <c15:formulaRef>
                          <c15:sqref>'Multiplier Weight (5FG 10x)'!$N$135:$N$185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ED5-4A7C-9125-E6CFB2837E9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10x)'!$N$199:$N$250</c15:sqref>
                        </c15:fullRef>
                        <c15:formulaRef>
                          <c15:sqref>'Multiplier Weight (5FG 10x)'!$N$200:$N$250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5.9828691256932701E-2</c:v>
                      </c:pt>
                      <c:pt idx="13">
                        <c:v>5.7737519973484426E-2</c:v>
                      </c:pt>
                      <c:pt idx="14">
                        <c:v>3.969084365502263E-2</c:v>
                      </c:pt>
                      <c:pt idx="15">
                        <c:v>0.14578571768617526</c:v>
                      </c:pt>
                      <c:pt idx="16">
                        <c:v>4.9052519485505035E-2</c:v>
                      </c:pt>
                      <c:pt idx="17">
                        <c:v>9.7526683223074465E-2</c:v>
                      </c:pt>
                      <c:pt idx="18">
                        <c:v>0.11195442178961326</c:v>
                      </c:pt>
                      <c:pt idx="19">
                        <c:v>4.2150854631160924E-2</c:v>
                      </c:pt>
                      <c:pt idx="20">
                        <c:v>3.6385840192037056E-2</c:v>
                      </c:pt>
                      <c:pt idx="21">
                        <c:v>4.4133565457011449E-2</c:v>
                      </c:pt>
                      <c:pt idx="22">
                        <c:v>8.1534868779438843E-2</c:v>
                      </c:pt>
                      <c:pt idx="23">
                        <c:v>9.0112979805137619E-2</c:v>
                      </c:pt>
                      <c:pt idx="24">
                        <c:v>4.747126106777233E-2</c:v>
                      </c:pt>
                      <c:pt idx="25">
                        <c:v>2.1651011757170088E-2</c:v>
                      </c:pt>
                      <c:pt idx="26">
                        <c:v>1.2345605360363113E-2</c:v>
                      </c:pt>
                      <c:pt idx="27">
                        <c:v>1.8109825476012021E-2</c:v>
                      </c:pt>
                      <c:pt idx="28">
                        <c:v>7.674595432961279E-3</c:v>
                      </c:pt>
                      <c:pt idx="29">
                        <c:v>1.1129664251999793E-2</c:v>
                      </c:pt>
                      <c:pt idx="30">
                        <c:v>1.6724255706989108E-3</c:v>
                      </c:pt>
                      <c:pt idx="31">
                        <c:v>1.915424125577387E-3</c:v>
                      </c:pt>
                      <c:pt idx="32">
                        <c:v>1.4918749622586027E-3</c:v>
                      </c:pt>
                      <c:pt idx="33">
                        <c:v>1.8558185333071217E-3</c:v>
                      </c:pt>
                      <c:pt idx="34">
                        <c:v>5.3495038293716922E-3</c:v>
                      </c:pt>
                      <c:pt idx="35">
                        <c:v>2.8171970608689904E-3</c:v>
                      </c:pt>
                      <c:pt idx="36">
                        <c:v>1.8609975223638686E-3</c:v>
                      </c:pt>
                      <c:pt idx="37">
                        <c:v>8.762685323830589E-4</c:v>
                      </c:pt>
                      <c:pt idx="38">
                        <c:v>7.4115146154725073E-4</c:v>
                      </c:pt>
                      <c:pt idx="39">
                        <c:v>1.2189966059970045E-3</c:v>
                      </c:pt>
                      <c:pt idx="40">
                        <c:v>6.8389177127303735E-4</c:v>
                      </c:pt>
                      <c:pt idx="41">
                        <c:v>6.6471945033239174E-4</c:v>
                      </c:pt>
                      <c:pt idx="42">
                        <c:v>5.1080162542589203E-4</c:v>
                      </c:pt>
                      <c:pt idx="43">
                        <c:v>9.3249869117555866E-4</c:v>
                      </c:pt>
                      <c:pt idx="44">
                        <c:v>2.3188292455711568E-3</c:v>
                      </c:pt>
                      <c:pt idx="45">
                        <c:v>2.4060234572901006E-4</c:v>
                      </c:pt>
                      <c:pt idx="46">
                        <c:v>1.9459292360516313E-4</c:v>
                      </c:pt>
                      <c:pt idx="47">
                        <c:v>1.5472097419784935E-4</c:v>
                      </c:pt>
                      <c:pt idx="48">
                        <c:v>5.1339773931655664E-5</c:v>
                      </c:pt>
                      <c:pt idx="49">
                        <c:v>4.8522573340460124E-5</c:v>
                      </c:pt>
                      <c:pt idx="50">
                        <c:v>4.5230985118384998E-5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ED5-4A7C-9125-E6CFB2837E9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10x)'!$P$69:$P$120</c15:sqref>
                        </c15:fullRef>
                        <c15:formulaRef>
                          <c15:sqref>'Multiplier Weight (5FG 10x)'!$P$70:$P$120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ED5-4A7C-9125-E6CFB2837E93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(5FG 10x)'!$I$4:$I$55</c15:sqref>
                  </c15:fullRef>
                </c:ext>
              </c:extLst>
              <c:f>('Multiplier Weight (5FG 10x)'!$I$28:$I$39,'Multiplier Weight (5FG 10x)'!$I$49:$I$50)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10x)'!$N$4:$N$55</c15:sqref>
                  </c15:fullRef>
                </c:ext>
              </c:extLst>
              <c:f>('Multiplier Weight (5FG 10x)'!$N$28:$N$39,'Multiplier Weight (5FG 10x)'!$N$49:$N$50)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C1-4830-BE04-B2E7DDD57638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10x)'!$P$4:$P$55</c15:sqref>
                  </c15:fullRef>
                </c:ext>
              </c:extLst>
              <c:f>('Multiplier Weight (5FG 10x)'!$P$28:$P$39,'Multiplier Weight (5FG 10x)'!$P$49:$P$50)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C1-4830-BE04-B2E7DDD57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(5FG 10x)'!$I$4:$I$55</c15:sqref>
                        </c15:fullRef>
                        <c15:formulaRef>
                          <c15:sqref>('Multiplier Weight (5FG 10x)'!$I$28:$I$39,'Multiplier Weight (5FG 10x)'!$I$49:$I$50)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(5FG 10x)'!$F$4:$F$55</c15:sqref>
                        </c15:fullRef>
                        <c15:formulaRef>
                          <c15:sqref>('Multiplier Weight (5FG 10x)'!$F$28:$F$39,'Multiplier Weight (5FG 10x)'!$F$49:$F$50)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1C1-4830-BE04-B2E7DDD5763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10x)'!$N$69:$N$120</c15:sqref>
                        </c15:fullRef>
                        <c15:formulaRef>
                          <c15:sqref>('Multiplier Weight (5FG 10x)'!$N$93:$N$104,'Multiplier Weight (5FG 10x)'!$N$114:$N$115)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1C1-4830-BE04-B2E7DDD5763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10x)'!$N$134:$N$185</c15:sqref>
                        </c15:fullRef>
                        <c15:formulaRef>
                          <c15:sqref>('Multiplier Weight (5FG 10x)'!$N$158:$N$169,'Multiplier Weight (5FG 10x)'!$N$179:$N$180)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1C1-4830-BE04-B2E7DDD5763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10x)'!$N$199:$N$250</c15:sqref>
                        </c15:fullRef>
                        <c15:formulaRef>
                          <c15:sqref>('Multiplier Weight (5FG 10x)'!$N$223:$N$234,'Multiplier Weight (5FG 10x)'!$N$244:$N$245)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9.0112979805137619E-2</c:v>
                      </c:pt>
                      <c:pt idx="1">
                        <c:v>4.747126106777233E-2</c:v>
                      </c:pt>
                      <c:pt idx="2">
                        <c:v>2.1651011757170088E-2</c:v>
                      </c:pt>
                      <c:pt idx="3">
                        <c:v>1.2345605360363113E-2</c:v>
                      </c:pt>
                      <c:pt idx="4">
                        <c:v>1.8109825476012021E-2</c:v>
                      </c:pt>
                      <c:pt idx="5">
                        <c:v>7.674595432961279E-3</c:v>
                      </c:pt>
                      <c:pt idx="6">
                        <c:v>1.1129664251999793E-2</c:v>
                      </c:pt>
                      <c:pt idx="7">
                        <c:v>1.6724255706989108E-3</c:v>
                      </c:pt>
                      <c:pt idx="8">
                        <c:v>1.915424125577387E-3</c:v>
                      </c:pt>
                      <c:pt idx="9">
                        <c:v>1.4918749622586027E-3</c:v>
                      </c:pt>
                      <c:pt idx="10">
                        <c:v>1.8558185333071217E-3</c:v>
                      </c:pt>
                      <c:pt idx="11">
                        <c:v>5.3495038293716922E-3</c:v>
                      </c:pt>
                      <c:pt idx="12">
                        <c:v>2.3188292455711568E-3</c:v>
                      </c:pt>
                      <c:pt idx="13">
                        <c:v>2.4060234572901006E-4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1C1-4830-BE04-B2E7DDD57638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(10FG)'!$I$4:$I$55</c15:sqref>
                  </c15:fullRef>
                </c:ext>
              </c:extLst>
              <c:f>'Multiplier Weight (10FG)'!$I$5:$I$55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(10FG)'!$N$4:$N$55</c15:sqref>
                  </c15:fullRef>
                </c:ext>
              </c:extLst>
              <c:f>'Multiplier Weight (10FG)'!$N$5:$N$55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8E-48F7-ACCB-7FB64AD1B052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(10FG)'!$N$69:$N$120</c15:sqref>
                  </c15:fullRef>
                </c:ext>
              </c:extLst>
              <c:f>'Multiplier Weight (10FG)'!$N$70:$N$120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8E-48F7-ACCB-7FB64AD1B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(10FG)'!$I$4:$I$55</c15:sqref>
                        </c15:fullRef>
                        <c15:formulaRef>
                          <c15:sqref>'Multiplier Weight (10FG)'!$I$5:$I$55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(10FG)'!$F$4:$F$55</c15:sqref>
                        </c15:fullRef>
                        <c15:formulaRef>
                          <c15:sqref>'Multiplier Weight (10FG)'!$F$5:$F$55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C8E-48F7-ACCB-7FB64AD1B05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(10FG)'!$P$4:$P$55</c15:sqref>
                        </c15:fullRef>
                        <c15:formulaRef>
                          <c15:sqref>'Multiplier Weight (10FG)'!$P$5:$P$55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C8E-48F7-ACCB-7FB64AD1B05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(10FG)'!$N$134:$N$185</c15:sqref>
                        </c15:fullRef>
                        <c15:formulaRef>
                          <c15:sqref>'Multiplier Weight (10FG)'!$N$135:$N$185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C8E-48F7-ACCB-7FB64AD1B05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(10FG)'!$N$199:$N$250</c15:sqref>
                        </c15:fullRef>
                        <c15:formulaRef>
                          <c15:sqref>'Multiplier Weight (10FG)'!$N$200:$N$250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2.5477900066245958E-2</c:v>
                      </c:pt>
                      <c:pt idx="22">
                        <c:v>3.6970890374819404E-2</c:v>
                      </c:pt>
                      <c:pt idx="23">
                        <c:v>0.16675230933507246</c:v>
                      </c:pt>
                      <c:pt idx="24">
                        <c:v>0.14797336211463502</c:v>
                      </c:pt>
                      <c:pt idx="25">
                        <c:v>0.12999778294660161</c:v>
                      </c:pt>
                      <c:pt idx="26">
                        <c:v>0.11604450112340593</c:v>
                      </c:pt>
                      <c:pt idx="27">
                        <c:v>0.10359121201638455</c:v>
                      </c:pt>
                      <c:pt idx="28">
                        <c:v>0.10027204510387022</c:v>
                      </c:pt>
                      <c:pt idx="29">
                        <c:v>3.8325349012850396E-2</c:v>
                      </c:pt>
                      <c:pt idx="30">
                        <c:v>8.2443007749338909E-3</c:v>
                      </c:pt>
                      <c:pt idx="31">
                        <c:v>7.2775282560537469E-3</c:v>
                      </c:pt>
                      <c:pt idx="32">
                        <c:v>8.1638261627733962E-3</c:v>
                      </c:pt>
                      <c:pt idx="33">
                        <c:v>7.307605417566772E-3</c:v>
                      </c:pt>
                      <c:pt idx="34">
                        <c:v>5.9695235473871365E-2</c:v>
                      </c:pt>
                      <c:pt idx="35">
                        <c:v>7.4009526916428044E-3</c:v>
                      </c:pt>
                      <c:pt idx="36">
                        <c:v>6.9007652047938847E-3</c:v>
                      </c:pt>
                      <c:pt idx="37">
                        <c:v>3.3354099684832724E-3</c:v>
                      </c:pt>
                      <c:pt idx="38">
                        <c:v>2.9309519993677832E-3</c:v>
                      </c:pt>
                      <c:pt idx="39">
                        <c:v>2.8514192458730307E-3</c:v>
                      </c:pt>
                      <c:pt idx="40">
                        <c:v>2.5095174284037944E-3</c:v>
                      </c:pt>
                      <c:pt idx="41">
                        <c:v>2.2906786149373293E-3</c:v>
                      </c:pt>
                      <c:pt idx="42">
                        <c:v>2.2275117685418328E-3</c:v>
                      </c:pt>
                      <c:pt idx="43">
                        <c:v>2.0456903152255668E-3</c:v>
                      </c:pt>
                      <c:pt idx="44">
                        <c:v>8.3493545154130575E-3</c:v>
                      </c:pt>
                      <c:pt idx="45">
                        <c:v>9.154705990413759E-4</c:v>
                      </c:pt>
                      <c:pt idx="46">
                        <c:v>7.0767058279155425E-4</c:v>
                      </c:pt>
                      <c:pt idx="47">
                        <c:v>5.1479430819816898E-4</c:v>
                      </c:pt>
                      <c:pt idx="48">
                        <c:v>1.6040262581364971E-4</c:v>
                      </c:pt>
                      <c:pt idx="49">
                        <c:v>1.3182460418069091E-4</c:v>
                      </c:pt>
                      <c:pt idx="50">
                        <c:v>1.0431841414844491E-4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C8E-48F7-ACCB-7FB64AD1B05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(10FG)'!$P$69:$P$120</c15:sqref>
                        </c15:fullRef>
                        <c15:formulaRef>
                          <c15:sqref>'Multiplier Weight (10FG)'!$P$70:$P$120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C8E-48F7-ACCB-7FB64AD1B052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(10FG)'!$I$4:$I$55</c15:sqref>
                  </c15:fullRef>
                </c:ext>
              </c:extLst>
              <c:f>('Multiplier Weight (10FG)'!$I$28:$I$39,'Multiplier Weight (10FG)'!$I$49:$I$50)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(10FG)'!$N$4:$N$55</c15:sqref>
                  </c15:fullRef>
                </c:ext>
              </c:extLst>
              <c:f>('Multiplier Weight (10FG)'!$N$28:$N$39,'Multiplier Weight (10FG)'!$N$49:$N$50)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2A-4B09-977F-CE66CEC0277B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(10FG)'!$P$4:$P$55</c15:sqref>
                  </c15:fullRef>
                </c:ext>
              </c:extLst>
              <c:f>('Multiplier Weight (10FG)'!$P$28:$P$39,'Multiplier Weight (10FG)'!$P$49:$P$50)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2A-4B09-977F-CE66CEC02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(10FG)'!$I$4:$I$55</c15:sqref>
                        </c15:fullRef>
                        <c15:formulaRef>
                          <c15:sqref>('Multiplier Weight (10FG)'!$I$28:$I$39,'Multiplier Weight (10FG)'!$I$49:$I$50)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(10FG)'!$F$4:$F$55</c15:sqref>
                        </c15:fullRef>
                        <c15:formulaRef>
                          <c15:sqref>('Multiplier Weight (10FG)'!$F$28:$F$39,'Multiplier Weight (10FG)'!$F$49:$F$50)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022A-4B09-977F-CE66CEC0277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(10FG)'!$N$69:$N$120</c15:sqref>
                        </c15:fullRef>
                        <c15:formulaRef>
                          <c15:sqref>('Multiplier Weight (10FG)'!$N$93:$N$104,'Multiplier Weight (10FG)'!$N$114:$N$115)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22A-4B09-977F-CE66CEC0277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(10FG)'!$N$134:$N$185</c15:sqref>
                        </c15:fullRef>
                        <c15:formulaRef>
                          <c15:sqref>('Multiplier Weight (10FG)'!$N$158:$N$169,'Multiplier Weight (10FG)'!$N$179:$N$180)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22A-4B09-977F-CE66CEC0277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(10FG)'!$N$199:$N$250</c15:sqref>
                        </c15:fullRef>
                        <c15:formulaRef>
                          <c15:sqref>('Multiplier Weight (10FG)'!$N$223:$N$234,'Multiplier Weight (10FG)'!$N$244:$N$245)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0.16675230933507246</c:v>
                      </c:pt>
                      <c:pt idx="1">
                        <c:v>0.14797336211463502</c:v>
                      </c:pt>
                      <c:pt idx="2">
                        <c:v>0.12999778294660161</c:v>
                      </c:pt>
                      <c:pt idx="3">
                        <c:v>0.11604450112340593</c:v>
                      </c:pt>
                      <c:pt idx="4">
                        <c:v>0.10359121201638455</c:v>
                      </c:pt>
                      <c:pt idx="5">
                        <c:v>0.10027204510387022</c:v>
                      </c:pt>
                      <c:pt idx="6">
                        <c:v>3.8325349012850396E-2</c:v>
                      </c:pt>
                      <c:pt idx="7">
                        <c:v>8.2443007749338909E-3</c:v>
                      </c:pt>
                      <c:pt idx="8">
                        <c:v>7.2775282560537469E-3</c:v>
                      </c:pt>
                      <c:pt idx="9">
                        <c:v>8.1638261627733962E-3</c:v>
                      </c:pt>
                      <c:pt idx="10">
                        <c:v>7.307605417566772E-3</c:v>
                      </c:pt>
                      <c:pt idx="11">
                        <c:v>5.9695235473871365E-2</c:v>
                      </c:pt>
                      <c:pt idx="12">
                        <c:v>8.3493545154130575E-3</c:v>
                      </c:pt>
                      <c:pt idx="13">
                        <c:v>9.154705990413759E-4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22A-4B09-977F-CE66CEC0277B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(wei)'!$I$4:$I$55</c15:sqref>
                  </c15:fullRef>
                </c:ext>
              </c:extLst>
              <c:f>'Multiplier Weight (wei)'!$I$5:$I$55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(wei)'!$N$4:$N$55</c15:sqref>
                  </c15:fullRef>
                </c:ext>
              </c:extLst>
              <c:f>'Multiplier Weight (wei)'!$N$5:$N$55</c:f>
              <c:numCache>
                <c:formatCode>0.000000%</c:formatCode>
                <c:ptCount val="51"/>
                <c:pt idx="0">
                  <c:v>1.1954631681233703E-2</c:v>
                </c:pt>
                <c:pt idx="1">
                  <c:v>1.6618898708124209E-2</c:v>
                </c:pt>
                <c:pt idx="2">
                  <c:v>1.1812408668014923E-2</c:v>
                </c:pt>
                <c:pt idx="3">
                  <c:v>7.496172229093971E-3</c:v>
                </c:pt>
                <c:pt idx="4">
                  <c:v>3.8383551331282848E-3</c:v>
                </c:pt>
                <c:pt idx="5">
                  <c:v>2.5215215240726539E-3</c:v>
                </c:pt>
                <c:pt idx="6">
                  <c:v>2.0651061761757395E-3</c:v>
                </c:pt>
                <c:pt idx="7">
                  <c:v>8.5495404222791851E-3</c:v>
                </c:pt>
                <c:pt idx="8">
                  <c:v>3.1386020683045949E-3</c:v>
                </c:pt>
                <c:pt idx="9">
                  <c:v>6.2822332690749038E-3</c:v>
                </c:pt>
                <c:pt idx="10">
                  <c:v>1.2180435972071652E-2</c:v>
                </c:pt>
                <c:pt idx="11">
                  <c:v>5.9679779813959872E-3</c:v>
                </c:pt>
                <c:pt idx="12">
                  <c:v>2.5215722926216718E-3</c:v>
                </c:pt>
                <c:pt idx="13">
                  <c:v>1.323324875733061E-3</c:v>
                </c:pt>
                <c:pt idx="14">
                  <c:v>4.1481661420261735E-4</c:v>
                </c:pt>
                <c:pt idx="15">
                  <c:v>1.1512438634658667E-3</c:v>
                </c:pt>
                <c:pt idx="16">
                  <c:v>2.2446806262779777E-4</c:v>
                </c:pt>
                <c:pt idx="17">
                  <c:v>2.0663611747074622E-4</c:v>
                </c:pt>
                <c:pt idx="18">
                  <c:v>1.4564075193866559E-3</c:v>
                </c:pt>
                <c:pt idx="19">
                  <c:v>4.5252038481626014E-5</c:v>
                </c:pt>
                <c:pt idx="20">
                  <c:v>7.7979475920533052E-5</c:v>
                </c:pt>
                <c:pt idx="21">
                  <c:v>5.1538200221023924E-5</c:v>
                </c:pt>
                <c:pt idx="22">
                  <c:v>3.3957051696120868E-5</c:v>
                </c:pt>
                <c:pt idx="23">
                  <c:v>2.8970057126091335E-4</c:v>
                </c:pt>
                <c:pt idx="24">
                  <c:v>2.1548202945162728E-5</c:v>
                </c:pt>
                <c:pt idx="25">
                  <c:v>1.4365468630108484E-5</c:v>
                </c:pt>
                <c:pt idx="26">
                  <c:v>1.2928718692901565E-5</c:v>
                </c:pt>
                <c:pt idx="27">
                  <c:v>5.7459843778473227E-6</c:v>
                </c:pt>
                <c:pt idx="28">
                  <c:v>1.0187521657228404E-4</c:v>
                </c:pt>
                <c:pt idx="29">
                  <c:v>7.1786728311328097E-7</c:v>
                </c:pt>
                <c:pt idx="30">
                  <c:v>2.4320165721540743E-5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1.0048111221625217E-5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53-4AAA-B1B3-4CF6BBF03F0A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(wei)'!$P$4:$P$55</c15:sqref>
                  </c15:fullRef>
                </c:ext>
              </c:extLst>
              <c:f>'Multiplier Weight (wei)'!$P$5:$P$55</c:f>
              <c:numCache>
                <c:formatCode>0.000000%</c:formatCode>
                <c:ptCount val="51"/>
                <c:pt idx="0">
                  <c:v>1.23573389287732E-2</c:v>
                </c:pt>
                <c:pt idx="1">
                  <c:v>1.7178728121466199E-2</c:v>
                </c:pt>
                <c:pt idx="2">
                  <c:v>1.2210324982495699E-2</c:v>
                </c:pt>
                <c:pt idx="3">
                  <c:v>1.2996255599337999E-2</c:v>
                </c:pt>
                <c:pt idx="4">
                  <c:v>1.05879741106956E-2</c:v>
                </c:pt>
                <c:pt idx="5">
                  <c:v>8.37719620644619E-3</c:v>
                </c:pt>
                <c:pt idx="6">
                  <c:v>2.1346721997370101E-3</c:v>
                </c:pt>
                <c:pt idx="7">
                  <c:v>8.8375429069112096E-3</c:v>
                </c:pt>
                <c:pt idx="8">
                  <c:v>3.2443304962611699E-3</c:v>
                </c:pt>
                <c:pt idx="9">
                  <c:v>6.4938584552695199E-3</c:v>
                </c:pt>
                <c:pt idx="10">
                  <c:v>1.0357800760463E-2</c:v>
                </c:pt>
                <c:pt idx="11">
                  <c:v>6.1690170335704101E-3</c:v>
                </c:pt>
                <c:pt idx="12">
                  <c:v>2.5816539959949798E-3</c:v>
                </c:pt>
                <c:pt idx="13">
                  <c:v>2.25050136953143E-3</c:v>
                </c:pt>
                <c:pt idx="14">
                  <c:v>4.2879067664282501E-4</c:v>
                </c:pt>
                <c:pt idx="15">
                  <c:v>1.0049665469022799E-3</c:v>
                </c:pt>
                <c:pt idx="16">
                  <c:v>2.3202958692793599E-4</c:v>
                </c:pt>
                <c:pt idx="17">
                  <c:v>1.16460290270869E-3</c:v>
                </c:pt>
                <c:pt idx="18">
                  <c:v>4.5292175368333E-4</c:v>
                </c:pt>
                <c:pt idx="19">
                  <c:v>4.6777164724671799E-5</c:v>
                </c:pt>
                <c:pt idx="20">
                  <c:v>2.0010231576665199E-4</c:v>
                </c:pt>
                <c:pt idx="21">
                  <c:v>7.7219446529617E-5</c:v>
                </c:pt>
                <c:pt idx="22">
                  <c:v>1.45157709582117E-4</c:v>
                </c:pt>
                <c:pt idx="23">
                  <c:v>9.1698092753920201E-5</c:v>
                </c:pt>
                <c:pt idx="24">
                  <c:v>2.22748403450818E-5</c:v>
                </c:pt>
                <c:pt idx="25">
                  <c:v>1.4849893563387901E-5</c:v>
                </c:pt>
                <c:pt idx="26">
                  <c:v>1.33649042070491E-5</c:v>
                </c:pt>
                <c:pt idx="27">
                  <c:v>5.9399574253551498E-6</c:v>
                </c:pt>
                <c:pt idx="28">
                  <c:v>6.3112047644398504E-6</c:v>
                </c:pt>
                <c:pt idx="29">
                  <c:v>7.4249467816939405E-7</c:v>
                </c:pt>
                <c:pt idx="30">
                  <c:v>3.7124733908469702E-7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3.7124733908469702E-7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53-4AAA-B1B3-4CF6BBF03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(wei)'!$I$4:$I$55</c15:sqref>
                        </c15:fullRef>
                        <c15:formulaRef>
                          <c15:sqref>'Multiplier Weight (wei)'!$I$5:$I$55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(wei)'!$F$4:$F$55</c15:sqref>
                        </c15:fullRef>
                        <c15:formulaRef>
                          <c15:sqref>'Multiplier Weight (wei)'!$F$5:$F$55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1.2227461373068653E-2</c:v>
                      </c:pt>
                      <c:pt idx="1">
                        <c:v>1.9837701885094254E-2</c:v>
                      </c:pt>
                      <c:pt idx="2">
                        <c:v>1.4015660783039152E-2</c:v>
                      </c:pt>
                      <c:pt idx="3">
                        <c:v>1.8456732836641832E-2</c:v>
                      </c:pt>
                      <c:pt idx="4">
                        <c:v>1.2600830041502075E-2</c:v>
                      </c:pt>
                      <c:pt idx="5">
                        <c:v>1.2416750837541877E-2</c:v>
                      </c:pt>
                      <c:pt idx="6">
                        <c:v>3.2793639681984099E-3</c:v>
                      </c:pt>
                      <c:pt idx="7">
                        <c:v>1.3139706985349267E-2</c:v>
                      </c:pt>
                      <c:pt idx="8">
                        <c:v>5.7585579278963952E-3</c:v>
                      </c:pt>
                      <c:pt idx="9">
                        <c:v>7.1215660783039156E-3</c:v>
                      </c:pt>
                      <c:pt idx="10">
                        <c:v>1.7879193959697986E-2</c:v>
                      </c:pt>
                      <c:pt idx="11">
                        <c:v>1.1253362668133407E-2</c:v>
                      </c:pt>
                      <c:pt idx="12">
                        <c:v>6.2085004250212513E-3</c:v>
                      </c:pt>
                      <c:pt idx="13">
                        <c:v>4.3443072153607678E-3</c:v>
                      </c:pt>
                      <c:pt idx="14">
                        <c:v>2.1421071053552678E-3</c:v>
                      </c:pt>
                      <c:pt idx="15">
                        <c:v>3.7793889694484723E-3</c:v>
                      </c:pt>
                      <c:pt idx="16">
                        <c:v>1.6483524176208811E-3</c:v>
                      </c:pt>
                      <c:pt idx="17">
                        <c:v>2.0350817540877044E-3</c:v>
                      </c:pt>
                      <c:pt idx="18">
                        <c:v>3.2376218810940549E-3</c:v>
                      </c:pt>
                      <c:pt idx="19">
                        <c:v>1.9763688184409219E-3</c:v>
                      </c:pt>
                      <c:pt idx="20">
                        <c:v>2.5599679983999198E-3</c:v>
                      </c:pt>
                      <c:pt idx="21">
                        <c:v>1.6919445972298614E-3</c:v>
                      </c:pt>
                      <c:pt idx="22">
                        <c:v>1.672163608180409E-3</c:v>
                      </c:pt>
                      <c:pt idx="23">
                        <c:v>2.8531526576328816E-3</c:v>
                      </c:pt>
                      <c:pt idx="24">
                        <c:v>1.9721786089304466E-3</c:v>
                      </c:pt>
                      <c:pt idx="25">
                        <c:v>1.8413120656032801E-3</c:v>
                      </c:pt>
                      <c:pt idx="26">
                        <c:v>1.424151207560378E-3</c:v>
                      </c:pt>
                      <c:pt idx="27">
                        <c:v>1.2976448822441121E-3</c:v>
                      </c:pt>
                      <c:pt idx="28">
                        <c:v>2.5083454172708636E-3</c:v>
                      </c:pt>
                      <c:pt idx="29">
                        <c:v>1.7381269063453174E-3</c:v>
                      </c:pt>
                      <c:pt idx="30">
                        <c:v>1.1976298814940748E-3</c:v>
                      </c:pt>
                      <c:pt idx="31">
                        <c:v>1.0098804940247012E-3</c:v>
                      </c:pt>
                      <c:pt idx="32">
                        <c:v>7.7017850892544632E-4</c:v>
                      </c:pt>
                      <c:pt idx="33">
                        <c:v>6.6782339116955845E-4</c:v>
                      </c:pt>
                      <c:pt idx="34">
                        <c:v>6.4131206560328019E-4</c:v>
                      </c:pt>
                      <c:pt idx="35">
                        <c:v>4.9203460173008647E-4</c:v>
                      </c:pt>
                      <c:pt idx="36">
                        <c:v>3.6169808490424523E-4</c:v>
                      </c:pt>
                      <c:pt idx="37">
                        <c:v>3.0382519125956295E-4</c:v>
                      </c:pt>
                      <c:pt idx="38">
                        <c:v>2.6552327616380817E-4</c:v>
                      </c:pt>
                      <c:pt idx="39">
                        <c:v>2.9430471523576179E-4</c:v>
                      </c:pt>
                      <c:pt idx="40">
                        <c:v>3.1470573528676434E-4</c:v>
                      </c:pt>
                      <c:pt idx="41">
                        <c:v>2.5426271313565681E-4</c:v>
                      </c:pt>
                      <c:pt idx="42">
                        <c:v>1.7543877193859693E-4</c:v>
                      </c:pt>
                      <c:pt idx="43">
                        <c:v>2.2281114055702785E-4</c:v>
                      </c:pt>
                      <c:pt idx="44">
                        <c:v>2.4742437121856092E-3</c:v>
                      </c:pt>
                      <c:pt idx="45">
                        <c:v>1.111305565278264E-3</c:v>
                      </c:pt>
                      <c:pt idx="46">
                        <c:v>5.2368618430921545E-4</c:v>
                      </c:pt>
                      <c:pt idx="47">
                        <c:v>3.1270563528176408E-4</c:v>
                      </c:pt>
                      <c:pt idx="48">
                        <c:v>1.5043752187609381E-4</c:v>
                      </c:pt>
                      <c:pt idx="49">
                        <c:v>1.0022501125056253E-4</c:v>
                      </c:pt>
                      <c:pt idx="50">
                        <c:v>1.1428571428571428E-4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953-4AAA-B1B3-4CF6BBF03F0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(wei)'!$N$63:$N$114</c15:sqref>
                        </c15:fullRef>
                        <c15:formulaRef>
                          <c15:sqref>'Multiplier Weight (wei)'!$N$64:$N$114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9.8413517003105161E-3</c:v>
                      </c:pt>
                      <c:pt idx="1">
                        <c:v>1.4402327205930201E-2</c:v>
                      </c:pt>
                      <c:pt idx="2">
                        <c:v>9.1715957459559284E-3</c:v>
                      </c:pt>
                      <c:pt idx="3">
                        <c:v>1.975951963615798E-2</c:v>
                      </c:pt>
                      <c:pt idx="4">
                        <c:v>6.839604956685323E-3</c:v>
                      </c:pt>
                      <c:pt idx="5">
                        <c:v>7.4210154885570876E-3</c:v>
                      </c:pt>
                      <c:pt idx="6">
                        <c:v>3.5456257960368815E-3</c:v>
                      </c:pt>
                      <c:pt idx="7">
                        <c:v>1.0381343751322995E-2</c:v>
                      </c:pt>
                      <c:pt idx="8">
                        <c:v>2.1224185059452882E-4</c:v>
                      </c:pt>
                      <c:pt idx="9">
                        <c:v>7.5657701213097664E-3</c:v>
                      </c:pt>
                      <c:pt idx="10">
                        <c:v>1.6486691250148299E-2</c:v>
                      </c:pt>
                      <c:pt idx="11">
                        <c:v>9.0708466415887808E-3</c:v>
                      </c:pt>
                      <c:pt idx="12">
                        <c:v>3.4363589394996452E-3</c:v>
                      </c:pt>
                      <c:pt idx="13">
                        <c:v>5.0773840571033532E-3</c:v>
                      </c:pt>
                      <c:pt idx="14">
                        <c:v>1.6509542788840149E-3</c:v>
                      </c:pt>
                      <c:pt idx="15">
                        <c:v>1.7472923278998677E-3</c:v>
                      </c:pt>
                      <c:pt idx="16">
                        <c:v>7.6335048983805162E-4</c:v>
                      </c:pt>
                      <c:pt idx="17">
                        <c:v>3.0241674649576591E-3</c:v>
                      </c:pt>
                      <c:pt idx="18">
                        <c:v>1.6833095199216548E-3</c:v>
                      </c:pt>
                      <c:pt idx="19">
                        <c:v>3.5524749347030921E-4</c:v>
                      </c:pt>
                      <c:pt idx="20">
                        <c:v>7.4768995731898846E-4</c:v>
                      </c:pt>
                      <c:pt idx="21">
                        <c:v>4.2337129218647176E-4</c:v>
                      </c:pt>
                      <c:pt idx="22">
                        <c:v>6.9930981087126495E-4</c:v>
                      </c:pt>
                      <c:pt idx="23">
                        <c:v>5.3618971272618359E-4</c:v>
                      </c:pt>
                      <c:pt idx="24">
                        <c:v>2.1882413970231539E-4</c:v>
                      </c:pt>
                      <c:pt idx="25">
                        <c:v>9.4993084373998026E-5</c:v>
                      </c:pt>
                      <c:pt idx="26">
                        <c:v>1.1211861025195793E-4</c:v>
                      </c:pt>
                      <c:pt idx="27">
                        <c:v>3.041120449554871E-5</c:v>
                      </c:pt>
                      <c:pt idx="28">
                        <c:v>5.1227613422550795E-5</c:v>
                      </c:pt>
                      <c:pt idx="29">
                        <c:v>6.8084146372139744E-6</c:v>
                      </c:pt>
                      <c:pt idx="30">
                        <c:v>4.5064353139437686E-6</c:v>
                      </c:pt>
                      <c:pt idx="31">
                        <c:v>5.5213209839330072E-6</c:v>
                      </c:pt>
                      <c:pt idx="32">
                        <c:v>0</c:v>
                      </c:pt>
                      <c:pt idx="33">
                        <c:v>2.9010512235067259E-6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3.5270224165803419E-5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953-4AAA-B1B3-4CF6BBF03F0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(wei)'!$N$122:$N$173</c15:sqref>
                        </c15:fullRef>
                        <c15:formulaRef>
                          <c15:sqref>'Multiplier Weight (wei)'!$N$123:$N$173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3.3860680793618707E-3</c:v>
                      </c:pt>
                      <c:pt idx="4">
                        <c:v>0</c:v>
                      </c:pt>
                      <c:pt idx="5">
                        <c:v>1.0215832008389346E-3</c:v>
                      </c:pt>
                      <c:pt idx="6">
                        <c:v>0</c:v>
                      </c:pt>
                      <c:pt idx="7">
                        <c:v>2.1040417073207021E-3</c:v>
                      </c:pt>
                      <c:pt idx="8">
                        <c:v>0</c:v>
                      </c:pt>
                      <c:pt idx="9">
                        <c:v>7.1503525627927261E-3</c:v>
                      </c:pt>
                      <c:pt idx="10">
                        <c:v>4.7871057538446038E-3</c:v>
                      </c:pt>
                      <c:pt idx="11">
                        <c:v>1.2919794072676065E-2</c:v>
                      </c:pt>
                      <c:pt idx="12">
                        <c:v>6.1613352798145279E-3</c:v>
                      </c:pt>
                      <c:pt idx="13">
                        <c:v>9.6509515775049948E-3</c:v>
                      </c:pt>
                      <c:pt idx="14">
                        <c:v>2.0028705399571739E-3</c:v>
                      </c:pt>
                      <c:pt idx="15">
                        <c:v>5.5732426425989462E-3</c:v>
                      </c:pt>
                      <c:pt idx="16">
                        <c:v>1.3752449134955675E-3</c:v>
                      </c:pt>
                      <c:pt idx="17">
                        <c:v>9.3063239370728395E-3</c:v>
                      </c:pt>
                      <c:pt idx="18">
                        <c:v>3.5600552113397763E-3</c:v>
                      </c:pt>
                      <c:pt idx="19">
                        <c:v>2.7557383043797163E-4</c:v>
                      </c:pt>
                      <c:pt idx="20">
                        <c:v>1.862387999932441E-3</c:v>
                      </c:pt>
                      <c:pt idx="21">
                        <c:v>6.7458064037041266E-4</c:v>
                      </c:pt>
                      <c:pt idx="22">
                        <c:v>1.3034176997980805E-3</c:v>
                      </c:pt>
                      <c:pt idx="23">
                        <c:v>8.8376751808249621E-4</c:v>
                      </c:pt>
                      <c:pt idx="24">
                        <c:v>1.8548242685110974E-4</c:v>
                      </c:pt>
                      <c:pt idx="25">
                        <c:v>1.5881918148991458E-4</c:v>
                      </c:pt>
                      <c:pt idx="26">
                        <c:v>1.5592751124374939E-4</c:v>
                      </c:pt>
                      <c:pt idx="27">
                        <c:v>6.5733823079278144E-5</c:v>
                      </c:pt>
                      <c:pt idx="28">
                        <c:v>7.9120317173905766E-5</c:v>
                      </c:pt>
                      <c:pt idx="29">
                        <c:v>1.1735024351976165E-5</c:v>
                      </c:pt>
                      <c:pt idx="30">
                        <c:v>6.1562530148645613E-6</c:v>
                      </c:pt>
                      <c:pt idx="31">
                        <c:v>1.1576270163811606E-5</c:v>
                      </c:pt>
                      <c:pt idx="32">
                        <c:v>0</c:v>
                      </c:pt>
                      <c:pt idx="33">
                        <c:v>9.3217475990048539E-6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4.9113644682103988E-5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953-4AAA-B1B3-4CF6BBF03F0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(wei)'!$N$181:$N$232</c15:sqref>
                        </c15:fullRef>
                        <c15:formulaRef>
                          <c15:sqref>'Multiplier Weight (wei)'!$N$182:$N$232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3.3860680793618707E-3</c:v>
                      </c:pt>
                      <c:pt idx="4">
                        <c:v>0</c:v>
                      </c:pt>
                      <c:pt idx="5">
                        <c:v>1.0215832008389346E-3</c:v>
                      </c:pt>
                      <c:pt idx="6">
                        <c:v>0</c:v>
                      </c:pt>
                      <c:pt idx="7">
                        <c:v>2.1040417073207021E-3</c:v>
                      </c:pt>
                      <c:pt idx="8">
                        <c:v>0</c:v>
                      </c:pt>
                      <c:pt idx="9">
                        <c:v>7.1503525627927261E-3</c:v>
                      </c:pt>
                      <c:pt idx="10">
                        <c:v>4.7871057538446038E-3</c:v>
                      </c:pt>
                      <c:pt idx="11">
                        <c:v>1.2919794072676065E-2</c:v>
                      </c:pt>
                      <c:pt idx="12">
                        <c:v>6.1613352798145279E-3</c:v>
                      </c:pt>
                      <c:pt idx="13">
                        <c:v>9.6509515775049948E-3</c:v>
                      </c:pt>
                      <c:pt idx="14">
                        <c:v>2.0028705399571739E-3</c:v>
                      </c:pt>
                      <c:pt idx="15">
                        <c:v>5.5732426425989462E-3</c:v>
                      </c:pt>
                      <c:pt idx="16">
                        <c:v>1.3752449134955675E-3</c:v>
                      </c:pt>
                      <c:pt idx="17">
                        <c:v>9.3063239370728395E-3</c:v>
                      </c:pt>
                      <c:pt idx="18">
                        <c:v>3.5600552113397763E-3</c:v>
                      </c:pt>
                      <c:pt idx="19">
                        <c:v>2.7557383043797163E-4</c:v>
                      </c:pt>
                      <c:pt idx="20">
                        <c:v>1.862387999932441E-3</c:v>
                      </c:pt>
                      <c:pt idx="21">
                        <c:v>6.7458064037041266E-4</c:v>
                      </c:pt>
                      <c:pt idx="22">
                        <c:v>1.3034176997980805E-3</c:v>
                      </c:pt>
                      <c:pt idx="23">
                        <c:v>8.8376751808249621E-4</c:v>
                      </c:pt>
                      <c:pt idx="24">
                        <c:v>1.8548242685110974E-4</c:v>
                      </c:pt>
                      <c:pt idx="25">
                        <c:v>1.5881918148991458E-4</c:v>
                      </c:pt>
                      <c:pt idx="26">
                        <c:v>1.5592751124374939E-4</c:v>
                      </c:pt>
                      <c:pt idx="27">
                        <c:v>6.5733823079278144E-5</c:v>
                      </c:pt>
                      <c:pt idx="28">
                        <c:v>7.9120317173905766E-5</c:v>
                      </c:pt>
                      <c:pt idx="29">
                        <c:v>1.1735024351976165E-5</c:v>
                      </c:pt>
                      <c:pt idx="30">
                        <c:v>6.1562530148645613E-6</c:v>
                      </c:pt>
                      <c:pt idx="31">
                        <c:v>1.1576270163811606E-5</c:v>
                      </c:pt>
                      <c:pt idx="32">
                        <c:v>0</c:v>
                      </c:pt>
                      <c:pt idx="33">
                        <c:v>9.3217475990048539E-6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4.9113644682103988E-5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953-4AAA-B1B3-4CF6BBF03F0A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(wei)'!$I$4:$I$55</c15:sqref>
                  </c15:fullRef>
                </c:ext>
              </c:extLst>
              <c:f>('Multiplier Weight (wei)'!$I$28:$I$39,'Multiplier Weight (wei)'!$I$49:$I$50)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(wei)'!$N$4:$N$55</c15:sqref>
                  </c15:fullRef>
                </c:ext>
              </c:extLst>
              <c:f>('Multiplier Weight (wei)'!$N$28:$N$39,'Multiplier Weight (wei)'!$N$49:$N$50)</c:f>
              <c:numCache>
                <c:formatCode>0.000000%</c:formatCode>
                <c:ptCount val="14"/>
                <c:pt idx="0">
                  <c:v>2.8970057126091335E-4</c:v>
                </c:pt>
                <c:pt idx="1">
                  <c:v>2.1548202945162728E-5</c:v>
                </c:pt>
                <c:pt idx="2">
                  <c:v>1.4365468630108484E-5</c:v>
                </c:pt>
                <c:pt idx="3">
                  <c:v>1.2928718692901565E-5</c:v>
                </c:pt>
                <c:pt idx="4">
                  <c:v>5.7459843778473227E-6</c:v>
                </c:pt>
                <c:pt idx="5">
                  <c:v>1.0187521657228404E-4</c:v>
                </c:pt>
                <c:pt idx="6">
                  <c:v>7.1786728311328097E-7</c:v>
                </c:pt>
                <c:pt idx="7">
                  <c:v>2.4320165721540743E-5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1.0048111221625217E-5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BB-4FAE-80C5-82647BF464EE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(wei)'!$P$4:$P$55</c15:sqref>
                  </c15:fullRef>
                </c:ext>
              </c:extLst>
              <c:f>('Multiplier Weight (wei)'!$P$28:$P$39,'Multiplier Weight (wei)'!$P$49:$P$50)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BB-4FAE-80C5-82647BF46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(wei)'!$I$4:$I$55</c15:sqref>
                        </c15:fullRef>
                        <c15:formulaRef>
                          <c15:sqref>('Multiplier Weight (wei)'!$I$28:$I$39,'Multiplier Weight (wei)'!$I$49:$I$50)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(wei)'!$F$4:$F$55</c15:sqref>
                        </c15:fullRef>
                        <c15:formulaRef>
                          <c15:sqref>('Multiplier Weight (wei)'!$F$28:$F$39,'Multiplier Weight (wei)'!$F$49:$F$50)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2.8531526576328816E-3</c:v>
                      </c:pt>
                      <c:pt idx="1">
                        <c:v>1.9721786089304466E-3</c:v>
                      </c:pt>
                      <c:pt idx="2">
                        <c:v>1.8413120656032801E-3</c:v>
                      </c:pt>
                      <c:pt idx="3">
                        <c:v>1.424151207560378E-3</c:v>
                      </c:pt>
                      <c:pt idx="4">
                        <c:v>1.2976448822441121E-3</c:v>
                      </c:pt>
                      <c:pt idx="5">
                        <c:v>2.5083454172708636E-3</c:v>
                      </c:pt>
                      <c:pt idx="6">
                        <c:v>1.7381269063453174E-3</c:v>
                      </c:pt>
                      <c:pt idx="7">
                        <c:v>1.1976298814940748E-3</c:v>
                      </c:pt>
                      <c:pt idx="8">
                        <c:v>1.0098804940247012E-3</c:v>
                      </c:pt>
                      <c:pt idx="9">
                        <c:v>7.7017850892544632E-4</c:v>
                      </c:pt>
                      <c:pt idx="10">
                        <c:v>6.6782339116955845E-4</c:v>
                      </c:pt>
                      <c:pt idx="11">
                        <c:v>6.4131206560328019E-4</c:v>
                      </c:pt>
                      <c:pt idx="12">
                        <c:v>2.4742437121856092E-3</c:v>
                      </c:pt>
                      <c:pt idx="13">
                        <c:v>1.111305565278264E-3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66BB-4FAE-80C5-82647BF464E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(wei)'!$N$63:$N$114</c15:sqref>
                        </c15:fullRef>
                        <c15:formulaRef>
                          <c15:sqref>('Multiplier Weight (wei)'!$N$87:$N$98,'Multiplier Weight (wei)'!$N$108:$N$109)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5.3618971272618359E-4</c:v>
                      </c:pt>
                      <c:pt idx="1">
                        <c:v>2.1882413970231539E-4</c:v>
                      </c:pt>
                      <c:pt idx="2">
                        <c:v>9.4993084373998026E-5</c:v>
                      </c:pt>
                      <c:pt idx="3">
                        <c:v>1.1211861025195793E-4</c:v>
                      </c:pt>
                      <c:pt idx="4">
                        <c:v>3.041120449554871E-5</c:v>
                      </c:pt>
                      <c:pt idx="5">
                        <c:v>5.1227613422550795E-5</c:v>
                      </c:pt>
                      <c:pt idx="6">
                        <c:v>6.8084146372139744E-6</c:v>
                      </c:pt>
                      <c:pt idx="7">
                        <c:v>4.5064353139437686E-6</c:v>
                      </c:pt>
                      <c:pt idx="8">
                        <c:v>5.5213209839330072E-6</c:v>
                      </c:pt>
                      <c:pt idx="9">
                        <c:v>0</c:v>
                      </c:pt>
                      <c:pt idx="10">
                        <c:v>2.9010512235067259E-6</c:v>
                      </c:pt>
                      <c:pt idx="11">
                        <c:v>0</c:v>
                      </c:pt>
                      <c:pt idx="12">
                        <c:v>3.5270224165803419E-5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6BB-4FAE-80C5-82647BF464E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(wei)'!$N$122:$N$173</c15:sqref>
                        </c15:fullRef>
                        <c15:formulaRef>
                          <c15:sqref>('Multiplier Weight (wei)'!$N$146:$N$157,'Multiplier Weight (wei)'!$N$167:$N$168)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8.8376751808249621E-4</c:v>
                      </c:pt>
                      <c:pt idx="1">
                        <c:v>1.8548242685110974E-4</c:v>
                      </c:pt>
                      <c:pt idx="2">
                        <c:v>1.5881918148991458E-4</c:v>
                      </c:pt>
                      <c:pt idx="3">
                        <c:v>1.5592751124374939E-4</c:v>
                      </c:pt>
                      <c:pt idx="4">
                        <c:v>6.5733823079278144E-5</c:v>
                      </c:pt>
                      <c:pt idx="5">
                        <c:v>7.9120317173905766E-5</c:v>
                      </c:pt>
                      <c:pt idx="6">
                        <c:v>1.1735024351976165E-5</c:v>
                      </c:pt>
                      <c:pt idx="7">
                        <c:v>6.1562530148645613E-6</c:v>
                      </c:pt>
                      <c:pt idx="8">
                        <c:v>1.1576270163811606E-5</c:v>
                      </c:pt>
                      <c:pt idx="9">
                        <c:v>0</c:v>
                      </c:pt>
                      <c:pt idx="10">
                        <c:v>9.3217475990048539E-6</c:v>
                      </c:pt>
                      <c:pt idx="11">
                        <c:v>0</c:v>
                      </c:pt>
                      <c:pt idx="12">
                        <c:v>4.9113644682103988E-5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6BB-4FAE-80C5-82647BF464E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(wei)'!$N$181:$N$232</c15:sqref>
                        </c15:fullRef>
                        <c15:formulaRef>
                          <c15:sqref>('Multiplier Weight (wei)'!$N$205:$N$216,'Multiplier Weight (wei)'!$N$226:$N$227)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8.8376751808249621E-4</c:v>
                      </c:pt>
                      <c:pt idx="1">
                        <c:v>1.8548242685110974E-4</c:v>
                      </c:pt>
                      <c:pt idx="2">
                        <c:v>1.5881918148991458E-4</c:v>
                      </c:pt>
                      <c:pt idx="3">
                        <c:v>1.5592751124374939E-4</c:v>
                      </c:pt>
                      <c:pt idx="4">
                        <c:v>6.5733823079278144E-5</c:v>
                      </c:pt>
                      <c:pt idx="5">
                        <c:v>7.9120317173905766E-5</c:v>
                      </c:pt>
                      <c:pt idx="6">
                        <c:v>1.1735024351976165E-5</c:v>
                      </c:pt>
                      <c:pt idx="7">
                        <c:v>6.1562530148645613E-6</c:v>
                      </c:pt>
                      <c:pt idx="8">
                        <c:v>1.1576270163811606E-5</c:v>
                      </c:pt>
                      <c:pt idx="9">
                        <c:v>0</c:v>
                      </c:pt>
                      <c:pt idx="10">
                        <c:v>9.3217475990048539E-6</c:v>
                      </c:pt>
                      <c:pt idx="11">
                        <c:v>0</c:v>
                      </c:pt>
                      <c:pt idx="12">
                        <c:v>4.9113644682103988E-5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6BB-4FAE-80C5-82647BF464EE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ABC0D2AD-AFF3-4DBA-BA42-006B26BDA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7412B344-282A-4F48-BF59-6F20B430B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93451</xdr:colOff>
      <xdr:row>5</xdr:row>
      <xdr:rowOff>5201</xdr:rowOff>
    </xdr:from>
    <xdr:to>
      <xdr:col>23</xdr:col>
      <xdr:colOff>85454</xdr:colOff>
      <xdr:row>29</xdr:row>
      <xdr:rowOff>48985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247D786-BCFB-4F6C-A4DF-3FC1D2EB4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B6C3949-A2C8-4A55-90AB-96FE2C8A1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7468D42-7AB8-4D06-AF85-C823E0E9E9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E20CED7B-A278-4572-AA5A-87BAA48F9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931547F-509B-4FA0-8FE1-E9919F7FA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2A425D3-E7F7-49DD-BB2D-A61490EB5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2454B91-4EE7-4442-80EA-180E960B5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80A8707E-461D-44A6-BEBF-95A0146612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6B547F0-CAD6-4898-8321-19BA2A531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D718A907-6BF6-470A-94D8-B9F150FD28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93451</xdr:colOff>
      <xdr:row>5</xdr:row>
      <xdr:rowOff>5201</xdr:rowOff>
    </xdr:from>
    <xdr:to>
      <xdr:col>23</xdr:col>
      <xdr:colOff>85454</xdr:colOff>
      <xdr:row>29</xdr:row>
      <xdr:rowOff>48985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F7F27C5-84FB-452A-8047-9071F1D697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94980FEE-5085-4F6B-999F-3EADD9F88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.5_1126_100000000_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00.0_0102_100000000_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250.0_1218_100000000_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00.0_1231_100000000_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250.0_1212_100000000_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.0_1124_100000000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79519285</v>
          </cell>
          <cell r="T1">
            <v>0</v>
          </cell>
        </row>
        <row r="2">
          <cell r="S2">
            <v>891535</v>
          </cell>
          <cell r="T2">
            <v>594293.33333313535</v>
          </cell>
        </row>
        <row r="3">
          <cell r="S3">
            <v>1581010</v>
          </cell>
          <cell r="T3">
            <v>2464177.866667537</v>
          </cell>
        </row>
        <row r="4">
          <cell r="S4">
            <v>1426312</v>
          </cell>
          <cell r="T4">
            <v>3473772.5333300871</v>
          </cell>
        </row>
        <row r="5">
          <cell r="S5">
            <v>2474805</v>
          </cell>
          <cell r="T5">
            <v>8932647.733337855</v>
          </cell>
        </row>
        <row r="6">
          <cell r="S6">
            <v>797741</v>
          </cell>
          <cell r="T6">
            <v>3694005.5999973938</v>
          </cell>
        </row>
        <row r="7">
          <cell r="S7">
            <v>1538763</v>
          </cell>
          <cell r="T7">
            <v>8598399.8666596767</v>
          </cell>
        </row>
        <row r="8">
          <cell r="S8">
            <v>945248</v>
          </cell>
          <cell r="T8">
            <v>6177978.9333366733</v>
          </cell>
        </row>
        <row r="9">
          <cell r="S9">
            <v>1215760</v>
          </cell>
          <cell r="T9">
            <v>9643478.2666668147</v>
          </cell>
        </row>
        <row r="10">
          <cell r="S10">
            <v>165033</v>
          </cell>
          <cell r="T10">
            <v>1422053.0666668729</v>
          </cell>
        </row>
        <row r="11">
          <cell r="S11">
            <v>704591</v>
          </cell>
          <cell r="T11">
            <v>6836701.0666642478</v>
          </cell>
        </row>
        <row r="12">
          <cell r="S12">
            <v>1657541</v>
          </cell>
          <cell r="T12">
            <v>20314575.600000072</v>
          </cell>
        </row>
        <row r="13">
          <cell r="S13">
            <v>1111682</v>
          </cell>
          <cell r="T13">
            <v>19430968.266665529</v>
          </cell>
        </row>
        <row r="14">
          <cell r="S14">
            <v>458059</v>
          </cell>
          <cell r="T14">
            <v>10386921.200000487</v>
          </cell>
        </row>
        <row r="15">
          <cell r="S15">
            <v>506349</v>
          </cell>
          <cell r="T15">
            <v>13927416.266664401</v>
          </cell>
        </row>
        <row r="16">
          <cell r="S16">
            <v>324607</v>
          </cell>
          <cell r="T16">
            <v>10553790.133333378</v>
          </cell>
        </row>
        <row r="17">
          <cell r="S17">
            <v>346489</v>
          </cell>
          <cell r="T17">
            <v>13346873.200000614</v>
          </cell>
        </row>
        <row r="18">
          <cell r="S18">
            <v>179118</v>
          </cell>
          <cell r="T18">
            <v>7660761.8666665796</v>
          </cell>
        </row>
        <row r="19">
          <cell r="S19">
            <v>209009</v>
          </cell>
          <cell r="T19">
            <v>9979231.9999998864</v>
          </cell>
        </row>
        <row r="20">
          <cell r="S20">
            <v>391502</v>
          </cell>
          <cell r="T20">
            <v>21616833.066666</v>
          </cell>
        </row>
        <row r="21">
          <cell r="S21">
            <v>288347</v>
          </cell>
          <cell r="T21">
            <v>18845787.866666757</v>
          </cell>
        </row>
        <row r="22">
          <cell r="S22">
            <v>278902</v>
          </cell>
          <cell r="T22">
            <v>21237643.86666711</v>
          </cell>
        </row>
        <row r="23">
          <cell r="S23">
            <v>180726</v>
          </cell>
          <cell r="T23">
            <v>15476097.999999804</v>
          </cell>
        </row>
        <row r="24">
          <cell r="S24">
            <v>180137</v>
          </cell>
          <cell r="T24">
            <v>17199010.399999812</v>
          </cell>
        </row>
        <row r="25">
          <cell r="S25">
            <v>295433</v>
          </cell>
          <cell r="T25">
            <v>32593276.933333479</v>
          </cell>
        </row>
        <row r="26">
          <cell r="S26">
            <v>235983</v>
          </cell>
          <cell r="T26">
            <v>30899620.933333185</v>
          </cell>
        </row>
        <row r="27">
          <cell r="S27">
            <v>200344</v>
          </cell>
          <cell r="T27">
            <v>30219075.466666829</v>
          </cell>
        </row>
        <row r="28">
          <cell r="S28">
            <v>137215</v>
          </cell>
          <cell r="T28">
            <v>23401881.333333235</v>
          </cell>
        </row>
        <row r="29">
          <cell r="S29">
            <v>125004</v>
          </cell>
          <cell r="T29">
            <v>23864585.599999975</v>
          </cell>
        </row>
        <row r="30">
          <cell r="S30">
            <v>219484</v>
          </cell>
          <cell r="T30">
            <v>49158998.53333354</v>
          </cell>
        </row>
        <row r="31">
          <cell r="S31">
            <v>167384</v>
          </cell>
          <cell r="T31">
            <v>45883601.066666439</v>
          </cell>
        </row>
        <row r="32">
          <cell r="S32">
            <v>129751</v>
          </cell>
          <cell r="T32">
            <v>42341340.933333449</v>
          </cell>
        </row>
        <row r="33">
          <cell r="S33">
            <v>103051</v>
          </cell>
          <cell r="T33">
            <v>38565191.066666685</v>
          </cell>
        </row>
        <row r="34">
          <cell r="S34">
            <v>69188</v>
          </cell>
          <cell r="T34">
            <v>29365060.933333326</v>
          </cell>
        </row>
        <row r="35">
          <cell r="S35">
            <v>54146</v>
          </cell>
          <cell r="T35">
            <v>25685943.06666667</v>
          </cell>
        </row>
        <row r="36">
          <cell r="S36">
            <v>58928</v>
          </cell>
          <cell r="T36">
            <v>31120209.999999698</v>
          </cell>
        </row>
        <row r="37">
          <cell r="S37">
            <v>56948</v>
          </cell>
          <cell r="T37">
            <v>32652787.200000014</v>
          </cell>
        </row>
        <row r="38">
          <cell r="S38">
            <v>35869</v>
          </cell>
          <cell r="T38">
            <v>22405158.533333346</v>
          </cell>
        </row>
        <row r="39">
          <cell r="S39">
            <v>53000</v>
          </cell>
          <cell r="T39">
            <v>35851483.866666831</v>
          </cell>
        </row>
        <row r="40">
          <cell r="S40">
            <v>37360</v>
          </cell>
          <cell r="T40">
            <v>27021585.333333336</v>
          </cell>
        </row>
        <row r="41">
          <cell r="S41">
            <v>31872</v>
          </cell>
          <cell r="T41">
            <v>24864064.266666673</v>
          </cell>
        </row>
        <row r="42">
          <cell r="S42">
            <v>34577</v>
          </cell>
          <cell r="T42">
            <v>28589148.800000101</v>
          </cell>
        </row>
        <row r="43">
          <cell r="S43">
            <v>27647</v>
          </cell>
          <cell r="T43">
            <v>24145191.333333328</v>
          </cell>
        </row>
        <row r="44">
          <cell r="S44">
            <v>20628</v>
          </cell>
          <cell r="T44">
            <v>19069424.533333343</v>
          </cell>
        </row>
        <row r="45">
          <cell r="S45">
            <v>25185</v>
          </cell>
          <cell r="T45">
            <v>24731080.400000006</v>
          </cell>
        </row>
        <row r="46">
          <cell r="S46">
            <v>299183</v>
          </cell>
          <cell r="T46">
            <v>419253014.66666538</v>
          </cell>
        </row>
        <row r="47">
          <cell r="S47">
            <v>112189</v>
          </cell>
          <cell r="T47">
            <v>273581340.53333306</v>
          </cell>
        </row>
        <row r="48">
          <cell r="S48">
            <v>46020</v>
          </cell>
          <cell r="T48">
            <v>158213585.86666664</v>
          </cell>
        </row>
        <row r="49">
          <cell r="S49">
            <v>22947</v>
          </cell>
          <cell r="T49">
            <v>101825962.53333333</v>
          </cell>
        </row>
        <row r="50">
          <cell r="S50">
            <v>11752</v>
          </cell>
          <cell r="T50">
            <v>64004405.20000001</v>
          </cell>
        </row>
        <row r="51">
          <cell r="S51">
            <v>6126</v>
          </cell>
          <cell r="T51">
            <v>39630581.999999993</v>
          </cell>
        </row>
        <row r="52">
          <cell r="S52">
            <v>7472</v>
          </cell>
          <cell r="T52">
            <v>60481604.93333333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31805001</v>
          </cell>
          <cell r="T1">
            <v>0</v>
          </cell>
        </row>
        <row r="2">
          <cell r="S2">
            <v>84168</v>
          </cell>
          <cell r="T2">
            <v>67334.400000006543</v>
          </cell>
        </row>
        <row r="3">
          <cell r="S3">
            <v>396676</v>
          </cell>
          <cell r="T3">
            <v>711428.79999993904</v>
          </cell>
        </row>
        <row r="4">
          <cell r="S4">
            <v>145229</v>
          </cell>
          <cell r="T4">
            <v>405893.60000001686</v>
          </cell>
        </row>
        <row r="5">
          <cell r="S5">
            <v>502630</v>
          </cell>
          <cell r="T5">
            <v>1916349.1999998137</v>
          </cell>
        </row>
        <row r="6">
          <cell r="S6">
            <v>407217</v>
          </cell>
          <cell r="T6">
            <v>1995205.0000004047</v>
          </cell>
        </row>
        <row r="7">
          <cell r="S7">
            <v>441275</v>
          </cell>
          <cell r="T7">
            <v>2642845.8000000217</v>
          </cell>
        </row>
        <row r="8">
          <cell r="S8">
            <v>58600</v>
          </cell>
          <cell r="T8">
            <v>378748.20000000711</v>
          </cell>
        </row>
        <row r="9">
          <cell r="S9">
            <v>725764</v>
          </cell>
          <cell r="T9">
            <v>5724436.0000006286</v>
          </cell>
        </row>
        <row r="10">
          <cell r="S10">
            <v>127536</v>
          </cell>
          <cell r="T10">
            <v>1137202.0000000217</v>
          </cell>
        </row>
        <row r="11">
          <cell r="S11">
            <v>652584</v>
          </cell>
          <cell r="T11">
            <v>6478663.1999995802</v>
          </cell>
        </row>
        <row r="12">
          <cell r="S12">
            <v>1210418</v>
          </cell>
          <cell r="T12">
            <v>16126844.000000538</v>
          </cell>
        </row>
        <row r="13">
          <cell r="S13">
            <v>1737086</v>
          </cell>
          <cell r="T13">
            <v>31914382.799996909</v>
          </cell>
        </row>
        <row r="14">
          <cell r="S14">
            <v>1064096</v>
          </cell>
          <cell r="T14">
            <v>25128416.399998203</v>
          </cell>
        </row>
        <row r="15">
          <cell r="S15">
            <v>1058825</v>
          </cell>
          <cell r="T15">
            <v>30673693.599996794</v>
          </cell>
        </row>
        <row r="16">
          <cell r="S16">
            <v>779587</v>
          </cell>
          <cell r="T16">
            <v>25340226.199997462</v>
          </cell>
        </row>
        <row r="17">
          <cell r="S17">
            <v>1527695</v>
          </cell>
          <cell r="T17">
            <v>59168774.000002421</v>
          </cell>
        </row>
        <row r="18">
          <cell r="S18">
            <v>664789</v>
          </cell>
          <cell r="T18">
            <v>29096432.999999017</v>
          </cell>
        </row>
        <row r="19">
          <cell r="S19">
            <v>1009516</v>
          </cell>
          <cell r="T19">
            <v>48812932.000001483</v>
          </cell>
        </row>
        <row r="20">
          <cell r="S20">
            <v>1602942</v>
          </cell>
          <cell r="T20">
            <v>91943706.80000557</v>
          </cell>
        </row>
        <row r="21">
          <cell r="S21">
            <v>1059650</v>
          </cell>
          <cell r="T21">
            <v>69529277.399997041</v>
          </cell>
        </row>
        <row r="22">
          <cell r="S22">
            <v>1686944</v>
          </cell>
          <cell r="T22">
            <v>129439414.40000792</v>
          </cell>
        </row>
        <row r="23">
          <cell r="S23">
            <v>1039808</v>
          </cell>
          <cell r="T23">
            <v>89901307.799996778</v>
          </cell>
        </row>
        <row r="24">
          <cell r="S24">
            <v>1335870</v>
          </cell>
          <cell r="T24">
            <v>129396569.80000414</v>
          </cell>
        </row>
        <row r="25">
          <cell r="S25">
            <v>2141147</v>
          </cell>
          <cell r="T25">
            <v>240423675.80000943</v>
          </cell>
        </row>
        <row r="26">
          <cell r="S26">
            <v>1679049</v>
          </cell>
          <cell r="T26">
            <v>220371616.19999605</v>
          </cell>
        </row>
        <row r="27">
          <cell r="S27">
            <v>2020579</v>
          </cell>
          <cell r="T27">
            <v>307294025.80002034</v>
          </cell>
        </row>
        <row r="28">
          <cell r="S28">
            <v>1556263</v>
          </cell>
          <cell r="T28">
            <v>267107440.19998348</v>
          </cell>
        </row>
        <row r="29">
          <cell r="S29">
            <v>1801884</v>
          </cell>
          <cell r="T29">
            <v>348181615.99999112</v>
          </cell>
        </row>
        <row r="30">
          <cell r="S30">
            <v>3381969</v>
          </cell>
          <cell r="T30">
            <v>764943761.80003738</v>
          </cell>
        </row>
        <row r="31">
          <cell r="S31">
            <v>2990391</v>
          </cell>
          <cell r="T31">
            <v>827572643.0000149</v>
          </cell>
        </row>
        <row r="32">
          <cell r="S32">
            <v>2384532</v>
          </cell>
          <cell r="T32">
            <v>775147881.40000689</v>
          </cell>
        </row>
        <row r="33">
          <cell r="S33">
            <v>2381036</v>
          </cell>
          <cell r="T33">
            <v>899270817.59998333</v>
          </cell>
        </row>
        <row r="34">
          <cell r="S34">
            <v>1829729</v>
          </cell>
          <cell r="T34">
            <v>779255256.99999332</v>
          </cell>
        </row>
        <row r="35">
          <cell r="S35">
            <v>1851531</v>
          </cell>
          <cell r="T35">
            <v>884348199.60000253</v>
          </cell>
        </row>
        <row r="36">
          <cell r="S36">
            <v>1471355</v>
          </cell>
          <cell r="T36">
            <v>773043325.99999547</v>
          </cell>
        </row>
        <row r="37">
          <cell r="S37">
            <v>1494540</v>
          </cell>
          <cell r="T37">
            <v>862285364.79999816</v>
          </cell>
        </row>
        <row r="38">
          <cell r="S38">
            <v>1183078</v>
          </cell>
          <cell r="T38">
            <v>740608058.99999905</v>
          </cell>
        </row>
        <row r="39">
          <cell r="S39">
            <v>1085039</v>
          </cell>
          <cell r="T39">
            <v>732927133.39999652</v>
          </cell>
        </row>
        <row r="40">
          <cell r="S40">
            <v>985790</v>
          </cell>
          <cell r="T40">
            <v>714764715.99999452</v>
          </cell>
        </row>
        <row r="41">
          <cell r="S41">
            <v>1096660</v>
          </cell>
          <cell r="T41">
            <v>855622137.40000165</v>
          </cell>
        </row>
        <row r="42">
          <cell r="S42">
            <v>808383</v>
          </cell>
          <cell r="T42">
            <v>667579848.99999547</v>
          </cell>
        </row>
        <row r="43">
          <cell r="S43">
            <v>795580</v>
          </cell>
          <cell r="T43">
            <v>697056033.59999371</v>
          </cell>
        </row>
        <row r="44">
          <cell r="S44">
            <v>695344</v>
          </cell>
          <cell r="T44">
            <v>643340256.79999733</v>
          </cell>
        </row>
        <row r="45">
          <cell r="S45">
            <v>828194</v>
          </cell>
          <cell r="T45">
            <v>812122229.39999259</v>
          </cell>
        </row>
        <row r="46">
          <cell r="S46">
            <v>7610917</v>
          </cell>
          <cell r="T46">
            <v>10775924884.199627</v>
          </cell>
        </row>
        <row r="47">
          <cell r="S47">
            <v>2895228</v>
          </cell>
          <cell r="T47">
            <v>7086401382.9996033</v>
          </cell>
        </row>
        <row r="48">
          <cell r="S48">
            <v>1448535</v>
          </cell>
          <cell r="T48">
            <v>5023439206.5999565</v>
          </cell>
        </row>
        <row r="49">
          <cell r="S49">
            <v>855237</v>
          </cell>
          <cell r="T49">
            <v>3822090573.5999732</v>
          </cell>
        </row>
        <row r="50">
          <cell r="S50">
            <v>534676</v>
          </cell>
          <cell r="T50">
            <v>2927966696.0000076</v>
          </cell>
        </row>
        <row r="51">
          <cell r="S51">
            <v>340919</v>
          </cell>
          <cell r="T51">
            <v>2205589030.0000081</v>
          </cell>
        </row>
        <row r="52">
          <cell r="S52">
            <v>226180</v>
          </cell>
          <cell r="T52">
            <v>1690376895.6000068</v>
          </cell>
        </row>
        <row r="53">
          <cell r="S53">
            <v>151410</v>
          </cell>
          <cell r="T53">
            <v>1282597163.0000005</v>
          </cell>
        </row>
        <row r="54">
          <cell r="S54">
            <v>104546</v>
          </cell>
          <cell r="T54">
            <v>990573401.60000002</v>
          </cell>
        </row>
        <row r="55">
          <cell r="S55">
            <v>233343</v>
          </cell>
          <cell r="T55">
            <v>2943736126.4000006</v>
          </cell>
        </row>
        <row r="56">
          <cell r="S56">
            <v>11660</v>
          </cell>
          <cell r="T56">
            <v>269563303.19999993</v>
          </cell>
        </row>
        <row r="57">
          <cell r="S57">
            <v>1370</v>
          </cell>
          <cell r="T57">
            <v>48443232.600000001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22</v>
          </cell>
          <cell r="T3">
            <v>40.600000000000009</v>
          </cell>
        </row>
        <row r="4">
          <cell r="S4">
            <v>184</v>
          </cell>
          <cell r="T4">
            <v>496.79999999999995</v>
          </cell>
        </row>
        <row r="5">
          <cell r="S5">
            <v>897</v>
          </cell>
          <cell r="T5">
            <v>3300.6</v>
          </cell>
        </row>
        <row r="6">
          <cell r="S6">
            <v>1641</v>
          </cell>
          <cell r="T6">
            <v>7600.6</v>
          </cell>
        </row>
        <row r="7">
          <cell r="S7">
            <v>3222</v>
          </cell>
          <cell r="T7">
            <v>18107.200000000008</v>
          </cell>
        </row>
        <row r="8">
          <cell r="S8">
            <v>4791</v>
          </cell>
          <cell r="T8">
            <v>31637.800000000017</v>
          </cell>
        </row>
        <row r="9">
          <cell r="S9">
            <v>8320</v>
          </cell>
          <cell r="T9">
            <v>63414.199999999895</v>
          </cell>
        </row>
        <row r="10">
          <cell r="S10">
            <v>10242</v>
          </cell>
          <cell r="T10">
            <v>88382.199999999983</v>
          </cell>
        </row>
        <row r="11">
          <cell r="S11">
            <v>14414</v>
          </cell>
          <cell r="T11">
            <v>138978.00000000006</v>
          </cell>
        </row>
        <row r="12">
          <cell r="S12">
            <v>129904</v>
          </cell>
          <cell r="T12">
            <v>1686330.3999999918</v>
          </cell>
        </row>
        <row r="13">
          <cell r="S13">
            <v>237486</v>
          </cell>
          <cell r="T13">
            <v>4238019.6000000285</v>
          </cell>
        </row>
        <row r="14">
          <cell r="S14">
            <v>317054</v>
          </cell>
          <cell r="T14">
            <v>7223858.8000000985</v>
          </cell>
        </row>
        <row r="15">
          <cell r="S15">
            <v>413768</v>
          </cell>
          <cell r="T15">
            <v>11494519.599999987</v>
          </cell>
        </row>
        <row r="16">
          <cell r="S16">
            <v>464963</v>
          </cell>
          <cell r="T16">
            <v>15232671.00000024</v>
          </cell>
        </row>
        <row r="17">
          <cell r="S17">
            <v>520506</v>
          </cell>
          <cell r="T17">
            <v>19649505.799999509</v>
          </cell>
        </row>
        <row r="18">
          <cell r="S18">
            <v>540765</v>
          </cell>
          <cell r="T18">
            <v>23135048.199999567</v>
          </cell>
        </row>
        <row r="19">
          <cell r="S19">
            <v>614539</v>
          </cell>
          <cell r="T19">
            <v>29374836.599998981</v>
          </cell>
        </row>
        <row r="20">
          <cell r="S20">
            <v>1334223</v>
          </cell>
          <cell r="T20">
            <v>73935739.600002438</v>
          </cell>
        </row>
        <row r="21">
          <cell r="S21">
            <v>1421367</v>
          </cell>
          <cell r="T21">
            <v>92977691.20000495</v>
          </cell>
        </row>
        <row r="22">
          <cell r="S22">
            <v>1435011</v>
          </cell>
          <cell r="T22">
            <v>108160057.4000074</v>
          </cell>
        </row>
        <row r="23">
          <cell r="S23">
            <v>1448118</v>
          </cell>
          <cell r="T23">
            <v>123800947.60000768</v>
          </cell>
        </row>
        <row r="24">
          <cell r="S24">
            <v>1470195</v>
          </cell>
          <cell r="T24">
            <v>140300791.60000756</v>
          </cell>
        </row>
        <row r="25">
          <cell r="S25">
            <v>2990890</v>
          </cell>
          <cell r="T25">
            <v>330540433.39997119</v>
          </cell>
        </row>
        <row r="26">
          <cell r="S26">
            <v>2903800</v>
          </cell>
          <cell r="T26">
            <v>378727885.79996288</v>
          </cell>
        </row>
        <row r="27">
          <cell r="S27">
            <v>2657282</v>
          </cell>
          <cell r="T27">
            <v>399704934.59996569</v>
          </cell>
        </row>
        <row r="28">
          <cell r="S28">
            <v>2548205</v>
          </cell>
          <cell r="T28">
            <v>434619709.99996561</v>
          </cell>
        </row>
        <row r="29">
          <cell r="S29">
            <v>2356410</v>
          </cell>
          <cell r="T29">
            <v>448785128.39996862</v>
          </cell>
        </row>
        <row r="30">
          <cell r="S30">
            <v>5943613</v>
          </cell>
          <cell r="T30">
            <v>1339832595.6001682</v>
          </cell>
        </row>
        <row r="31">
          <cell r="S31">
            <v>5214129</v>
          </cell>
          <cell r="T31">
            <v>1432925348.4001791</v>
          </cell>
        </row>
        <row r="32">
          <cell r="S32">
            <v>4499909</v>
          </cell>
          <cell r="T32">
            <v>1463424390.4001491</v>
          </cell>
        </row>
        <row r="33">
          <cell r="S33">
            <v>3799753</v>
          </cell>
          <cell r="T33">
            <v>1424846352.4001126</v>
          </cell>
        </row>
        <row r="34">
          <cell r="S34">
            <v>3690137</v>
          </cell>
          <cell r="T34">
            <v>1570504670.8001425</v>
          </cell>
        </row>
        <row r="35">
          <cell r="S35">
            <v>3262151</v>
          </cell>
          <cell r="T35">
            <v>1550400047.6001179</v>
          </cell>
        </row>
        <row r="36">
          <cell r="S36">
            <v>3119199</v>
          </cell>
          <cell r="T36">
            <v>1638926160.200129</v>
          </cell>
        </row>
        <row r="37">
          <cell r="S37">
            <v>2672258</v>
          </cell>
          <cell r="T37">
            <v>1537262495.8000941</v>
          </cell>
        </row>
        <row r="38">
          <cell r="S38">
            <v>2416788</v>
          </cell>
          <cell r="T38">
            <v>1511188058.6000791</v>
          </cell>
        </row>
        <row r="39">
          <cell r="S39">
            <v>2061566</v>
          </cell>
          <cell r="T39">
            <v>1392311336.2000575</v>
          </cell>
        </row>
        <row r="40">
          <cell r="S40">
            <v>1827607</v>
          </cell>
          <cell r="T40">
            <v>1325625002.4000428</v>
          </cell>
        </row>
        <row r="41">
          <cell r="S41">
            <v>1559720</v>
          </cell>
          <cell r="T41">
            <v>1209434869.2000241</v>
          </cell>
        </row>
        <row r="42">
          <cell r="S42">
            <v>1748875</v>
          </cell>
          <cell r="T42">
            <v>1444767901.8000598</v>
          </cell>
        </row>
        <row r="43">
          <cell r="S43">
            <v>1555652</v>
          </cell>
          <cell r="T43">
            <v>1361624242.0000427</v>
          </cell>
        </row>
        <row r="44">
          <cell r="S44">
            <v>1366731</v>
          </cell>
          <cell r="T44">
            <v>1264433569.8000243</v>
          </cell>
        </row>
        <row r="45">
          <cell r="S45">
            <v>1165036</v>
          </cell>
          <cell r="T45">
            <v>1136503151.0000119</v>
          </cell>
        </row>
        <row r="46">
          <cell r="S46">
            <v>15050794</v>
          </cell>
          <cell r="T46">
            <v>21056583142.204994</v>
          </cell>
        </row>
        <row r="47">
          <cell r="S47">
            <v>7594281</v>
          </cell>
          <cell r="T47">
            <v>18248433342.601223</v>
          </cell>
        </row>
        <row r="48">
          <cell r="S48">
            <v>3337514</v>
          </cell>
          <cell r="T48">
            <v>11401019438.199791</v>
          </cell>
        </row>
        <row r="49">
          <cell r="S49">
            <v>2142649</v>
          </cell>
          <cell r="T49">
            <v>9470767235.7997246</v>
          </cell>
        </row>
        <row r="50">
          <cell r="S50">
            <v>984931</v>
          </cell>
          <cell r="T50">
            <v>5342956606.7999163</v>
          </cell>
        </row>
        <row r="51">
          <cell r="S51">
            <v>556493</v>
          </cell>
          <cell r="T51">
            <v>3571448835.7999973</v>
          </cell>
        </row>
        <row r="52">
          <cell r="S52">
            <v>263244</v>
          </cell>
          <cell r="T52">
            <v>1956834733.8000102</v>
          </cell>
        </row>
        <row r="53">
          <cell r="S53">
            <v>146363</v>
          </cell>
          <cell r="T53">
            <v>1233808379.8000031</v>
          </cell>
        </row>
        <row r="54">
          <cell r="S54">
            <v>74575</v>
          </cell>
          <cell r="T54">
            <v>704504519.99999976</v>
          </cell>
        </row>
        <row r="55">
          <cell r="S55">
            <v>96173</v>
          </cell>
          <cell r="T55">
            <v>1134116662.6000011</v>
          </cell>
        </row>
        <row r="56">
          <cell r="S56">
            <v>1549</v>
          </cell>
          <cell r="T56">
            <v>35487508.199999996</v>
          </cell>
        </row>
        <row r="57">
          <cell r="S57">
            <v>91</v>
          </cell>
          <cell r="T57">
            <v>3116379.3999999994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31795820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0</v>
          </cell>
          <cell r="T3">
            <v>0</v>
          </cell>
        </row>
        <row r="4">
          <cell r="S4">
            <v>0</v>
          </cell>
          <cell r="T4">
            <v>0</v>
          </cell>
        </row>
        <row r="5">
          <cell r="S5">
            <v>195474</v>
          </cell>
          <cell r="T5">
            <v>781896</v>
          </cell>
        </row>
        <row r="6">
          <cell r="S6">
            <v>0</v>
          </cell>
          <cell r="T6">
            <v>0</v>
          </cell>
        </row>
        <row r="7">
          <cell r="S7">
            <v>195487</v>
          </cell>
          <cell r="T7">
            <v>1172922</v>
          </cell>
        </row>
        <row r="8">
          <cell r="S8">
            <v>0</v>
          </cell>
          <cell r="T8">
            <v>0</v>
          </cell>
        </row>
        <row r="9">
          <cell r="S9">
            <v>276873</v>
          </cell>
          <cell r="T9">
            <v>2214984</v>
          </cell>
        </row>
        <row r="10">
          <cell r="S10">
            <v>0</v>
          </cell>
          <cell r="T10">
            <v>0</v>
          </cell>
        </row>
        <row r="11">
          <cell r="S11">
            <v>417481</v>
          </cell>
          <cell r="T11">
            <v>4174810</v>
          </cell>
        </row>
        <row r="12">
          <cell r="S12">
            <v>336672</v>
          </cell>
          <cell r="T12">
            <v>4706075</v>
          </cell>
        </row>
        <row r="13">
          <cell r="S13">
            <v>1159590</v>
          </cell>
          <cell r="T13">
            <v>21765084</v>
          </cell>
        </row>
        <row r="14">
          <cell r="S14">
            <v>750493</v>
          </cell>
          <cell r="T14">
            <v>18209661</v>
          </cell>
        </row>
        <row r="15">
          <cell r="S15">
            <v>654189</v>
          </cell>
          <cell r="T15">
            <v>19416825</v>
          </cell>
        </row>
        <row r="16">
          <cell r="S16">
            <v>449713</v>
          </cell>
          <cell r="T16">
            <v>14513593</v>
          </cell>
        </row>
        <row r="17">
          <cell r="S17">
            <v>1651810</v>
          </cell>
          <cell r="T17">
            <v>64936989</v>
          </cell>
        </row>
        <row r="18">
          <cell r="S18">
            <v>370523</v>
          </cell>
          <cell r="T18">
            <v>16411349</v>
          </cell>
        </row>
        <row r="19">
          <cell r="S19">
            <v>1105016</v>
          </cell>
          <cell r="T19">
            <v>54106782</v>
          </cell>
        </row>
        <row r="20">
          <cell r="S20">
            <v>1268488</v>
          </cell>
          <cell r="T20">
            <v>74387473</v>
          </cell>
        </row>
        <row r="21">
          <cell r="S21">
            <v>530651</v>
          </cell>
          <cell r="T21">
            <v>35041075</v>
          </cell>
        </row>
        <row r="22">
          <cell r="S22">
            <v>1649064</v>
          </cell>
          <cell r="T22">
            <v>128157327</v>
          </cell>
        </row>
        <row r="23">
          <cell r="S23">
            <v>555612</v>
          </cell>
          <cell r="T23">
            <v>48514541</v>
          </cell>
        </row>
        <row r="24">
          <cell r="S24">
            <v>1539704</v>
          </cell>
          <cell r="T24">
            <v>152116517</v>
          </cell>
        </row>
        <row r="25">
          <cell r="S25">
            <v>1458594</v>
          </cell>
          <cell r="T25">
            <v>167832648</v>
          </cell>
        </row>
        <row r="26">
          <cell r="S26">
            <v>877690</v>
          </cell>
          <cell r="T26">
            <v>116081908</v>
          </cell>
        </row>
        <row r="27">
          <cell r="S27">
            <v>1887035</v>
          </cell>
          <cell r="T27">
            <v>291712730</v>
          </cell>
        </row>
        <row r="28">
          <cell r="S28">
            <v>886586</v>
          </cell>
          <cell r="T28">
            <v>153618039</v>
          </cell>
        </row>
        <row r="29">
          <cell r="S29">
            <v>2077451</v>
          </cell>
          <cell r="T29">
            <v>409897926</v>
          </cell>
        </row>
        <row r="30">
          <cell r="S30">
            <v>2522136</v>
          </cell>
          <cell r="T30">
            <v>580661891</v>
          </cell>
        </row>
        <row r="31">
          <cell r="S31">
            <v>2543354</v>
          </cell>
          <cell r="T31">
            <v>717587310</v>
          </cell>
        </row>
        <row r="32">
          <cell r="S32">
            <v>1844029</v>
          </cell>
          <cell r="T32">
            <v>602714011</v>
          </cell>
        </row>
        <row r="33">
          <cell r="S33">
            <v>2433479</v>
          </cell>
          <cell r="T33">
            <v>935627532</v>
          </cell>
        </row>
        <row r="34">
          <cell r="S34">
            <v>1467139</v>
          </cell>
          <cell r="T34">
            <v>628905533</v>
          </cell>
        </row>
        <row r="35">
          <cell r="S35">
            <v>2060265</v>
          </cell>
          <cell r="T35">
            <v>995635480</v>
          </cell>
        </row>
        <row r="36">
          <cell r="S36">
            <v>1212240</v>
          </cell>
          <cell r="T36">
            <v>638030679</v>
          </cell>
        </row>
        <row r="37">
          <cell r="S37">
            <v>1631737</v>
          </cell>
          <cell r="T37">
            <v>948575282</v>
          </cell>
        </row>
        <row r="38">
          <cell r="S38">
            <v>1084136</v>
          </cell>
          <cell r="T38">
            <v>681954907</v>
          </cell>
        </row>
        <row r="39">
          <cell r="S39">
            <v>1058202</v>
          </cell>
          <cell r="T39">
            <v>717856518</v>
          </cell>
        </row>
        <row r="40">
          <cell r="S40">
            <v>950404</v>
          </cell>
          <cell r="T40">
            <v>690609875</v>
          </cell>
        </row>
        <row r="41">
          <cell r="S41">
            <v>1576249</v>
          </cell>
          <cell r="T41">
            <v>1241033893</v>
          </cell>
        </row>
        <row r="42">
          <cell r="S42">
            <v>766734</v>
          </cell>
          <cell r="T42">
            <v>635024587</v>
          </cell>
        </row>
        <row r="43">
          <cell r="S43">
            <v>867556</v>
          </cell>
          <cell r="T43">
            <v>763308430</v>
          </cell>
        </row>
        <row r="44">
          <cell r="S44">
            <v>669162</v>
          </cell>
          <cell r="T44">
            <v>620331398</v>
          </cell>
        </row>
        <row r="45">
          <cell r="S45">
            <v>1334174</v>
          </cell>
          <cell r="T45">
            <v>1316916180</v>
          </cell>
        </row>
        <row r="46">
          <cell r="S46">
            <v>10509302</v>
          </cell>
          <cell r="T46">
            <v>15328978759</v>
          </cell>
        </row>
        <row r="47">
          <cell r="S47">
            <v>4918385</v>
          </cell>
          <cell r="T47">
            <v>12193671866</v>
          </cell>
        </row>
        <row r="48">
          <cell r="S48">
            <v>2837907</v>
          </cell>
          <cell r="T48">
            <v>9919932226</v>
          </cell>
        </row>
        <row r="49">
          <cell r="S49">
            <v>1761161</v>
          </cell>
          <cell r="T49">
            <v>7896212944</v>
          </cell>
        </row>
        <row r="50">
          <cell r="S50">
            <v>1179471</v>
          </cell>
          <cell r="T50">
            <v>6483628478</v>
          </cell>
        </row>
        <row r="51">
          <cell r="S51">
            <v>767262</v>
          </cell>
          <cell r="T51">
            <v>4972435851</v>
          </cell>
        </row>
        <row r="52">
          <cell r="S52">
            <v>539622</v>
          </cell>
          <cell r="T52">
            <v>4042311938</v>
          </cell>
        </row>
        <row r="53">
          <cell r="S53">
            <v>368510</v>
          </cell>
          <cell r="T53">
            <v>3125427545</v>
          </cell>
        </row>
        <row r="54">
          <cell r="S54">
            <v>265362</v>
          </cell>
          <cell r="T54">
            <v>2517651983</v>
          </cell>
        </row>
        <row r="55">
          <cell r="S55">
            <v>683484</v>
          </cell>
          <cell r="T55">
            <v>8791228750</v>
          </cell>
        </row>
        <row r="56">
          <cell r="S56">
            <v>50405</v>
          </cell>
          <cell r="T56">
            <v>1174139092</v>
          </cell>
        </row>
        <row r="57">
          <cell r="S57">
            <v>8115</v>
          </cell>
          <cell r="T57">
            <v>293156768</v>
          </cell>
        </row>
        <row r="58">
          <cell r="S58">
            <v>2</v>
          </cell>
          <cell r="T58">
            <v>207713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0</v>
          </cell>
          <cell r="T3">
            <v>0</v>
          </cell>
        </row>
        <row r="4">
          <cell r="S4">
            <v>0</v>
          </cell>
          <cell r="T4">
            <v>0</v>
          </cell>
        </row>
        <row r="5">
          <cell r="S5">
            <v>0</v>
          </cell>
          <cell r="T5">
            <v>0</v>
          </cell>
        </row>
        <row r="6">
          <cell r="S6">
            <v>0</v>
          </cell>
          <cell r="T6">
            <v>0</v>
          </cell>
        </row>
        <row r="7">
          <cell r="S7">
            <v>0</v>
          </cell>
          <cell r="T7">
            <v>0</v>
          </cell>
        </row>
        <row r="8">
          <cell r="S8">
            <v>0</v>
          </cell>
          <cell r="T8">
            <v>0</v>
          </cell>
        </row>
        <row r="9">
          <cell r="S9">
            <v>0</v>
          </cell>
          <cell r="T9">
            <v>0</v>
          </cell>
        </row>
        <row r="10">
          <cell r="S10">
            <v>0</v>
          </cell>
          <cell r="T10">
            <v>0</v>
          </cell>
        </row>
        <row r="11">
          <cell r="S11">
            <v>0</v>
          </cell>
          <cell r="T11">
            <v>0</v>
          </cell>
        </row>
        <row r="12">
          <cell r="S12">
            <v>0</v>
          </cell>
          <cell r="T12">
            <v>0</v>
          </cell>
        </row>
        <row r="13">
          <cell r="S13">
            <v>3</v>
          </cell>
          <cell r="T13">
            <v>57</v>
          </cell>
        </row>
        <row r="14">
          <cell r="S14">
            <v>14</v>
          </cell>
          <cell r="T14">
            <v>325.59999999999997</v>
          </cell>
        </row>
        <row r="15">
          <cell r="S15">
            <v>88</v>
          </cell>
          <cell r="T15">
            <v>2509.1999999999998</v>
          </cell>
        </row>
        <row r="16">
          <cell r="S16">
            <v>389</v>
          </cell>
          <cell r="T16">
            <v>12860.000000000002</v>
          </cell>
        </row>
        <row r="17">
          <cell r="S17">
            <v>1051</v>
          </cell>
          <cell r="T17">
            <v>39931.800000000003</v>
          </cell>
        </row>
        <row r="18">
          <cell r="S18">
            <v>2444</v>
          </cell>
          <cell r="T18">
            <v>104864.80000000002</v>
          </cell>
        </row>
        <row r="19">
          <cell r="S19">
            <v>4827</v>
          </cell>
          <cell r="T19">
            <v>231011.80000000002</v>
          </cell>
        </row>
        <row r="20">
          <cell r="S20">
            <v>22349</v>
          </cell>
          <cell r="T20">
            <v>1248481.0000000012</v>
          </cell>
        </row>
        <row r="21">
          <cell r="S21">
            <v>49818</v>
          </cell>
          <cell r="T21">
            <v>3270375.7999999966</v>
          </cell>
        </row>
        <row r="22">
          <cell r="S22">
            <v>90136</v>
          </cell>
          <cell r="T22">
            <v>6807460.1999999927</v>
          </cell>
        </row>
        <row r="23">
          <cell r="S23">
            <v>143098</v>
          </cell>
          <cell r="T23">
            <v>12224739.600000001</v>
          </cell>
        </row>
        <row r="24">
          <cell r="S24">
            <v>207649</v>
          </cell>
          <cell r="T24">
            <v>19802310.800000019</v>
          </cell>
        </row>
        <row r="25">
          <cell r="S25">
            <v>634085</v>
          </cell>
          <cell r="T25">
            <v>70309780.799999878</v>
          </cell>
        </row>
        <row r="26">
          <cell r="S26">
            <v>946479</v>
          </cell>
          <cell r="T26">
            <v>123645710.00000021</v>
          </cell>
        </row>
        <row r="27">
          <cell r="S27">
            <v>1242630</v>
          </cell>
          <cell r="T27">
            <v>186983004.60000077</v>
          </cell>
        </row>
        <row r="28">
          <cell r="S28">
            <v>1502100</v>
          </cell>
          <cell r="T28">
            <v>255878869.40000087</v>
          </cell>
        </row>
        <row r="29">
          <cell r="S29">
            <v>1703925</v>
          </cell>
          <cell r="T29">
            <v>324189763.80000061</v>
          </cell>
        </row>
        <row r="30">
          <cell r="S30">
            <v>4766985</v>
          </cell>
          <cell r="T30">
            <v>1075097306.3999774</v>
          </cell>
        </row>
        <row r="31">
          <cell r="S31">
            <v>4986848</v>
          </cell>
          <cell r="T31">
            <v>1371957936.4000092</v>
          </cell>
        </row>
        <row r="32">
          <cell r="S32">
            <v>4863081</v>
          </cell>
          <cell r="T32">
            <v>1580090483.4000301</v>
          </cell>
        </row>
        <row r="33">
          <cell r="S33">
            <v>4557798</v>
          </cell>
          <cell r="T33">
            <v>1708156946.2000449</v>
          </cell>
        </row>
        <row r="34">
          <cell r="S34">
            <v>4191727</v>
          </cell>
          <cell r="T34">
            <v>1780351596.80005</v>
          </cell>
        </row>
        <row r="35">
          <cell r="S35">
            <v>3840201</v>
          </cell>
          <cell r="T35">
            <v>1823155774.80005</v>
          </cell>
        </row>
        <row r="36">
          <cell r="S36">
            <v>3530394</v>
          </cell>
          <cell r="T36">
            <v>1852660071.4000485</v>
          </cell>
        </row>
        <row r="37">
          <cell r="S37">
            <v>3274681</v>
          </cell>
          <cell r="T37">
            <v>1882343303.800045</v>
          </cell>
        </row>
        <row r="38">
          <cell r="S38">
            <v>3046802</v>
          </cell>
          <cell r="T38">
            <v>1903709185.6000493</v>
          </cell>
        </row>
        <row r="39">
          <cell r="S39">
            <v>2823907</v>
          </cell>
          <cell r="T39">
            <v>1905544434.6000478</v>
          </cell>
        </row>
        <row r="40">
          <cell r="S40">
            <v>2603045</v>
          </cell>
          <cell r="T40">
            <v>1886575256.200032</v>
          </cell>
        </row>
        <row r="41">
          <cell r="S41">
            <v>2384658</v>
          </cell>
          <cell r="T41">
            <v>1847500440.0000355</v>
          </cell>
        </row>
        <row r="42">
          <cell r="S42">
            <v>2172415</v>
          </cell>
          <cell r="T42">
            <v>1791657300.400033</v>
          </cell>
        </row>
        <row r="43">
          <cell r="S43">
            <v>2002662</v>
          </cell>
          <cell r="T43">
            <v>1751990991.200026</v>
          </cell>
        </row>
        <row r="44">
          <cell r="S44">
            <v>1878171</v>
          </cell>
          <cell r="T44">
            <v>1737064924.0000238</v>
          </cell>
        </row>
        <row r="45">
          <cell r="S45">
            <v>1761001</v>
          </cell>
          <cell r="T45">
            <v>1716669124.6000195</v>
          </cell>
        </row>
        <row r="46">
          <cell r="S46">
            <v>20388957</v>
          </cell>
          <cell r="T46">
            <v>28817660501.805141</v>
          </cell>
        </row>
        <row r="47">
          <cell r="S47">
            <v>9404286</v>
          </cell>
          <cell r="T47">
            <v>23020354284.201069</v>
          </cell>
        </row>
        <row r="48">
          <cell r="S48">
            <v>4690088</v>
          </cell>
          <cell r="T48">
            <v>16146751881.39921</v>
          </cell>
        </row>
        <row r="49">
          <cell r="S49">
            <v>2783312</v>
          </cell>
          <cell r="T49">
            <v>12417461225.399561</v>
          </cell>
        </row>
        <row r="50">
          <cell r="S50">
            <v>1544786</v>
          </cell>
          <cell r="T50">
            <v>8412676960.599865</v>
          </cell>
        </row>
        <row r="51">
          <cell r="S51">
            <v>864377</v>
          </cell>
          <cell r="T51">
            <v>5577415403.9999809</v>
          </cell>
        </row>
        <row r="52">
          <cell r="S52">
            <v>465925</v>
          </cell>
          <cell r="T52">
            <v>3470876516.2000175</v>
          </cell>
        </row>
        <row r="53">
          <cell r="S53">
            <v>261695</v>
          </cell>
          <cell r="T53">
            <v>2212341453.800005</v>
          </cell>
        </row>
        <row r="54">
          <cell r="S54">
            <v>146589</v>
          </cell>
          <cell r="T54">
            <v>1385775118.4000006</v>
          </cell>
        </row>
        <row r="55">
          <cell r="S55">
            <v>209955</v>
          </cell>
          <cell r="T55">
            <v>2510177851.8000059</v>
          </cell>
        </row>
        <row r="56">
          <cell r="S56">
            <v>4230</v>
          </cell>
          <cell r="T56">
            <v>96912531.399999991</v>
          </cell>
        </row>
        <row r="57">
          <cell r="S57">
            <v>339</v>
          </cell>
          <cell r="T57">
            <v>11809946.6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/>
      <sheetData sheetId="1">
        <row r="1">
          <cell r="S1">
            <v>79528431</v>
          </cell>
          <cell r="T1">
            <v>0</v>
          </cell>
        </row>
        <row r="2">
          <cell r="S2">
            <v>1222685</v>
          </cell>
          <cell r="T2">
            <v>918299.40000079991</v>
          </cell>
        </row>
        <row r="3">
          <cell r="S3">
            <v>1983671</v>
          </cell>
          <cell r="T3">
            <v>3406505.4000034952</v>
          </cell>
        </row>
        <row r="4">
          <cell r="S4">
            <v>1401496</v>
          </cell>
          <cell r="T4">
            <v>3853371.1999976696</v>
          </cell>
        </row>
        <row r="5">
          <cell r="S5">
            <v>1845581</v>
          </cell>
          <cell r="T5">
            <v>6825768.4000042584</v>
          </cell>
        </row>
        <row r="6">
          <cell r="S6">
            <v>1260020</v>
          </cell>
          <cell r="T6">
            <v>6055090.1999932034</v>
          </cell>
        </row>
        <row r="7">
          <cell r="S7">
            <v>1241613</v>
          </cell>
          <cell r="T7">
            <v>7389761.7999996701</v>
          </cell>
        </row>
        <row r="8">
          <cell r="S8">
            <v>327920</v>
          </cell>
          <cell r="T8">
            <v>2134213.199999569</v>
          </cell>
        </row>
        <row r="9">
          <cell r="S9">
            <v>1313905</v>
          </cell>
          <cell r="T9">
            <v>10135404.999999207</v>
          </cell>
        </row>
        <row r="10">
          <cell r="S10">
            <v>575827</v>
          </cell>
          <cell r="T10">
            <v>5137038.5999996848</v>
          </cell>
        </row>
        <row r="11">
          <cell r="S11">
            <v>712121</v>
          </cell>
          <cell r="T11">
            <v>6943360.5999976574</v>
          </cell>
        </row>
        <row r="12">
          <cell r="S12">
            <v>1787830</v>
          </cell>
          <cell r="T12">
            <v>22761088.999995429</v>
          </cell>
        </row>
        <row r="13">
          <cell r="S13">
            <v>1125280</v>
          </cell>
          <cell r="T13">
            <v>20082943.199999541</v>
          </cell>
        </row>
        <row r="14">
          <cell r="S14">
            <v>620819</v>
          </cell>
          <cell r="T14">
            <v>14428940.199999887</v>
          </cell>
        </row>
        <row r="15">
          <cell r="S15">
            <v>434409</v>
          </cell>
          <cell r="T15">
            <v>12351676.000000045</v>
          </cell>
        </row>
        <row r="16">
          <cell r="S16">
            <v>214200</v>
          </cell>
          <cell r="T16">
            <v>6979197.7999999812</v>
          </cell>
        </row>
        <row r="17">
          <cell r="S17">
            <v>377920</v>
          </cell>
          <cell r="T17">
            <v>14462086.800000189</v>
          </cell>
        </row>
        <row r="18">
          <cell r="S18">
            <v>164827</v>
          </cell>
          <cell r="T18">
            <v>7174157.9999999069</v>
          </cell>
        </row>
        <row r="19">
          <cell r="S19">
            <v>203498</v>
          </cell>
          <cell r="T19">
            <v>9794369.3999998961</v>
          </cell>
        </row>
        <row r="20">
          <cell r="S20">
            <v>323746</v>
          </cell>
          <cell r="T20">
            <v>18379469.399999883</v>
          </cell>
        </row>
        <row r="21">
          <cell r="S21">
            <v>197627</v>
          </cell>
          <cell r="T21">
            <v>12946263.600000046</v>
          </cell>
        </row>
        <row r="22">
          <cell r="S22">
            <v>255984</v>
          </cell>
          <cell r="T22">
            <v>19495057.200000051</v>
          </cell>
        </row>
        <row r="23">
          <cell r="S23">
            <v>169186</v>
          </cell>
          <cell r="T23">
            <v>14599842.399999984</v>
          </cell>
        </row>
        <row r="24">
          <cell r="S24">
            <v>167208</v>
          </cell>
          <cell r="T24">
            <v>16079588.199999819</v>
          </cell>
        </row>
        <row r="25">
          <cell r="S25">
            <v>285301</v>
          </cell>
          <cell r="T25">
            <v>31882673.400000013</v>
          </cell>
        </row>
        <row r="26">
          <cell r="S26">
            <v>197208</v>
          </cell>
          <cell r="T26">
            <v>25836089.999999952</v>
          </cell>
        </row>
        <row r="27">
          <cell r="S27">
            <v>184122</v>
          </cell>
          <cell r="T27">
            <v>27830291.800000105</v>
          </cell>
        </row>
        <row r="28">
          <cell r="S28">
            <v>142408</v>
          </cell>
          <cell r="T28">
            <v>24418167.200000018</v>
          </cell>
        </row>
        <row r="29">
          <cell r="S29">
            <v>129758</v>
          </cell>
          <cell r="T29">
            <v>24926288.799999915</v>
          </cell>
        </row>
        <row r="30">
          <cell r="S30">
            <v>250822</v>
          </cell>
          <cell r="T30">
            <v>56249637.400000244</v>
          </cell>
        </row>
        <row r="31">
          <cell r="S31">
            <v>173804</v>
          </cell>
          <cell r="T31">
            <v>47834049.399999999</v>
          </cell>
        </row>
        <row r="32">
          <cell r="S32">
            <v>119757</v>
          </cell>
          <cell r="T32">
            <v>38878667.600000001</v>
          </cell>
        </row>
        <row r="33">
          <cell r="S33">
            <v>100983</v>
          </cell>
          <cell r="T33">
            <v>37981431.79999996</v>
          </cell>
        </row>
        <row r="34">
          <cell r="S34">
            <v>77014</v>
          </cell>
          <cell r="T34">
            <v>32756790.199999969</v>
          </cell>
        </row>
        <row r="35">
          <cell r="S35">
            <v>66779</v>
          </cell>
          <cell r="T35">
            <v>31881948.599999983</v>
          </cell>
        </row>
        <row r="36">
          <cell r="S36">
            <v>64128</v>
          </cell>
          <cell r="T36">
            <v>33651581.199999996</v>
          </cell>
        </row>
        <row r="37">
          <cell r="S37">
            <v>49201</v>
          </cell>
          <cell r="T37">
            <v>28340291.59999999</v>
          </cell>
        </row>
        <row r="38">
          <cell r="S38">
            <v>36168</v>
          </cell>
          <cell r="T38">
            <v>22632595.800000004</v>
          </cell>
        </row>
        <row r="39">
          <cell r="S39">
            <v>30381</v>
          </cell>
          <cell r="T39">
            <v>20510374</v>
          </cell>
        </row>
        <row r="40">
          <cell r="S40">
            <v>26551</v>
          </cell>
          <cell r="T40">
            <v>19246189.000000011</v>
          </cell>
        </row>
        <row r="41">
          <cell r="S41">
            <v>29429</v>
          </cell>
          <cell r="T41">
            <v>22999146.399999991</v>
          </cell>
        </row>
        <row r="42">
          <cell r="S42">
            <v>31469</v>
          </cell>
          <cell r="T42">
            <v>26024957.000000075</v>
          </cell>
        </row>
        <row r="43">
          <cell r="S43">
            <v>25425</v>
          </cell>
          <cell r="T43">
            <v>22233882.599999998</v>
          </cell>
        </row>
        <row r="44">
          <cell r="S44">
            <v>17543</v>
          </cell>
          <cell r="T44">
            <v>16221054.400000006</v>
          </cell>
        </row>
        <row r="45">
          <cell r="S45">
            <v>22280</v>
          </cell>
          <cell r="T45">
            <v>21898277.000000004</v>
          </cell>
        </row>
        <row r="46">
          <cell r="S46">
            <v>247412</v>
          </cell>
          <cell r="T46">
            <v>348530100.9999994</v>
          </cell>
        </row>
        <row r="47">
          <cell r="S47">
            <v>111125</v>
          </cell>
          <cell r="T47">
            <v>267755182.00000018</v>
          </cell>
        </row>
        <row r="48">
          <cell r="S48">
            <v>52366</v>
          </cell>
          <cell r="T48">
            <v>179950970.40000001</v>
          </cell>
        </row>
        <row r="49">
          <cell r="S49">
            <v>31269</v>
          </cell>
          <cell r="T49">
            <v>138982674.39999995</v>
          </cell>
        </row>
        <row r="50">
          <cell r="S50">
            <v>15043</v>
          </cell>
          <cell r="T50">
            <v>82096201.400000006</v>
          </cell>
        </row>
        <row r="51">
          <cell r="S51">
            <v>10022</v>
          </cell>
          <cell r="T51">
            <v>64633756.199999988</v>
          </cell>
        </row>
        <row r="52">
          <cell r="S52">
            <v>11428</v>
          </cell>
          <cell r="T52">
            <v>93477881.800000027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J47"/>
  <sheetViews>
    <sheetView zoomScale="85" zoomScaleNormal="85" workbookViewId="0">
      <selection activeCell="B15" sqref="B15"/>
    </sheetView>
  </sheetViews>
  <sheetFormatPr defaultColWidth="8.88671875" defaultRowHeight="15.6"/>
  <cols>
    <col min="1" max="1" width="21.88671875" style="1" customWidth="1"/>
    <col min="2" max="2" width="25.33203125" style="1" customWidth="1"/>
    <col min="3" max="3" width="23.44140625" style="1" customWidth="1"/>
    <col min="4" max="4" width="18.44140625" style="1" customWidth="1"/>
    <col min="5" max="5" width="17.6640625" style="1" customWidth="1"/>
    <col min="6" max="6" width="25.5546875" style="1" bestFit="1" customWidth="1"/>
    <col min="7" max="7" width="15.5546875" style="1" bestFit="1" customWidth="1"/>
    <col min="8" max="9" width="12.6640625" style="1" bestFit="1" customWidth="1"/>
    <col min="10" max="10" width="14" style="1" bestFit="1" customWidth="1"/>
    <col min="11" max="16384" width="8.88671875" style="1"/>
  </cols>
  <sheetData>
    <row r="1" spans="1:10" ht="16.2">
      <c r="A1" s="2" t="s">
        <v>42</v>
      </c>
      <c r="B1" s="11" t="str">
        <f>C1&amp;"-"&amp;B2</f>
        <v>H020194-2.2.0.0</v>
      </c>
      <c r="C1" s="11" t="s">
        <v>294</v>
      </c>
    </row>
    <row r="2" spans="1:10" ht="16.2">
      <c r="A2" s="2" t="s">
        <v>85</v>
      </c>
      <c r="B2" s="11" t="s">
        <v>295</v>
      </c>
      <c r="C2" s="11"/>
    </row>
    <row r="3" spans="1:10" ht="16.8" thickBot="1">
      <c r="A3" s="2" t="s">
        <v>43</v>
      </c>
      <c r="B3" s="10">
        <f ca="1">1-D5</f>
        <v>-19.935095634548151</v>
      </c>
      <c r="G3" s="1" t="s">
        <v>254</v>
      </c>
    </row>
    <row r="4" spans="1:10" ht="16.8" thickBot="1">
      <c r="A4" s="75" t="s">
        <v>44</v>
      </c>
      <c r="B4" s="149" t="s">
        <v>45</v>
      </c>
      <c r="C4" s="149" t="s">
        <v>123</v>
      </c>
      <c r="D4" s="149" t="s">
        <v>46</v>
      </c>
      <c r="E4" s="150" t="s">
        <v>59</v>
      </c>
      <c r="F4" s="114"/>
      <c r="G4" s="114" t="s">
        <v>8</v>
      </c>
      <c r="H4" s="184" t="s">
        <v>259</v>
      </c>
      <c r="I4" s="184" t="s">
        <v>260</v>
      </c>
      <c r="J4" s="165" t="s">
        <v>261</v>
      </c>
    </row>
    <row r="5" spans="1:10" ht="16.2">
      <c r="A5" s="41">
        <v>1</v>
      </c>
      <c r="B5" s="151">
        <v>5</v>
      </c>
      <c r="C5" s="152">
        <f ca="1">'Pay Combo Normal Bet'!$I$1</f>
        <v>0.70171318655228188</v>
      </c>
      <c r="D5" s="152">
        <f ca="1">'Pay Combo Normal Bet'!$I$2</f>
        <v>20.935095634548151</v>
      </c>
      <c r="E5" s="153">
        <f>SUM('Pay Combo Normal Bet'!$J$13:$J$20)</f>
        <v>7.1900065171722025E-2</v>
      </c>
      <c r="F5" s="128" t="s">
        <v>113</v>
      </c>
      <c r="G5" s="269">
        <f>1-'Multiplier Weight'!$N$4</f>
        <v>0.11062694200000001</v>
      </c>
      <c r="H5" s="188">
        <f>SUM('Multiplier Weight'!$N$12:$N$61)-I5-J5</f>
        <v>1.7148976999999985E-2</v>
      </c>
      <c r="I5" s="188">
        <f>SUM('Multiplier Weight'!$N$15:$N$61)-J5</f>
        <v>1.968989400000001E-2</v>
      </c>
      <c r="J5" s="189">
        <f>SUM('Multiplier Weight'!$N$19:$N$61)</f>
        <v>3.5862899999999998E-3</v>
      </c>
    </row>
    <row r="6" spans="1:10" ht="16.2">
      <c r="A6" s="46">
        <v>1.5</v>
      </c>
      <c r="B6" s="136">
        <v>5</v>
      </c>
      <c r="C6" s="89">
        <f ca="1">'Pay Combo Extra Bet (1)'!$I$1</f>
        <v>0.46780879103485473</v>
      </c>
      <c r="D6" s="89">
        <f ca="1">'Pay Combo Extra Bet (1)'!$I$2</f>
        <v>20.462976012829156</v>
      </c>
      <c r="E6" s="140">
        <f>SUM('Pay Combo Extra Bet (1)'!$J$13:$J$20)</f>
        <v>7.1900065171722025E-2</v>
      </c>
      <c r="F6" s="124" t="s">
        <v>114</v>
      </c>
      <c r="G6" s="270">
        <f>1-'Multiplier Weight'!$N$69</f>
        <v>0.11198495600000002</v>
      </c>
      <c r="H6" s="188">
        <f>SUM('Multiplier Weight'!N79:N126)-I6-J6</f>
        <v>2.2276115999999978E-2</v>
      </c>
      <c r="I6" s="188">
        <f>SUM('Multiplier Weight'!N81:N126)-J6</f>
        <v>2.0484448000000009E-2</v>
      </c>
      <c r="J6" s="189">
        <f>SUM('Multiplier Weight'!N87:N126)</f>
        <v>3.5543069999999987E-3</v>
      </c>
    </row>
    <row r="7" spans="1:10" ht="16.2">
      <c r="A7" s="46">
        <v>8</v>
      </c>
      <c r="B7" s="136">
        <v>5</v>
      </c>
      <c r="C7" s="89">
        <f ca="1">'Pay Combo Extra Bet (2)'!$I$1</f>
        <v>8.7714148319035234E-2</v>
      </c>
      <c r="D7" s="89">
        <f ca="1">'Pay Combo Extra Bet (2)'!$I$2</f>
        <v>22.081394189070298</v>
      </c>
      <c r="E7" s="140">
        <f>SUM('Pay Combo Extra Bet (2)'!$J$13:$J$20)</f>
        <v>7.1900065171722025E-2</v>
      </c>
      <c r="F7" s="124" t="s">
        <v>115</v>
      </c>
      <c r="G7" s="270">
        <f>1-'Multiplier Weight'!$N$134</f>
        <v>0.14173518900000004</v>
      </c>
      <c r="H7" s="188">
        <f>SUM('Multiplier Weight'!N153:N191)-I7-J7</f>
        <v>5.3274780000000044E-3</v>
      </c>
      <c r="I7" s="188">
        <f>SUM('Multiplier Weight'!N156:N191)-J7</f>
        <v>2.2357439E-2</v>
      </c>
      <c r="J7" s="189">
        <f>SUM('Multiplier Weight'!N164:N191)</f>
        <v>4.0307089999999995E-3</v>
      </c>
    </row>
    <row r="8" spans="1:10" ht="16.8" thickBot="1">
      <c r="A8" s="91">
        <v>250</v>
      </c>
      <c r="B8" s="139">
        <v>5</v>
      </c>
      <c r="C8" s="141">
        <f ca="1">'Pay Combo Super Feature Buy'!$I$1</f>
        <v>1.0396634201786966E-2</v>
      </c>
      <c r="D8" s="141">
        <f ca="1">'Pay Combo Super Feature Buy'!$I$2</f>
        <v>3.7430545754079523</v>
      </c>
      <c r="E8" s="142">
        <f ca="1">SUM('Pay Combo Super Feature Buy'!$J$23:$J$32)</f>
        <v>0.23861415611265741</v>
      </c>
      <c r="F8" s="125" t="s">
        <v>129</v>
      </c>
      <c r="G8" s="271"/>
      <c r="H8" s="191"/>
      <c r="I8" s="191"/>
      <c r="J8" s="268"/>
    </row>
    <row r="9" spans="1:10" ht="16.2">
      <c r="A9" s="87"/>
      <c r="B9" s="88"/>
      <c r="C9" s="89"/>
      <c r="D9" s="89"/>
    </row>
    <row r="10" spans="1:10" ht="16.2" thickBot="1"/>
    <row r="11" spans="1:10" ht="16.8" thickBot="1">
      <c r="A11" s="13" t="s">
        <v>47</v>
      </c>
      <c r="B11" s="14">
        <v>1</v>
      </c>
      <c r="C11" s="14">
        <v>2</v>
      </c>
      <c r="D11" s="14">
        <v>3</v>
      </c>
      <c r="E11" s="15">
        <v>4</v>
      </c>
    </row>
    <row r="12" spans="1:10" ht="33" thickBot="1">
      <c r="A12" s="16" t="s">
        <v>48</v>
      </c>
      <c r="B12" s="105">
        <v>3</v>
      </c>
      <c r="C12" s="105">
        <v>3</v>
      </c>
      <c r="D12" s="105">
        <v>3</v>
      </c>
      <c r="E12" s="17">
        <v>3</v>
      </c>
    </row>
    <row r="14" spans="1:10" ht="16.8">
      <c r="A14" s="82" t="s">
        <v>60</v>
      </c>
      <c r="B14" s="32"/>
    </row>
    <row r="15" spans="1:10" ht="16.2">
      <c r="A15" s="22" t="s">
        <v>61</v>
      </c>
    </row>
    <row r="17" spans="1:6" ht="16.8" thickBot="1">
      <c r="A17" s="2" t="s">
        <v>49</v>
      </c>
    </row>
    <row r="18" spans="1:6" ht="31.8" customHeight="1">
      <c r="A18" s="319" t="s">
        <v>292</v>
      </c>
      <c r="B18" s="320"/>
      <c r="C18" s="320"/>
      <c r="D18" s="320"/>
      <c r="E18" s="320"/>
      <c r="F18" s="321"/>
    </row>
    <row r="19" spans="1:6" ht="31.8" customHeight="1">
      <c r="A19" s="322"/>
      <c r="B19" s="323"/>
      <c r="C19" s="323"/>
      <c r="D19" s="323"/>
      <c r="E19" s="323"/>
      <c r="F19" s="324"/>
    </row>
    <row r="20" spans="1:6" ht="31.8" customHeight="1">
      <c r="A20" s="322"/>
      <c r="B20" s="323"/>
      <c r="C20" s="323"/>
      <c r="D20" s="323"/>
      <c r="E20" s="323"/>
      <c r="F20" s="324"/>
    </row>
    <row r="21" spans="1:6" ht="31.8" customHeight="1">
      <c r="A21" s="322"/>
      <c r="B21" s="323"/>
      <c r="C21" s="323"/>
      <c r="D21" s="323"/>
      <c r="E21" s="323"/>
      <c r="F21" s="324"/>
    </row>
    <row r="22" spans="1:6" ht="31.8" customHeight="1" thickBot="1">
      <c r="A22" s="325"/>
      <c r="B22" s="326"/>
      <c r="C22" s="326"/>
      <c r="D22" s="326"/>
      <c r="E22" s="326"/>
      <c r="F22" s="327"/>
    </row>
    <row r="24" spans="1:6" ht="16.2">
      <c r="A24" s="31" t="s">
        <v>50</v>
      </c>
      <c r="B24" s="1" t="s">
        <v>51</v>
      </c>
    </row>
    <row r="25" spans="1:6" ht="16.2">
      <c r="A25" s="3"/>
      <c r="B25" s="3" t="s">
        <v>63</v>
      </c>
      <c r="C25" s="3" t="s">
        <v>64</v>
      </c>
    </row>
    <row r="26" spans="1:6" ht="16.2">
      <c r="A26" s="4">
        <v>5</v>
      </c>
      <c r="B26" s="7">
        <v>0</v>
      </c>
      <c r="C26" s="7">
        <v>0</v>
      </c>
    </row>
    <row r="27" spans="1:6" ht="16.2">
      <c r="A27" s="4">
        <v>4</v>
      </c>
      <c r="B27" s="7">
        <v>0</v>
      </c>
      <c r="C27" s="7">
        <v>0</v>
      </c>
    </row>
    <row r="28" spans="1:6" ht="16.2">
      <c r="A28" s="4">
        <v>3</v>
      </c>
      <c r="B28" s="7">
        <v>5</v>
      </c>
      <c r="C28" s="5">
        <v>0</v>
      </c>
    </row>
    <row r="29" spans="1:6" ht="16.2">
      <c r="A29" s="3"/>
      <c r="B29" s="6" t="s">
        <v>13</v>
      </c>
      <c r="C29" s="6" t="s">
        <v>21</v>
      </c>
      <c r="D29" s="6" t="s">
        <v>23</v>
      </c>
    </row>
    <row r="30" spans="1:6" ht="16.2">
      <c r="A30" s="4">
        <v>5</v>
      </c>
      <c r="B30" s="7">
        <v>0</v>
      </c>
      <c r="C30" s="7">
        <v>0</v>
      </c>
      <c r="D30" s="7">
        <v>0</v>
      </c>
    </row>
    <row r="31" spans="1:6" ht="16.2">
      <c r="A31" s="4">
        <v>4</v>
      </c>
      <c r="B31" s="7">
        <v>0</v>
      </c>
      <c r="C31" s="7">
        <v>0</v>
      </c>
      <c r="D31" s="7">
        <v>0</v>
      </c>
    </row>
    <row r="32" spans="1:6" ht="16.2">
      <c r="A32" s="4">
        <v>3</v>
      </c>
      <c r="B32" s="7">
        <v>4</v>
      </c>
      <c r="C32" s="7">
        <v>3</v>
      </c>
      <c r="D32" s="7">
        <v>2.4</v>
      </c>
    </row>
    <row r="33" spans="1:5" ht="16.2">
      <c r="A33" s="9"/>
      <c r="B33" s="6" t="s">
        <v>65</v>
      </c>
      <c r="C33" s="3" t="s">
        <v>66</v>
      </c>
      <c r="D33" s="3" t="s">
        <v>67</v>
      </c>
      <c r="E33" s="3" t="s">
        <v>68</v>
      </c>
    </row>
    <row r="34" spans="1:5" ht="16.2">
      <c r="A34" s="4">
        <v>5</v>
      </c>
      <c r="B34" s="7">
        <v>0</v>
      </c>
      <c r="C34" s="7">
        <v>0</v>
      </c>
      <c r="D34" s="7">
        <v>0</v>
      </c>
      <c r="E34" s="7">
        <v>0</v>
      </c>
    </row>
    <row r="35" spans="1:5" ht="16.2">
      <c r="A35" s="4">
        <v>4</v>
      </c>
      <c r="B35" s="7">
        <v>0</v>
      </c>
      <c r="C35" s="7">
        <v>0</v>
      </c>
      <c r="D35" s="7">
        <v>0</v>
      </c>
      <c r="E35" s="7">
        <v>0</v>
      </c>
    </row>
    <row r="36" spans="1:5" ht="16.2">
      <c r="A36" s="4">
        <v>3</v>
      </c>
      <c r="B36" s="7">
        <v>2</v>
      </c>
      <c r="C36" s="7">
        <v>1.6</v>
      </c>
      <c r="D36" s="7">
        <v>1</v>
      </c>
      <c r="E36" s="7">
        <v>0.4</v>
      </c>
    </row>
    <row r="38" spans="1:5" ht="16.2" thickBot="1"/>
    <row r="39" spans="1:5" ht="16.2" thickBot="1">
      <c r="A39" s="164" t="s">
        <v>134</v>
      </c>
      <c r="B39" s="165" t="s">
        <v>137</v>
      </c>
    </row>
    <row r="40" spans="1:5">
      <c r="A40" s="158" t="s">
        <v>25</v>
      </c>
      <c r="B40" s="159">
        <f>B28</f>
        <v>5</v>
      </c>
    </row>
    <row r="41" spans="1:5">
      <c r="A41" s="160" t="s">
        <v>13</v>
      </c>
      <c r="B41" s="161">
        <f>B32</f>
        <v>4</v>
      </c>
    </row>
    <row r="42" spans="1:5">
      <c r="A42" s="160" t="s">
        <v>135</v>
      </c>
      <c r="B42" s="161">
        <f>C32</f>
        <v>3</v>
      </c>
    </row>
    <row r="43" spans="1:5">
      <c r="A43" s="160" t="s">
        <v>136</v>
      </c>
      <c r="B43" s="161">
        <f>D32</f>
        <v>2.4</v>
      </c>
    </row>
    <row r="44" spans="1:5">
      <c r="A44" s="160" t="s">
        <v>55</v>
      </c>
      <c r="B44" s="161">
        <f>B36</f>
        <v>2</v>
      </c>
    </row>
    <row r="45" spans="1:5">
      <c r="A45" s="160" t="s">
        <v>56</v>
      </c>
      <c r="B45" s="161">
        <f>C36</f>
        <v>1.6</v>
      </c>
    </row>
    <row r="46" spans="1:5">
      <c r="A46" s="160" t="s">
        <v>57</v>
      </c>
      <c r="B46" s="161">
        <f>D36</f>
        <v>1</v>
      </c>
    </row>
    <row r="47" spans="1:5" ht="16.2" thickBot="1">
      <c r="A47" s="162" t="s">
        <v>58</v>
      </c>
      <c r="B47" s="163">
        <f>E36</f>
        <v>0.4</v>
      </c>
    </row>
  </sheetData>
  <mergeCells count="1">
    <mergeCell ref="A18:F22"/>
  </mergeCells>
  <phoneticPr fontId="2" type="noConversion"/>
  <pageMargins left="0.75" right="0.75" top="1" bottom="1" header="0.5" footer="0.5"/>
  <pageSetup paperSize="9" scale="73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0281-7000-4558-BC8E-C33A1BA9B599}">
  <sheetPr codeName="工作表1"/>
  <dimension ref="B1:AS211"/>
  <sheetViews>
    <sheetView topLeftCell="I1" zoomScale="70" zoomScaleNormal="70" workbookViewId="0">
      <selection activeCell="AK196" sqref="AK196"/>
    </sheetView>
  </sheetViews>
  <sheetFormatPr defaultRowHeight="15.6"/>
  <cols>
    <col min="1" max="1" width="8.88671875" style="1"/>
    <col min="2" max="2" width="9.88671875" style="1" bestFit="1" customWidth="1"/>
    <col min="3" max="5" width="8.88671875" style="1"/>
    <col min="6" max="6" width="9.88671875" style="1" bestFit="1" customWidth="1"/>
    <col min="7" max="9" width="8.88671875" style="1"/>
    <col min="10" max="12" width="9.88671875" style="1" bestFit="1" customWidth="1"/>
    <col min="13" max="13" width="8.88671875" style="1"/>
    <col min="14" max="16" width="9.88671875" style="1" bestFit="1" customWidth="1"/>
    <col min="17" max="17" width="8.88671875" style="1"/>
    <col min="18" max="20" width="9.88671875" style="1" bestFit="1" customWidth="1"/>
    <col min="21" max="21" width="8.88671875" style="1"/>
    <col min="22" max="23" width="12.109375" style="1" customWidth="1"/>
    <col min="24" max="24" width="8.88671875" style="1"/>
    <col min="25" max="26" width="12.109375" style="1" customWidth="1"/>
    <col min="27" max="27" width="8.88671875" style="1"/>
    <col min="28" max="29" width="12.109375" style="1" customWidth="1"/>
    <col min="30" max="30" width="8.88671875" style="1"/>
    <col min="31" max="32" width="12.109375" style="1" customWidth="1"/>
    <col min="33" max="33" width="8.88671875" style="1"/>
    <col min="34" max="34" width="18.44140625" style="1" bestFit="1" customWidth="1"/>
    <col min="35" max="45" width="19.6640625" style="1" customWidth="1"/>
    <col min="46" max="16384" width="8.88671875" style="1"/>
  </cols>
  <sheetData>
    <row r="1" spans="2:36" ht="16.2">
      <c r="B1" s="144" t="s">
        <v>128</v>
      </c>
      <c r="C1" s="144"/>
      <c r="D1" s="144"/>
      <c r="E1" s="144"/>
      <c r="F1" s="134" t="s">
        <v>116</v>
      </c>
      <c r="G1" s="134"/>
      <c r="H1" s="134"/>
      <c r="I1" s="144"/>
      <c r="J1" s="143" t="s">
        <v>117</v>
      </c>
      <c r="K1" s="143"/>
      <c r="L1" s="143"/>
      <c r="M1" s="144"/>
      <c r="N1" s="135" t="s">
        <v>118</v>
      </c>
      <c r="O1" s="135"/>
      <c r="P1" s="135"/>
      <c r="Q1" s="144"/>
      <c r="R1" s="156" t="s">
        <v>154</v>
      </c>
      <c r="S1" s="156"/>
      <c r="T1" s="156"/>
      <c r="U1" s="144"/>
      <c r="V1" s="134" t="s">
        <v>119</v>
      </c>
      <c r="W1" s="134"/>
      <c r="X1" s="144"/>
      <c r="Y1" s="143" t="s">
        <v>120</v>
      </c>
      <c r="Z1" s="143"/>
      <c r="AA1" s="144"/>
      <c r="AB1" s="135" t="s">
        <v>121</v>
      </c>
      <c r="AC1" s="135"/>
      <c r="AE1" s="156" t="s">
        <v>155</v>
      </c>
      <c r="AF1" s="156"/>
      <c r="AH1" s="134" t="s">
        <v>108</v>
      </c>
      <c r="AI1" s="145"/>
      <c r="AJ1" s="145"/>
    </row>
    <row r="2" spans="2:36" ht="16.2">
      <c r="B2" s="99" t="str" cm="1">
        <f t="array" ref="B2:D211">_xlfn.LET(_xlpm.x, 'Regular Symbol'!BW2:BY211, IF(_xlpm.x="", "", _xlpm.x))</f>
        <v>R1</v>
      </c>
      <c r="C2" s="99" t="str">
        <v>R2</v>
      </c>
      <c r="D2" s="99" t="str">
        <v>R3</v>
      </c>
      <c r="F2" s="99" t="str" cm="1">
        <f t="array" ref="F2:H211">_xlfn.LET(_xlpm.x, 'Regular Symbol'!AA2:AC211, IF(_xlpm.x="", "", _xlpm.x))</f>
        <v>R1</v>
      </c>
      <c r="G2" s="99" t="str">
        <v>R2</v>
      </c>
      <c r="H2" s="99" t="str">
        <v>R3</v>
      </c>
      <c r="J2" s="99" t="str" cm="1">
        <f t="array" ref="J2:L211">_xlfn.LET(_xlpm.x, 'Regular Symbol'!AM2:AO211, IF(_xlpm.x="", "", _xlpm.x))</f>
        <v>R1</v>
      </c>
      <c r="K2" s="99" t="str">
        <v>R2</v>
      </c>
      <c r="L2" s="99" t="str">
        <v>R3</v>
      </c>
      <c r="N2" s="99" t="str" cm="1">
        <f t="array" ref="N2:P211">_xlfn.LET(_xlpm.x, 'Regular Symbol'!AY2:BA211, IF(_xlpm.x="", "", _xlpm.x))</f>
        <v>R1</v>
      </c>
      <c r="O2" s="99" t="str">
        <v>R2</v>
      </c>
      <c r="P2" s="99" t="str">
        <v>R3</v>
      </c>
      <c r="R2" s="99" t="str" cm="1">
        <f t="array" ref="R2:T211">_xlfn.LET(_xlpm.x, 'Regular Symbol'!BK2:BM211, IF(_xlpm.x="", "", _xlpm.x))</f>
        <v>R1</v>
      </c>
      <c r="S2" s="99" t="str">
        <v>R2</v>
      </c>
      <c r="T2" s="99" t="str">
        <v>R3</v>
      </c>
      <c r="V2" s="99" t="s">
        <v>111</v>
      </c>
      <c r="W2" s="99" t="s">
        <v>112</v>
      </c>
      <c r="Y2" s="99" t="s">
        <v>111</v>
      </c>
      <c r="Z2" s="99" t="s">
        <v>112</v>
      </c>
      <c r="AB2" s="99" t="s">
        <v>111</v>
      </c>
      <c r="AC2" s="99" t="s">
        <v>112</v>
      </c>
      <c r="AE2" s="99" t="s">
        <v>111</v>
      </c>
      <c r="AF2" s="99" t="s">
        <v>112</v>
      </c>
      <c r="AH2" s="99" t="str" cm="1">
        <f t="array" ref="AH2:AJ14">'Pay Combo Normal Bet'!$L$2:$N$14</f>
        <v>倍數</v>
      </c>
      <c r="AI2" s="99" t="str">
        <v>比例</v>
      </c>
      <c r="AJ2" s="99" t="str">
        <v>權重</v>
      </c>
    </row>
    <row r="3" spans="2:36">
      <c r="B3" s="100">
        <v>7</v>
      </c>
      <c r="C3" s="100">
        <v>0</v>
      </c>
      <c r="D3" s="100">
        <v>1</v>
      </c>
      <c r="F3" s="100">
        <v>1</v>
      </c>
      <c r="G3" s="100">
        <v>1</v>
      </c>
      <c r="H3" s="100">
        <v>1</v>
      </c>
      <c r="J3" s="100">
        <v>1</v>
      </c>
      <c r="K3" s="100">
        <v>1</v>
      </c>
      <c r="L3" s="100">
        <v>1</v>
      </c>
      <c r="N3" s="100">
        <v>1</v>
      </c>
      <c r="O3" s="100">
        <v>1</v>
      </c>
      <c r="P3" s="100">
        <v>1</v>
      </c>
      <c r="R3" s="100">
        <v>100</v>
      </c>
      <c r="S3" s="100">
        <v>467</v>
      </c>
      <c r="T3" s="100">
        <v>100</v>
      </c>
      <c r="V3" s="100" cm="1">
        <f t="array" ref="V3:W211">'Reel 4 Symbol'!AC3:AD211</f>
        <v>18</v>
      </c>
      <c r="W3" s="100">
        <v>30</v>
      </c>
      <c r="Y3" s="100" cm="1">
        <f t="array" ref="Y3:Z211">'Reel 4 Symbol'!AM3:AN211</f>
        <v>18</v>
      </c>
      <c r="Z3" s="100">
        <v>30</v>
      </c>
      <c r="AB3" s="100" cm="1">
        <f t="array" ref="AB3:AC211">'Reel 4 Symbol'!AW3:AX211</f>
        <v>18</v>
      </c>
      <c r="AC3" s="100">
        <v>30</v>
      </c>
      <c r="AE3" s="100" cm="1">
        <f t="array" ref="AE3:AF211">'Reel 4 Symbol'!BG3:BH211</f>
        <v>18</v>
      </c>
      <c r="AF3" s="100">
        <v>30</v>
      </c>
      <c r="AH3" s="8">
        <v>1</v>
      </c>
      <c r="AI3" s="102">
        <v>0.2247191011235955</v>
      </c>
      <c r="AJ3" s="103">
        <v>220000000</v>
      </c>
    </row>
    <row r="4" spans="2:36">
      <c r="B4" s="101">
        <v>5</v>
      </c>
      <c r="C4" s="101">
        <v>0</v>
      </c>
      <c r="D4" s="101">
        <v>1</v>
      </c>
      <c r="F4" s="101">
        <v>1</v>
      </c>
      <c r="G4" s="101">
        <v>1</v>
      </c>
      <c r="H4" s="101">
        <v>1</v>
      </c>
      <c r="J4" s="101">
        <v>1</v>
      </c>
      <c r="K4" s="101">
        <v>1</v>
      </c>
      <c r="L4" s="101">
        <v>1</v>
      </c>
      <c r="N4" s="101">
        <v>1</v>
      </c>
      <c r="O4" s="101">
        <v>1</v>
      </c>
      <c r="P4" s="101">
        <v>1</v>
      </c>
      <c r="R4" s="101">
        <v>447</v>
      </c>
      <c r="S4" s="101">
        <v>584</v>
      </c>
      <c r="T4" s="101">
        <v>677</v>
      </c>
      <c r="V4" s="101">
        <v>17</v>
      </c>
      <c r="W4" s="101">
        <v>17</v>
      </c>
      <c r="Y4" s="101">
        <v>17</v>
      </c>
      <c r="Z4" s="101">
        <v>17</v>
      </c>
      <c r="AB4" s="101">
        <v>17</v>
      </c>
      <c r="AC4" s="101">
        <v>17</v>
      </c>
      <c r="AE4" s="101">
        <v>17</v>
      </c>
      <c r="AF4" s="101">
        <v>17</v>
      </c>
      <c r="AH4" s="8">
        <v>2</v>
      </c>
      <c r="AI4" s="102">
        <v>0.2247191011235955</v>
      </c>
      <c r="AJ4" s="103">
        <v>220000000</v>
      </c>
    </row>
    <row r="5" spans="2:36">
      <c r="B5" s="101">
        <v>5</v>
      </c>
      <c r="C5" s="101">
        <v>0</v>
      </c>
      <c r="D5" s="101">
        <v>1</v>
      </c>
      <c r="F5" s="101">
        <v>1</v>
      </c>
      <c r="G5" s="101">
        <v>1</v>
      </c>
      <c r="H5" s="101">
        <v>1</v>
      </c>
      <c r="J5" s="101">
        <v>1</v>
      </c>
      <c r="K5" s="101">
        <v>1</v>
      </c>
      <c r="L5" s="101">
        <v>1</v>
      </c>
      <c r="N5" s="101">
        <v>1</v>
      </c>
      <c r="O5" s="101">
        <v>1</v>
      </c>
      <c r="P5" s="101">
        <v>1</v>
      </c>
      <c r="R5" s="101">
        <v>373</v>
      </c>
      <c r="S5" s="101">
        <v>701</v>
      </c>
      <c r="T5" s="101">
        <v>564</v>
      </c>
      <c r="V5" s="101">
        <v>16</v>
      </c>
      <c r="W5" s="101">
        <v>28</v>
      </c>
      <c r="Y5" s="101">
        <v>16</v>
      </c>
      <c r="Z5" s="101">
        <v>28</v>
      </c>
      <c r="AB5" s="101">
        <v>16</v>
      </c>
      <c r="AC5" s="101">
        <v>28</v>
      </c>
      <c r="AE5" s="101">
        <v>16</v>
      </c>
      <c r="AF5" s="101">
        <v>28</v>
      </c>
      <c r="AH5" s="8">
        <v>3</v>
      </c>
      <c r="AI5" s="102">
        <v>0.2247191011235955</v>
      </c>
      <c r="AJ5" s="103">
        <v>220000000</v>
      </c>
    </row>
    <row r="6" spans="2:36">
      <c r="B6" s="101">
        <v>0</v>
      </c>
      <c r="C6" s="101">
        <v>7</v>
      </c>
      <c r="D6" s="101">
        <v>0</v>
      </c>
      <c r="F6" s="101">
        <v>1</v>
      </c>
      <c r="G6" s="101">
        <v>1</v>
      </c>
      <c r="H6" s="101">
        <v>1</v>
      </c>
      <c r="J6" s="101">
        <v>1</v>
      </c>
      <c r="K6" s="101">
        <v>1</v>
      </c>
      <c r="L6" s="101">
        <v>1</v>
      </c>
      <c r="N6" s="101">
        <v>1</v>
      </c>
      <c r="O6" s="101">
        <v>1</v>
      </c>
      <c r="P6" s="101">
        <v>1</v>
      </c>
      <c r="R6" s="101">
        <v>298</v>
      </c>
      <c r="S6" s="101">
        <v>100</v>
      </c>
      <c r="T6" s="101">
        <v>451</v>
      </c>
      <c r="V6" s="101">
        <v>12</v>
      </c>
      <c r="W6" s="101">
        <v>12</v>
      </c>
      <c r="Y6" s="101">
        <v>12</v>
      </c>
      <c r="Z6" s="101">
        <v>12</v>
      </c>
      <c r="AB6" s="101">
        <v>12</v>
      </c>
      <c r="AC6" s="101">
        <v>12</v>
      </c>
      <c r="AE6" s="101">
        <v>12</v>
      </c>
      <c r="AF6" s="101">
        <v>12</v>
      </c>
      <c r="AH6" s="8">
        <v>5</v>
      </c>
      <c r="AI6" s="102">
        <v>6.6394279877425938E-2</v>
      </c>
      <c r="AJ6" s="103">
        <v>65000000</v>
      </c>
    </row>
    <row r="7" spans="2:36">
      <c r="B7" s="101">
        <v>0</v>
      </c>
      <c r="C7" s="101">
        <v>7</v>
      </c>
      <c r="D7" s="101">
        <v>0</v>
      </c>
      <c r="F7" s="101">
        <v>1</v>
      </c>
      <c r="G7" s="101">
        <v>1</v>
      </c>
      <c r="H7" s="101">
        <v>1</v>
      </c>
      <c r="J7" s="101">
        <v>1</v>
      </c>
      <c r="K7" s="101">
        <v>1</v>
      </c>
      <c r="L7" s="101">
        <v>1</v>
      </c>
      <c r="N7" s="101">
        <v>1</v>
      </c>
      <c r="O7" s="101">
        <v>1</v>
      </c>
      <c r="P7" s="101">
        <v>1</v>
      </c>
      <c r="R7" s="101">
        <v>373</v>
      </c>
      <c r="S7" s="101">
        <v>100</v>
      </c>
      <c r="T7" s="101">
        <v>564</v>
      </c>
      <c r="V7" s="101">
        <v>13</v>
      </c>
      <c r="W7" s="101">
        <v>25</v>
      </c>
      <c r="Y7" s="101">
        <v>13</v>
      </c>
      <c r="Z7" s="101">
        <v>25</v>
      </c>
      <c r="AB7" s="101">
        <v>13</v>
      </c>
      <c r="AC7" s="101">
        <v>25</v>
      </c>
      <c r="AE7" s="101">
        <v>13</v>
      </c>
      <c r="AF7" s="101">
        <v>25</v>
      </c>
      <c r="AH7" s="8">
        <v>10</v>
      </c>
      <c r="AI7" s="102">
        <v>3.0643513789581207E-2</v>
      </c>
      <c r="AJ7" s="103">
        <v>30000000</v>
      </c>
    </row>
    <row r="8" spans="2:36">
      <c r="B8" s="101">
        <v>0</v>
      </c>
      <c r="C8" s="101">
        <v>4</v>
      </c>
      <c r="D8" s="101">
        <v>0</v>
      </c>
      <c r="F8" s="101">
        <v>1</v>
      </c>
      <c r="G8" s="101">
        <v>1</v>
      </c>
      <c r="H8" s="101">
        <v>1</v>
      </c>
      <c r="J8" s="101">
        <v>1</v>
      </c>
      <c r="K8" s="101">
        <v>1</v>
      </c>
      <c r="L8" s="101">
        <v>1</v>
      </c>
      <c r="N8" s="101">
        <v>1</v>
      </c>
      <c r="O8" s="101">
        <v>1</v>
      </c>
      <c r="P8" s="101">
        <v>1</v>
      </c>
      <c r="R8" s="101">
        <v>447</v>
      </c>
      <c r="S8" s="101">
        <v>100</v>
      </c>
      <c r="T8" s="101">
        <v>677</v>
      </c>
      <c r="V8" s="101">
        <v>15</v>
      </c>
      <c r="W8" s="101">
        <v>15</v>
      </c>
      <c r="Y8" s="101">
        <v>15</v>
      </c>
      <c r="Z8" s="101">
        <v>15</v>
      </c>
      <c r="AB8" s="101">
        <v>15</v>
      </c>
      <c r="AC8" s="101">
        <v>15</v>
      </c>
      <c r="AE8" s="101">
        <v>15</v>
      </c>
      <c r="AF8" s="101">
        <v>15</v>
      </c>
      <c r="AH8" s="8">
        <v>15</v>
      </c>
      <c r="AI8" s="102">
        <v>1.0214504596527068E-2</v>
      </c>
      <c r="AJ8" s="103">
        <v>10000000</v>
      </c>
    </row>
    <row r="9" spans="2:36">
      <c r="B9" s="101">
        <v>4</v>
      </c>
      <c r="C9" s="101">
        <v>4</v>
      </c>
      <c r="D9" s="101">
        <v>4</v>
      </c>
      <c r="F9" s="101">
        <v>1</v>
      </c>
      <c r="G9" s="101">
        <v>1</v>
      </c>
      <c r="H9" s="101">
        <v>1</v>
      </c>
      <c r="J9" s="101">
        <v>1</v>
      </c>
      <c r="K9" s="101">
        <v>1</v>
      </c>
      <c r="L9" s="101">
        <v>1</v>
      </c>
      <c r="N9" s="101">
        <v>1</v>
      </c>
      <c r="O9" s="101">
        <v>1</v>
      </c>
      <c r="P9" s="101">
        <v>1</v>
      </c>
      <c r="R9" s="101">
        <v>100</v>
      </c>
      <c r="S9" s="101">
        <v>100</v>
      </c>
      <c r="T9" s="101">
        <v>100</v>
      </c>
      <c r="V9" s="101">
        <v>14</v>
      </c>
      <c r="W9" s="101">
        <v>26</v>
      </c>
      <c r="Y9" s="101">
        <v>14</v>
      </c>
      <c r="Z9" s="101">
        <v>26</v>
      </c>
      <c r="AB9" s="101">
        <v>14</v>
      </c>
      <c r="AC9" s="101">
        <v>26</v>
      </c>
      <c r="AE9" s="101">
        <v>14</v>
      </c>
      <c r="AF9" s="101">
        <v>26</v>
      </c>
      <c r="AH9" s="8">
        <v>20</v>
      </c>
      <c r="AI9" s="102">
        <v>5.1072522982635342E-3</v>
      </c>
      <c r="AJ9" s="103">
        <v>5000000</v>
      </c>
    </row>
    <row r="10" spans="2:36">
      <c r="B10" s="101">
        <v>4</v>
      </c>
      <c r="C10" s="101">
        <v>4</v>
      </c>
      <c r="D10" s="101">
        <v>4</v>
      </c>
      <c r="F10" s="101">
        <v>1</v>
      </c>
      <c r="G10" s="101">
        <v>1</v>
      </c>
      <c r="H10" s="101">
        <v>1</v>
      </c>
      <c r="J10" s="101">
        <v>1</v>
      </c>
      <c r="K10" s="101">
        <v>1</v>
      </c>
      <c r="L10" s="101">
        <v>1</v>
      </c>
      <c r="N10" s="101">
        <v>1</v>
      </c>
      <c r="O10" s="101">
        <v>1</v>
      </c>
      <c r="P10" s="101">
        <v>1</v>
      </c>
      <c r="R10" s="101">
        <v>100</v>
      </c>
      <c r="S10" s="101">
        <v>100</v>
      </c>
      <c r="T10" s="101">
        <v>100</v>
      </c>
      <c r="V10" s="101">
        <v>11</v>
      </c>
      <c r="W10" s="101">
        <v>11</v>
      </c>
      <c r="Y10" s="101">
        <v>11</v>
      </c>
      <c r="Z10" s="101">
        <v>11</v>
      </c>
      <c r="AB10" s="101">
        <v>13</v>
      </c>
      <c r="AC10" s="101">
        <v>13</v>
      </c>
      <c r="AE10" s="101">
        <v>11</v>
      </c>
      <c r="AF10" s="101">
        <v>11</v>
      </c>
      <c r="AH10" s="8">
        <v>25</v>
      </c>
      <c r="AI10" s="102">
        <v>2.0429009193054137E-3</v>
      </c>
      <c r="AJ10" s="103">
        <v>2000000</v>
      </c>
    </row>
    <row r="11" spans="2:36">
      <c r="B11" s="101">
        <v>4</v>
      </c>
      <c r="C11" s="101">
        <v>2</v>
      </c>
      <c r="D11" s="101">
        <v>4</v>
      </c>
      <c r="F11" s="101">
        <v>1</v>
      </c>
      <c r="G11" s="101">
        <v>1</v>
      </c>
      <c r="H11" s="101">
        <v>1</v>
      </c>
      <c r="J11" s="101">
        <v>1</v>
      </c>
      <c r="K11" s="101">
        <v>1</v>
      </c>
      <c r="L11" s="101">
        <v>1</v>
      </c>
      <c r="N11" s="101">
        <v>1</v>
      </c>
      <c r="O11" s="101">
        <v>1</v>
      </c>
      <c r="P11" s="101">
        <v>1</v>
      </c>
      <c r="R11" s="101">
        <v>100</v>
      </c>
      <c r="S11" s="101">
        <v>100</v>
      </c>
      <c r="T11" s="101">
        <v>100</v>
      </c>
      <c r="V11" s="101">
        <v>10</v>
      </c>
      <c r="W11" s="101">
        <v>22</v>
      </c>
      <c r="Y11" s="101">
        <v>10</v>
      </c>
      <c r="Z11" s="101">
        <v>22</v>
      </c>
      <c r="AB11" s="101">
        <v>12</v>
      </c>
      <c r="AC11" s="101">
        <v>24</v>
      </c>
      <c r="AE11" s="101">
        <v>10</v>
      </c>
      <c r="AF11" s="101">
        <v>22</v>
      </c>
      <c r="AH11" s="8">
        <v>50</v>
      </c>
      <c r="AI11" s="102">
        <v>2.0429009193054137E-3</v>
      </c>
      <c r="AJ11" s="103">
        <v>2000000</v>
      </c>
    </row>
    <row r="12" spans="2:36">
      <c r="B12" s="101">
        <v>2</v>
      </c>
      <c r="C12" s="101">
        <v>2</v>
      </c>
      <c r="D12" s="101">
        <v>2</v>
      </c>
      <c r="F12" s="101">
        <v>1</v>
      </c>
      <c r="G12" s="101">
        <v>1</v>
      </c>
      <c r="H12" s="101">
        <v>1</v>
      </c>
      <c r="J12" s="101">
        <v>1</v>
      </c>
      <c r="K12" s="101">
        <v>1</v>
      </c>
      <c r="L12" s="101">
        <v>1</v>
      </c>
      <c r="N12" s="101">
        <v>1</v>
      </c>
      <c r="O12" s="101">
        <v>1</v>
      </c>
      <c r="P12" s="101">
        <v>1</v>
      </c>
      <c r="R12" s="101">
        <v>100</v>
      </c>
      <c r="S12" s="101">
        <v>100</v>
      </c>
      <c r="T12" s="101">
        <v>100</v>
      </c>
      <c r="V12" s="101">
        <v>19</v>
      </c>
      <c r="W12" s="101">
        <v>11</v>
      </c>
      <c r="Y12" s="101">
        <v>19</v>
      </c>
      <c r="Z12" s="101">
        <v>11</v>
      </c>
      <c r="AB12" s="101">
        <v>19</v>
      </c>
      <c r="AC12" s="101">
        <v>12</v>
      </c>
      <c r="AE12" s="101">
        <v>19</v>
      </c>
      <c r="AF12" s="101">
        <v>11</v>
      </c>
      <c r="AH12" s="8">
        <v>100</v>
      </c>
      <c r="AI12" s="102">
        <v>2.0429009193054137E-3</v>
      </c>
      <c r="AJ12" s="103">
        <v>2000000</v>
      </c>
    </row>
    <row r="13" spans="2:36">
      <c r="B13" s="101">
        <v>2</v>
      </c>
      <c r="C13" s="101">
        <v>2</v>
      </c>
      <c r="D13" s="101">
        <v>2</v>
      </c>
      <c r="F13" s="101">
        <v>1</v>
      </c>
      <c r="G13" s="101">
        <v>1</v>
      </c>
      <c r="H13" s="101">
        <v>1</v>
      </c>
      <c r="J13" s="101">
        <v>1</v>
      </c>
      <c r="K13" s="101">
        <v>1</v>
      </c>
      <c r="L13" s="101">
        <v>1</v>
      </c>
      <c r="N13" s="101">
        <v>1</v>
      </c>
      <c r="O13" s="101">
        <v>1</v>
      </c>
      <c r="P13" s="101">
        <v>1</v>
      </c>
      <c r="R13" s="101">
        <v>100</v>
      </c>
      <c r="S13" s="101">
        <v>100</v>
      </c>
      <c r="T13" s="101">
        <v>100</v>
      </c>
      <c r="V13" s="101">
        <v>9</v>
      </c>
      <c r="W13" s="101">
        <v>21</v>
      </c>
      <c r="Y13" s="101">
        <v>9</v>
      </c>
      <c r="Z13" s="101">
        <v>21</v>
      </c>
      <c r="AB13" s="101">
        <v>12</v>
      </c>
      <c r="AC13" s="101">
        <v>24</v>
      </c>
      <c r="AE13" s="101">
        <v>9</v>
      </c>
      <c r="AF13" s="101">
        <v>21</v>
      </c>
      <c r="AH13" s="8">
        <v>500</v>
      </c>
      <c r="AI13" s="102">
        <v>3.0643513789581204E-3</v>
      </c>
      <c r="AJ13" s="103">
        <v>3000000</v>
      </c>
    </row>
    <row r="14" spans="2:36">
      <c r="B14" s="101">
        <v>5</v>
      </c>
      <c r="C14" s="101">
        <v>5</v>
      </c>
      <c r="D14" s="101">
        <v>2</v>
      </c>
      <c r="F14" s="101">
        <v>1</v>
      </c>
      <c r="G14" s="101">
        <v>1</v>
      </c>
      <c r="H14" s="101">
        <v>1</v>
      </c>
      <c r="J14" s="101">
        <v>1</v>
      </c>
      <c r="K14" s="101">
        <v>1</v>
      </c>
      <c r="L14" s="101">
        <v>1</v>
      </c>
      <c r="N14" s="101">
        <v>1</v>
      </c>
      <c r="O14" s="101">
        <v>1</v>
      </c>
      <c r="P14" s="101">
        <v>1</v>
      </c>
      <c r="R14" s="101">
        <v>100</v>
      </c>
      <c r="S14" s="101">
        <v>100</v>
      </c>
      <c r="T14" s="101">
        <v>100</v>
      </c>
      <c r="V14" s="101">
        <v>8</v>
      </c>
      <c r="W14" s="101">
        <v>8</v>
      </c>
      <c r="Y14" s="101">
        <v>9</v>
      </c>
      <c r="Z14" s="101">
        <v>9</v>
      </c>
      <c r="AB14" s="101">
        <v>13</v>
      </c>
      <c r="AC14" s="101">
        <v>13</v>
      </c>
      <c r="AE14" s="101">
        <v>9</v>
      </c>
      <c r="AF14" s="101">
        <v>9</v>
      </c>
      <c r="AH14" s="8" t="str">
        <v>Re-spin</v>
      </c>
      <c r="AI14" s="102">
        <v>0.20429009193054137</v>
      </c>
      <c r="AJ14" s="103">
        <v>200000000</v>
      </c>
    </row>
    <row r="15" spans="2:36">
      <c r="B15" s="101">
        <v>5</v>
      </c>
      <c r="C15" s="101">
        <v>5</v>
      </c>
      <c r="D15" s="101">
        <v>5</v>
      </c>
      <c r="F15" s="101">
        <v>1</v>
      </c>
      <c r="G15" s="101">
        <v>1</v>
      </c>
      <c r="H15" s="101">
        <v>1</v>
      </c>
      <c r="J15" s="101">
        <v>1</v>
      </c>
      <c r="K15" s="101">
        <v>1</v>
      </c>
      <c r="L15" s="101">
        <v>1</v>
      </c>
      <c r="N15" s="101">
        <v>1</v>
      </c>
      <c r="O15" s="101">
        <v>1</v>
      </c>
      <c r="P15" s="101">
        <v>1</v>
      </c>
      <c r="R15" s="101">
        <v>100</v>
      </c>
      <c r="S15" s="101">
        <v>100</v>
      </c>
      <c r="T15" s="101">
        <v>100</v>
      </c>
      <c r="V15" s="101">
        <v>11</v>
      </c>
      <c r="W15" s="101">
        <v>23</v>
      </c>
      <c r="Y15" s="101">
        <v>11</v>
      </c>
      <c r="Z15" s="101">
        <v>23</v>
      </c>
      <c r="AB15" s="101">
        <v>14</v>
      </c>
      <c r="AC15" s="101">
        <v>26</v>
      </c>
      <c r="AE15" s="101">
        <v>11</v>
      </c>
      <c r="AF15" s="101">
        <v>23</v>
      </c>
      <c r="AJ15" s="104"/>
    </row>
    <row r="16" spans="2:36">
      <c r="B16" s="101">
        <v>1</v>
      </c>
      <c r="C16" s="101">
        <v>5</v>
      </c>
      <c r="D16" s="101">
        <v>5</v>
      </c>
      <c r="F16" s="101">
        <v>1</v>
      </c>
      <c r="G16" s="101">
        <v>1</v>
      </c>
      <c r="H16" s="101">
        <v>1</v>
      </c>
      <c r="J16" s="101">
        <v>1</v>
      </c>
      <c r="K16" s="101">
        <v>1</v>
      </c>
      <c r="L16" s="101">
        <v>1</v>
      </c>
      <c r="N16" s="101">
        <v>1</v>
      </c>
      <c r="O16" s="101">
        <v>1</v>
      </c>
      <c r="P16" s="101">
        <v>1</v>
      </c>
      <c r="R16" s="101">
        <v>100</v>
      </c>
      <c r="S16" s="101">
        <v>100</v>
      </c>
      <c r="T16" s="101">
        <v>100</v>
      </c>
      <c r="V16" s="101">
        <v>12</v>
      </c>
      <c r="W16" s="101">
        <v>12</v>
      </c>
      <c r="Y16" s="101">
        <v>12</v>
      </c>
      <c r="Z16" s="101">
        <v>12</v>
      </c>
      <c r="AB16" s="101">
        <v>12</v>
      </c>
      <c r="AC16" s="101">
        <v>12</v>
      </c>
      <c r="AE16" s="101">
        <v>12</v>
      </c>
      <c r="AF16" s="101">
        <v>12</v>
      </c>
    </row>
    <row r="17" spans="2:45" ht="16.2">
      <c r="B17" s="101">
        <v>1</v>
      </c>
      <c r="C17" s="101">
        <v>4</v>
      </c>
      <c r="D17" s="101">
        <v>5</v>
      </c>
      <c r="F17" s="101">
        <v>1</v>
      </c>
      <c r="G17" s="101">
        <v>1</v>
      </c>
      <c r="H17" s="101">
        <v>1</v>
      </c>
      <c r="J17" s="101">
        <v>1</v>
      </c>
      <c r="K17" s="101">
        <v>1</v>
      </c>
      <c r="L17" s="101">
        <v>1</v>
      </c>
      <c r="N17" s="101">
        <v>1</v>
      </c>
      <c r="O17" s="101">
        <v>1</v>
      </c>
      <c r="P17" s="101">
        <v>1</v>
      </c>
      <c r="R17" s="101">
        <v>100</v>
      </c>
      <c r="S17" s="101">
        <v>100</v>
      </c>
      <c r="T17" s="101">
        <v>100</v>
      </c>
      <c r="V17" s="101">
        <v>13</v>
      </c>
      <c r="W17" s="101">
        <v>25</v>
      </c>
      <c r="Y17" s="101">
        <v>13</v>
      </c>
      <c r="Z17" s="101">
        <v>25</v>
      </c>
      <c r="AB17" s="101">
        <v>13</v>
      </c>
      <c r="AC17" s="101">
        <v>25</v>
      </c>
      <c r="AE17" s="101">
        <v>13</v>
      </c>
      <c r="AF17" s="101">
        <v>25</v>
      </c>
      <c r="AH17" s="134" t="s">
        <v>109</v>
      </c>
      <c r="AI17" s="145"/>
      <c r="AJ17" s="145"/>
    </row>
    <row r="18" spans="2:45" ht="16.2">
      <c r="B18" s="101">
        <v>1</v>
      </c>
      <c r="C18" s="101">
        <v>4</v>
      </c>
      <c r="D18" s="101">
        <v>1</v>
      </c>
      <c r="F18" s="101">
        <v>1</v>
      </c>
      <c r="G18" s="101">
        <v>1</v>
      </c>
      <c r="H18" s="101">
        <v>1</v>
      </c>
      <c r="J18" s="101">
        <v>1</v>
      </c>
      <c r="K18" s="101">
        <v>1</v>
      </c>
      <c r="L18" s="101">
        <v>1</v>
      </c>
      <c r="N18" s="101">
        <v>1</v>
      </c>
      <c r="O18" s="101">
        <v>1</v>
      </c>
      <c r="P18" s="101">
        <v>1</v>
      </c>
      <c r="R18" s="101">
        <v>100</v>
      </c>
      <c r="S18" s="101">
        <v>100</v>
      </c>
      <c r="T18" s="101">
        <v>100</v>
      </c>
      <c r="V18" s="101">
        <v>14</v>
      </c>
      <c r="W18" s="101">
        <v>14</v>
      </c>
      <c r="Y18" s="101">
        <v>14</v>
      </c>
      <c r="Z18" s="101">
        <v>14</v>
      </c>
      <c r="AB18" s="101">
        <v>14</v>
      </c>
      <c r="AC18" s="101">
        <v>14</v>
      </c>
      <c r="AE18" s="101">
        <v>14</v>
      </c>
      <c r="AF18" s="101">
        <v>14</v>
      </c>
      <c r="AH18" s="99" t="str" cm="1">
        <f t="array" ref="AH18:AJ29">'Pay Combo Normal Bet'!$Q$2:$S$13</f>
        <v>Re-spin數</v>
      </c>
      <c r="AI18" s="99" t="str">
        <v>比例</v>
      </c>
      <c r="AJ18" s="99" t="str">
        <v>權重</v>
      </c>
    </row>
    <row r="19" spans="2:45">
      <c r="B19" s="101">
        <v>7</v>
      </c>
      <c r="C19" s="101">
        <v>4</v>
      </c>
      <c r="D19" s="101">
        <v>1</v>
      </c>
      <c r="F19" s="101">
        <v>1</v>
      </c>
      <c r="G19" s="101">
        <v>1</v>
      </c>
      <c r="H19" s="101">
        <v>1</v>
      </c>
      <c r="J19" s="101">
        <v>1</v>
      </c>
      <c r="K19" s="101">
        <v>1</v>
      </c>
      <c r="L19" s="101">
        <v>1</v>
      </c>
      <c r="N19" s="101">
        <v>1</v>
      </c>
      <c r="O19" s="101">
        <v>1</v>
      </c>
      <c r="P19" s="101">
        <v>1</v>
      </c>
      <c r="R19" s="101">
        <v>100</v>
      </c>
      <c r="S19" s="101">
        <v>100</v>
      </c>
      <c r="T19" s="101">
        <v>100</v>
      </c>
      <c r="V19" s="101">
        <v>15</v>
      </c>
      <c r="W19" s="101">
        <v>27</v>
      </c>
      <c r="Y19" s="101">
        <v>15</v>
      </c>
      <c r="Z19" s="101">
        <v>27</v>
      </c>
      <c r="AB19" s="101">
        <v>15</v>
      </c>
      <c r="AC19" s="101">
        <v>27</v>
      </c>
      <c r="AE19" s="101">
        <v>15</v>
      </c>
      <c r="AF19" s="101">
        <v>27</v>
      </c>
      <c r="AH19" s="8">
        <v>2</v>
      </c>
      <c r="AI19" s="102">
        <v>0.1111111111111111</v>
      </c>
      <c r="AJ19" s="103">
        <v>120000000</v>
      </c>
    </row>
    <row r="20" spans="2:45">
      <c r="B20" s="101">
        <v>7</v>
      </c>
      <c r="C20" s="101">
        <v>2</v>
      </c>
      <c r="D20" s="101">
        <v>1</v>
      </c>
      <c r="F20" s="101">
        <v>1</v>
      </c>
      <c r="G20" s="101">
        <v>1</v>
      </c>
      <c r="H20" s="101">
        <v>1</v>
      </c>
      <c r="J20" s="101">
        <v>1</v>
      </c>
      <c r="K20" s="101">
        <v>1</v>
      </c>
      <c r="L20" s="101">
        <v>1</v>
      </c>
      <c r="N20" s="101">
        <v>1</v>
      </c>
      <c r="O20" s="101">
        <v>1</v>
      </c>
      <c r="P20" s="101">
        <v>1</v>
      </c>
      <c r="R20" s="101">
        <v>100</v>
      </c>
      <c r="S20" s="101">
        <v>100</v>
      </c>
      <c r="T20" s="101">
        <v>100</v>
      </c>
      <c r="V20" s="101">
        <v>16</v>
      </c>
      <c r="W20" s="101">
        <v>16</v>
      </c>
      <c r="Y20" s="101">
        <v>16</v>
      </c>
      <c r="Z20" s="101">
        <v>16</v>
      </c>
      <c r="AB20" s="101">
        <v>16</v>
      </c>
      <c r="AC20" s="101">
        <v>16</v>
      </c>
      <c r="AE20" s="101">
        <v>16</v>
      </c>
      <c r="AF20" s="101">
        <v>16</v>
      </c>
      <c r="AH20" s="8">
        <v>3</v>
      </c>
      <c r="AI20" s="102">
        <v>0.1111111111111111</v>
      </c>
      <c r="AJ20" s="103">
        <v>120000000</v>
      </c>
    </row>
    <row r="21" spans="2:45">
      <c r="B21" s="101">
        <v>2</v>
      </c>
      <c r="C21" s="101">
        <v>2</v>
      </c>
      <c r="D21" s="101">
        <v>3</v>
      </c>
      <c r="F21" s="101">
        <v>1</v>
      </c>
      <c r="G21" s="101">
        <v>1</v>
      </c>
      <c r="H21" s="101">
        <v>1</v>
      </c>
      <c r="J21" s="101">
        <v>1</v>
      </c>
      <c r="K21" s="101">
        <v>1</v>
      </c>
      <c r="L21" s="101">
        <v>1</v>
      </c>
      <c r="N21" s="101">
        <v>1</v>
      </c>
      <c r="O21" s="101">
        <v>1</v>
      </c>
      <c r="P21" s="101">
        <v>1</v>
      </c>
      <c r="R21" s="101">
        <v>100</v>
      </c>
      <c r="S21" s="101">
        <v>100</v>
      </c>
      <c r="T21" s="101">
        <v>100</v>
      </c>
      <c r="V21" s="101">
        <v>17</v>
      </c>
      <c r="W21" s="101">
        <v>29</v>
      </c>
      <c r="Y21" s="101">
        <v>17</v>
      </c>
      <c r="Z21" s="101">
        <v>29</v>
      </c>
      <c r="AB21" s="101">
        <v>17</v>
      </c>
      <c r="AC21" s="101">
        <v>29</v>
      </c>
      <c r="AE21" s="101">
        <v>17</v>
      </c>
      <c r="AF21" s="101">
        <v>29</v>
      </c>
      <c r="AH21" s="8">
        <v>4</v>
      </c>
      <c r="AI21" s="102">
        <v>0.1111111111111111</v>
      </c>
      <c r="AJ21" s="103">
        <v>120000000</v>
      </c>
    </row>
    <row r="22" spans="2:45">
      <c r="B22" s="101">
        <v>2</v>
      </c>
      <c r="C22" s="101">
        <v>2</v>
      </c>
      <c r="D22" s="101">
        <v>3</v>
      </c>
      <c r="F22" s="101">
        <v>1</v>
      </c>
      <c r="G22" s="101">
        <v>1</v>
      </c>
      <c r="H22" s="101">
        <v>1</v>
      </c>
      <c r="J22" s="101">
        <v>1</v>
      </c>
      <c r="K22" s="101">
        <v>1</v>
      </c>
      <c r="L22" s="101">
        <v>1</v>
      </c>
      <c r="N22" s="101">
        <v>1</v>
      </c>
      <c r="O22" s="101">
        <v>1</v>
      </c>
      <c r="P22" s="101">
        <v>1</v>
      </c>
      <c r="R22" s="101">
        <v>100</v>
      </c>
      <c r="S22" s="101">
        <v>100</v>
      </c>
      <c r="T22" s="101">
        <v>100</v>
      </c>
      <c r="V22" s="101">
        <v>13</v>
      </c>
      <c r="W22" s="101">
        <v>13</v>
      </c>
      <c r="Y22" s="101">
        <v>13</v>
      </c>
      <c r="Z22" s="101">
        <v>13</v>
      </c>
      <c r="AB22" s="101">
        <v>13</v>
      </c>
      <c r="AC22" s="101">
        <v>13</v>
      </c>
      <c r="AE22" s="101">
        <v>13</v>
      </c>
      <c r="AF22" s="101">
        <v>13</v>
      </c>
      <c r="AH22" s="8">
        <v>5</v>
      </c>
      <c r="AI22" s="102">
        <v>0.1111111111111111</v>
      </c>
      <c r="AJ22" s="103">
        <v>120000000</v>
      </c>
    </row>
    <row r="23" spans="2:45">
      <c r="B23" s="101">
        <v>4</v>
      </c>
      <c r="C23" s="101">
        <v>4</v>
      </c>
      <c r="D23" s="101">
        <v>6</v>
      </c>
      <c r="F23" s="101">
        <v>1</v>
      </c>
      <c r="G23" s="101">
        <v>1</v>
      </c>
      <c r="H23" s="101">
        <v>1</v>
      </c>
      <c r="J23" s="101">
        <v>1</v>
      </c>
      <c r="K23" s="101">
        <v>1</v>
      </c>
      <c r="L23" s="101">
        <v>1</v>
      </c>
      <c r="N23" s="101">
        <v>1</v>
      </c>
      <c r="O23" s="101">
        <v>1</v>
      </c>
      <c r="P23" s="101">
        <v>1</v>
      </c>
      <c r="R23" s="101">
        <v>100</v>
      </c>
      <c r="S23" s="101">
        <v>701</v>
      </c>
      <c r="T23" s="101">
        <v>100</v>
      </c>
      <c r="V23" s="101">
        <v>12</v>
      </c>
      <c r="W23" s="101">
        <v>24</v>
      </c>
      <c r="Y23" s="101">
        <v>12</v>
      </c>
      <c r="Z23" s="101">
        <v>24</v>
      </c>
      <c r="AB23" s="101">
        <v>12</v>
      </c>
      <c r="AC23" s="101">
        <v>24</v>
      </c>
      <c r="AE23" s="101">
        <v>12</v>
      </c>
      <c r="AF23" s="101">
        <v>24</v>
      </c>
      <c r="AH23" s="8">
        <v>6</v>
      </c>
      <c r="AI23" s="102">
        <v>0.1111111111111111</v>
      </c>
      <c r="AJ23" s="103">
        <v>120000000</v>
      </c>
    </row>
    <row r="24" spans="2:45">
      <c r="B24" s="101">
        <v>4</v>
      </c>
      <c r="C24" s="101">
        <v>4</v>
      </c>
      <c r="D24" s="101">
        <v>6</v>
      </c>
      <c r="F24" s="101">
        <v>1</v>
      </c>
      <c r="G24" s="101">
        <v>1</v>
      </c>
      <c r="H24" s="101">
        <v>1</v>
      </c>
      <c r="J24" s="101">
        <v>1</v>
      </c>
      <c r="K24" s="101">
        <v>1</v>
      </c>
      <c r="L24" s="101">
        <v>1</v>
      </c>
      <c r="N24" s="101">
        <v>1</v>
      </c>
      <c r="O24" s="101">
        <v>1</v>
      </c>
      <c r="P24" s="101">
        <v>1</v>
      </c>
      <c r="R24" s="101">
        <v>100</v>
      </c>
      <c r="S24" s="101">
        <v>584</v>
      </c>
      <c r="T24" s="101">
        <v>100</v>
      </c>
      <c r="V24" s="101">
        <v>16</v>
      </c>
      <c r="W24" s="101">
        <v>16</v>
      </c>
      <c r="Y24" s="101">
        <v>16</v>
      </c>
      <c r="Z24" s="101">
        <v>16</v>
      </c>
      <c r="AB24" s="101">
        <v>16</v>
      </c>
      <c r="AC24" s="101">
        <v>16</v>
      </c>
      <c r="AE24" s="101">
        <v>16</v>
      </c>
      <c r="AF24" s="101">
        <v>16</v>
      </c>
      <c r="AH24" s="8">
        <v>7</v>
      </c>
      <c r="AI24" s="102">
        <v>7.407407407407407E-2</v>
      </c>
      <c r="AJ24" s="103">
        <v>80000000</v>
      </c>
    </row>
    <row r="25" spans="2:45">
      <c r="B25" s="101">
        <v>4</v>
      </c>
      <c r="C25" s="101">
        <v>0</v>
      </c>
      <c r="D25" s="101">
        <v>6</v>
      </c>
      <c r="F25" s="101">
        <v>1</v>
      </c>
      <c r="G25" s="101">
        <v>1</v>
      </c>
      <c r="H25" s="101">
        <v>1</v>
      </c>
      <c r="J25" s="101">
        <v>1</v>
      </c>
      <c r="K25" s="101">
        <v>1</v>
      </c>
      <c r="L25" s="101">
        <v>1</v>
      </c>
      <c r="N25" s="101">
        <v>1</v>
      </c>
      <c r="O25" s="101">
        <v>1</v>
      </c>
      <c r="P25" s="101">
        <v>1</v>
      </c>
      <c r="R25" s="101">
        <v>100</v>
      </c>
      <c r="S25" s="101">
        <v>467</v>
      </c>
      <c r="T25" s="101">
        <v>100</v>
      </c>
      <c r="V25" s="101">
        <v>15</v>
      </c>
      <c r="W25" s="101">
        <v>15</v>
      </c>
      <c r="Y25" s="101">
        <v>15</v>
      </c>
      <c r="Z25" s="101">
        <v>15</v>
      </c>
      <c r="AB25" s="101">
        <v>15</v>
      </c>
      <c r="AC25" s="101">
        <v>15</v>
      </c>
      <c r="AE25" s="101">
        <v>15</v>
      </c>
      <c r="AF25" s="101">
        <v>15</v>
      </c>
      <c r="AH25" s="8">
        <v>8</v>
      </c>
      <c r="AI25" s="102">
        <v>7.407407407407407E-2</v>
      </c>
      <c r="AJ25" s="103">
        <v>80000000</v>
      </c>
    </row>
    <row r="26" spans="2:45">
      <c r="B26" s="101">
        <v>3</v>
      </c>
      <c r="C26" s="101">
        <v>0</v>
      </c>
      <c r="D26" s="101">
        <v>4</v>
      </c>
      <c r="F26" s="101">
        <v>1</v>
      </c>
      <c r="G26" s="101">
        <v>1</v>
      </c>
      <c r="H26" s="101">
        <v>1</v>
      </c>
      <c r="J26" s="101">
        <v>1</v>
      </c>
      <c r="K26" s="101">
        <v>1</v>
      </c>
      <c r="L26" s="101">
        <v>1</v>
      </c>
      <c r="N26" s="101">
        <v>1</v>
      </c>
      <c r="O26" s="101">
        <v>1</v>
      </c>
      <c r="P26" s="101">
        <v>1</v>
      </c>
      <c r="R26" s="101">
        <v>100</v>
      </c>
      <c r="S26" s="101">
        <v>584</v>
      </c>
      <c r="T26" s="101">
        <v>100</v>
      </c>
      <c r="V26" s="101">
        <v>14</v>
      </c>
      <c r="W26" s="101">
        <v>14</v>
      </c>
      <c r="Y26" s="101">
        <v>14</v>
      </c>
      <c r="Z26" s="101">
        <v>14</v>
      </c>
      <c r="AB26" s="101">
        <v>14</v>
      </c>
      <c r="AC26" s="101">
        <v>14</v>
      </c>
      <c r="AE26" s="101">
        <v>14</v>
      </c>
      <c r="AF26" s="101">
        <v>14</v>
      </c>
      <c r="AH26" s="8">
        <v>9</v>
      </c>
      <c r="AI26" s="102">
        <v>7.407407407407407E-2</v>
      </c>
      <c r="AJ26" s="103">
        <v>80000000</v>
      </c>
    </row>
    <row r="27" spans="2:45">
      <c r="B27" s="101">
        <v>3</v>
      </c>
      <c r="C27" s="101">
        <v>0</v>
      </c>
      <c r="D27" s="101">
        <v>4</v>
      </c>
      <c r="F27" s="101">
        <v>1</v>
      </c>
      <c r="G27" s="101">
        <v>1</v>
      </c>
      <c r="H27" s="101">
        <v>1</v>
      </c>
      <c r="J27" s="101">
        <v>1</v>
      </c>
      <c r="K27" s="101">
        <v>1</v>
      </c>
      <c r="L27" s="101">
        <v>1</v>
      </c>
      <c r="N27" s="101">
        <v>1</v>
      </c>
      <c r="O27" s="101">
        <v>1</v>
      </c>
      <c r="P27" s="101">
        <v>1</v>
      </c>
      <c r="R27" s="101">
        <v>100</v>
      </c>
      <c r="S27" s="101">
        <v>701</v>
      </c>
      <c r="T27" s="101">
        <v>100</v>
      </c>
      <c r="V27" s="101">
        <v>11</v>
      </c>
      <c r="W27" s="101">
        <v>23</v>
      </c>
      <c r="Y27" s="101">
        <v>11</v>
      </c>
      <c r="Z27" s="101">
        <v>23</v>
      </c>
      <c r="AB27" s="101">
        <v>13</v>
      </c>
      <c r="AC27" s="101">
        <v>25</v>
      </c>
      <c r="AE27" s="101">
        <v>11</v>
      </c>
      <c r="AF27" s="101">
        <v>23</v>
      </c>
      <c r="AH27" s="8">
        <v>10</v>
      </c>
      <c r="AI27" s="102">
        <v>7.407407407407407E-2</v>
      </c>
      <c r="AJ27" s="103">
        <v>80000000</v>
      </c>
    </row>
    <row r="28" spans="2:45">
      <c r="B28" s="101">
        <v>6</v>
      </c>
      <c r="C28" s="101">
        <v>6</v>
      </c>
      <c r="D28" s="101">
        <v>4</v>
      </c>
      <c r="F28" s="101">
        <v>1</v>
      </c>
      <c r="G28" s="101">
        <v>1</v>
      </c>
      <c r="H28" s="101">
        <v>1</v>
      </c>
      <c r="J28" s="101">
        <v>1</v>
      </c>
      <c r="K28" s="101">
        <v>1</v>
      </c>
      <c r="L28" s="101">
        <v>1</v>
      </c>
      <c r="N28" s="101">
        <v>1</v>
      </c>
      <c r="O28" s="101">
        <v>1</v>
      </c>
      <c r="P28" s="101">
        <v>1</v>
      </c>
      <c r="R28" s="101">
        <v>100</v>
      </c>
      <c r="S28" s="101">
        <v>100</v>
      </c>
      <c r="T28" s="101">
        <v>100</v>
      </c>
      <c r="V28" s="101">
        <v>9</v>
      </c>
      <c r="W28" s="101">
        <v>9</v>
      </c>
      <c r="Y28" s="101">
        <v>9</v>
      </c>
      <c r="Z28" s="101">
        <v>9</v>
      </c>
      <c r="AB28" s="101">
        <v>12</v>
      </c>
      <c r="AC28" s="101">
        <v>12</v>
      </c>
      <c r="AE28" s="101">
        <v>9</v>
      </c>
      <c r="AF28" s="101">
        <v>9</v>
      </c>
      <c r="AH28" s="8">
        <v>20</v>
      </c>
      <c r="AI28" s="102">
        <v>7.407407407407407E-2</v>
      </c>
      <c r="AJ28" s="103">
        <v>80000000</v>
      </c>
    </row>
    <row r="29" spans="2:45">
      <c r="B29" s="101">
        <v>6</v>
      </c>
      <c r="C29" s="101">
        <v>6</v>
      </c>
      <c r="D29" s="101">
        <v>2</v>
      </c>
      <c r="F29" s="101">
        <v>1</v>
      </c>
      <c r="G29" s="101">
        <v>1</v>
      </c>
      <c r="H29" s="101">
        <v>1</v>
      </c>
      <c r="J29" s="101">
        <v>1</v>
      </c>
      <c r="K29" s="101">
        <v>1</v>
      </c>
      <c r="L29" s="101">
        <v>1</v>
      </c>
      <c r="N29" s="101">
        <v>1</v>
      </c>
      <c r="O29" s="101">
        <v>1</v>
      </c>
      <c r="P29" s="101">
        <v>1</v>
      </c>
      <c r="R29" s="101">
        <v>100</v>
      </c>
      <c r="S29" s="101">
        <v>100</v>
      </c>
      <c r="T29" s="101">
        <v>100</v>
      </c>
      <c r="V29" s="101">
        <v>19</v>
      </c>
      <c r="W29" s="101">
        <v>22</v>
      </c>
      <c r="Y29" s="101">
        <v>19</v>
      </c>
      <c r="Z29" s="101">
        <v>22</v>
      </c>
      <c r="AB29" s="101">
        <v>19</v>
      </c>
      <c r="AC29" s="101">
        <v>25</v>
      </c>
      <c r="AE29" s="101">
        <v>19</v>
      </c>
      <c r="AF29" s="101">
        <v>22</v>
      </c>
      <c r="AH29" s="8">
        <v>50</v>
      </c>
      <c r="AI29" s="102">
        <v>7.407407407407407E-2</v>
      </c>
      <c r="AJ29" s="103">
        <v>80000000</v>
      </c>
    </row>
    <row r="30" spans="2:45">
      <c r="B30" s="101">
        <v>1</v>
      </c>
      <c r="C30" s="101">
        <v>3</v>
      </c>
      <c r="D30" s="101">
        <v>2</v>
      </c>
      <c r="F30" s="101">
        <v>1</v>
      </c>
      <c r="G30" s="101">
        <v>1</v>
      </c>
      <c r="H30" s="101">
        <v>1</v>
      </c>
      <c r="J30" s="101">
        <v>1</v>
      </c>
      <c r="K30" s="101">
        <v>1</v>
      </c>
      <c r="L30" s="101">
        <v>1</v>
      </c>
      <c r="N30" s="101">
        <v>1</v>
      </c>
      <c r="O30" s="101">
        <v>1</v>
      </c>
      <c r="P30" s="101">
        <v>1</v>
      </c>
      <c r="R30" s="101">
        <v>100</v>
      </c>
      <c r="S30" s="101">
        <v>100</v>
      </c>
      <c r="T30" s="101">
        <v>100</v>
      </c>
      <c r="V30" s="101">
        <v>8</v>
      </c>
      <c r="W30" s="101">
        <v>8</v>
      </c>
      <c r="Y30" s="101">
        <v>9</v>
      </c>
      <c r="Z30" s="101">
        <v>9</v>
      </c>
      <c r="AB30" s="101">
        <v>12</v>
      </c>
      <c r="AC30" s="101">
        <v>12</v>
      </c>
      <c r="AE30" s="101">
        <v>9</v>
      </c>
      <c r="AF30" s="101">
        <v>9</v>
      </c>
      <c r="AJ30" s="104"/>
    </row>
    <row r="31" spans="2:45">
      <c r="B31" s="101">
        <v>1</v>
      </c>
      <c r="C31" s="101">
        <v>3</v>
      </c>
      <c r="D31" s="101">
        <v>7</v>
      </c>
      <c r="F31" s="101">
        <v>1</v>
      </c>
      <c r="G31" s="101">
        <v>1</v>
      </c>
      <c r="H31" s="101">
        <v>1</v>
      </c>
      <c r="J31" s="101">
        <v>1</v>
      </c>
      <c r="K31" s="101">
        <v>1</v>
      </c>
      <c r="L31" s="101">
        <v>1</v>
      </c>
      <c r="N31" s="101">
        <v>1</v>
      </c>
      <c r="O31" s="101">
        <v>1</v>
      </c>
      <c r="P31" s="101">
        <v>1</v>
      </c>
      <c r="R31" s="101">
        <v>100</v>
      </c>
      <c r="S31" s="101">
        <v>100</v>
      </c>
      <c r="T31" s="101">
        <v>100</v>
      </c>
      <c r="V31" s="101">
        <v>10</v>
      </c>
      <c r="W31" s="101">
        <v>22</v>
      </c>
      <c r="Y31" s="101">
        <v>10</v>
      </c>
      <c r="Z31" s="101">
        <v>22</v>
      </c>
      <c r="AB31" s="101">
        <v>13</v>
      </c>
      <c r="AC31" s="101">
        <v>13</v>
      </c>
      <c r="AE31" s="101">
        <v>10</v>
      </c>
      <c r="AF31" s="101">
        <v>22</v>
      </c>
    </row>
    <row r="32" spans="2:45" ht="16.2">
      <c r="B32" s="101">
        <v>7</v>
      </c>
      <c r="C32" s="101">
        <v>3</v>
      </c>
      <c r="D32" s="101">
        <v>7</v>
      </c>
      <c r="F32" s="101">
        <v>1</v>
      </c>
      <c r="G32" s="101">
        <v>1</v>
      </c>
      <c r="H32" s="101">
        <v>1</v>
      </c>
      <c r="J32" s="101">
        <v>1</v>
      </c>
      <c r="K32" s="101">
        <v>1</v>
      </c>
      <c r="L32" s="101">
        <v>1</v>
      </c>
      <c r="N32" s="101">
        <v>1</v>
      </c>
      <c r="O32" s="101">
        <v>1</v>
      </c>
      <c r="P32" s="101">
        <v>1</v>
      </c>
      <c r="R32" s="101">
        <v>100</v>
      </c>
      <c r="S32" s="101">
        <v>100</v>
      </c>
      <c r="T32" s="101">
        <v>677</v>
      </c>
      <c r="V32" s="101">
        <v>11</v>
      </c>
      <c r="W32" s="101">
        <v>11</v>
      </c>
      <c r="Y32" s="101">
        <v>11</v>
      </c>
      <c r="Z32" s="101">
        <v>11</v>
      </c>
      <c r="AB32" s="101">
        <v>12</v>
      </c>
      <c r="AC32" s="101">
        <v>12</v>
      </c>
      <c r="AE32" s="101">
        <v>11</v>
      </c>
      <c r="AF32" s="101">
        <v>11</v>
      </c>
      <c r="AH32" s="134" t="s">
        <v>110</v>
      </c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</row>
    <row r="33" spans="2:45" ht="16.2">
      <c r="B33" s="101">
        <v>7</v>
      </c>
      <c r="C33" s="101">
        <v>6</v>
      </c>
      <c r="D33" s="101">
        <v>7</v>
      </c>
      <c r="F33" s="101">
        <v>1</v>
      </c>
      <c r="G33" s="101">
        <v>1</v>
      </c>
      <c r="H33" s="101">
        <v>1</v>
      </c>
      <c r="J33" s="101">
        <v>1</v>
      </c>
      <c r="K33" s="101">
        <v>1</v>
      </c>
      <c r="L33" s="101">
        <v>1</v>
      </c>
      <c r="N33" s="101">
        <v>1</v>
      </c>
      <c r="O33" s="101">
        <v>1</v>
      </c>
      <c r="P33" s="101">
        <v>1</v>
      </c>
      <c r="R33" s="101">
        <v>100</v>
      </c>
      <c r="S33" s="101">
        <v>100</v>
      </c>
      <c r="T33" s="101">
        <v>564</v>
      </c>
      <c r="V33" s="101">
        <v>12</v>
      </c>
      <c r="W33" s="101">
        <v>24</v>
      </c>
      <c r="Y33" s="101">
        <v>12</v>
      </c>
      <c r="Z33" s="101">
        <v>24</v>
      </c>
      <c r="AB33" s="101">
        <v>12</v>
      </c>
      <c r="AC33" s="101">
        <v>24</v>
      </c>
      <c r="AE33" s="101">
        <v>12</v>
      </c>
      <c r="AF33" s="101">
        <v>24</v>
      </c>
      <c r="AH33" s="99" t="s">
        <v>93</v>
      </c>
      <c r="AI33" s="99" cm="1">
        <f t="array" ref="AI33:AS44">'Pay Combo Normal Bet'!$AH$2:$AR$13</f>
        <v>2</v>
      </c>
      <c r="AJ33" s="99">
        <v>3</v>
      </c>
      <c r="AK33" s="99">
        <v>4</v>
      </c>
      <c r="AL33" s="99">
        <v>5</v>
      </c>
      <c r="AM33" s="99">
        <v>6</v>
      </c>
      <c r="AN33" s="99">
        <v>7</v>
      </c>
      <c r="AO33" s="99">
        <v>8</v>
      </c>
      <c r="AP33" s="99">
        <v>9</v>
      </c>
      <c r="AQ33" s="99">
        <v>10</v>
      </c>
      <c r="AR33" s="99">
        <v>20</v>
      </c>
      <c r="AS33" s="99">
        <v>50</v>
      </c>
    </row>
    <row r="34" spans="2:45">
      <c r="B34" s="101">
        <v>2</v>
      </c>
      <c r="C34" s="101">
        <v>6</v>
      </c>
      <c r="D34" s="101">
        <v>0</v>
      </c>
      <c r="F34" s="101">
        <v>1</v>
      </c>
      <c r="G34" s="101">
        <v>1</v>
      </c>
      <c r="H34" s="101">
        <v>1</v>
      </c>
      <c r="J34" s="101">
        <v>1</v>
      </c>
      <c r="K34" s="101">
        <v>1</v>
      </c>
      <c r="L34" s="101">
        <v>1</v>
      </c>
      <c r="N34" s="101">
        <v>1</v>
      </c>
      <c r="O34" s="101">
        <v>1</v>
      </c>
      <c r="P34" s="101">
        <v>1</v>
      </c>
      <c r="R34" s="101">
        <v>100</v>
      </c>
      <c r="S34" s="101">
        <v>100</v>
      </c>
      <c r="T34" s="101">
        <v>451</v>
      </c>
      <c r="V34" s="101">
        <v>13</v>
      </c>
      <c r="W34" s="101">
        <v>13</v>
      </c>
      <c r="Y34" s="101">
        <v>13</v>
      </c>
      <c r="Z34" s="101">
        <v>13</v>
      </c>
      <c r="AB34" s="101">
        <v>13</v>
      </c>
      <c r="AC34" s="101">
        <v>13</v>
      </c>
      <c r="AE34" s="101">
        <v>13</v>
      </c>
      <c r="AF34" s="101">
        <v>13</v>
      </c>
      <c r="AH34" s="8" cm="1">
        <f t="array" ref="AH34:AH44">'Pay Combo Normal Bet'!$V$3:$V$13</f>
        <v>1</v>
      </c>
      <c r="AI34" s="103">
        <v>0</v>
      </c>
      <c r="AJ34" s="103">
        <v>0</v>
      </c>
      <c r="AK34" s="103">
        <v>0</v>
      </c>
      <c r="AL34" s="103">
        <v>0</v>
      </c>
      <c r="AM34" s="103">
        <v>0</v>
      </c>
      <c r="AN34" s="103">
        <v>0</v>
      </c>
      <c r="AO34" s="103">
        <v>0</v>
      </c>
      <c r="AP34" s="103">
        <v>0</v>
      </c>
      <c r="AQ34" s="103">
        <v>265000000</v>
      </c>
      <c r="AR34" s="103">
        <v>265000000</v>
      </c>
      <c r="AS34" s="103">
        <v>265000000</v>
      </c>
    </row>
    <row r="35" spans="2:45">
      <c r="B35" s="101">
        <v>2</v>
      </c>
      <c r="C35" s="101">
        <v>6</v>
      </c>
      <c r="D35" s="101">
        <v>0</v>
      </c>
      <c r="F35" s="101">
        <v>1</v>
      </c>
      <c r="G35" s="101">
        <v>1</v>
      </c>
      <c r="H35" s="101">
        <v>1</v>
      </c>
      <c r="J35" s="101">
        <v>1</v>
      </c>
      <c r="K35" s="101">
        <v>1</v>
      </c>
      <c r="L35" s="101">
        <v>1</v>
      </c>
      <c r="N35" s="101">
        <v>1</v>
      </c>
      <c r="O35" s="101">
        <v>1</v>
      </c>
      <c r="P35" s="101">
        <v>1</v>
      </c>
      <c r="R35" s="101">
        <v>100</v>
      </c>
      <c r="S35" s="101">
        <v>100</v>
      </c>
      <c r="T35" s="101">
        <v>564</v>
      </c>
      <c r="V35" s="101">
        <v>14</v>
      </c>
      <c r="W35" s="101">
        <v>26</v>
      </c>
      <c r="Y35" s="101">
        <v>14</v>
      </c>
      <c r="Z35" s="101">
        <v>26</v>
      </c>
      <c r="AB35" s="101">
        <v>14</v>
      </c>
      <c r="AC35" s="101">
        <v>26</v>
      </c>
      <c r="AE35" s="101">
        <v>14</v>
      </c>
      <c r="AF35" s="101">
        <v>26</v>
      </c>
      <c r="AH35" s="8">
        <v>2</v>
      </c>
      <c r="AI35" s="103">
        <v>0</v>
      </c>
      <c r="AJ35" s="103">
        <v>0</v>
      </c>
      <c r="AK35" s="103">
        <v>0</v>
      </c>
      <c r="AL35" s="103">
        <v>250000000</v>
      </c>
      <c r="AM35" s="103">
        <v>250000000</v>
      </c>
      <c r="AN35" s="103">
        <v>250000000</v>
      </c>
      <c r="AO35" s="103">
        <v>240000000</v>
      </c>
      <c r="AP35" s="103">
        <v>240000000</v>
      </c>
      <c r="AQ35" s="103">
        <v>240000000</v>
      </c>
      <c r="AR35" s="103">
        <v>240000000</v>
      </c>
      <c r="AS35" s="103">
        <v>240000000</v>
      </c>
    </row>
    <row r="36" spans="2:45">
      <c r="B36" s="101">
        <v>5</v>
      </c>
      <c r="C36" s="101">
        <v>2</v>
      </c>
      <c r="D36" s="101">
        <v>0</v>
      </c>
      <c r="F36" s="101">
        <v>1</v>
      </c>
      <c r="G36" s="101">
        <v>1</v>
      </c>
      <c r="H36" s="101">
        <v>1</v>
      </c>
      <c r="J36" s="101">
        <v>1</v>
      </c>
      <c r="K36" s="101">
        <v>1</v>
      </c>
      <c r="L36" s="101">
        <v>1</v>
      </c>
      <c r="N36" s="101">
        <v>1</v>
      </c>
      <c r="O36" s="101">
        <v>1</v>
      </c>
      <c r="P36" s="101">
        <v>1</v>
      </c>
      <c r="R36" s="101">
        <v>100</v>
      </c>
      <c r="S36" s="101">
        <v>100</v>
      </c>
      <c r="T36" s="101">
        <v>677</v>
      </c>
      <c r="V36" s="101">
        <v>15</v>
      </c>
      <c r="W36" s="101">
        <v>15</v>
      </c>
      <c r="Y36" s="101">
        <v>15</v>
      </c>
      <c r="Z36" s="101">
        <v>15</v>
      </c>
      <c r="AB36" s="101">
        <v>15</v>
      </c>
      <c r="AC36" s="101">
        <v>15</v>
      </c>
      <c r="AE36" s="101">
        <v>15</v>
      </c>
      <c r="AF36" s="101">
        <v>15</v>
      </c>
      <c r="AH36" s="8">
        <v>3</v>
      </c>
      <c r="AI36" s="103">
        <v>0</v>
      </c>
      <c r="AJ36" s="103">
        <v>250000000</v>
      </c>
      <c r="AK36" s="103">
        <v>250000000</v>
      </c>
      <c r="AL36" s="103">
        <v>200000000</v>
      </c>
      <c r="AM36" s="103">
        <v>200000000</v>
      </c>
      <c r="AN36" s="103">
        <v>200000000</v>
      </c>
      <c r="AO36" s="103">
        <v>170000000</v>
      </c>
      <c r="AP36" s="103">
        <v>170000000</v>
      </c>
      <c r="AQ36" s="103">
        <v>170000000</v>
      </c>
      <c r="AR36" s="103">
        <v>170000000</v>
      </c>
      <c r="AS36" s="103">
        <v>170000000</v>
      </c>
    </row>
    <row r="37" spans="2:45">
      <c r="B37" s="101">
        <v>5</v>
      </c>
      <c r="C37" s="101">
        <v>2</v>
      </c>
      <c r="D37" s="101">
        <v>6</v>
      </c>
      <c r="F37" s="101">
        <v>1</v>
      </c>
      <c r="G37" s="101">
        <v>1</v>
      </c>
      <c r="H37" s="101">
        <v>1</v>
      </c>
      <c r="J37" s="101">
        <v>1</v>
      </c>
      <c r="K37" s="101">
        <v>1</v>
      </c>
      <c r="L37" s="101">
        <v>1</v>
      </c>
      <c r="N37" s="101">
        <v>1</v>
      </c>
      <c r="O37" s="101">
        <v>1</v>
      </c>
      <c r="P37" s="101">
        <v>1</v>
      </c>
      <c r="R37" s="101">
        <v>100</v>
      </c>
      <c r="S37" s="101">
        <v>100</v>
      </c>
      <c r="T37" s="101">
        <v>100</v>
      </c>
      <c r="V37" s="101">
        <v>16</v>
      </c>
      <c r="W37" s="101">
        <v>28</v>
      </c>
      <c r="Y37" s="101">
        <v>16</v>
      </c>
      <c r="Z37" s="101">
        <v>28</v>
      </c>
      <c r="AB37" s="101">
        <v>16</v>
      </c>
      <c r="AC37" s="101">
        <v>28</v>
      </c>
      <c r="AE37" s="101">
        <v>16</v>
      </c>
      <c r="AF37" s="101">
        <v>28</v>
      </c>
      <c r="AH37" s="8">
        <v>5</v>
      </c>
      <c r="AI37" s="103">
        <v>150000000</v>
      </c>
      <c r="AJ37" s="103">
        <v>150000000</v>
      </c>
      <c r="AK37" s="103">
        <v>150000000</v>
      </c>
      <c r="AL37" s="103">
        <v>160000000</v>
      </c>
      <c r="AM37" s="103">
        <v>160000000</v>
      </c>
      <c r="AN37" s="103">
        <v>160000000</v>
      </c>
      <c r="AO37" s="103">
        <v>130000000</v>
      </c>
      <c r="AP37" s="103">
        <v>130000000</v>
      </c>
      <c r="AQ37" s="103">
        <v>130000000</v>
      </c>
      <c r="AR37" s="103">
        <v>130000000</v>
      </c>
      <c r="AS37" s="103">
        <v>130000000</v>
      </c>
    </row>
    <row r="38" spans="2:45">
      <c r="B38" s="101">
        <v>1</v>
      </c>
      <c r="C38" s="101">
        <v>2</v>
      </c>
      <c r="D38" s="101">
        <v>6</v>
      </c>
      <c r="F38" s="101">
        <v>1</v>
      </c>
      <c r="G38" s="101">
        <v>1</v>
      </c>
      <c r="H38" s="101">
        <v>1</v>
      </c>
      <c r="J38" s="101">
        <v>1</v>
      </c>
      <c r="K38" s="101">
        <v>1</v>
      </c>
      <c r="L38" s="101">
        <v>1</v>
      </c>
      <c r="N38" s="101">
        <v>1</v>
      </c>
      <c r="O38" s="101">
        <v>1</v>
      </c>
      <c r="P38" s="101">
        <v>1</v>
      </c>
      <c r="R38" s="101">
        <v>100</v>
      </c>
      <c r="S38" s="101">
        <v>100</v>
      </c>
      <c r="T38" s="101">
        <v>100</v>
      </c>
      <c r="V38" s="101">
        <v>18</v>
      </c>
      <c r="W38" s="101">
        <v>18</v>
      </c>
      <c r="Y38" s="101">
        <v>18</v>
      </c>
      <c r="Z38" s="101">
        <v>18</v>
      </c>
      <c r="AB38" s="101">
        <v>18</v>
      </c>
      <c r="AC38" s="101">
        <v>18</v>
      </c>
      <c r="AE38" s="101">
        <v>18</v>
      </c>
      <c r="AF38" s="101">
        <v>18</v>
      </c>
      <c r="AH38" s="8">
        <v>10</v>
      </c>
      <c r="AI38" s="103">
        <v>100000000</v>
      </c>
      <c r="AJ38" s="103">
        <v>100000000</v>
      </c>
      <c r="AK38" s="103">
        <v>100000000</v>
      </c>
      <c r="AL38" s="103">
        <v>80000000</v>
      </c>
      <c r="AM38" s="103">
        <v>80000000</v>
      </c>
      <c r="AN38" s="103">
        <v>80000000</v>
      </c>
      <c r="AO38" s="103">
        <v>80000000</v>
      </c>
      <c r="AP38" s="103">
        <v>80000000</v>
      </c>
      <c r="AQ38" s="103">
        <v>80000000</v>
      </c>
      <c r="AR38" s="103">
        <v>80000000</v>
      </c>
      <c r="AS38" s="103">
        <v>80000000</v>
      </c>
    </row>
    <row r="39" spans="2:45">
      <c r="B39" s="101">
        <v>1</v>
      </c>
      <c r="C39" s="101">
        <v>5</v>
      </c>
      <c r="D39" s="101">
        <v>6</v>
      </c>
      <c r="F39" s="101">
        <v>1</v>
      </c>
      <c r="G39" s="101">
        <v>1</v>
      </c>
      <c r="H39" s="101">
        <v>1</v>
      </c>
      <c r="J39" s="101">
        <v>1</v>
      </c>
      <c r="K39" s="101">
        <v>1</v>
      </c>
      <c r="L39" s="101">
        <v>1</v>
      </c>
      <c r="N39" s="101">
        <v>1</v>
      </c>
      <c r="O39" s="101">
        <v>1</v>
      </c>
      <c r="P39" s="101">
        <v>1</v>
      </c>
      <c r="R39" s="101">
        <v>100</v>
      </c>
      <c r="S39" s="101">
        <v>100</v>
      </c>
      <c r="T39" s="101">
        <v>100</v>
      </c>
      <c r="V39" s="101">
        <v>17</v>
      </c>
      <c r="W39" s="101">
        <v>17</v>
      </c>
      <c r="Y39" s="101">
        <v>17</v>
      </c>
      <c r="Z39" s="101">
        <v>17</v>
      </c>
      <c r="AB39" s="101">
        <v>17</v>
      </c>
      <c r="AC39" s="101">
        <v>17</v>
      </c>
      <c r="AE39" s="101">
        <v>17</v>
      </c>
      <c r="AF39" s="101">
        <v>17</v>
      </c>
      <c r="AH39" s="8">
        <v>15</v>
      </c>
      <c r="AI39" s="103">
        <v>80000000</v>
      </c>
      <c r="AJ39" s="103">
        <v>80000000</v>
      </c>
      <c r="AK39" s="103">
        <v>80000000</v>
      </c>
      <c r="AL39" s="103">
        <v>50000000</v>
      </c>
      <c r="AM39" s="103">
        <v>50000000</v>
      </c>
      <c r="AN39" s="103">
        <v>50000000</v>
      </c>
      <c r="AO39" s="103">
        <v>50000000</v>
      </c>
      <c r="AP39" s="103">
        <v>50000000</v>
      </c>
      <c r="AQ39" s="103">
        <v>50000000</v>
      </c>
      <c r="AR39" s="103">
        <v>50000000</v>
      </c>
      <c r="AS39" s="103">
        <v>50000000</v>
      </c>
    </row>
    <row r="40" spans="2:45">
      <c r="B40" s="101">
        <v>7</v>
      </c>
      <c r="C40" s="101">
        <v>5</v>
      </c>
      <c r="D40" s="101">
        <v>6</v>
      </c>
      <c r="F40" s="101">
        <v>1</v>
      </c>
      <c r="G40" s="101">
        <v>1</v>
      </c>
      <c r="H40" s="101">
        <v>1</v>
      </c>
      <c r="J40" s="101">
        <v>1</v>
      </c>
      <c r="K40" s="101">
        <v>1</v>
      </c>
      <c r="L40" s="101">
        <v>1</v>
      </c>
      <c r="N40" s="101">
        <v>1</v>
      </c>
      <c r="O40" s="101">
        <v>1</v>
      </c>
      <c r="P40" s="101">
        <v>1</v>
      </c>
      <c r="R40" s="101">
        <v>100</v>
      </c>
      <c r="S40" s="101">
        <v>100</v>
      </c>
      <c r="T40" s="101">
        <v>100</v>
      </c>
      <c r="V40" s="101">
        <v>9</v>
      </c>
      <c r="W40" s="101">
        <v>9</v>
      </c>
      <c r="Y40" s="101">
        <v>9</v>
      </c>
      <c r="Z40" s="101">
        <v>9</v>
      </c>
      <c r="AB40" s="101">
        <v>15</v>
      </c>
      <c r="AC40" s="101">
        <v>27</v>
      </c>
      <c r="AE40" s="101">
        <v>9</v>
      </c>
      <c r="AF40" s="101">
        <v>9</v>
      </c>
      <c r="AH40" s="8">
        <v>20</v>
      </c>
      <c r="AI40" s="103">
        <v>20000000</v>
      </c>
      <c r="AJ40" s="103">
        <v>20000000</v>
      </c>
      <c r="AK40" s="103">
        <v>20000000</v>
      </c>
      <c r="AL40" s="103">
        <v>20000000</v>
      </c>
      <c r="AM40" s="103">
        <v>20000000</v>
      </c>
      <c r="AN40" s="103">
        <v>20000000</v>
      </c>
      <c r="AO40" s="103">
        <v>20000000</v>
      </c>
      <c r="AP40" s="103">
        <v>20000000</v>
      </c>
      <c r="AQ40" s="103">
        <v>20000000</v>
      </c>
      <c r="AR40" s="103">
        <v>20000000</v>
      </c>
      <c r="AS40" s="103">
        <v>20000000</v>
      </c>
    </row>
    <row r="41" spans="2:45">
      <c r="B41" s="101">
        <v>7</v>
      </c>
      <c r="C41" s="101">
        <v>1</v>
      </c>
      <c r="D41" s="101">
        <v>4</v>
      </c>
      <c r="F41" s="101">
        <v>1</v>
      </c>
      <c r="G41" s="101">
        <v>1</v>
      </c>
      <c r="H41" s="101">
        <v>1</v>
      </c>
      <c r="J41" s="101">
        <v>1</v>
      </c>
      <c r="K41" s="101">
        <v>1</v>
      </c>
      <c r="L41" s="101">
        <v>1</v>
      </c>
      <c r="N41" s="101">
        <v>1</v>
      </c>
      <c r="O41" s="101">
        <v>1</v>
      </c>
      <c r="P41" s="101">
        <v>1</v>
      </c>
      <c r="R41" s="101">
        <v>100</v>
      </c>
      <c r="S41" s="101">
        <v>100</v>
      </c>
      <c r="T41" s="101">
        <v>100</v>
      </c>
      <c r="V41" s="101">
        <v>8</v>
      </c>
      <c r="W41" s="101">
        <v>20</v>
      </c>
      <c r="Y41" s="101">
        <v>10</v>
      </c>
      <c r="Z41" s="101">
        <v>22</v>
      </c>
      <c r="AB41" s="101">
        <v>14</v>
      </c>
      <c r="AC41" s="101">
        <v>14</v>
      </c>
      <c r="AE41" s="101">
        <v>10</v>
      </c>
      <c r="AF41" s="101">
        <v>22</v>
      </c>
      <c r="AH41" s="8">
        <v>25</v>
      </c>
      <c r="AI41" s="103">
        <v>15000000</v>
      </c>
      <c r="AJ41" s="103">
        <v>15000000</v>
      </c>
      <c r="AK41" s="103">
        <v>15000000</v>
      </c>
      <c r="AL41" s="103">
        <v>15000000</v>
      </c>
      <c r="AM41" s="103">
        <v>15000000</v>
      </c>
      <c r="AN41" s="103">
        <v>15000000</v>
      </c>
      <c r="AO41" s="103">
        <v>15000000</v>
      </c>
      <c r="AP41" s="103">
        <v>15000000</v>
      </c>
      <c r="AQ41" s="103">
        <v>15000000</v>
      </c>
      <c r="AR41" s="103">
        <v>15000000</v>
      </c>
      <c r="AS41" s="103">
        <v>15000000</v>
      </c>
    </row>
    <row r="42" spans="2:45">
      <c r="B42" s="101">
        <v>2</v>
      </c>
      <c r="C42" s="101">
        <v>1</v>
      </c>
      <c r="D42" s="101">
        <v>4</v>
      </c>
      <c r="F42" s="101">
        <v>1</v>
      </c>
      <c r="G42" s="101">
        <v>1</v>
      </c>
      <c r="H42" s="101">
        <v>1</v>
      </c>
      <c r="J42" s="101">
        <v>1</v>
      </c>
      <c r="K42" s="101">
        <v>1</v>
      </c>
      <c r="L42" s="101">
        <v>1</v>
      </c>
      <c r="N42" s="101">
        <v>1</v>
      </c>
      <c r="O42" s="101">
        <v>1</v>
      </c>
      <c r="P42" s="101">
        <v>1</v>
      </c>
      <c r="R42" s="101">
        <v>100</v>
      </c>
      <c r="S42" s="101">
        <v>100</v>
      </c>
      <c r="T42" s="101">
        <v>100</v>
      </c>
      <c r="V42" s="101">
        <v>10</v>
      </c>
      <c r="W42" s="101">
        <v>10</v>
      </c>
      <c r="Y42" s="101">
        <v>10</v>
      </c>
      <c r="Z42" s="101">
        <v>10</v>
      </c>
      <c r="AB42" s="101">
        <v>13</v>
      </c>
      <c r="AC42" s="101">
        <v>25</v>
      </c>
      <c r="AE42" s="101">
        <v>10</v>
      </c>
      <c r="AF42" s="101">
        <v>10</v>
      </c>
      <c r="AH42" s="8">
        <v>50</v>
      </c>
      <c r="AI42" s="103">
        <v>15000000</v>
      </c>
      <c r="AJ42" s="103">
        <v>15000000</v>
      </c>
      <c r="AK42" s="103">
        <v>15000000</v>
      </c>
      <c r="AL42" s="103">
        <v>15000000</v>
      </c>
      <c r="AM42" s="103">
        <v>15000000</v>
      </c>
      <c r="AN42" s="103">
        <v>15000000</v>
      </c>
      <c r="AO42" s="103">
        <v>15000000</v>
      </c>
      <c r="AP42" s="103">
        <v>15000000</v>
      </c>
      <c r="AQ42" s="103">
        <v>15000000</v>
      </c>
      <c r="AR42" s="103">
        <v>15000000</v>
      </c>
      <c r="AS42" s="103">
        <v>15000000</v>
      </c>
    </row>
    <row r="43" spans="2:45">
      <c r="B43" s="101">
        <v>2</v>
      </c>
      <c r="C43" s="101">
        <v>1</v>
      </c>
      <c r="D43" s="101">
        <v>7</v>
      </c>
      <c r="F43" s="101">
        <v>1</v>
      </c>
      <c r="G43" s="101">
        <v>1</v>
      </c>
      <c r="H43" s="101">
        <v>1</v>
      </c>
      <c r="J43" s="101">
        <v>1</v>
      </c>
      <c r="K43" s="101">
        <v>1</v>
      </c>
      <c r="L43" s="101">
        <v>1</v>
      </c>
      <c r="N43" s="101">
        <v>1</v>
      </c>
      <c r="O43" s="101">
        <v>1</v>
      </c>
      <c r="P43" s="101">
        <v>1</v>
      </c>
      <c r="R43" s="101">
        <v>100</v>
      </c>
      <c r="S43" s="101">
        <v>100</v>
      </c>
      <c r="T43" s="101">
        <v>100</v>
      </c>
      <c r="V43" s="101">
        <v>9</v>
      </c>
      <c r="W43" s="101">
        <v>9</v>
      </c>
      <c r="Y43" s="101">
        <v>9</v>
      </c>
      <c r="Z43" s="101">
        <v>9</v>
      </c>
      <c r="AB43" s="101">
        <v>12</v>
      </c>
      <c r="AC43" s="101">
        <v>12</v>
      </c>
      <c r="AE43" s="101">
        <v>9</v>
      </c>
      <c r="AF43" s="101">
        <v>9</v>
      </c>
      <c r="AH43" s="8">
        <v>100</v>
      </c>
      <c r="AI43" s="103">
        <v>10000000</v>
      </c>
      <c r="AJ43" s="103">
        <v>10000000</v>
      </c>
      <c r="AK43" s="103">
        <v>10000000</v>
      </c>
      <c r="AL43" s="103">
        <v>10000000</v>
      </c>
      <c r="AM43" s="103">
        <v>10000000</v>
      </c>
      <c r="AN43" s="103">
        <v>10000000</v>
      </c>
      <c r="AO43" s="103">
        <v>10000000</v>
      </c>
      <c r="AP43" s="103">
        <v>10000000</v>
      </c>
      <c r="AQ43" s="103">
        <v>10000000</v>
      </c>
      <c r="AR43" s="103">
        <v>10000000</v>
      </c>
      <c r="AS43" s="103">
        <v>10000000</v>
      </c>
    </row>
    <row r="44" spans="2:45">
      <c r="B44" s="101">
        <v>6</v>
      </c>
      <c r="C44" s="101">
        <v>7</v>
      </c>
      <c r="D44" s="101">
        <v>7</v>
      </c>
      <c r="F44" s="101">
        <v>1</v>
      </c>
      <c r="G44" s="101">
        <v>1</v>
      </c>
      <c r="H44" s="101">
        <v>1</v>
      </c>
      <c r="J44" s="101">
        <v>1</v>
      </c>
      <c r="K44" s="101">
        <v>1</v>
      </c>
      <c r="L44" s="101">
        <v>1</v>
      </c>
      <c r="N44" s="101">
        <v>1</v>
      </c>
      <c r="O44" s="101">
        <v>1</v>
      </c>
      <c r="P44" s="101">
        <v>1</v>
      </c>
      <c r="R44" s="101">
        <v>100</v>
      </c>
      <c r="S44" s="101">
        <v>100</v>
      </c>
      <c r="T44" s="101">
        <v>100</v>
      </c>
      <c r="V44" s="101">
        <v>14</v>
      </c>
      <c r="W44" s="101">
        <v>14</v>
      </c>
      <c r="Y44" s="101">
        <v>14</v>
      </c>
      <c r="Z44" s="101">
        <v>14</v>
      </c>
      <c r="AB44" s="101">
        <v>14</v>
      </c>
      <c r="AC44" s="101">
        <v>14</v>
      </c>
      <c r="AE44" s="101">
        <v>14</v>
      </c>
      <c r="AF44" s="101">
        <v>14</v>
      </c>
      <c r="AH44" s="8">
        <v>500</v>
      </c>
      <c r="AI44" s="103">
        <v>10000000</v>
      </c>
      <c r="AJ44" s="103">
        <v>10000000</v>
      </c>
      <c r="AK44" s="103">
        <v>10000000</v>
      </c>
      <c r="AL44" s="103">
        <v>10000000</v>
      </c>
      <c r="AM44" s="103">
        <v>10000000</v>
      </c>
      <c r="AN44" s="103">
        <v>10000000</v>
      </c>
      <c r="AO44" s="103">
        <v>10000000</v>
      </c>
      <c r="AP44" s="103">
        <v>10000000</v>
      </c>
      <c r="AQ44" s="103">
        <v>10000000</v>
      </c>
      <c r="AR44" s="103">
        <v>10000000</v>
      </c>
      <c r="AS44" s="103">
        <v>10000000</v>
      </c>
    </row>
    <row r="45" spans="2:45">
      <c r="B45" s="101">
        <v>6</v>
      </c>
      <c r="C45" s="101">
        <v>7</v>
      </c>
      <c r="D45" s="101">
        <v>7</v>
      </c>
      <c r="F45" s="101">
        <v>1</v>
      </c>
      <c r="G45" s="101">
        <v>1</v>
      </c>
      <c r="H45" s="101">
        <v>1</v>
      </c>
      <c r="J45" s="101">
        <v>1</v>
      </c>
      <c r="K45" s="101">
        <v>1</v>
      </c>
      <c r="L45" s="101">
        <v>1</v>
      </c>
      <c r="N45" s="101">
        <v>1</v>
      </c>
      <c r="O45" s="101">
        <v>1</v>
      </c>
      <c r="P45" s="101">
        <v>1</v>
      </c>
      <c r="R45" s="101">
        <v>100</v>
      </c>
      <c r="S45" s="101">
        <v>100</v>
      </c>
      <c r="T45" s="101">
        <v>100</v>
      </c>
      <c r="V45" s="101">
        <v>13</v>
      </c>
      <c r="W45" s="101">
        <v>25</v>
      </c>
      <c r="Y45" s="101">
        <v>13</v>
      </c>
      <c r="Z45" s="101">
        <v>25</v>
      </c>
      <c r="AB45" s="101">
        <v>13</v>
      </c>
      <c r="AC45" s="101">
        <v>25</v>
      </c>
      <c r="AE45" s="101">
        <v>13</v>
      </c>
      <c r="AF45" s="101">
        <v>25</v>
      </c>
    </row>
    <row r="46" spans="2:45">
      <c r="B46" s="101">
        <v>6</v>
      </c>
      <c r="C46" s="101">
        <v>7</v>
      </c>
      <c r="D46" s="101">
        <v>3</v>
      </c>
      <c r="F46" s="101">
        <v>1</v>
      </c>
      <c r="G46" s="101">
        <v>1</v>
      </c>
      <c r="H46" s="101">
        <v>1</v>
      </c>
      <c r="J46" s="101">
        <v>1</v>
      </c>
      <c r="K46" s="101">
        <v>1</v>
      </c>
      <c r="L46" s="101">
        <v>1</v>
      </c>
      <c r="N46" s="101">
        <v>1</v>
      </c>
      <c r="O46" s="101">
        <v>1</v>
      </c>
      <c r="P46" s="101">
        <v>1</v>
      </c>
      <c r="R46" s="101">
        <v>100</v>
      </c>
      <c r="S46" s="101">
        <v>100</v>
      </c>
      <c r="T46" s="101">
        <v>100</v>
      </c>
      <c r="V46" s="101">
        <v>11</v>
      </c>
      <c r="W46" s="101">
        <v>11</v>
      </c>
      <c r="Y46" s="101">
        <v>11</v>
      </c>
      <c r="Z46" s="101">
        <v>11</v>
      </c>
      <c r="AB46" s="101">
        <v>12</v>
      </c>
      <c r="AC46" s="101">
        <v>12</v>
      </c>
      <c r="AE46" s="101">
        <v>11</v>
      </c>
      <c r="AF46" s="101">
        <v>11</v>
      </c>
    </row>
    <row r="47" spans="2:45">
      <c r="B47" s="101">
        <v>5</v>
      </c>
      <c r="C47" s="101">
        <v>3</v>
      </c>
      <c r="D47" s="101">
        <v>3</v>
      </c>
      <c r="F47" s="101">
        <v>1</v>
      </c>
      <c r="G47" s="101">
        <v>1</v>
      </c>
      <c r="H47" s="101">
        <v>1</v>
      </c>
      <c r="J47" s="101">
        <v>1</v>
      </c>
      <c r="K47" s="101">
        <v>1</v>
      </c>
      <c r="L47" s="101">
        <v>1</v>
      </c>
      <c r="N47" s="101">
        <v>1</v>
      </c>
      <c r="O47" s="101">
        <v>1</v>
      </c>
      <c r="P47" s="101">
        <v>1</v>
      </c>
      <c r="R47" s="101">
        <v>100</v>
      </c>
      <c r="S47" s="101">
        <v>100</v>
      </c>
      <c r="T47" s="101">
        <v>100</v>
      </c>
      <c r="V47" s="101">
        <v>8</v>
      </c>
      <c r="W47" s="101">
        <v>20</v>
      </c>
      <c r="Y47" s="101">
        <v>9</v>
      </c>
      <c r="Z47" s="101">
        <v>21</v>
      </c>
      <c r="AB47" s="101">
        <v>12</v>
      </c>
      <c r="AC47" s="101">
        <v>24</v>
      </c>
      <c r="AE47" s="101">
        <v>9</v>
      </c>
      <c r="AF47" s="101">
        <v>21</v>
      </c>
    </row>
    <row r="48" spans="2:45" ht="16.2">
      <c r="B48" s="101">
        <v>1</v>
      </c>
      <c r="C48" s="101">
        <v>3</v>
      </c>
      <c r="D48" s="101">
        <v>6</v>
      </c>
      <c r="F48" s="101">
        <v>1</v>
      </c>
      <c r="G48" s="101">
        <v>1</v>
      </c>
      <c r="H48" s="101">
        <v>1</v>
      </c>
      <c r="J48" s="101">
        <v>1</v>
      </c>
      <c r="K48" s="101">
        <v>1</v>
      </c>
      <c r="L48" s="101">
        <v>1</v>
      </c>
      <c r="N48" s="101">
        <v>1</v>
      </c>
      <c r="O48" s="101">
        <v>1</v>
      </c>
      <c r="P48" s="101">
        <v>1</v>
      </c>
      <c r="R48" s="101">
        <v>100</v>
      </c>
      <c r="S48" s="101">
        <v>100</v>
      </c>
      <c r="T48" s="101">
        <v>100</v>
      </c>
      <c r="V48" s="101">
        <v>19</v>
      </c>
      <c r="W48" s="101">
        <v>12</v>
      </c>
      <c r="Y48" s="101">
        <v>19</v>
      </c>
      <c r="Z48" s="101">
        <v>12</v>
      </c>
      <c r="AB48" s="101">
        <v>19</v>
      </c>
      <c r="AC48" s="101">
        <v>12</v>
      </c>
      <c r="AE48" s="101">
        <v>19</v>
      </c>
      <c r="AF48" s="101">
        <v>12</v>
      </c>
      <c r="AH48" s="143" t="s">
        <v>108</v>
      </c>
      <c r="AI48" s="146"/>
      <c r="AJ48" s="146"/>
    </row>
    <row r="49" spans="2:36" ht="16.2">
      <c r="B49" s="101">
        <v>1</v>
      </c>
      <c r="C49" s="101">
        <v>6</v>
      </c>
      <c r="D49" s="101">
        <v>6</v>
      </c>
      <c r="F49" s="101">
        <v>1</v>
      </c>
      <c r="G49" s="101">
        <v>1</v>
      </c>
      <c r="H49" s="101">
        <v>1</v>
      </c>
      <c r="J49" s="101">
        <v>1</v>
      </c>
      <c r="K49" s="101">
        <v>1</v>
      </c>
      <c r="L49" s="101">
        <v>1</v>
      </c>
      <c r="N49" s="101">
        <v>1</v>
      </c>
      <c r="O49" s="101">
        <v>1</v>
      </c>
      <c r="P49" s="101">
        <v>1</v>
      </c>
      <c r="R49" s="101">
        <v>100</v>
      </c>
      <c r="S49" s="101">
        <v>100</v>
      </c>
      <c r="T49" s="101">
        <v>100</v>
      </c>
      <c r="V49" s="101">
        <v>9</v>
      </c>
      <c r="W49" s="101">
        <v>21</v>
      </c>
      <c r="Y49" s="101">
        <v>9</v>
      </c>
      <c r="Z49" s="101">
        <v>21</v>
      </c>
      <c r="AB49" s="101">
        <v>13</v>
      </c>
      <c r="AC49" s="101">
        <v>25</v>
      </c>
      <c r="AE49" s="101">
        <v>9</v>
      </c>
      <c r="AF49" s="101">
        <v>21</v>
      </c>
      <c r="AH49" s="99" t="str" cm="1">
        <f t="array" ref="AH49:AJ61">'Pay Combo Extra Bet (1)'!L2:N14</f>
        <v>倍數</v>
      </c>
      <c r="AI49" s="99" t="str">
        <v>比例</v>
      </c>
      <c r="AJ49" s="99" t="str">
        <v>權重</v>
      </c>
    </row>
    <row r="50" spans="2:36">
      <c r="B50" s="101">
        <v>1</v>
      </c>
      <c r="C50" s="101">
        <v>6</v>
      </c>
      <c r="D50" s="101">
        <v>6</v>
      </c>
      <c r="F50" s="101">
        <v>1</v>
      </c>
      <c r="G50" s="101">
        <v>1</v>
      </c>
      <c r="H50" s="101">
        <v>1</v>
      </c>
      <c r="J50" s="101">
        <v>1</v>
      </c>
      <c r="K50" s="101">
        <v>1</v>
      </c>
      <c r="L50" s="101">
        <v>1</v>
      </c>
      <c r="N50" s="101">
        <v>1</v>
      </c>
      <c r="O50" s="101">
        <v>1</v>
      </c>
      <c r="P50" s="101">
        <v>1</v>
      </c>
      <c r="R50" s="101">
        <v>100</v>
      </c>
      <c r="S50" s="101">
        <v>100</v>
      </c>
      <c r="T50" s="101">
        <v>100</v>
      </c>
      <c r="V50" s="101">
        <v>10</v>
      </c>
      <c r="W50" s="101">
        <v>10</v>
      </c>
      <c r="Y50" s="101">
        <v>10</v>
      </c>
      <c r="Z50" s="101">
        <v>10</v>
      </c>
      <c r="AB50" s="101">
        <v>14</v>
      </c>
      <c r="AC50" s="101">
        <v>14</v>
      </c>
      <c r="AE50" s="101">
        <v>10</v>
      </c>
      <c r="AF50" s="101">
        <v>10</v>
      </c>
      <c r="AH50" s="8">
        <v>1</v>
      </c>
      <c r="AI50" s="102">
        <v>0</v>
      </c>
      <c r="AJ50" s="103">
        <v>0</v>
      </c>
    </row>
    <row r="51" spans="2:36">
      <c r="B51" s="101">
        <v>7</v>
      </c>
      <c r="C51" s="101">
        <v>5</v>
      </c>
      <c r="D51" s="101">
        <v>2</v>
      </c>
      <c r="F51" s="101">
        <v>1</v>
      </c>
      <c r="G51" s="101">
        <v>1</v>
      </c>
      <c r="H51" s="101">
        <v>1</v>
      </c>
      <c r="J51" s="101">
        <v>1</v>
      </c>
      <c r="K51" s="101">
        <v>1</v>
      </c>
      <c r="L51" s="101">
        <v>1</v>
      </c>
      <c r="N51" s="101">
        <v>1</v>
      </c>
      <c r="O51" s="101">
        <v>1</v>
      </c>
      <c r="P51" s="101">
        <v>1</v>
      </c>
      <c r="R51" s="101">
        <v>447</v>
      </c>
      <c r="S51" s="101">
        <v>701</v>
      </c>
      <c r="T51" s="101">
        <v>100</v>
      </c>
      <c r="V51" s="101">
        <v>11</v>
      </c>
      <c r="W51" s="101">
        <v>23</v>
      </c>
      <c r="Y51" s="101">
        <v>11</v>
      </c>
      <c r="Z51" s="101">
        <v>23</v>
      </c>
      <c r="AB51" s="101">
        <v>15</v>
      </c>
      <c r="AC51" s="101">
        <v>15</v>
      </c>
      <c r="AE51" s="101">
        <v>11</v>
      </c>
      <c r="AF51" s="101">
        <v>23</v>
      </c>
      <c r="AH51" s="8">
        <v>2</v>
      </c>
      <c r="AI51" s="102">
        <v>0.28985507246376813</v>
      </c>
      <c r="AJ51" s="103">
        <v>220000000</v>
      </c>
    </row>
    <row r="52" spans="2:36">
      <c r="B52" s="101">
        <v>7</v>
      </c>
      <c r="C52" s="101">
        <v>5</v>
      </c>
      <c r="D52" s="101">
        <v>2</v>
      </c>
      <c r="F52" s="101">
        <v>1</v>
      </c>
      <c r="G52" s="101">
        <v>1</v>
      </c>
      <c r="H52" s="101">
        <v>1</v>
      </c>
      <c r="J52" s="101">
        <v>1</v>
      </c>
      <c r="K52" s="101">
        <v>1</v>
      </c>
      <c r="L52" s="101">
        <v>1</v>
      </c>
      <c r="N52" s="101">
        <v>1</v>
      </c>
      <c r="O52" s="101">
        <v>1</v>
      </c>
      <c r="P52" s="101">
        <v>1</v>
      </c>
      <c r="R52" s="101">
        <v>373</v>
      </c>
      <c r="S52" s="101">
        <v>584</v>
      </c>
      <c r="T52" s="101">
        <v>100</v>
      </c>
      <c r="V52" s="101">
        <v>12</v>
      </c>
      <c r="W52" s="101">
        <v>12</v>
      </c>
      <c r="Y52" s="101">
        <v>12</v>
      </c>
      <c r="Z52" s="101">
        <v>12</v>
      </c>
      <c r="AB52" s="101">
        <v>12</v>
      </c>
      <c r="AC52" s="101">
        <v>12</v>
      </c>
      <c r="AE52" s="101">
        <v>12</v>
      </c>
      <c r="AF52" s="101">
        <v>12</v>
      </c>
      <c r="AH52" s="8">
        <v>3</v>
      </c>
      <c r="AI52" s="102">
        <v>0.28985507246376813</v>
      </c>
      <c r="AJ52" s="103">
        <v>220000000</v>
      </c>
    </row>
    <row r="53" spans="2:36">
      <c r="B53" s="101">
        <v>0</v>
      </c>
      <c r="C53" s="101">
        <v>0</v>
      </c>
      <c r="D53" s="101">
        <v>2</v>
      </c>
      <c r="F53" s="101">
        <v>1</v>
      </c>
      <c r="G53" s="101">
        <v>1</v>
      </c>
      <c r="H53" s="101">
        <v>1</v>
      </c>
      <c r="J53" s="101">
        <v>1</v>
      </c>
      <c r="K53" s="101">
        <v>1</v>
      </c>
      <c r="L53" s="101">
        <v>1</v>
      </c>
      <c r="N53" s="101">
        <v>1</v>
      </c>
      <c r="O53" s="101">
        <v>1</v>
      </c>
      <c r="P53" s="101">
        <v>1</v>
      </c>
      <c r="R53" s="101">
        <v>298</v>
      </c>
      <c r="S53" s="101">
        <v>467</v>
      </c>
      <c r="T53" s="101">
        <v>100</v>
      </c>
      <c r="V53" s="101">
        <v>13</v>
      </c>
      <c r="W53" s="101">
        <v>25</v>
      </c>
      <c r="Y53" s="101">
        <v>13</v>
      </c>
      <c r="Z53" s="101">
        <v>25</v>
      </c>
      <c r="AB53" s="101">
        <v>13</v>
      </c>
      <c r="AC53" s="101">
        <v>25</v>
      </c>
      <c r="AE53" s="101">
        <v>13</v>
      </c>
      <c r="AF53" s="101">
        <v>25</v>
      </c>
      <c r="AH53" s="8">
        <v>5</v>
      </c>
      <c r="AI53" s="102">
        <v>8.5638998682476944E-2</v>
      </c>
      <c r="AJ53" s="103">
        <v>65000000</v>
      </c>
    </row>
    <row r="54" spans="2:36">
      <c r="B54" s="101">
        <v>0</v>
      </c>
      <c r="C54" s="101">
        <v>0</v>
      </c>
      <c r="D54" s="101">
        <v>2</v>
      </c>
      <c r="F54" s="101">
        <v>1</v>
      </c>
      <c r="G54" s="101">
        <v>1</v>
      </c>
      <c r="H54" s="101">
        <v>1</v>
      </c>
      <c r="J54" s="101">
        <v>1</v>
      </c>
      <c r="K54" s="101">
        <v>1</v>
      </c>
      <c r="L54" s="101">
        <v>1</v>
      </c>
      <c r="N54" s="101">
        <v>1</v>
      </c>
      <c r="O54" s="101">
        <v>1</v>
      </c>
      <c r="P54" s="101">
        <v>1</v>
      </c>
      <c r="R54" s="101">
        <v>373</v>
      </c>
      <c r="S54" s="101">
        <v>584</v>
      </c>
      <c r="T54" s="101">
        <v>100</v>
      </c>
      <c r="V54" s="101">
        <v>14</v>
      </c>
      <c r="W54" s="101">
        <v>14</v>
      </c>
      <c r="Y54" s="101">
        <v>14</v>
      </c>
      <c r="Z54" s="101">
        <v>14</v>
      </c>
      <c r="AB54" s="101">
        <v>14</v>
      </c>
      <c r="AC54" s="101">
        <v>14</v>
      </c>
      <c r="AE54" s="101">
        <v>14</v>
      </c>
      <c r="AF54" s="101">
        <v>14</v>
      </c>
      <c r="AH54" s="8">
        <v>10</v>
      </c>
      <c r="AI54" s="102">
        <v>3.9525691699604744E-2</v>
      </c>
      <c r="AJ54" s="103">
        <v>30000000</v>
      </c>
    </row>
    <row r="55" spans="2:36">
      <c r="B55" s="101">
        <v>0</v>
      </c>
      <c r="C55" s="101">
        <v>0</v>
      </c>
      <c r="D55" s="101">
        <v>4</v>
      </c>
      <c r="F55" s="101">
        <v>1</v>
      </c>
      <c r="G55" s="101">
        <v>1</v>
      </c>
      <c r="H55" s="101">
        <v>1</v>
      </c>
      <c r="J55" s="101">
        <v>1</v>
      </c>
      <c r="K55" s="101">
        <v>1</v>
      </c>
      <c r="L55" s="101">
        <v>1</v>
      </c>
      <c r="N55" s="101">
        <v>1</v>
      </c>
      <c r="O55" s="101">
        <v>1</v>
      </c>
      <c r="P55" s="101">
        <v>1</v>
      </c>
      <c r="R55" s="101">
        <v>447</v>
      </c>
      <c r="S55" s="101">
        <v>701</v>
      </c>
      <c r="T55" s="101">
        <v>100</v>
      </c>
      <c r="V55" s="101">
        <v>15</v>
      </c>
      <c r="W55" s="101">
        <v>27</v>
      </c>
      <c r="Y55" s="101">
        <v>15</v>
      </c>
      <c r="Z55" s="101">
        <v>27</v>
      </c>
      <c r="AB55" s="101">
        <v>15</v>
      </c>
      <c r="AC55" s="101">
        <v>27</v>
      </c>
      <c r="AE55" s="101">
        <v>15</v>
      </c>
      <c r="AF55" s="101">
        <v>27</v>
      </c>
      <c r="AH55" s="8">
        <v>15</v>
      </c>
      <c r="AI55" s="102">
        <v>1.3175230566534914E-2</v>
      </c>
      <c r="AJ55" s="103">
        <v>10000000</v>
      </c>
    </row>
    <row r="56" spans="2:36">
      <c r="B56" s="101">
        <v>4</v>
      </c>
      <c r="C56" s="101">
        <v>6</v>
      </c>
      <c r="D56" s="101">
        <v>4</v>
      </c>
      <c r="F56" s="101">
        <v>1</v>
      </c>
      <c r="G56" s="101">
        <v>1</v>
      </c>
      <c r="H56" s="101">
        <v>1</v>
      </c>
      <c r="J56" s="101">
        <v>1</v>
      </c>
      <c r="K56" s="101">
        <v>1</v>
      </c>
      <c r="L56" s="101">
        <v>1</v>
      </c>
      <c r="N56" s="101">
        <v>1</v>
      </c>
      <c r="O56" s="101">
        <v>1</v>
      </c>
      <c r="P56" s="101">
        <v>1</v>
      </c>
      <c r="R56" s="101">
        <v>100</v>
      </c>
      <c r="S56" s="101">
        <v>100</v>
      </c>
      <c r="T56" s="101">
        <v>100</v>
      </c>
      <c r="V56" s="101">
        <v>16</v>
      </c>
      <c r="W56" s="101">
        <v>16</v>
      </c>
      <c r="Y56" s="101">
        <v>16</v>
      </c>
      <c r="Z56" s="101">
        <v>16</v>
      </c>
      <c r="AB56" s="101">
        <v>16</v>
      </c>
      <c r="AC56" s="101">
        <v>16</v>
      </c>
      <c r="AE56" s="101">
        <v>16</v>
      </c>
      <c r="AF56" s="101">
        <v>16</v>
      </c>
      <c r="AH56" s="8">
        <v>20</v>
      </c>
      <c r="AI56" s="102">
        <v>6.587615283267457E-3</v>
      </c>
      <c r="AJ56" s="103">
        <v>5000000</v>
      </c>
    </row>
    <row r="57" spans="2:36">
      <c r="B57" s="101">
        <v>4</v>
      </c>
      <c r="C57" s="101">
        <v>6</v>
      </c>
      <c r="D57" s="101">
        <v>4</v>
      </c>
      <c r="F57" s="101">
        <v>1</v>
      </c>
      <c r="G57" s="101">
        <v>1</v>
      </c>
      <c r="H57" s="101">
        <v>1</v>
      </c>
      <c r="J57" s="101">
        <v>1</v>
      </c>
      <c r="K57" s="101">
        <v>1</v>
      </c>
      <c r="L57" s="101">
        <v>1</v>
      </c>
      <c r="N57" s="101">
        <v>1</v>
      </c>
      <c r="O57" s="101">
        <v>1</v>
      </c>
      <c r="P57" s="101">
        <v>1</v>
      </c>
      <c r="R57" s="101">
        <v>100</v>
      </c>
      <c r="S57" s="101">
        <v>100</v>
      </c>
      <c r="T57" s="101">
        <v>100</v>
      </c>
      <c r="V57" s="101">
        <v>17</v>
      </c>
      <c r="W57" s="101">
        <v>17</v>
      </c>
      <c r="Y57" s="101">
        <v>17</v>
      </c>
      <c r="Z57" s="101">
        <v>17</v>
      </c>
      <c r="AB57" s="101">
        <v>17</v>
      </c>
      <c r="AC57" s="101">
        <v>17</v>
      </c>
      <c r="AE57" s="101">
        <v>17</v>
      </c>
      <c r="AF57" s="101">
        <v>17</v>
      </c>
      <c r="AH57" s="8">
        <v>25</v>
      </c>
      <c r="AI57" s="102">
        <v>2.635046113306983E-3</v>
      </c>
      <c r="AJ57" s="103">
        <v>2000000</v>
      </c>
    </row>
    <row r="58" spans="2:36">
      <c r="B58" s="101">
        <v>3</v>
      </c>
      <c r="C58" s="101">
        <v>4</v>
      </c>
      <c r="D58" s="101">
        <v>3</v>
      </c>
      <c r="F58" s="101">
        <v>1</v>
      </c>
      <c r="G58" s="101">
        <v>1</v>
      </c>
      <c r="H58" s="101">
        <v>1</v>
      </c>
      <c r="J58" s="101">
        <v>1</v>
      </c>
      <c r="K58" s="101">
        <v>1</v>
      </c>
      <c r="L58" s="101">
        <v>1</v>
      </c>
      <c r="N58" s="101">
        <v>1</v>
      </c>
      <c r="O58" s="101">
        <v>1</v>
      </c>
      <c r="P58" s="101">
        <v>1</v>
      </c>
      <c r="R58" s="101">
        <v>100</v>
      </c>
      <c r="S58" s="101">
        <v>100</v>
      </c>
      <c r="T58" s="101">
        <v>100</v>
      </c>
      <c r="V58" s="101">
        <v>18</v>
      </c>
      <c r="W58" s="101">
        <v>18</v>
      </c>
      <c r="Y58" s="101">
        <v>18</v>
      </c>
      <c r="Z58" s="101">
        <v>18</v>
      </c>
      <c r="AB58" s="101">
        <v>18</v>
      </c>
      <c r="AC58" s="101">
        <v>18</v>
      </c>
      <c r="AE58" s="101">
        <v>18</v>
      </c>
      <c r="AF58" s="101">
        <v>18</v>
      </c>
      <c r="AH58" s="8">
        <v>50</v>
      </c>
      <c r="AI58" s="102">
        <v>2.635046113306983E-3</v>
      </c>
      <c r="AJ58" s="103">
        <v>2000000</v>
      </c>
    </row>
    <row r="59" spans="2:36">
      <c r="B59" s="101">
        <v>3</v>
      </c>
      <c r="C59" s="101">
        <v>4</v>
      </c>
      <c r="D59" s="101">
        <v>3</v>
      </c>
      <c r="F59" s="101">
        <v>1</v>
      </c>
      <c r="G59" s="101">
        <v>1</v>
      </c>
      <c r="H59" s="101">
        <v>1</v>
      </c>
      <c r="J59" s="101">
        <v>1</v>
      </c>
      <c r="K59" s="101">
        <v>1</v>
      </c>
      <c r="L59" s="101">
        <v>1</v>
      </c>
      <c r="N59" s="101">
        <v>1</v>
      </c>
      <c r="O59" s="101">
        <v>1</v>
      </c>
      <c r="P59" s="101">
        <v>1</v>
      </c>
      <c r="R59" s="101">
        <v>100</v>
      </c>
      <c r="S59" s="101">
        <v>100</v>
      </c>
      <c r="T59" s="101">
        <v>100</v>
      </c>
      <c r="V59" s="101">
        <v>10</v>
      </c>
      <c r="W59" s="101">
        <v>22</v>
      </c>
      <c r="Y59" s="101">
        <v>10</v>
      </c>
      <c r="Z59" s="101">
        <v>22</v>
      </c>
      <c r="AB59" s="101">
        <v>15</v>
      </c>
      <c r="AC59" s="101">
        <v>27</v>
      </c>
      <c r="AE59" s="101">
        <v>10</v>
      </c>
      <c r="AF59" s="101">
        <v>22</v>
      </c>
      <c r="AH59" s="8">
        <v>100</v>
      </c>
      <c r="AI59" s="102">
        <v>2.635046113306983E-3</v>
      </c>
      <c r="AJ59" s="103">
        <v>2000000</v>
      </c>
    </row>
    <row r="60" spans="2:36">
      <c r="B60" s="101">
        <v>5</v>
      </c>
      <c r="C60" s="101">
        <v>4</v>
      </c>
      <c r="D60" s="101">
        <v>3</v>
      </c>
      <c r="F60" s="101">
        <v>1</v>
      </c>
      <c r="G60" s="101">
        <v>1</v>
      </c>
      <c r="H60" s="101">
        <v>1</v>
      </c>
      <c r="J60" s="101">
        <v>1</v>
      </c>
      <c r="K60" s="101">
        <v>1</v>
      </c>
      <c r="L60" s="101">
        <v>1</v>
      </c>
      <c r="N60" s="101">
        <v>1</v>
      </c>
      <c r="O60" s="101">
        <v>1</v>
      </c>
      <c r="P60" s="101">
        <v>1</v>
      </c>
      <c r="R60" s="101">
        <v>100</v>
      </c>
      <c r="S60" s="101">
        <v>100</v>
      </c>
      <c r="T60" s="101">
        <v>100</v>
      </c>
      <c r="V60" s="101">
        <v>9</v>
      </c>
      <c r="W60" s="101">
        <v>9</v>
      </c>
      <c r="Y60" s="101">
        <v>9</v>
      </c>
      <c r="Z60" s="101">
        <v>9</v>
      </c>
      <c r="AB60" s="101">
        <v>13</v>
      </c>
      <c r="AC60" s="101">
        <v>13</v>
      </c>
      <c r="AE60" s="101">
        <v>9</v>
      </c>
      <c r="AF60" s="101">
        <v>9</v>
      </c>
      <c r="AH60" s="8">
        <v>500</v>
      </c>
      <c r="AI60" s="102">
        <v>3.952569169960474E-3</v>
      </c>
      <c r="AJ60" s="103">
        <v>3000000</v>
      </c>
    </row>
    <row r="61" spans="2:36">
      <c r="B61" s="101">
        <v>5</v>
      </c>
      <c r="C61" s="101">
        <v>2</v>
      </c>
      <c r="D61" s="101">
        <v>6</v>
      </c>
      <c r="F61" s="101">
        <v>1</v>
      </c>
      <c r="G61" s="101">
        <v>1</v>
      </c>
      <c r="H61" s="101">
        <v>1</v>
      </c>
      <c r="J61" s="101">
        <v>1</v>
      </c>
      <c r="K61" s="101">
        <v>1</v>
      </c>
      <c r="L61" s="101">
        <v>1</v>
      </c>
      <c r="N61" s="101">
        <v>1</v>
      </c>
      <c r="O61" s="101">
        <v>1</v>
      </c>
      <c r="P61" s="101">
        <v>1</v>
      </c>
      <c r="R61" s="101">
        <v>100</v>
      </c>
      <c r="S61" s="101">
        <v>100</v>
      </c>
      <c r="T61" s="101">
        <v>100</v>
      </c>
      <c r="V61" s="101">
        <v>10</v>
      </c>
      <c r="W61" s="101">
        <v>22</v>
      </c>
      <c r="Y61" s="101">
        <v>10</v>
      </c>
      <c r="Z61" s="101">
        <v>22</v>
      </c>
      <c r="AB61" s="101">
        <v>12</v>
      </c>
      <c r="AC61" s="101">
        <v>12</v>
      </c>
      <c r="AE61" s="101">
        <v>10</v>
      </c>
      <c r="AF61" s="101">
        <v>22</v>
      </c>
      <c r="AH61" s="8" t="str">
        <v>Re-spin</v>
      </c>
      <c r="AI61" s="102">
        <v>0.2635046113306983</v>
      </c>
      <c r="AJ61" s="103">
        <v>200000000</v>
      </c>
    </row>
    <row r="62" spans="2:36">
      <c r="B62" s="101">
        <v>3</v>
      </c>
      <c r="C62" s="101">
        <v>2</v>
      </c>
      <c r="D62" s="101">
        <v>6</v>
      </c>
      <c r="F62" s="101">
        <v>1</v>
      </c>
      <c r="G62" s="101">
        <v>1</v>
      </c>
      <c r="H62" s="101">
        <v>1</v>
      </c>
      <c r="J62" s="101">
        <v>1</v>
      </c>
      <c r="K62" s="101">
        <v>1</v>
      </c>
      <c r="L62" s="101">
        <v>1</v>
      </c>
      <c r="N62" s="101">
        <v>1</v>
      </c>
      <c r="O62" s="101">
        <v>1</v>
      </c>
      <c r="P62" s="101">
        <v>1</v>
      </c>
      <c r="R62" s="101">
        <v>100</v>
      </c>
      <c r="S62" s="101">
        <v>100</v>
      </c>
      <c r="T62" s="101">
        <v>100</v>
      </c>
      <c r="V62" s="101">
        <v>8</v>
      </c>
      <c r="W62" s="101">
        <v>8</v>
      </c>
      <c r="Y62" s="101">
        <v>10</v>
      </c>
      <c r="Z62" s="101">
        <v>10</v>
      </c>
      <c r="AB62" s="101">
        <v>12</v>
      </c>
      <c r="AC62" s="101">
        <v>24</v>
      </c>
      <c r="AE62" s="101">
        <v>10</v>
      </c>
      <c r="AF62" s="101">
        <v>10</v>
      </c>
      <c r="AJ62" s="104"/>
    </row>
    <row r="63" spans="2:36">
      <c r="B63" s="101">
        <v>3</v>
      </c>
      <c r="C63" s="101">
        <v>2</v>
      </c>
      <c r="D63" s="101">
        <v>6</v>
      </c>
      <c r="F63" s="101">
        <v>1</v>
      </c>
      <c r="G63" s="101">
        <v>1</v>
      </c>
      <c r="H63" s="101">
        <v>1</v>
      </c>
      <c r="J63" s="101">
        <v>1</v>
      </c>
      <c r="K63" s="101">
        <v>1</v>
      </c>
      <c r="L63" s="101">
        <v>1</v>
      </c>
      <c r="N63" s="101">
        <v>1</v>
      </c>
      <c r="O63" s="101">
        <v>1</v>
      </c>
      <c r="P63" s="101">
        <v>1</v>
      </c>
      <c r="R63" s="101">
        <v>100</v>
      </c>
      <c r="S63" s="101">
        <v>100</v>
      </c>
      <c r="T63" s="101">
        <v>100</v>
      </c>
      <c r="V63" s="101">
        <v>9</v>
      </c>
      <c r="W63" s="101">
        <v>9</v>
      </c>
      <c r="Y63" s="101">
        <v>9</v>
      </c>
      <c r="Z63" s="101">
        <v>9</v>
      </c>
      <c r="AB63" s="101">
        <v>16</v>
      </c>
      <c r="AC63" s="101">
        <v>16</v>
      </c>
      <c r="AE63" s="101">
        <v>9</v>
      </c>
      <c r="AF63" s="101">
        <v>9</v>
      </c>
    </row>
    <row r="64" spans="2:36" ht="16.2">
      <c r="B64" s="101">
        <v>5</v>
      </c>
      <c r="C64" s="101">
        <v>5</v>
      </c>
      <c r="D64" s="101">
        <v>2</v>
      </c>
      <c r="F64" s="101">
        <v>1</v>
      </c>
      <c r="G64" s="101">
        <v>1</v>
      </c>
      <c r="H64" s="101">
        <v>1</v>
      </c>
      <c r="J64" s="101">
        <v>1</v>
      </c>
      <c r="K64" s="101">
        <v>1</v>
      </c>
      <c r="L64" s="101">
        <v>1</v>
      </c>
      <c r="N64" s="101">
        <v>1</v>
      </c>
      <c r="O64" s="101">
        <v>1</v>
      </c>
      <c r="P64" s="101">
        <v>1</v>
      </c>
      <c r="R64" s="101">
        <v>100</v>
      </c>
      <c r="S64" s="101">
        <v>100</v>
      </c>
      <c r="T64" s="101">
        <v>100</v>
      </c>
      <c r="V64" s="101">
        <v>14</v>
      </c>
      <c r="W64" s="101">
        <v>14</v>
      </c>
      <c r="Y64" s="101">
        <v>14</v>
      </c>
      <c r="Z64" s="101">
        <v>14</v>
      </c>
      <c r="AB64" s="101">
        <v>14</v>
      </c>
      <c r="AC64" s="101">
        <v>14</v>
      </c>
      <c r="AE64" s="101">
        <v>14</v>
      </c>
      <c r="AF64" s="101">
        <v>14</v>
      </c>
      <c r="AH64" s="143" t="s">
        <v>109</v>
      </c>
      <c r="AI64" s="146"/>
      <c r="AJ64" s="146"/>
    </row>
    <row r="65" spans="2:45" ht="16.2">
      <c r="B65" s="101">
        <v>5</v>
      </c>
      <c r="C65" s="101">
        <v>5</v>
      </c>
      <c r="D65" s="101">
        <v>2</v>
      </c>
      <c r="F65" s="101">
        <v>1</v>
      </c>
      <c r="G65" s="101">
        <v>1</v>
      </c>
      <c r="H65" s="101">
        <v>1</v>
      </c>
      <c r="J65" s="101">
        <v>1</v>
      </c>
      <c r="K65" s="101">
        <v>1</v>
      </c>
      <c r="L65" s="101">
        <v>1</v>
      </c>
      <c r="N65" s="101">
        <v>1</v>
      </c>
      <c r="O65" s="101">
        <v>1</v>
      </c>
      <c r="P65" s="101">
        <v>1</v>
      </c>
      <c r="R65" s="101">
        <v>100</v>
      </c>
      <c r="S65" s="101">
        <v>100</v>
      </c>
      <c r="T65" s="101">
        <v>100</v>
      </c>
      <c r="V65" s="101">
        <v>13</v>
      </c>
      <c r="W65" s="101">
        <v>25</v>
      </c>
      <c r="Y65" s="101">
        <v>13</v>
      </c>
      <c r="Z65" s="101">
        <v>25</v>
      </c>
      <c r="AB65" s="101">
        <v>13</v>
      </c>
      <c r="AC65" s="101">
        <v>25</v>
      </c>
      <c r="AE65" s="101">
        <v>13</v>
      </c>
      <c r="AF65" s="101">
        <v>25</v>
      </c>
      <c r="AH65" s="99" t="str" cm="1">
        <f t="array" ref="AH65:AJ76">'Pay Combo Extra Bet (1)'!Q2:S13</f>
        <v>Re-spin數</v>
      </c>
      <c r="AI65" s="99" t="str">
        <v>比例</v>
      </c>
      <c r="AJ65" s="99" t="str">
        <v>權重</v>
      </c>
    </row>
    <row r="66" spans="2:45">
      <c r="B66" s="101">
        <v>5</v>
      </c>
      <c r="C66" s="101">
        <v>2</v>
      </c>
      <c r="D66" s="101">
        <v>2</v>
      </c>
      <c r="F66" s="101">
        <v>1</v>
      </c>
      <c r="G66" s="101">
        <v>1</v>
      </c>
      <c r="H66" s="101">
        <v>1</v>
      </c>
      <c r="J66" s="101">
        <v>1</v>
      </c>
      <c r="K66" s="101">
        <v>1</v>
      </c>
      <c r="L66" s="101">
        <v>1</v>
      </c>
      <c r="N66" s="101">
        <v>1</v>
      </c>
      <c r="O66" s="101">
        <v>1</v>
      </c>
      <c r="P66" s="101">
        <v>1</v>
      </c>
      <c r="R66" s="101">
        <v>100</v>
      </c>
      <c r="S66" s="101">
        <v>100</v>
      </c>
      <c r="T66" s="101">
        <v>100</v>
      </c>
      <c r="V66" s="101">
        <v>12</v>
      </c>
      <c r="W66" s="101">
        <v>12</v>
      </c>
      <c r="Y66" s="101">
        <v>12</v>
      </c>
      <c r="Z66" s="101">
        <v>12</v>
      </c>
      <c r="AB66" s="101">
        <v>12</v>
      </c>
      <c r="AC66" s="101">
        <v>12</v>
      </c>
      <c r="AE66" s="101">
        <v>12</v>
      </c>
      <c r="AF66" s="101">
        <v>12</v>
      </c>
      <c r="AH66" s="8">
        <v>2</v>
      </c>
      <c r="AI66" s="102">
        <v>0.1111111111111111</v>
      </c>
      <c r="AJ66" s="103">
        <v>120000000</v>
      </c>
    </row>
    <row r="67" spans="2:45">
      <c r="B67" s="101">
        <v>1</v>
      </c>
      <c r="C67" s="101">
        <v>2</v>
      </c>
      <c r="D67" s="101">
        <v>6</v>
      </c>
      <c r="F67" s="101">
        <v>1</v>
      </c>
      <c r="G67" s="101">
        <v>1</v>
      </c>
      <c r="H67" s="101">
        <v>1</v>
      </c>
      <c r="J67" s="101">
        <v>1</v>
      </c>
      <c r="K67" s="101">
        <v>1</v>
      </c>
      <c r="L67" s="101">
        <v>1</v>
      </c>
      <c r="N67" s="101">
        <v>1</v>
      </c>
      <c r="O67" s="101">
        <v>1</v>
      </c>
      <c r="P67" s="101">
        <v>1</v>
      </c>
      <c r="R67" s="101">
        <v>100</v>
      </c>
      <c r="S67" s="101">
        <v>100</v>
      </c>
      <c r="T67" s="101">
        <v>100</v>
      </c>
      <c r="V67" s="101">
        <v>10</v>
      </c>
      <c r="W67" s="101">
        <v>22</v>
      </c>
      <c r="Y67" s="101">
        <v>10</v>
      </c>
      <c r="Z67" s="101">
        <v>22</v>
      </c>
      <c r="AB67" s="101">
        <v>12</v>
      </c>
      <c r="AC67" s="101">
        <v>24</v>
      </c>
      <c r="AE67" s="101">
        <v>10</v>
      </c>
      <c r="AF67" s="101">
        <v>22</v>
      </c>
      <c r="AH67" s="8">
        <v>3</v>
      </c>
      <c r="AI67" s="102">
        <v>0.1111111111111111</v>
      </c>
      <c r="AJ67" s="103">
        <v>120000000</v>
      </c>
    </row>
    <row r="68" spans="2:45">
      <c r="B68" s="101">
        <v>1</v>
      </c>
      <c r="C68" s="101">
        <v>7</v>
      </c>
      <c r="D68" s="101">
        <v>6</v>
      </c>
      <c r="F68" s="101">
        <v>1</v>
      </c>
      <c r="G68" s="101">
        <v>1</v>
      </c>
      <c r="H68" s="101">
        <v>1</v>
      </c>
      <c r="J68" s="101">
        <v>1</v>
      </c>
      <c r="K68" s="101">
        <v>1</v>
      </c>
      <c r="L68" s="101">
        <v>1</v>
      </c>
      <c r="N68" s="101">
        <v>1</v>
      </c>
      <c r="O68" s="101">
        <v>1</v>
      </c>
      <c r="P68" s="101">
        <v>1</v>
      </c>
      <c r="R68" s="101">
        <v>100</v>
      </c>
      <c r="S68" s="101">
        <v>100</v>
      </c>
      <c r="T68" s="101">
        <v>100</v>
      </c>
      <c r="V68" s="101">
        <v>9</v>
      </c>
      <c r="W68" s="101">
        <v>9</v>
      </c>
      <c r="Y68" s="101">
        <v>9</v>
      </c>
      <c r="Z68" s="101">
        <v>9</v>
      </c>
      <c r="AB68" s="101">
        <v>13</v>
      </c>
      <c r="AC68" s="101">
        <v>13</v>
      </c>
      <c r="AE68" s="101">
        <v>9</v>
      </c>
      <c r="AF68" s="101">
        <v>9</v>
      </c>
      <c r="AH68" s="8">
        <v>4</v>
      </c>
      <c r="AI68" s="102">
        <v>0.1111111111111111</v>
      </c>
      <c r="AJ68" s="103">
        <v>120000000</v>
      </c>
    </row>
    <row r="69" spans="2:45">
      <c r="B69" s="101">
        <v>6</v>
      </c>
      <c r="C69" s="101">
        <v>7</v>
      </c>
      <c r="D69" s="101">
        <v>6</v>
      </c>
      <c r="F69" s="101">
        <v>1</v>
      </c>
      <c r="G69" s="101">
        <v>1</v>
      </c>
      <c r="H69" s="101">
        <v>1</v>
      </c>
      <c r="J69" s="101">
        <v>1</v>
      </c>
      <c r="K69" s="101">
        <v>1</v>
      </c>
      <c r="L69" s="101">
        <v>1</v>
      </c>
      <c r="N69" s="101">
        <v>1</v>
      </c>
      <c r="O69" s="101">
        <v>1</v>
      </c>
      <c r="P69" s="101">
        <v>1</v>
      </c>
      <c r="R69" s="101">
        <v>100</v>
      </c>
      <c r="S69" s="101">
        <v>100</v>
      </c>
      <c r="T69" s="101">
        <v>100</v>
      </c>
      <c r="V69" s="101">
        <v>19</v>
      </c>
      <c r="W69" s="101">
        <v>11</v>
      </c>
      <c r="Y69" s="101">
        <v>19</v>
      </c>
      <c r="Z69" s="101">
        <v>11</v>
      </c>
      <c r="AB69" s="101">
        <v>19</v>
      </c>
      <c r="AC69" s="101">
        <v>12</v>
      </c>
      <c r="AE69" s="101">
        <v>19</v>
      </c>
      <c r="AF69" s="101">
        <v>11</v>
      </c>
      <c r="AH69" s="8">
        <v>5</v>
      </c>
      <c r="AI69" s="102">
        <v>0.1111111111111111</v>
      </c>
      <c r="AJ69" s="103">
        <v>120000000</v>
      </c>
    </row>
    <row r="70" spans="2:45">
      <c r="B70" s="101">
        <v>6</v>
      </c>
      <c r="C70" s="101">
        <v>3</v>
      </c>
      <c r="D70" s="101">
        <v>2</v>
      </c>
      <c r="F70" s="101">
        <v>1</v>
      </c>
      <c r="G70" s="101">
        <v>1</v>
      </c>
      <c r="H70" s="101">
        <v>1</v>
      </c>
      <c r="J70" s="101">
        <v>1</v>
      </c>
      <c r="K70" s="101">
        <v>1</v>
      </c>
      <c r="L70" s="101">
        <v>1</v>
      </c>
      <c r="N70" s="101">
        <v>1</v>
      </c>
      <c r="O70" s="101">
        <v>1</v>
      </c>
      <c r="P70" s="101">
        <v>1</v>
      </c>
      <c r="R70" s="101">
        <v>100</v>
      </c>
      <c r="S70" s="101">
        <v>100</v>
      </c>
      <c r="T70" s="101">
        <v>100</v>
      </c>
      <c r="V70" s="101">
        <v>8</v>
      </c>
      <c r="W70" s="101">
        <v>8</v>
      </c>
      <c r="Y70" s="101">
        <v>11</v>
      </c>
      <c r="Z70" s="101">
        <v>11</v>
      </c>
      <c r="AB70" s="101">
        <v>12</v>
      </c>
      <c r="AC70" s="101">
        <v>24</v>
      </c>
      <c r="AE70" s="101">
        <v>11</v>
      </c>
      <c r="AF70" s="101">
        <v>11</v>
      </c>
      <c r="AH70" s="8">
        <v>6</v>
      </c>
      <c r="AI70" s="102">
        <v>0.1111111111111111</v>
      </c>
      <c r="AJ70" s="103">
        <v>120000000</v>
      </c>
    </row>
    <row r="71" spans="2:45">
      <c r="B71" s="101">
        <v>5</v>
      </c>
      <c r="C71" s="101">
        <v>3</v>
      </c>
      <c r="D71" s="101">
        <v>2</v>
      </c>
      <c r="F71" s="101">
        <v>1</v>
      </c>
      <c r="G71" s="101">
        <v>1</v>
      </c>
      <c r="H71" s="101">
        <v>1</v>
      </c>
      <c r="J71" s="101">
        <v>1</v>
      </c>
      <c r="K71" s="101">
        <v>1</v>
      </c>
      <c r="L71" s="101">
        <v>1</v>
      </c>
      <c r="N71" s="101">
        <v>1</v>
      </c>
      <c r="O71" s="101">
        <v>1</v>
      </c>
      <c r="P71" s="101">
        <v>1</v>
      </c>
      <c r="R71" s="101">
        <v>100</v>
      </c>
      <c r="S71" s="101">
        <v>701</v>
      </c>
      <c r="T71" s="101">
        <v>100</v>
      </c>
      <c r="V71" s="101">
        <v>11</v>
      </c>
      <c r="W71" s="101">
        <v>23</v>
      </c>
      <c r="Y71" s="101">
        <v>11</v>
      </c>
      <c r="Z71" s="101">
        <v>23</v>
      </c>
      <c r="AB71" s="101">
        <v>13</v>
      </c>
      <c r="AC71" s="101">
        <v>13</v>
      </c>
      <c r="AE71" s="101">
        <v>11</v>
      </c>
      <c r="AF71" s="101">
        <v>23</v>
      </c>
      <c r="AH71" s="8">
        <v>7</v>
      </c>
      <c r="AI71" s="102">
        <v>7.407407407407407E-2</v>
      </c>
      <c r="AJ71" s="103">
        <v>80000000</v>
      </c>
    </row>
    <row r="72" spans="2:45">
      <c r="B72" s="101">
        <v>5</v>
      </c>
      <c r="C72" s="101">
        <v>3</v>
      </c>
      <c r="D72" s="101">
        <v>2</v>
      </c>
      <c r="F72" s="101">
        <v>1</v>
      </c>
      <c r="G72" s="101">
        <v>1</v>
      </c>
      <c r="H72" s="101">
        <v>1</v>
      </c>
      <c r="J72" s="101">
        <v>1</v>
      </c>
      <c r="K72" s="101">
        <v>1</v>
      </c>
      <c r="L72" s="101">
        <v>1</v>
      </c>
      <c r="N72" s="101">
        <v>1</v>
      </c>
      <c r="O72" s="101">
        <v>1</v>
      </c>
      <c r="P72" s="101">
        <v>1</v>
      </c>
      <c r="R72" s="101">
        <v>100</v>
      </c>
      <c r="S72" s="101">
        <v>584</v>
      </c>
      <c r="T72" s="101">
        <v>100</v>
      </c>
      <c r="V72" s="101">
        <v>12</v>
      </c>
      <c r="W72" s="101">
        <v>12</v>
      </c>
      <c r="Y72" s="101">
        <v>12</v>
      </c>
      <c r="Z72" s="101">
        <v>12</v>
      </c>
      <c r="AB72" s="101">
        <v>12</v>
      </c>
      <c r="AC72" s="101">
        <v>12</v>
      </c>
      <c r="AE72" s="101">
        <v>12</v>
      </c>
      <c r="AF72" s="101">
        <v>12</v>
      </c>
      <c r="AH72" s="8">
        <v>8</v>
      </c>
      <c r="AI72" s="102">
        <v>7.407407407407407E-2</v>
      </c>
      <c r="AJ72" s="103">
        <v>80000000</v>
      </c>
    </row>
    <row r="73" spans="2:45">
      <c r="B73" s="101">
        <v>4</v>
      </c>
      <c r="C73" s="101">
        <v>0</v>
      </c>
      <c r="D73" s="101">
        <v>1</v>
      </c>
      <c r="F73" s="101">
        <v>1</v>
      </c>
      <c r="G73" s="101">
        <v>1</v>
      </c>
      <c r="H73" s="101">
        <v>1</v>
      </c>
      <c r="J73" s="101">
        <v>1</v>
      </c>
      <c r="K73" s="101">
        <v>1</v>
      </c>
      <c r="L73" s="101">
        <v>1</v>
      </c>
      <c r="N73" s="101">
        <v>1</v>
      </c>
      <c r="O73" s="101">
        <v>1</v>
      </c>
      <c r="P73" s="101">
        <v>1</v>
      </c>
      <c r="R73" s="101">
        <v>100</v>
      </c>
      <c r="S73" s="101">
        <v>467</v>
      </c>
      <c r="T73" s="101">
        <v>100</v>
      </c>
      <c r="V73" s="101">
        <v>13</v>
      </c>
      <c r="W73" s="101">
        <v>25</v>
      </c>
      <c r="Y73" s="101">
        <v>13</v>
      </c>
      <c r="Z73" s="101">
        <v>25</v>
      </c>
      <c r="AB73" s="101">
        <v>13</v>
      </c>
      <c r="AC73" s="101">
        <v>25</v>
      </c>
      <c r="AE73" s="101">
        <v>13</v>
      </c>
      <c r="AF73" s="101">
        <v>25</v>
      </c>
      <c r="AH73" s="8">
        <v>9</v>
      </c>
      <c r="AI73" s="102">
        <v>7.407407407407407E-2</v>
      </c>
      <c r="AJ73" s="103">
        <v>80000000</v>
      </c>
    </row>
    <row r="74" spans="2:45">
      <c r="B74" s="101">
        <v>4</v>
      </c>
      <c r="C74" s="101">
        <v>0</v>
      </c>
      <c r="D74" s="101">
        <v>1</v>
      </c>
      <c r="F74" s="101">
        <v>1</v>
      </c>
      <c r="G74" s="101">
        <v>1</v>
      </c>
      <c r="H74" s="101">
        <v>1</v>
      </c>
      <c r="J74" s="101">
        <v>1</v>
      </c>
      <c r="K74" s="101">
        <v>1</v>
      </c>
      <c r="L74" s="101">
        <v>1</v>
      </c>
      <c r="N74" s="101">
        <v>1</v>
      </c>
      <c r="O74" s="101">
        <v>1</v>
      </c>
      <c r="P74" s="101">
        <v>1</v>
      </c>
      <c r="R74" s="101">
        <v>100</v>
      </c>
      <c r="S74" s="101">
        <v>584</v>
      </c>
      <c r="T74" s="101">
        <v>100</v>
      </c>
      <c r="V74" s="101">
        <v>14</v>
      </c>
      <c r="W74" s="101">
        <v>14</v>
      </c>
      <c r="Y74" s="101">
        <v>14</v>
      </c>
      <c r="Z74" s="101">
        <v>14</v>
      </c>
      <c r="AB74" s="101">
        <v>14</v>
      </c>
      <c r="AC74" s="101">
        <v>14</v>
      </c>
      <c r="AE74" s="101">
        <v>14</v>
      </c>
      <c r="AF74" s="101">
        <v>14</v>
      </c>
      <c r="AH74" s="8">
        <v>10</v>
      </c>
      <c r="AI74" s="102">
        <v>7.407407407407407E-2</v>
      </c>
      <c r="AJ74" s="103">
        <v>80000000</v>
      </c>
    </row>
    <row r="75" spans="2:45">
      <c r="B75" s="101">
        <v>3</v>
      </c>
      <c r="C75" s="101">
        <v>0</v>
      </c>
      <c r="D75" s="101">
        <v>5</v>
      </c>
      <c r="F75" s="101">
        <v>1</v>
      </c>
      <c r="G75" s="101">
        <v>1</v>
      </c>
      <c r="H75" s="101">
        <v>1</v>
      </c>
      <c r="J75" s="101">
        <v>1</v>
      </c>
      <c r="K75" s="101">
        <v>1</v>
      </c>
      <c r="L75" s="101">
        <v>1</v>
      </c>
      <c r="N75" s="101">
        <v>1</v>
      </c>
      <c r="O75" s="101">
        <v>1</v>
      </c>
      <c r="P75" s="101">
        <v>1</v>
      </c>
      <c r="R75" s="101">
        <v>100</v>
      </c>
      <c r="S75" s="101">
        <v>701</v>
      </c>
      <c r="T75" s="101">
        <v>100</v>
      </c>
      <c r="V75" s="101">
        <v>15</v>
      </c>
      <c r="W75" s="101">
        <v>15</v>
      </c>
      <c r="Y75" s="101">
        <v>15</v>
      </c>
      <c r="Z75" s="101">
        <v>15</v>
      </c>
      <c r="AB75" s="101">
        <v>15</v>
      </c>
      <c r="AC75" s="101">
        <v>15</v>
      </c>
      <c r="AE75" s="101">
        <v>15</v>
      </c>
      <c r="AF75" s="101">
        <v>15</v>
      </c>
      <c r="AH75" s="8">
        <v>20</v>
      </c>
      <c r="AI75" s="102">
        <v>7.407407407407407E-2</v>
      </c>
      <c r="AJ75" s="103">
        <v>80000000</v>
      </c>
    </row>
    <row r="76" spans="2:45">
      <c r="B76" s="101">
        <v>3</v>
      </c>
      <c r="C76" s="101">
        <v>2</v>
      </c>
      <c r="D76" s="101">
        <v>5</v>
      </c>
      <c r="F76" s="101">
        <v>1</v>
      </c>
      <c r="G76" s="101">
        <v>1</v>
      </c>
      <c r="H76" s="101">
        <v>1</v>
      </c>
      <c r="J76" s="101">
        <v>1</v>
      </c>
      <c r="K76" s="101">
        <v>1</v>
      </c>
      <c r="L76" s="101">
        <v>1</v>
      </c>
      <c r="N76" s="101">
        <v>1</v>
      </c>
      <c r="O76" s="101">
        <v>1</v>
      </c>
      <c r="P76" s="101">
        <v>1</v>
      </c>
      <c r="R76" s="101">
        <v>100</v>
      </c>
      <c r="S76" s="101">
        <v>100</v>
      </c>
      <c r="T76" s="101">
        <v>100</v>
      </c>
      <c r="V76" s="101">
        <v>8</v>
      </c>
      <c r="W76" s="101">
        <v>8</v>
      </c>
      <c r="Y76" s="101">
        <v>12</v>
      </c>
      <c r="Z76" s="101">
        <v>12</v>
      </c>
      <c r="AB76" s="101">
        <v>12</v>
      </c>
      <c r="AC76" s="101">
        <v>12</v>
      </c>
      <c r="AE76" s="101">
        <v>12</v>
      </c>
      <c r="AF76" s="101">
        <v>12</v>
      </c>
      <c r="AH76" s="8">
        <v>50</v>
      </c>
      <c r="AI76" s="102">
        <v>7.407407407407407E-2</v>
      </c>
      <c r="AJ76" s="103">
        <v>80000000</v>
      </c>
    </row>
    <row r="77" spans="2:45">
      <c r="B77" s="101">
        <v>7</v>
      </c>
      <c r="C77" s="101">
        <v>2</v>
      </c>
      <c r="D77" s="101">
        <v>1</v>
      </c>
      <c r="F77" s="101">
        <v>1</v>
      </c>
      <c r="G77" s="101">
        <v>1</v>
      </c>
      <c r="H77" s="101">
        <v>1</v>
      </c>
      <c r="J77" s="101">
        <v>1</v>
      </c>
      <c r="K77" s="101">
        <v>1</v>
      </c>
      <c r="L77" s="101">
        <v>1</v>
      </c>
      <c r="N77" s="101">
        <v>1</v>
      </c>
      <c r="O77" s="101">
        <v>1</v>
      </c>
      <c r="P77" s="101">
        <v>1</v>
      </c>
      <c r="R77" s="101">
        <v>100</v>
      </c>
      <c r="S77" s="101">
        <v>100</v>
      </c>
      <c r="T77" s="101">
        <v>100</v>
      </c>
      <c r="V77" s="101">
        <v>10</v>
      </c>
      <c r="W77" s="101">
        <v>22</v>
      </c>
      <c r="Y77" s="101">
        <v>10</v>
      </c>
      <c r="Z77" s="101">
        <v>22</v>
      </c>
      <c r="AB77" s="101">
        <v>13</v>
      </c>
      <c r="AC77" s="101">
        <v>25</v>
      </c>
      <c r="AE77" s="101">
        <v>10</v>
      </c>
      <c r="AF77" s="101">
        <v>22</v>
      </c>
      <c r="AJ77" s="104"/>
    </row>
    <row r="78" spans="2:45">
      <c r="B78" s="101">
        <v>7</v>
      </c>
      <c r="C78" s="101">
        <v>7</v>
      </c>
      <c r="D78" s="101">
        <v>1</v>
      </c>
      <c r="F78" s="101">
        <v>1</v>
      </c>
      <c r="G78" s="101">
        <v>1</v>
      </c>
      <c r="H78" s="101">
        <v>1</v>
      </c>
      <c r="J78" s="101">
        <v>1</v>
      </c>
      <c r="K78" s="101">
        <v>1</v>
      </c>
      <c r="L78" s="101">
        <v>1</v>
      </c>
      <c r="N78" s="101">
        <v>1</v>
      </c>
      <c r="O78" s="101">
        <v>1</v>
      </c>
      <c r="P78" s="101">
        <v>1</v>
      </c>
      <c r="R78" s="101">
        <v>100</v>
      </c>
      <c r="S78" s="101">
        <v>100</v>
      </c>
      <c r="T78" s="101">
        <v>100</v>
      </c>
      <c r="V78" s="101">
        <v>9</v>
      </c>
      <c r="W78" s="101">
        <v>9</v>
      </c>
      <c r="Y78" s="101">
        <v>9</v>
      </c>
      <c r="Z78" s="101">
        <v>9</v>
      </c>
      <c r="AB78" s="101">
        <v>14</v>
      </c>
      <c r="AC78" s="101">
        <v>14</v>
      </c>
      <c r="AE78" s="101">
        <v>9</v>
      </c>
      <c r="AF78" s="101">
        <v>9</v>
      </c>
    </row>
    <row r="79" spans="2:45" ht="16.2">
      <c r="B79" s="101">
        <v>4</v>
      </c>
      <c r="C79" s="101">
        <v>7</v>
      </c>
      <c r="D79" s="101">
        <v>1</v>
      </c>
      <c r="F79" s="101">
        <v>1</v>
      </c>
      <c r="G79" s="101">
        <v>1</v>
      </c>
      <c r="H79" s="101">
        <v>1</v>
      </c>
      <c r="J79" s="101">
        <v>1</v>
      </c>
      <c r="K79" s="101">
        <v>1</v>
      </c>
      <c r="L79" s="101">
        <v>1</v>
      </c>
      <c r="N79" s="101">
        <v>1</v>
      </c>
      <c r="O79" s="101">
        <v>1</v>
      </c>
      <c r="P79" s="101">
        <v>1</v>
      </c>
      <c r="R79" s="101">
        <v>100</v>
      </c>
      <c r="S79" s="101">
        <v>100</v>
      </c>
      <c r="T79" s="101">
        <v>100</v>
      </c>
      <c r="V79" s="101">
        <v>8</v>
      </c>
      <c r="W79" s="101">
        <v>20</v>
      </c>
      <c r="Y79" s="101">
        <v>13</v>
      </c>
      <c r="Z79" s="101">
        <v>25</v>
      </c>
      <c r="AB79" s="101">
        <v>13</v>
      </c>
      <c r="AC79" s="101">
        <v>25</v>
      </c>
      <c r="AE79" s="101">
        <v>13</v>
      </c>
      <c r="AF79" s="101">
        <v>25</v>
      </c>
      <c r="AH79" s="143" t="s">
        <v>110</v>
      </c>
      <c r="AI79" s="146"/>
      <c r="AJ79" s="146"/>
      <c r="AK79" s="146"/>
      <c r="AL79" s="146"/>
      <c r="AM79" s="146"/>
      <c r="AN79" s="146"/>
      <c r="AO79" s="146"/>
      <c r="AP79" s="146"/>
      <c r="AQ79" s="146"/>
      <c r="AR79" s="146"/>
      <c r="AS79" s="146"/>
    </row>
    <row r="80" spans="2:45" ht="16.2">
      <c r="B80" s="101">
        <v>4</v>
      </c>
      <c r="C80" s="101">
        <v>1</v>
      </c>
      <c r="D80" s="101">
        <v>6</v>
      </c>
      <c r="F80" s="101">
        <v>1</v>
      </c>
      <c r="G80" s="101">
        <v>1</v>
      </c>
      <c r="H80" s="101">
        <v>1</v>
      </c>
      <c r="J80" s="101">
        <v>1</v>
      </c>
      <c r="K80" s="101">
        <v>1</v>
      </c>
      <c r="L80" s="101">
        <v>1</v>
      </c>
      <c r="N80" s="101">
        <v>1</v>
      </c>
      <c r="O80" s="101">
        <v>1</v>
      </c>
      <c r="P80" s="101">
        <v>1</v>
      </c>
      <c r="R80" s="101">
        <v>100</v>
      </c>
      <c r="S80" s="101">
        <v>100</v>
      </c>
      <c r="T80" s="101">
        <v>100</v>
      </c>
      <c r="V80" s="101">
        <v>16</v>
      </c>
      <c r="W80" s="101">
        <v>16</v>
      </c>
      <c r="Y80" s="101">
        <v>16</v>
      </c>
      <c r="Z80" s="101">
        <v>16</v>
      </c>
      <c r="AB80" s="101">
        <v>16</v>
      </c>
      <c r="AC80" s="101">
        <v>16</v>
      </c>
      <c r="AE80" s="101">
        <v>16</v>
      </c>
      <c r="AF80" s="101">
        <v>16</v>
      </c>
      <c r="AH80" s="99" t="str" cm="1">
        <f t="array" ref="AH80:AH91">'Pay Combo Extra Bet (1)'!V2:V13</f>
        <v>Re-spin倍數權重</v>
      </c>
      <c r="AI80" s="99" cm="1">
        <f t="array" ref="AI80:AS91">'Pay Combo Extra Bet (1)'!AH2:AR13</f>
        <v>2</v>
      </c>
      <c r="AJ80" s="99">
        <v>3</v>
      </c>
      <c r="AK80" s="99">
        <v>4</v>
      </c>
      <c r="AL80" s="99">
        <v>5</v>
      </c>
      <c r="AM80" s="99">
        <v>6</v>
      </c>
      <c r="AN80" s="99">
        <v>7</v>
      </c>
      <c r="AO80" s="99">
        <v>8</v>
      </c>
      <c r="AP80" s="99">
        <v>9</v>
      </c>
      <c r="AQ80" s="99">
        <v>10</v>
      </c>
      <c r="AR80" s="99">
        <v>20</v>
      </c>
      <c r="AS80" s="99">
        <v>50</v>
      </c>
    </row>
    <row r="81" spans="2:45">
      <c r="B81" s="101">
        <v>6</v>
      </c>
      <c r="C81" s="101">
        <v>1</v>
      </c>
      <c r="D81" s="101">
        <v>6</v>
      </c>
      <c r="F81" s="101">
        <v>1</v>
      </c>
      <c r="G81" s="101">
        <v>1</v>
      </c>
      <c r="H81" s="101">
        <v>1</v>
      </c>
      <c r="J81" s="101">
        <v>1</v>
      </c>
      <c r="K81" s="101">
        <v>1</v>
      </c>
      <c r="L81" s="101">
        <v>1</v>
      </c>
      <c r="N81" s="101">
        <v>1</v>
      </c>
      <c r="O81" s="101">
        <v>1</v>
      </c>
      <c r="P81" s="101">
        <v>1</v>
      </c>
      <c r="R81" s="101">
        <v>100</v>
      </c>
      <c r="S81" s="101">
        <v>100</v>
      </c>
      <c r="T81" s="101">
        <v>100</v>
      </c>
      <c r="V81" s="101">
        <v>15</v>
      </c>
      <c r="W81" s="101">
        <v>27</v>
      </c>
      <c r="Y81" s="101">
        <v>15</v>
      </c>
      <c r="Z81" s="101">
        <v>27</v>
      </c>
      <c r="AB81" s="101">
        <v>15</v>
      </c>
      <c r="AC81" s="101">
        <v>27</v>
      </c>
      <c r="AE81" s="101">
        <v>15</v>
      </c>
      <c r="AF81" s="101">
        <v>27</v>
      </c>
      <c r="AH81" s="8">
        <v>1</v>
      </c>
      <c r="AI81" s="103">
        <v>0</v>
      </c>
      <c r="AJ81" s="103">
        <v>0</v>
      </c>
      <c r="AK81" s="103">
        <v>0</v>
      </c>
      <c r="AL81" s="103">
        <v>0</v>
      </c>
      <c r="AM81" s="103">
        <v>0</v>
      </c>
      <c r="AN81" s="103">
        <v>0</v>
      </c>
      <c r="AO81" s="103">
        <v>0</v>
      </c>
      <c r="AP81" s="103">
        <v>0</v>
      </c>
      <c r="AQ81" s="103">
        <v>0</v>
      </c>
      <c r="AR81" s="103">
        <v>0</v>
      </c>
      <c r="AS81" s="103">
        <v>0</v>
      </c>
    </row>
    <row r="82" spans="2:45">
      <c r="B82" s="101">
        <v>6</v>
      </c>
      <c r="C82" s="101">
        <v>1</v>
      </c>
      <c r="D82" s="101">
        <v>3</v>
      </c>
      <c r="F82" s="101">
        <v>1</v>
      </c>
      <c r="G82" s="101">
        <v>1</v>
      </c>
      <c r="H82" s="101">
        <v>1</v>
      </c>
      <c r="J82" s="101">
        <v>1</v>
      </c>
      <c r="K82" s="101">
        <v>1</v>
      </c>
      <c r="L82" s="101">
        <v>1</v>
      </c>
      <c r="N82" s="101">
        <v>1</v>
      </c>
      <c r="O82" s="101">
        <v>1</v>
      </c>
      <c r="P82" s="101">
        <v>1</v>
      </c>
      <c r="R82" s="101">
        <v>100</v>
      </c>
      <c r="S82" s="101">
        <v>100</v>
      </c>
      <c r="T82" s="101">
        <v>100</v>
      </c>
      <c r="V82" s="101">
        <v>13</v>
      </c>
      <c r="W82" s="101">
        <v>13</v>
      </c>
      <c r="Y82" s="101">
        <v>13</v>
      </c>
      <c r="Z82" s="101">
        <v>13</v>
      </c>
      <c r="AB82" s="101">
        <v>17</v>
      </c>
      <c r="AC82" s="101">
        <v>13</v>
      </c>
      <c r="AE82" s="101">
        <v>13</v>
      </c>
      <c r="AF82" s="101">
        <v>13</v>
      </c>
      <c r="AH82" s="8">
        <v>2</v>
      </c>
      <c r="AI82" s="103">
        <v>0</v>
      </c>
      <c r="AJ82" s="103">
        <v>0</v>
      </c>
      <c r="AK82" s="103">
        <v>0</v>
      </c>
      <c r="AL82" s="103">
        <v>250000000</v>
      </c>
      <c r="AM82" s="103">
        <v>250000000</v>
      </c>
      <c r="AN82" s="103">
        <v>250000000</v>
      </c>
      <c r="AO82" s="103">
        <v>240000000</v>
      </c>
      <c r="AP82" s="103">
        <v>240000000</v>
      </c>
      <c r="AQ82" s="103">
        <v>240000000</v>
      </c>
      <c r="AR82" s="103">
        <v>240000000</v>
      </c>
      <c r="AS82" s="103">
        <v>240000000</v>
      </c>
    </row>
    <row r="83" spans="2:45">
      <c r="B83" s="101">
        <v>3</v>
      </c>
      <c r="C83" s="101">
        <v>6</v>
      </c>
      <c r="D83" s="101">
        <v>3</v>
      </c>
      <c r="F83" s="101">
        <v>1</v>
      </c>
      <c r="G83" s="101">
        <v>1</v>
      </c>
      <c r="H83" s="101">
        <v>1</v>
      </c>
      <c r="J83" s="101">
        <v>1</v>
      </c>
      <c r="K83" s="101">
        <v>1</v>
      </c>
      <c r="L83" s="101">
        <v>1</v>
      </c>
      <c r="N83" s="101">
        <v>1</v>
      </c>
      <c r="O83" s="101">
        <v>1</v>
      </c>
      <c r="P83" s="101">
        <v>1</v>
      </c>
      <c r="R83" s="101">
        <v>100</v>
      </c>
      <c r="S83" s="101">
        <v>100</v>
      </c>
      <c r="T83" s="101">
        <v>100</v>
      </c>
      <c r="V83" s="101">
        <v>9</v>
      </c>
      <c r="W83" s="101">
        <v>21</v>
      </c>
      <c r="Y83" s="101">
        <v>9</v>
      </c>
      <c r="Z83" s="101">
        <v>21</v>
      </c>
      <c r="AB83" s="101">
        <v>13</v>
      </c>
      <c r="AC83" s="101">
        <v>25</v>
      </c>
      <c r="AE83" s="101">
        <v>9</v>
      </c>
      <c r="AF83" s="101">
        <v>21</v>
      </c>
      <c r="AH83" s="8">
        <v>3</v>
      </c>
      <c r="AI83" s="103">
        <v>0</v>
      </c>
      <c r="AJ83" s="103">
        <v>250000000</v>
      </c>
      <c r="AK83" s="103">
        <v>250000000</v>
      </c>
      <c r="AL83" s="103">
        <v>200000000</v>
      </c>
      <c r="AM83" s="103">
        <v>200000000</v>
      </c>
      <c r="AN83" s="103">
        <v>200000000</v>
      </c>
      <c r="AO83" s="103">
        <v>170000000</v>
      </c>
      <c r="AP83" s="103">
        <v>170000000</v>
      </c>
      <c r="AQ83" s="103">
        <v>170000000</v>
      </c>
      <c r="AR83" s="103">
        <v>170000000</v>
      </c>
      <c r="AS83" s="103">
        <v>170000000</v>
      </c>
    </row>
    <row r="84" spans="2:45">
      <c r="B84" s="101">
        <v>3</v>
      </c>
      <c r="C84" s="101">
        <v>6</v>
      </c>
      <c r="D84" s="101">
        <v>3</v>
      </c>
      <c r="F84" s="101">
        <v>1</v>
      </c>
      <c r="G84" s="101">
        <v>1</v>
      </c>
      <c r="H84" s="101">
        <v>1</v>
      </c>
      <c r="J84" s="101">
        <v>1</v>
      </c>
      <c r="K84" s="101">
        <v>1</v>
      </c>
      <c r="L84" s="101">
        <v>1</v>
      </c>
      <c r="N84" s="101">
        <v>1</v>
      </c>
      <c r="O84" s="101">
        <v>1</v>
      </c>
      <c r="P84" s="101">
        <v>1</v>
      </c>
      <c r="R84" s="101">
        <v>100</v>
      </c>
      <c r="S84" s="101">
        <v>100</v>
      </c>
      <c r="T84" s="101">
        <v>100</v>
      </c>
      <c r="V84" s="101">
        <v>10</v>
      </c>
      <c r="W84" s="101">
        <v>10</v>
      </c>
      <c r="Y84" s="101">
        <v>10</v>
      </c>
      <c r="Z84" s="101">
        <v>10</v>
      </c>
      <c r="AB84" s="101">
        <v>12</v>
      </c>
      <c r="AC84" s="101">
        <v>12</v>
      </c>
      <c r="AE84" s="101">
        <v>10</v>
      </c>
      <c r="AF84" s="101">
        <v>10</v>
      </c>
      <c r="AH84" s="8">
        <v>5</v>
      </c>
      <c r="AI84" s="103">
        <v>150000000</v>
      </c>
      <c r="AJ84" s="103">
        <v>150000000</v>
      </c>
      <c r="AK84" s="103">
        <v>150000000</v>
      </c>
      <c r="AL84" s="103">
        <v>160000000</v>
      </c>
      <c r="AM84" s="103">
        <v>160000000</v>
      </c>
      <c r="AN84" s="103">
        <v>160000000</v>
      </c>
      <c r="AO84" s="103">
        <v>130000000</v>
      </c>
      <c r="AP84" s="103">
        <v>130000000</v>
      </c>
      <c r="AQ84" s="103">
        <v>130000000</v>
      </c>
      <c r="AR84" s="103">
        <v>130000000</v>
      </c>
      <c r="AS84" s="103">
        <v>130000000</v>
      </c>
    </row>
    <row r="85" spans="2:45">
      <c r="B85" s="101">
        <v>5</v>
      </c>
      <c r="C85" s="101">
        <v>4</v>
      </c>
      <c r="D85" s="101">
        <v>7</v>
      </c>
      <c r="F85" s="101">
        <v>1</v>
      </c>
      <c r="G85" s="101">
        <v>1</v>
      </c>
      <c r="H85" s="101">
        <v>1</v>
      </c>
      <c r="J85" s="101">
        <v>1</v>
      </c>
      <c r="K85" s="101">
        <v>1</v>
      </c>
      <c r="L85" s="101">
        <v>1</v>
      </c>
      <c r="N85" s="101">
        <v>1</v>
      </c>
      <c r="O85" s="101">
        <v>1</v>
      </c>
      <c r="P85" s="101">
        <v>1</v>
      </c>
      <c r="R85" s="101">
        <v>100</v>
      </c>
      <c r="S85" s="101">
        <v>100</v>
      </c>
      <c r="T85" s="101">
        <v>100</v>
      </c>
      <c r="V85" s="101">
        <v>8</v>
      </c>
      <c r="W85" s="101">
        <v>20</v>
      </c>
      <c r="Y85" s="101">
        <v>14</v>
      </c>
      <c r="Z85" s="101">
        <v>26</v>
      </c>
      <c r="AB85" s="101">
        <v>14</v>
      </c>
      <c r="AC85" s="101">
        <v>26</v>
      </c>
      <c r="AE85" s="101">
        <v>14</v>
      </c>
      <c r="AF85" s="101">
        <v>26</v>
      </c>
      <c r="AH85" s="8">
        <v>10</v>
      </c>
      <c r="AI85" s="103">
        <v>100000000</v>
      </c>
      <c r="AJ85" s="103">
        <v>100000000</v>
      </c>
      <c r="AK85" s="103">
        <v>100000000</v>
      </c>
      <c r="AL85" s="103">
        <v>80000000</v>
      </c>
      <c r="AM85" s="103">
        <v>80000000</v>
      </c>
      <c r="AN85" s="103">
        <v>80000000</v>
      </c>
      <c r="AO85" s="103">
        <v>80000000</v>
      </c>
      <c r="AP85" s="103">
        <v>80000000</v>
      </c>
      <c r="AQ85" s="103">
        <v>80000000</v>
      </c>
      <c r="AR85" s="103">
        <v>80000000</v>
      </c>
      <c r="AS85" s="103">
        <v>80000000</v>
      </c>
    </row>
    <row r="86" spans="2:45">
      <c r="B86" s="101">
        <v>5</v>
      </c>
      <c r="C86" s="101">
        <v>4</v>
      </c>
      <c r="D86" s="101">
        <v>7</v>
      </c>
      <c r="F86" s="101">
        <v>1</v>
      </c>
      <c r="G86" s="101">
        <v>1</v>
      </c>
      <c r="H86" s="101">
        <v>1</v>
      </c>
      <c r="J86" s="101">
        <v>1</v>
      </c>
      <c r="K86" s="101">
        <v>1</v>
      </c>
      <c r="L86" s="101">
        <v>1</v>
      </c>
      <c r="N86" s="101">
        <v>1</v>
      </c>
      <c r="O86" s="101">
        <v>1</v>
      </c>
      <c r="P86" s="101">
        <v>1</v>
      </c>
      <c r="R86" s="101">
        <v>100</v>
      </c>
      <c r="S86" s="101">
        <v>100</v>
      </c>
      <c r="T86" s="101">
        <v>100</v>
      </c>
      <c r="V86" s="101">
        <v>9</v>
      </c>
      <c r="W86" s="101">
        <v>9</v>
      </c>
      <c r="Y86" s="101">
        <v>9</v>
      </c>
      <c r="Z86" s="101">
        <v>9</v>
      </c>
      <c r="AB86" s="101">
        <v>16</v>
      </c>
      <c r="AC86" s="101">
        <v>16</v>
      </c>
      <c r="AE86" s="101">
        <v>9</v>
      </c>
      <c r="AF86" s="101">
        <v>9</v>
      </c>
      <c r="AH86" s="8">
        <v>15</v>
      </c>
      <c r="AI86" s="103">
        <v>80000000</v>
      </c>
      <c r="AJ86" s="103">
        <v>80000000</v>
      </c>
      <c r="AK86" s="103">
        <v>80000000</v>
      </c>
      <c r="AL86" s="103">
        <v>50000000</v>
      </c>
      <c r="AM86" s="103">
        <v>50000000</v>
      </c>
      <c r="AN86" s="103">
        <v>50000000</v>
      </c>
      <c r="AO86" s="103">
        <v>50000000</v>
      </c>
      <c r="AP86" s="103">
        <v>50000000</v>
      </c>
      <c r="AQ86" s="103">
        <v>50000000</v>
      </c>
      <c r="AR86" s="103">
        <v>50000000</v>
      </c>
      <c r="AS86" s="103">
        <v>50000000</v>
      </c>
    </row>
    <row r="87" spans="2:45">
      <c r="B87" s="101">
        <v>7</v>
      </c>
      <c r="C87" s="101">
        <v>2</v>
      </c>
      <c r="D87" s="101">
        <v>7</v>
      </c>
      <c r="F87" s="101">
        <v>1</v>
      </c>
      <c r="G87" s="101">
        <v>1</v>
      </c>
      <c r="H87" s="101">
        <v>1</v>
      </c>
      <c r="J87" s="101">
        <v>1</v>
      </c>
      <c r="K87" s="101">
        <v>1</v>
      </c>
      <c r="L87" s="101">
        <v>1</v>
      </c>
      <c r="N87" s="101">
        <v>1</v>
      </c>
      <c r="O87" s="101">
        <v>1</v>
      </c>
      <c r="P87" s="101">
        <v>1</v>
      </c>
      <c r="R87" s="101">
        <v>100</v>
      </c>
      <c r="S87" s="101">
        <v>100</v>
      </c>
      <c r="T87" s="101">
        <v>100</v>
      </c>
      <c r="V87" s="101">
        <v>12</v>
      </c>
      <c r="W87" s="101">
        <v>24</v>
      </c>
      <c r="Y87" s="101">
        <v>12</v>
      </c>
      <c r="Z87" s="101">
        <v>24</v>
      </c>
      <c r="AB87" s="101">
        <v>12</v>
      </c>
      <c r="AC87" s="101">
        <v>24</v>
      </c>
      <c r="AE87" s="101">
        <v>12</v>
      </c>
      <c r="AF87" s="101">
        <v>24</v>
      </c>
      <c r="AH87" s="8">
        <v>20</v>
      </c>
      <c r="AI87" s="103">
        <v>20000000</v>
      </c>
      <c r="AJ87" s="103">
        <v>20000000</v>
      </c>
      <c r="AK87" s="103">
        <v>20000000</v>
      </c>
      <c r="AL87" s="103">
        <v>20000000</v>
      </c>
      <c r="AM87" s="103">
        <v>20000000</v>
      </c>
      <c r="AN87" s="103">
        <v>20000000</v>
      </c>
      <c r="AO87" s="103">
        <v>20000000</v>
      </c>
      <c r="AP87" s="103">
        <v>20000000</v>
      </c>
      <c r="AQ87" s="103">
        <v>20000000</v>
      </c>
      <c r="AR87" s="103">
        <v>20000000</v>
      </c>
      <c r="AS87" s="103">
        <v>20000000</v>
      </c>
    </row>
    <row r="88" spans="2:45">
      <c r="B88" s="101">
        <v>7</v>
      </c>
      <c r="C88" s="101">
        <v>2</v>
      </c>
      <c r="D88" s="101">
        <v>2</v>
      </c>
      <c r="F88" s="101">
        <v>1</v>
      </c>
      <c r="G88" s="101">
        <v>1</v>
      </c>
      <c r="H88" s="101">
        <v>1</v>
      </c>
      <c r="J88" s="101">
        <v>1</v>
      </c>
      <c r="K88" s="101">
        <v>1</v>
      </c>
      <c r="L88" s="101">
        <v>1</v>
      </c>
      <c r="N88" s="101">
        <v>1</v>
      </c>
      <c r="O88" s="101">
        <v>1</v>
      </c>
      <c r="P88" s="101">
        <v>1</v>
      </c>
      <c r="R88" s="101">
        <v>100</v>
      </c>
      <c r="S88" s="101">
        <v>100</v>
      </c>
      <c r="T88" s="101">
        <v>100</v>
      </c>
      <c r="V88" s="101" t="str">
        <v/>
      </c>
      <c r="W88" s="101" t="str">
        <v/>
      </c>
      <c r="Y88" s="101" t="str">
        <v/>
      </c>
      <c r="Z88" s="101" t="str">
        <v/>
      </c>
      <c r="AB88" s="101" t="str">
        <v/>
      </c>
      <c r="AC88" s="101" t="str">
        <v/>
      </c>
      <c r="AE88" s="101" t="str">
        <v/>
      </c>
      <c r="AF88" s="101" t="str">
        <v/>
      </c>
      <c r="AH88" s="8">
        <v>25</v>
      </c>
      <c r="AI88" s="103">
        <v>15000000</v>
      </c>
      <c r="AJ88" s="103">
        <v>15000000</v>
      </c>
      <c r="AK88" s="103">
        <v>15000000</v>
      </c>
      <c r="AL88" s="103">
        <v>15000000</v>
      </c>
      <c r="AM88" s="103">
        <v>15000000</v>
      </c>
      <c r="AN88" s="103">
        <v>15000000</v>
      </c>
      <c r="AO88" s="103">
        <v>15000000</v>
      </c>
      <c r="AP88" s="103">
        <v>15000000</v>
      </c>
      <c r="AQ88" s="103">
        <v>15000000</v>
      </c>
      <c r="AR88" s="103">
        <v>15000000</v>
      </c>
      <c r="AS88" s="103">
        <v>15000000</v>
      </c>
    </row>
    <row r="89" spans="2:45">
      <c r="B89" s="101">
        <v>1</v>
      </c>
      <c r="C89" s="101">
        <v>7</v>
      </c>
      <c r="D89" s="101">
        <v>2</v>
      </c>
      <c r="F89" s="101">
        <v>1</v>
      </c>
      <c r="G89" s="101">
        <v>1</v>
      </c>
      <c r="H89" s="101">
        <v>1</v>
      </c>
      <c r="J89" s="101">
        <v>1</v>
      </c>
      <c r="K89" s="101">
        <v>1</v>
      </c>
      <c r="L89" s="101">
        <v>1</v>
      </c>
      <c r="N89" s="101">
        <v>1</v>
      </c>
      <c r="O89" s="101">
        <v>1</v>
      </c>
      <c r="P89" s="101">
        <v>1</v>
      </c>
      <c r="R89" s="101">
        <v>100</v>
      </c>
      <c r="S89" s="101">
        <v>100</v>
      </c>
      <c r="T89" s="101">
        <v>100</v>
      </c>
      <c r="V89" s="101" t="str">
        <v/>
      </c>
      <c r="W89" s="101" t="str">
        <v/>
      </c>
      <c r="Y89" s="101" t="str">
        <v/>
      </c>
      <c r="Z89" s="101" t="str">
        <v/>
      </c>
      <c r="AB89" s="101" t="str">
        <v/>
      </c>
      <c r="AC89" s="101" t="str">
        <v/>
      </c>
      <c r="AE89" s="101" t="str">
        <v/>
      </c>
      <c r="AF89" s="101" t="str">
        <v/>
      </c>
      <c r="AH89" s="8">
        <v>50</v>
      </c>
      <c r="AI89" s="103">
        <v>15000000</v>
      </c>
      <c r="AJ89" s="103">
        <v>15000000</v>
      </c>
      <c r="AK89" s="103">
        <v>15000000</v>
      </c>
      <c r="AL89" s="103">
        <v>15000000</v>
      </c>
      <c r="AM89" s="103">
        <v>15000000</v>
      </c>
      <c r="AN89" s="103">
        <v>15000000</v>
      </c>
      <c r="AO89" s="103">
        <v>15000000</v>
      </c>
      <c r="AP89" s="103">
        <v>15000000</v>
      </c>
      <c r="AQ89" s="103">
        <v>15000000</v>
      </c>
      <c r="AR89" s="103">
        <v>15000000</v>
      </c>
      <c r="AS89" s="103">
        <v>15000000</v>
      </c>
    </row>
    <row r="90" spans="2:45">
      <c r="B90" s="101">
        <v>1</v>
      </c>
      <c r="C90" s="101">
        <v>7</v>
      </c>
      <c r="D90" s="101">
        <v>2</v>
      </c>
      <c r="F90" s="101">
        <v>1</v>
      </c>
      <c r="G90" s="101">
        <v>1</v>
      </c>
      <c r="H90" s="101">
        <v>1</v>
      </c>
      <c r="J90" s="101">
        <v>1</v>
      </c>
      <c r="K90" s="101">
        <v>1</v>
      </c>
      <c r="L90" s="101">
        <v>1</v>
      </c>
      <c r="N90" s="101">
        <v>1</v>
      </c>
      <c r="O90" s="101">
        <v>1</v>
      </c>
      <c r="P90" s="101">
        <v>1</v>
      </c>
      <c r="R90" s="101">
        <v>100</v>
      </c>
      <c r="S90" s="101">
        <v>100</v>
      </c>
      <c r="T90" s="101">
        <v>100</v>
      </c>
      <c r="V90" s="101" t="str">
        <v/>
      </c>
      <c r="W90" s="101" t="str">
        <v/>
      </c>
      <c r="Y90" s="101" t="str">
        <v/>
      </c>
      <c r="Z90" s="101" t="str">
        <v/>
      </c>
      <c r="AB90" s="101" t="str">
        <v/>
      </c>
      <c r="AC90" s="101" t="str">
        <v/>
      </c>
      <c r="AE90" s="101" t="str">
        <v/>
      </c>
      <c r="AF90" s="101" t="str">
        <v/>
      </c>
      <c r="AH90" s="8">
        <v>100</v>
      </c>
      <c r="AI90" s="103">
        <v>10000000</v>
      </c>
      <c r="AJ90" s="103">
        <v>10000000</v>
      </c>
      <c r="AK90" s="103">
        <v>10000000</v>
      </c>
      <c r="AL90" s="103">
        <v>10000000</v>
      </c>
      <c r="AM90" s="103">
        <v>10000000</v>
      </c>
      <c r="AN90" s="103">
        <v>10000000</v>
      </c>
      <c r="AO90" s="103">
        <v>10000000</v>
      </c>
      <c r="AP90" s="103">
        <v>10000000</v>
      </c>
      <c r="AQ90" s="103">
        <v>10000000</v>
      </c>
      <c r="AR90" s="103">
        <v>10000000</v>
      </c>
      <c r="AS90" s="103">
        <v>10000000</v>
      </c>
    </row>
    <row r="91" spans="2:45">
      <c r="B91" s="101">
        <v>4</v>
      </c>
      <c r="C91" s="101">
        <v>3</v>
      </c>
      <c r="D91" s="101">
        <v>1</v>
      </c>
      <c r="F91" s="101">
        <v>1</v>
      </c>
      <c r="G91" s="101">
        <v>1</v>
      </c>
      <c r="H91" s="101">
        <v>1</v>
      </c>
      <c r="J91" s="101">
        <v>1</v>
      </c>
      <c r="K91" s="101">
        <v>1</v>
      </c>
      <c r="L91" s="101">
        <v>1</v>
      </c>
      <c r="N91" s="101">
        <v>1</v>
      </c>
      <c r="O91" s="101">
        <v>1</v>
      </c>
      <c r="P91" s="101">
        <v>1</v>
      </c>
      <c r="R91" s="101">
        <v>100</v>
      </c>
      <c r="S91" s="101">
        <v>100</v>
      </c>
      <c r="T91" s="101">
        <v>100</v>
      </c>
      <c r="V91" s="101" t="str">
        <v/>
      </c>
      <c r="W91" s="101" t="str">
        <v/>
      </c>
      <c r="Y91" s="101" t="str">
        <v/>
      </c>
      <c r="Z91" s="101" t="str">
        <v/>
      </c>
      <c r="AB91" s="101" t="str">
        <v/>
      </c>
      <c r="AC91" s="101" t="str">
        <v/>
      </c>
      <c r="AE91" s="101" t="str">
        <v/>
      </c>
      <c r="AF91" s="101" t="str">
        <v/>
      </c>
      <c r="AH91" s="8">
        <v>500</v>
      </c>
      <c r="AI91" s="103">
        <v>10000000</v>
      </c>
      <c r="AJ91" s="103">
        <v>10000000</v>
      </c>
      <c r="AK91" s="103">
        <v>10000000</v>
      </c>
      <c r="AL91" s="103">
        <v>10000000</v>
      </c>
      <c r="AM91" s="103">
        <v>10000000</v>
      </c>
      <c r="AN91" s="103">
        <v>10000000</v>
      </c>
      <c r="AO91" s="103">
        <v>10000000</v>
      </c>
      <c r="AP91" s="103">
        <v>10000000</v>
      </c>
      <c r="AQ91" s="103">
        <v>10000000</v>
      </c>
      <c r="AR91" s="103">
        <v>10000000</v>
      </c>
      <c r="AS91" s="103">
        <v>10000000</v>
      </c>
    </row>
    <row r="92" spans="2:45">
      <c r="B92" s="101">
        <v>4</v>
      </c>
      <c r="C92" s="101">
        <v>3</v>
      </c>
      <c r="D92" s="101">
        <v>1</v>
      </c>
      <c r="F92" s="101">
        <v>1</v>
      </c>
      <c r="G92" s="101">
        <v>1</v>
      </c>
      <c r="H92" s="101">
        <v>1</v>
      </c>
      <c r="J92" s="101">
        <v>1</v>
      </c>
      <c r="K92" s="101">
        <v>1</v>
      </c>
      <c r="L92" s="101">
        <v>1</v>
      </c>
      <c r="N92" s="101">
        <v>1</v>
      </c>
      <c r="O92" s="101">
        <v>1</v>
      </c>
      <c r="P92" s="101">
        <v>1</v>
      </c>
      <c r="R92" s="101">
        <v>100</v>
      </c>
      <c r="S92" s="101">
        <v>100</v>
      </c>
      <c r="T92" s="101">
        <v>100</v>
      </c>
      <c r="V92" s="101" t="str">
        <v/>
      </c>
      <c r="W92" s="101" t="str">
        <v/>
      </c>
      <c r="Y92" s="101" t="str">
        <v/>
      </c>
      <c r="Z92" s="101" t="str">
        <v/>
      </c>
      <c r="AB92" s="101" t="str">
        <v/>
      </c>
      <c r="AC92" s="101" t="str">
        <v/>
      </c>
      <c r="AE92" s="101" t="str">
        <v/>
      </c>
      <c r="AF92" s="101" t="str">
        <v/>
      </c>
    </row>
    <row r="93" spans="2:45">
      <c r="B93" s="101">
        <v>6</v>
      </c>
      <c r="C93" s="101">
        <v>4</v>
      </c>
      <c r="D93" s="101">
        <v>1</v>
      </c>
      <c r="F93" s="101">
        <v>1</v>
      </c>
      <c r="G93" s="101">
        <v>1</v>
      </c>
      <c r="H93" s="101">
        <v>1</v>
      </c>
      <c r="J93" s="101">
        <v>1</v>
      </c>
      <c r="K93" s="101">
        <v>1</v>
      </c>
      <c r="L93" s="101">
        <v>1</v>
      </c>
      <c r="N93" s="101">
        <v>1</v>
      </c>
      <c r="O93" s="101">
        <v>1</v>
      </c>
      <c r="P93" s="101">
        <v>1</v>
      </c>
      <c r="R93" s="101">
        <v>100</v>
      </c>
      <c r="S93" s="101">
        <v>100</v>
      </c>
      <c r="T93" s="101">
        <v>100</v>
      </c>
      <c r="V93" s="101" t="str">
        <v/>
      </c>
      <c r="W93" s="101" t="str">
        <v/>
      </c>
      <c r="Y93" s="101" t="str">
        <v/>
      </c>
      <c r="Z93" s="101" t="str">
        <v/>
      </c>
      <c r="AB93" s="101" t="str">
        <v/>
      </c>
      <c r="AC93" s="101" t="str">
        <v/>
      </c>
      <c r="AE93" s="101" t="str">
        <v/>
      </c>
      <c r="AF93" s="101" t="str">
        <v/>
      </c>
    </row>
    <row r="94" spans="2:45">
      <c r="B94" s="101">
        <v>6</v>
      </c>
      <c r="C94" s="101">
        <v>4</v>
      </c>
      <c r="D94" s="101">
        <v>4</v>
      </c>
      <c r="F94" s="101">
        <v>1</v>
      </c>
      <c r="G94" s="101">
        <v>1</v>
      </c>
      <c r="H94" s="101">
        <v>1</v>
      </c>
      <c r="J94" s="101">
        <v>1</v>
      </c>
      <c r="K94" s="101">
        <v>1</v>
      </c>
      <c r="L94" s="101">
        <v>1</v>
      </c>
      <c r="N94" s="101">
        <v>1</v>
      </c>
      <c r="O94" s="101">
        <v>1</v>
      </c>
      <c r="P94" s="101">
        <v>1</v>
      </c>
      <c r="R94" s="101">
        <v>100</v>
      </c>
      <c r="S94" s="101">
        <v>100</v>
      </c>
      <c r="T94" s="101">
        <v>100</v>
      </c>
      <c r="V94" s="101" t="str">
        <v/>
      </c>
      <c r="W94" s="101" t="str">
        <v/>
      </c>
      <c r="Y94" s="101" t="str">
        <v/>
      </c>
      <c r="Z94" s="101" t="str">
        <v/>
      </c>
      <c r="AB94" s="101" t="str">
        <v/>
      </c>
      <c r="AC94" s="101" t="str">
        <v/>
      </c>
      <c r="AE94" s="101" t="str">
        <v/>
      </c>
      <c r="AF94" s="101" t="str">
        <v/>
      </c>
    </row>
    <row r="95" spans="2:45" ht="16.2">
      <c r="B95" s="101">
        <v>3</v>
      </c>
      <c r="C95" s="101">
        <v>4</v>
      </c>
      <c r="D95" s="101">
        <v>4</v>
      </c>
      <c r="F95" s="101">
        <v>1</v>
      </c>
      <c r="G95" s="101">
        <v>1</v>
      </c>
      <c r="H95" s="101">
        <v>1</v>
      </c>
      <c r="J95" s="101">
        <v>1</v>
      </c>
      <c r="K95" s="101">
        <v>1</v>
      </c>
      <c r="L95" s="101">
        <v>1</v>
      </c>
      <c r="N95" s="101">
        <v>1</v>
      </c>
      <c r="O95" s="101">
        <v>1</v>
      </c>
      <c r="P95" s="101">
        <v>1</v>
      </c>
      <c r="R95" s="101">
        <v>100</v>
      </c>
      <c r="S95" s="101">
        <v>100</v>
      </c>
      <c r="T95" s="101">
        <v>100</v>
      </c>
      <c r="V95" s="101" t="str">
        <v/>
      </c>
      <c r="W95" s="101" t="str">
        <v/>
      </c>
      <c r="Y95" s="101" t="str">
        <v/>
      </c>
      <c r="Z95" s="101" t="str">
        <v/>
      </c>
      <c r="AB95" s="101" t="str">
        <v/>
      </c>
      <c r="AC95" s="101" t="str">
        <v/>
      </c>
      <c r="AE95" s="101" t="str">
        <v/>
      </c>
      <c r="AF95" s="101" t="str">
        <v/>
      </c>
      <c r="AH95" s="135" t="s">
        <v>108</v>
      </c>
      <c r="AI95" s="147"/>
      <c r="AJ95" s="147"/>
    </row>
    <row r="96" spans="2:45" ht="16.2">
      <c r="B96" s="101">
        <v>3</v>
      </c>
      <c r="C96" s="101">
        <v>5</v>
      </c>
      <c r="D96" s="101">
        <v>4</v>
      </c>
      <c r="F96" s="101">
        <v>1</v>
      </c>
      <c r="G96" s="101">
        <v>1</v>
      </c>
      <c r="H96" s="101">
        <v>1</v>
      </c>
      <c r="J96" s="101">
        <v>1</v>
      </c>
      <c r="K96" s="101">
        <v>1</v>
      </c>
      <c r="L96" s="101">
        <v>1</v>
      </c>
      <c r="N96" s="101">
        <v>1</v>
      </c>
      <c r="O96" s="101">
        <v>1</v>
      </c>
      <c r="P96" s="101">
        <v>1</v>
      </c>
      <c r="R96" s="101">
        <v>100</v>
      </c>
      <c r="S96" s="101">
        <v>100</v>
      </c>
      <c r="T96" s="101">
        <v>100</v>
      </c>
      <c r="V96" s="101" t="str">
        <v/>
      </c>
      <c r="W96" s="101" t="str">
        <v/>
      </c>
      <c r="Y96" s="101" t="str">
        <v/>
      </c>
      <c r="Z96" s="101" t="str">
        <v/>
      </c>
      <c r="AB96" s="101" t="str">
        <v/>
      </c>
      <c r="AC96" s="101" t="str">
        <v/>
      </c>
      <c r="AE96" s="101" t="str">
        <v/>
      </c>
      <c r="AF96" s="101" t="str">
        <v/>
      </c>
      <c r="AH96" s="99" t="str" cm="1">
        <f t="array" ref="AH96:AJ108">'Pay Combo Extra Bet (2)'!L2:N14</f>
        <v>倍數</v>
      </c>
      <c r="AI96" s="99" t="str">
        <v>比例</v>
      </c>
      <c r="AJ96" s="99" t="str">
        <v>權重</v>
      </c>
    </row>
    <row r="97" spans="2:36">
      <c r="B97" s="101">
        <v>7</v>
      </c>
      <c r="C97" s="101">
        <v>5</v>
      </c>
      <c r="D97" s="101">
        <v>7</v>
      </c>
      <c r="F97" s="101">
        <v>1</v>
      </c>
      <c r="G97" s="101">
        <v>1</v>
      </c>
      <c r="H97" s="101">
        <v>1</v>
      </c>
      <c r="J97" s="101">
        <v>1</v>
      </c>
      <c r="K97" s="101">
        <v>1</v>
      </c>
      <c r="L97" s="101">
        <v>1</v>
      </c>
      <c r="N97" s="101">
        <v>1</v>
      </c>
      <c r="O97" s="101">
        <v>1</v>
      </c>
      <c r="P97" s="101">
        <v>1</v>
      </c>
      <c r="R97" s="101">
        <v>100</v>
      </c>
      <c r="S97" s="101">
        <v>100</v>
      </c>
      <c r="T97" s="101">
        <v>100</v>
      </c>
      <c r="V97" s="101" t="str">
        <v/>
      </c>
      <c r="W97" s="101" t="str">
        <v/>
      </c>
      <c r="Y97" s="101" t="str">
        <v/>
      </c>
      <c r="Z97" s="101" t="str">
        <v/>
      </c>
      <c r="AB97" s="101" t="str">
        <v/>
      </c>
      <c r="AC97" s="101" t="str">
        <v/>
      </c>
      <c r="AE97" s="101" t="str">
        <v/>
      </c>
      <c r="AF97" s="101" t="str">
        <v/>
      </c>
      <c r="AH97" s="8">
        <v>1</v>
      </c>
      <c r="AI97" s="102">
        <v>0</v>
      </c>
      <c r="AJ97" s="103">
        <v>0</v>
      </c>
    </row>
    <row r="98" spans="2:36">
      <c r="B98" s="101">
        <v>7</v>
      </c>
      <c r="C98" s="101">
        <v>5</v>
      </c>
      <c r="D98" s="101">
        <v>7</v>
      </c>
      <c r="F98" s="101">
        <v>1</v>
      </c>
      <c r="G98" s="101">
        <v>1</v>
      </c>
      <c r="H98" s="101">
        <v>1</v>
      </c>
      <c r="J98" s="101">
        <v>1</v>
      </c>
      <c r="K98" s="101">
        <v>1</v>
      </c>
      <c r="L98" s="101">
        <v>1</v>
      </c>
      <c r="N98" s="101">
        <v>1</v>
      </c>
      <c r="O98" s="101">
        <v>1</v>
      </c>
      <c r="P98" s="101">
        <v>1</v>
      </c>
      <c r="R98" s="101">
        <v>100</v>
      </c>
      <c r="S98" s="101">
        <v>100</v>
      </c>
      <c r="T98" s="101">
        <v>100</v>
      </c>
      <c r="V98" s="101" t="str">
        <v/>
      </c>
      <c r="W98" s="101" t="str">
        <v/>
      </c>
      <c r="Y98" s="101" t="str">
        <v/>
      </c>
      <c r="Z98" s="101" t="str">
        <v/>
      </c>
      <c r="AB98" s="101" t="str">
        <v/>
      </c>
      <c r="AC98" s="101" t="str">
        <v/>
      </c>
      <c r="AE98" s="101" t="str">
        <v/>
      </c>
      <c r="AF98" s="101" t="str">
        <v/>
      </c>
      <c r="AH98" s="8">
        <v>2</v>
      </c>
      <c r="AI98" s="102">
        <v>0</v>
      </c>
      <c r="AJ98" s="103">
        <v>0</v>
      </c>
    </row>
    <row r="99" spans="2:36">
      <c r="B99" s="101">
        <v>7</v>
      </c>
      <c r="C99" s="101">
        <v>6</v>
      </c>
      <c r="D99" s="101">
        <v>7</v>
      </c>
      <c r="F99" s="101">
        <v>1</v>
      </c>
      <c r="G99" s="101">
        <v>1</v>
      </c>
      <c r="H99" s="101">
        <v>1</v>
      </c>
      <c r="J99" s="101">
        <v>1</v>
      </c>
      <c r="K99" s="101">
        <v>1</v>
      </c>
      <c r="L99" s="101">
        <v>1</v>
      </c>
      <c r="N99" s="101">
        <v>1</v>
      </c>
      <c r="O99" s="101">
        <v>1</v>
      </c>
      <c r="P99" s="101">
        <v>1</v>
      </c>
      <c r="R99" s="101">
        <v>100</v>
      </c>
      <c r="S99" s="101">
        <v>100</v>
      </c>
      <c r="T99" s="101">
        <v>100</v>
      </c>
      <c r="V99" s="101" t="str">
        <v/>
      </c>
      <c r="W99" s="101" t="str">
        <v/>
      </c>
      <c r="Y99" s="101" t="str">
        <v/>
      </c>
      <c r="Z99" s="101" t="str">
        <v/>
      </c>
      <c r="AB99" s="101" t="str">
        <v/>
      </c>
      <c r="AC99" s="101" t="str">
        <v/>
      </c>
      <c r="AE99" s="101" t="str">
        <v/>
      </c>
      <c r="AF99" s="101" t="str">
        <v/>
      </c>
      <c r="AH99" s="8">
        <v>3</v>
      </c>
      <c r="AI99" s="102">
        <v>0</v>
      </c>
      <c r="AJ99" s="103">
        <v>0</v>
      </c>
    </row>
    <row r="100" spans="2:36">
      <c r="B100" s="101">
        <v>3</v>
      </c>
      <c r="C100" s="101">
        <v>6</v>
      </c>
      <c r="D100" s="101">
        <v>2</v>
      </c>
      <c r="F100" s="101">
        <v>1</v>
      </c>
      <c r="G100" s="101">
        <v>1</v>
      </c>
      <c r="H100" s="101">
        <v>1</v>
      </c>
      <c r="J100" s="101">
        <v>1</v>
      </c>
      <c r="K100" s="101">
        <v>1</v>
      </c>
      <c r="L100" s="101">
        <v>1</v>
      </c>
      <c r="N100" s="101">
        <v>1</v>
      </c>
      <c r="O100" s="101">
        <v>1</v>
      </c>
      <c r="P100" s="101">
        <v>1</v>
      </c>
      <c r="R100" s="101">
        <v>100</v>
      </c>
      <c r="S100" s="101">
        <v>100</v>
      </c>
      <c r="T100" s="101">
        <v>100</v>
      </c>
      <c r="V100" s="101" t="str">
        <v/>
      </c>
      <c r="W100" s="101" t="str">
        <v/>
      </c>
      <c r="Y100" s="101" t="str">
        <v/>
      </c>
      <c r="Z100" s="101" t="str">
        <v/>
      </c>
      <c r="AB100" s="101" t="str">
        <v/>
      </c>
      <c r="AC100" s="101" t="str">
        <v/>
      </c>
      <c r="AE100" s="101" t="str">
        <v/>
      </c>
      <c r="AF100" s="101" t="str">
        <v/>
      </c>
      <c r="AH100" s="8">
        <v>5</v>
      </c>
      <c r="AI100" s="102">
        <v>0</v>
      </c>
      <c r="AJ100" s="103">
        <v>0</v>
      </c>
    </row>
    <row r="101" spans="2:36">
      <c r="B101" s="101">
        <v>3</v>
      </c>
      <c r="C101" s="101">
        <v>4</v>
      </c>
      <c r="D101" s="101">
        <v>2</v>
      </c>
      <c r="F101" s="101">
        <v>1</v>
      </c>
      <c r="G101" s="101">
        <v>1</v>
      </c>
      <c r="H101" s="101">
        <v>1</v>
      </c>
      <c r="J101" s="101">
        <v>1</v>
      </c>
      <c r="K101" s="101">
        <v>1</v>
      </c>
      <c r="L101" s="101">
        <v>1</v>
      </c>
      <c r="N101" s="101">
        <v>1</v>
      </c>
      <c r="O101" s="101">
        <v>1</v>
      </c>
      <c r="P101" s="101">
        <v>1</v>
      </c>
      <c r="R101" s="101">
        <v>100</v>
      </c>
      <c r="S101" s="101">
        <v>100</v>
      </c>
      <c r="T101" s="101">
        <v>100</v>
      </c>
      <c r="V101" s="101" t="str">
        <v/>
      </c>
      <c r="W101" s="101" t="str">
        <v/>
      </c>
      <c r="Y101" s="101" t="str">
        <v/>
      </c>
      <c r="Z101" s="101" t="str">
        <v/>
      </c>
      <c r="AB101" s="101" t="str">
        <v/>
      </c>
      <c r="AC101" s="101" t="str">
        <v/>
      </c>
      <c r="AE101" s="101" t="str">
        <v/>
      </c>
      <c r="AF101" s="101" t="str">
        <v/>
      </c>
      <c r="AH101" s="8">
        <v>10</v>
      </c>
      <c r="AI101" s="102">
        <v>0.1</v>
      </c>
      <c r="AJ101" s="103">
        <v>10000000</v>
      </c>
    </row>
    <row r="102" spans="2:36">
      <c r="B102" s="101">
        <v>4</v>
      </c>
      <c r="C102" s="101">
        <v>4</v>
      </c>
      <c r="D102" s="101">
        <v>2</v>
      </c>
      <c r="F102" s="101">
        <v>1</v>
      </c>
      <c r="G102" s="101">
        <v>1</v>
      </c>
      <c r="H102" s="101">
        <v>1</v>
      </c>
      <c r="J102" s="101">
        <v>1</v>
      </c>
      <c r="K102" s="101">
        <v>1</v>
      </c>
      <c r="L102" s="101">
        <v>1</v>
      </c>
      <c r="N102" s="101">
        <v>1</v>
      </c>
      <c r="O102" s="101">
        <v>1</v>
      </c>
      <c r="P102" s="101">
        <v>1</v>
      </c>
      <c r="R102" s="101">
        <v>100</v>
      </c>
      <c r="S102" s="101">
        <v>100</v>
      </c>
      <c r="T102" s="101">
        <v>100</v>
      </c>
      <c r="V102" s="101" t="str">
        <v/>
      </c>
      <c r="W102" s="101" t="str">
        <v/>
      </c>
      <c r="Y102" s="101" t="str">
        <v/>
      </c>
      <c r="Z102" s="101" t="str">
        <v/>
      </c>
      <c r="AB102" s="101" t="str">
        <v/>
      </c>
      <c r="AC102" s="101" t="str">
        <v/>
      </c>
      <c r="AE102" s="101" t="str">
        <v/>
      </c>
      <c r="AF102" s="101" t="str">
        <v/>
      </c>
      <c r="AH102" s="8">
        <v>15</v>
      </c>
      <c r="AI102" s="102">
        <v>0.1</v>
      </c>
      <c r="AJ102" s="103">
        <v>10000000</v>
      </c>
    </row>
    <row r="103" spans="2:36">
      <c r="B103" s="101">
        <v>4</v>
      </c>
      <c r="C103" s="101">
        <v>5</v>
      </c>
      <c r="D103" s="101">
        <v>5</v>
      </c>
      <c r="F103" s="101">
        <v>1</v>
      </c>
      <c r="G103" s="101">
        <v>1</v>
      </c>
      <c r="H103" s="101">
        <v>1</v>
      </c>
      <c r="J103" s="101">
        <v>1</v>
      </c>
      <c r="K103" s="101">
        <v>1</v>
      </c>
      <c r="L103" s="101">
        <v>1</v>
      </c>
      <c r="N103" s="101">
        <v>1</v>
      </c>
      <c r="O103" s="101">
        <v>1</v>
      </c>
      <c r="P103" s="101">
        <v>1</v>
      </c>
      <c r="R103" s="101">
        <v>100</v>
      </c>
      <c r="S103" s="101">
        <v>100</v>
      </c>
      <c r="T103" s="101">
        <v>100</v>
      </c>
      <c r="V103" s="101" t="str">
        <v/>
      </c>
      <c r="W103" s="101" t="str">
        <v/>
      </c>
      <c r="Y103" s="101" t="str">
        <v/>
      </c>
      <c r="Z103" s="101" t="str">
        <v/>
      </c>
      <c r="AB103" s="101" t="str">
        <v/>
      </c>
      <c r="AC103" s="101" t="str">
        <v/>
      </c>
      <c r="AE103" s="101" t="str">
        <v/>
      </c>
      <c r="AF103" s="101" t="str">
        <v/>
      </c>
      <c r="AH103" s="8">
        <v>20</v>
      </c>
      <c r="AI103" s="102">
        <v>0.1</v>
      </c>
      <c r="AJ103" s="103">
        <v>10000000</v>
      </c>
    </row>
    <row r="104" spans="2:36">
      <c r="B104" s="101">
        <v>5</v>
      </c>
      <c r="C104" s="101">
        <v>5</v>
      </c>
      <c r="D104" s="101">
        <v>5</v>
      </c>
      <c r="F104" s="101">
        <v>1</v>
      </c>
      <c r="G104" s="101">
        <v>1</v>
      </c>
      <c r="H104" s="101">
        <v>1</v>
      </c>
      <c r="J104" s="101">
        <v>1</v>
      </c>
      <c r="K104" s="101">
        <v>1</v>
      </c>
      <c r="L104" s="101">
        <v>1</v>
      </c>
      <c r="N104" s="101">
        <v>1</v>
      </c>
      <c r="O104" s="101">
        <v>1</v>
      </c>
      <c r="P104" s="101">
        <v>1</v>
      </c>
      <c r="R104" s="101">
        <v>100</v>
      </c>
      <c r="S104" s="101">
        <v>100</v>
      </c>
      <c r="T104" s="101">
        <v>100</v>
      </c>
      <c r="V104" s="101" t="str">
        <v/>
      </c>
      <c r="W104" s="101" t="str">
        <v/>
      </c>
      <c r="Y104" s="101" t="str">
        <v/>
      </c>
      <c r="Z104" s="101" t="str">
        <v/>
      </c>
      <c r="AB104" s="101" t="str">
        <v/>
      </c>
      <c r="AC104" s="101" t="str">
        <v/>
      </c>
      <c r="AE104" s="101" t="str">
        <v/>
      </c>
      <c r="AF104" s="101" t="str">
        <v/>
      </c>
      <c r="AH104" s="8">
        <v>25</v>
      </c>
      <c r="AI104" s="102">
        <v>0.1</v>
      </c>
      <c r="AJ104" s="103">
        <v>10000000</v>
      </c>
    </row>
    <row r="105" spans="2:36">
      <c r="B105" s="101">
        <v>5</v>
      </c>
      <c r="C105" s="101">
        <v>3</v>
      </c>
      <c r="D105" s="101">
        <v>5</v>
      </c>
      <c r="F105" s="101">
        <v>1</v>
      </c>
      <c r="G105" s="101">
        <v>1</v>
      </c>
      <c r="H105" s="101">
        <v>1</v>
      </c>
      <c r="J105" s="101">
        <v>1</v>
      </c>
      <c r="K105" s="101">
        <v>1</v>
      </c>
      <c r="L105" s="101">
        <v>1</v>
      </c>
      <c r="N105" s="101">
        <v>1</v>
      </c>
      <c r="O105" s="101">
        <v>1</v>
      </c>
      <c r="P105" s="101">
        <v>1</v>
      </c>
      <c r="R105" s="101">
        <v>100</v>
      </c>
      <c r="S105" s="101">
        <v>100</v>
      </c>
      <c r="T105" s="101">
        <v>100</v>
      </c>
      <c r="V105" s="101" t="str">
        <v/>
      </c>
      <c r="W105" s="101" t="str">
        <v/>
      </c>
      <c r="Y105" s="101" t="str">
        <v/>
      </c>
      <c r="Z105" s="101" t="str">
        <v/>
      </c>
      <c r="AB105" s="101" t="str">
        <v/>
      </c>
      <c r="AC105" s="101" t="str">
        <v/>
      </c>
      <c r="AE105" s="101" t="str">
        <v/>
      </c>
      <c r="AF105" s="101" t="str">
        <v/>
      </c>
      <c r="AH105" s="8">
        <v>50</v>
      </c>
      <c r="AI105" s="102">
        <v>0.1</v>
      </c>
      <c r="AJ105" s="103">
        <v>10000000</v>
      </c>
    </row>
    <row r="106" spans="2:36">
      <c r="B106" s="101">
        <v>5</v>
      </c>
      <c r="C106" s="101">
        <v>3</v>
      </c>
      <c r="D106" s="101">
        <v>1</v>
      </c>
      <c r="F106" s="101">
        <v>1</v>
      </c>
      <c r="G106" s="101">
        <v>1</v>
      </c>
      <c r="H106" s="101">
        <v>1</v>
      </c>
      <c r="J106" s="101">
        <v>1</v>
      </c>
      <c r="K106" s="101">
        <v>1</v>
      </c>
      <c r="L106" s="101">
        <v>1</v>
      </c>
      <c r="N106" s="101">
        <v>1</v>
      </c>
      <c r="O106" s="101">
        <v>1</v>
      </c>
      <c r="P106" s="101">
        <v>1</v>
      </c>
      <c r="R106" s="101">
        <v>100</v>
      </c>
      <c r="S106" s="101">
        <v>100</v>
      </c>
      <c r="T106" s="101">
        <v>100</v>
      </c>
      <c r="V106" s="101" t="str">
        <v/>
      </c>
      <c r="W106" s="101" t="str">
        <v/>
      </c>
      <c r="Y106" s="101" t="str">
        <v/>
      </c>
      <c r="Z106" s="101" t="str">
        <v/>
      </c>
      <c r="AB106" s="101" t="str">
        <v/>
      </c>
      <c r="AC106" s="101" t="str">
        <v/>
      </c>
      <c r="AE106" s="101" t="str">
        <v/>
      </c>
      <c r="AF106" s="101" t="str">
        <v/>
      </c>
      <c r="AH106" s="8">
        <v>100</v>
      </c>
      <c r="AI106" s="102">
        <v>0.1</v>
      </c>
      <c r="AJ106" s="103">
        <v>10000000</v>
      </c>
    </row>
    <row r="107" spans="2:36">
      <c r="B107" s="101">
        <v>6</v>
      </c>
      <c r="C107" s="101">
        <v>3</v>
      </c>
      <c r="D107" s="101">
        <v>1</v>
      </c>
      <c r="F107" s="101">
        <v>1</v>
      </c>
      <c r="G107" s="101">
        <v>1</v>
      </c>
      <c r="H107" s="101">
        <v>1</v>
      </c>
      <c r="J107" s="101">
        <v>1</v>
      </c>
      <c r="K107" s="101">
        <v>1</v>
      </c>
      <c r="L107" s="101">
        <v>1</v>
      </c>
      <c r="N107" s="101">
        <v>1</v>
      </c>
      <c r="O107" s="101">
        <v>1</v>
      </c>
      <c r="P107" s="101">
        <v>1</v>
      </c>
      <c r="R107" s="101">
        <v>100</v>
      </c>
      <c r="S107" s="101">
        <v>100</v>
      </c>
      <c r="T107" s="101">
        <v>100</v>
      </c>
      <c r="V107" s="101" t="str">
        <v/>
      </c>
      <c r="W107" s="101" t="str">
        <v/>
      </c>
      <c r="Y107" s="101" t="str">
        <v/>
      </c>
      <c r="Z107" s="101" t="str">
        <v/>
      </c>
      <c r="AB107" s="101" t="str">
        <v/>
      </c>
      <c r="AC107" s="101" t="str">
        <v/>
      </c>
      <c r="AE107" s="101" t="str">
        <v/>
      </c>
      <c r="AF107" s="101" t="str">
        <v/>
      </c>
      <c r="AH107" s="8">
        <v>500</v>
      </c>
      <c r="AI107" s="102">
        <v>0.1</v>
      </c>
      <c r="AJ107" s="103">
        <v>10000000</v>
      </c>
    </row>
    <row r="108" spans="2:36">
      <c r="B108" s="101">
        <v>6</v>
      </c>
      <c r="C108" s="101">
        <v>7</v>
      </c>
      <c r="D108" s="101">
        <v>1</v>
      </c>
      <c r="F108" s="101">
        <v>1</v>
      </c>
      <c r="G108" s="101">
        <v>1</v>
      </c>
      <c r="H108" s="101">
        <v>1</v>
      </c>
      <c r="J108" s="101">
        <v>1</v>
      </c>
      <c r="K108" s="101">
        <v>1</v>
      </c>
      <c r="L108" s="101">
        <v>1</v>
      </c>
      <c r="N108" s="101">
        <v>1</v>
      </c>
      <c r="O108" s="101">
        <v>1</v>
      </c>
      <c r="P108" s="101">
        <v>1</v>
      </c>
      <c r="R108" s="101">
        <v>100</v>
      </c>
      <c r="S108" s="101">
        <v>100</v>
      </c>
      <c r="T108" s="101">
        <v>100</v>
      </c>
      <c r="V108" s="101" t="str">
        <v/>
      </c>
      <c r="W108" s="101" t="str">
        <v/>
      </c>
      <c r="Y108" s="101" t="str">
        <v/>
      </c>
      <c r="Z108" s="101" t="str">
        <v/>
      </c>
      <c r="AB108" s="101" t="str">
        <v/>
      </c>
      <c r="AC108" s="101" t="str">
        <v/>
      </c>
      <c r="AE108" s="101" t="str">
        <v/>
      </c>
      <c r="AF108" s="101" t="str">
        <v/>
      </c>
      <c r="AH108" s="8" t="str">
        <v>Re-spin</v>
      </c>
      <c r="AI108" s="102">
        <v>0.3</v>
      </c>
      <c r="AJ108" s="103">
        <v>30000000</v>
      </c>
    </row>
    <row r="109" spans="2:36">
      <c r="B109" s="101">
        <v>2</v>
      </c>
      <c r="C109" s="101">
        <v>7</v>
      </c>
      <c r="D109" s="101">
        <v>3</v>
      </c>
      <c r="F109" s="101">
        <v>1</v>
      </c>
      <c r="G109" s="101">
        <v>1</v>
      </c>
      <c r="H109" s="101">
        <v>1</v>
      </c>
      <c r="J109" s="101">
        <v>1</v>
      </c>
      <c r="K109" s="101">
        <v>1</v>
      </c>
      <c r="L109" s="101">
        <v>1</v>
      </c>
      <c r="N109" s="101">
        <v>1</v>
      </c>
      <c r="O109" s="101">
        <v>1</v>
      </c>
      <c r="P109" s="101">
        <v>1</v>
      </c>
      <c r="R109" s="101">
        <v>100</v>
      </c>
      <c r="S109" s="101">
        <v>100</v>
      </c>
      <c r="T109" s="101">
        <v>100</v>
      </c>
      <c r="V109" s="101" t="str">
        <v/>
      </c>
      <c r="W109" s="101" t="str">
        <v/>
      </c>
      <c r="Y109" s="101" t="str">
        <v/>
      </c>
      <c r="Z109" s="101" t="str">
        <v/>
      </c>
      <c r="AB109" s="101" t="str">
        <v/>
      </c>
      <c r="AC109" s="101" t="str">
        <v/>
      </c>
      <c r="AE109" s="101" t="str">
        <v/>
      </c>
      <c r="AF109" s="101" t="str">
        <v/>
      </c>
      <c r="AJ109" s="104"/>
    </row>
    <row r="110" spans="2:36">
      <c r="B110" s="101">
        <v>2</v>
      </c>
      <c r="C110" s="101">
        <v>7</v>
      </c>
      <c r="D110" s="101">
        <v>3</v>
      </c>
      <c r="F110" s="101">
        <v>1</v>
      </c>
      <c r="G110" s="101">
        <v>1</v>
      </c>
      <c r="H110" s="101">
        <v>1</v>
      </c>
      <c r="J110" s="101">
        <v>1</v>
      </c>
      <c r="K110" s="101">
        <v>1</v>
      </c>
      <c r="L110" s="101">
        <v>1</v>
      </c>
      <c r="N110" s="101">
        <v>1</v>
      </c>
      <c r="O110" s="101">
        <v>1</v>
      </c>
      <c r="P110" s="101">
        <v>1</v>
      </c>
      <c r="R110" s="101">
        <v>100</v>
      </c>
      <c r="S110" s="101">
        <v>100</v>
      </c>
      <c r="T110" s="101">
        <v>100</v>
      </c>
      <c r="V110" s="101" t="str">
        <v/>
      </c>
      <c r="W110" s="101" t="str">
        <v/>
      </c>
      <c r="Y110" s="101" t="str">
        <v/>
      </c>
      <c r="Z110" s="101" t="str">
        <v/>
      </c>
      <c r="AB110" s="101" t="str">
        <v/>
      </c>
      <c r="AC110" s="101" t="str">
        <v/>
      </c>
      <c r="AE110" s="101" t="str">
        <v/>
      </c>
      <c r="AF110" s="101" t="str">
        <v/>
      </c>
    </row>
    <row r="111" spans="2:36" ht="16.2">
      <c r="B111" s="101">
        <v>2</v>
      </c>
      <c r="C111" s="101">
        <v>1</v>
      </c>
      <c r="D111" s="101">
        <v>3</v>
      </c>
      <c r="F111" s="101">
        <v>1</v>
      </c>
      <c r="G111" s="101">
        <v>1</v>
      </c>
      <c r="H111" s="101">
        <v>1</v>
      </c>
      <c r="J111" s="101">
        <v>1</v>
      </c>
      <c r="K111" s="101">
        <v>1</v>
      </c>
      <c r="L111" s="101">
        <v>1</v>
      </c>
      <c r="N111" s="101">
        <v>1</v>
      </c>
      <c r="O111" s="101">
        <v>1</v>
      </c>
      <c r="P111" s="101">
        <v>1</v>
      </c>
      <c r="R111" s="101">
        <v>100</v>
      </c>
      <c r="S111" s="101">
        <v>100</v>
      </c>
      <c r="T111" s="101">
        <v>100</v>
      </c>
      <c r="V111" s="101" t="str">
        <v/>
      </c>
      <c r="W111" s="101" t="str">
        <v/>
      </c>
      <c r="Y111" s="101" t="str">
        <v/>
      </c>
      <c r="Z111" s="101" t="str">
        <v/>
      </c>
      <c r="AB111" s="101" t="str">
        <v/>
      </c>
      <c r="AC111" s="101" t="str">
        <v/>
      </c>
      <c r="AE111" s="101" t="str">
        <v/>
      </c>
      <c r="AF111" s="101" t="str">
        <v/>
      </c>
      <c r="AH111" s="135" t="s">
        <v>109</v>
      </c>
      <c r="AI111" s="147"/>
      <c r="AJ111" s="147"/>
    </row>
    <row r="112" spans="2:36" ht="16.2">
      <c r="B112" s="101">
        <v>6</v>
      </c>
      <c r="C112" s="101">
        <v>1</v>
      </c>
      <c r="D112" s="101">
        <v>7</v>
      </c>
      <c r="F112" s="101">
        <v>1</v>
      </c>
      <c r="G112" s="101">
        <v>1</v>
      </c>
      <c r="H112" s="101">
        <v>1</v>
      </c>
      <c r="J112" s="101">
        <v>1</v>
      </c>
      <c r="K112" s="101">
        <v>1</v>
      </c>
      <c r="L112" s="101">
        <v>1</v>
      </c>
      <c r="N112" s="101">
        <v>1</v>
      </c>
      <c r="O112" s="101">
        <v>1</v>
      </c>
      <c r="P112" s="101">
        <v>1</v>
      </c>
      <c r="R112" s="101">
        <v>100</v>
      </c>
      <c r="S112" s="101">
        <v>100</v>
      </c>
      <c r="T112" s="101">
        <v>100</v>
      </c>
      <c r="V112" s="101" t="str">
        <v/>
      </c>
      <c r="W112" s="101" t="str">
        <v/>
      </c>
      <c r="Y112" s="101" t="str">
        <v/>
      </c>
      <c r="Z112" s="101" t="str">
        <v/>
      </c>
      <c r="AB112" s="101" t="str">
        <v/>
      </c>
      <c r="AC112" s="101" t="str">
        <v/>
      </c>
      <c r="AE112" s="101" t="str">
        <v/>
      </c>
      <c r="AF112" s="101" t="str">
        <v/>
      </c>
      <c r="AH112" s="99" t="str" cm="1">
        <f t="array" ref="AH112:AJ123">'Pay Combo Extra Bet (2)'!Q2:S13</f>
        <v>Re-spin數</v>
      </c>
      <c r="AI112" s="99" t="str">
        <v>比例</v>
      </c>
      <c r="AJ112" s="99" t="str">
        <v>權重</v>
      </c>
    </row>
    <row r="113" spans="2:45">
      <c r="B113" s="101">
        <v>6</v>
      </c>
      <c r="C113" s="101">
        <v>1</v>
      </c>
      <c r="D113" s="101">
        <v>7</v>
      </c>
      <c r="F113" s="101">
        <v>1</v>
      </c>
      <c r="G113" s="101">
        <v>1</v>
      </c>
      <c r="H113" s="101">
        <v>1</v>
      </c>
      <c r="J113" s="101">
        <v>1</v>
      </c>
      <c r="K113" s="101">
        <v>1</v>
      </c>
      <c r="L113" s="101">
        <v>1</v>
      </c>
      <c r="N113" s="101">
        <v>1</v>
      </c>
      <c r="O113" s="101">
        <v>1</v>
      </c>
      <c r="P113" s="101">
        <v>1</v>
      </c>
      <c r="R113" s="101">
        <v>100</v>
      </c>
      <c r="S113" s="101">
        <v>100</v>
      </c>
      <c r="T113" s="101">
        <v>100</v>
      </c>
      <c r="V113" s="101" t="str">
        <v/>
      </c>
      <c r="W113" s="101" t="str">
        <v/>
      </c>
      <c r="Y113" s="101" t="str">
        <v/>
      </c>
      <c r="Z113" s="101" t="str">
        <v/>
      </c>
      <c r="AB113" s="101" t="str">
        <v/>
      </c>
      <c r="AC113" s="101" t="str">
        <v/>
      </c>
      <c r="AE113" s="101" t="str">
        <v/>
      </c>
      <c r="AF113" s="101" t="str">
        <v/>
      </c>
      <c r="AH113" s="8">
        <v>2</v>
      </c>
      <c r="AI113" s="102">
        <v>1.0869565193761815E-9</v>
      </c>
      <c r="AJ113" s="103">
        <v>1</v>
      </c>
    </row>
    <row r="114" spans="2:45">
      <c r="B114" s="101">
        <v>4</v>
      </c>
      <c r="C114" s="101">
        <v>7</v>
      </c>
      <c r="D114" s="101">
        <v>7</v>
      </c>
      <c r="F114" s="101">
        <v>1</v>
      </c>
      <c r="G114" s="101">
        <v>1</v>
      </c>
      <c r="H114" s="101">
        <v>1</v>
      </c>
      <c r="J114" s="101">
        <v>1</v>
      </c>
      <c r="K114" s="101">
        <v>1</v>
      </c>
      <c r="L114" s="101">
        <v>1</v>
      </c>
      <c r="N114" s="101">
        <v>1</v>
      </c>
      <c r="O114" s="101">
        <v>1</v>
      </c>
      <c r="P114" s="101">
        <v>1</v>
      </c>
      <c r="R114" s="101">
        <v>100</v>
      </c>
      <c r="S114" s="101">
        <v>100</v>
      </c>
      <c r="T114" s="101">
        <v>100</v>
      </c>
      <c r="V114" s="101" t="str">
        <v/>
      </c>
      <c r="W114" s="101" t="str">
        <v/>
      </c>
      <c r="Y114" s="101" t="str">
        <v/>
      </c>
      <c r="Z114" s="101" t="str">
        <v/>
      </c>
      <c r="AB114" s="101" t="str">
        <v/>
      </c>
      <c r="AC114" s="101" t="str">
        <v/>
      </c>
      <c r="AE114" s="101" t="str">
        <v/>
      </c>
      <c r="AF114" s="101" t="str">
        <v/>
      </c>
      <c r="AH114" s="8">
        <v>3</v>
      </c>
      <c r="AI114" s="102">
        <v>1.0869565193761815E-9</v>
      </c>
      <c r="AJ114" s="103">
        <v>1</v>
      </c>
    </row>
    <row r="115" spans="2:45">
      <c r="B115" s="101">
        <v>4</v>
      </c>
      <c r="C115" s="101">
        <v>7</v>
      </c>
      <c r="D115" s="101">
        <v>7</v>
      </c>
      <c r="F115" s="101">
        <v>1</v>
      </c>
      <c r="G115" s="101">
        <v>1</v>
      </c>
      <c r="H115" s="101">
        <v>1</v>
      </c>
      <c r="J115" s="101">
        <v>1</v>
      </c>
      <c r="K115" s="101">
        <v>1</v>
      </c>
      <c r="L115" s="101">
        <v>1</v>
      </c>
      <c r="N115" s="101">
        <v>1</v>
      </c>
      <c r="O115" s="101">
        <v>1</v>
      </c>
      <c r="P115" s="101">
        <v>1</v>
      </c>
      <c r="R115" s="101">
        <v>100</v>
      </c>
      <c r="S115" s="101">
        <v>100</v>
      </c>
      <c r="T115" s="101">
        <v>100</v>
      </c>
      <c r="V115" s="101" t="str">
        <v/>
      </c>
      <c r="W115" s="101" t="str">
        <v/>
      </c>
      <c r="Y115" s="101" t="str">
        <v/>
      </c>
      <c r="Z115" s="101" t="str">
        <v/>
      </c>
      <c r="AB115" s="101" t="str">
        <v/>
      </c>
      <c r="AC115" s="101" t="str">
        <v/>
      </c>
      <c r="AE115" s="101" t="str">
        <v/>
      </c>
      <c r="AF115" s="101" t="str">
        <v/>
      </c>
      <c r="AH115" s="8">
        <v>4</v>
      </c>
      <c r="AI115" s="102">
        <v>0.13043478232514177</v>
      </c>
      <c r="AJ115" s="103">
        <v>120000000</v>
      </c>
    </row>
    <row r="116" spans="2:45">
      <c r="B116" s="101">
        <v>2</v>
      </c>
      <c r="C116" s="101">
        <v>7</v>
      </c>
      <c r="D116" s="101">
        <v>4</v>
      </c>
      <c r="F116" s="101">
        <v>1</v>
      </c>
      <c r="G116" s="101">
        <v>1</v>
      </c>
      <c r="H116" s="101">
        <v>1</v>
      </c>
      <c r="J116" s="101">
        <v>1</v>
      </c>
      <c r="K116" s="101">
        <v>1</v>
      </c>
      <c r="L116" s="101">
        <v>1</v>
      </c>
      <c r="N116" s="101">
        <v>1</v>
      </c>
      <c r="O116" s="101">
        <v>1</v>
      </c>
      <c r="P116" s="101">
        <v>1</v>
      </c>
      <c r="R116" s="101">
        <v>100</v>
      </c>
      <c r="S116" s="101">
        <v>100</v>
      </c>
      <c r="T116" s="101">
        <v>100</v>
      </c>
      <c r="V116" s="101" t="str">
        <v/>
      </c>
      <c r="W116" s="101" t="str">
        <v/>
      </c>
      <c r="Y116" s="101" t="str">
        <v/>
      </c>
      <c r="Z116" s="101" t="str">
        <v/>
      </c>
      <c r="AB116" s="101" t="str">
        <v/>
      </c>
      <c r="AC116" s="101" t="str">
        <v/>
      </c>
      <c r="AE116" s="101" t="str">
        <v/>
      </c>
      <c r="AF116" s="101" t="str">
        <v/>
      </c>
      <c r="AH116" s="8">
        <v>5</v>
      </c>
      <c r="AI116" s="102">
        <v>0.13043478232514177</v>
      </c>
      <c r="AJ116" s="103">
        <v>120000000</v>
      </c>
    </row>
    <row r="117" spans="2:45">
      <c r="B117" s="101">
        <v>7</v>
      </c>
      <c r="C117" s="101">
        <v>1</v>
      </c>
      <c r="D117" s="101">
        <v>4</v>
      </c>
      <c r="F117" s="101">
        <v>1</v>
      </c>
      <c r="G117" s="101">
        <v>1</v>
      </c>
      <c r="H117" s="101">
        <v>1</v>
      </c>
      <c r="J117" s="101">
        <v>1</v>
      </c>
      <c r="K117" s="101">
        <v>1</v>
      </c>
      <c r="L117" s="101">
        <v>1</v>
      </c>
      <c r="N117" s="101">
        <v>1</v>
      </c>
      <c r="O117" s="101">
        <v>1</v>
      </c>
      <c r="P117" s="101">
        <v>1</v>
      </c>
      <c r="R117" s="101">
        <v>100</v>
      </c>
      <c r="S117" s="101">
        <v>100</v>
      </c>
      <c r="T117" s="101">
        <v>100</v>
      </c>
      <c r="V117" s="101" t="str">
        <v/>
      </c>
      <c r="W117" s="101" t="str">
        <v/>
      </c>
      <c r="Y117" s="101" t="str">
        <v/>
      </c>
      <c r="Z117" s="101" t="str">
        <v/>
      </c>
      <c r="AB117" s="101" t="str">
        <v/>
      </c>
      <c r="AC117" s="101" t="str">
        <v/>
      </c>
      <c r="AE117" s="101" t="str">
        <v/>
      </c>
      <c r="AF117" s="101" t="str">
        <v/>
      </c>
      <c r="AH117" s="8">
        <v>6</v>
      </c>
      <c r="AI117" s="102">
        <v>0.13043478232514177</v>
      </c>
      <c r="AJ117" s="103">
        <v>120000000</v>
      </c>
    </row>
    <row r="118" spans="2:45">
      <c r="B118" s="101">
        <v>7</v>
      </c>
      <c r="C118" s="101">
        <v>1</v>
      </c>
      <c r="D118" s="101">
        <v>4</v>
      </c>
      <c r="F118" s="101">
        <v>1</v>
      </c>
      <c r="G118" s="101">
        <v>1</v>
      </c>
      <c r="H118" s="101">
        <v>1</v>
      </c>
      <c r="J118" s="101">
        <v>1</v>
      </c>
      <c r="K118" s="101">
        <v>1</v>
      </c>
      <c r="L118" s="101">
        <v>1</v>
      </c>
      <c r="N118" s="101">
        <v>1</v>
      </c>
      <c r="O118" s="101">
        <v>1</v>
      </c>
      <c r="P118" s="101">
        <v>1</v>
      </c>
      <c r="R118" s="101">
        <v>100</v>
      </c>
      <c r="S118" s="101">
        <v>100</v>
      </c>
      <c r="T118" s="101">
        <v>100</v>
      </c>
      <c r="V118" s="101" t="str">
        <v/>
      </c>
      <c r="W118" s="101" t="str">
        <v/>
      </c>
      <c r="Y118" s="101" t="str">
        <v/>
      </c>
      <c r="Z118" s="101" t="str">
        <v/>
      </c>
      <c r="AB118" s="101" t="str">
        <v/>
      </c>
      <c r="AC118" s="101" t="str">
        <v/>
      </c>
      <c r="AE118" s="101" t="str">
        <v/>
      </c>
      <c r="AF118" s="101" t="str">
        <v/>
      </c>
      <c r="AH118" s="8">
        <v>7</v>
      </c>
      <c r="AI118" s="102">
        <v>0.13043478232514177</v>
      </c>
      <c r="AJ118" s="103">
        <v>120000000</v>
      </c>
    </row>
    <row r="119" spans="2:45">
      <c r="B119" s="101">
        <v>2</v>
      </c>
      <c r="C119" s="101">
        <v>1</v>
      </c>
      <c r="D119" s="101">
        <v>3</v>
      </c>
      <c r="F119" s="101">
        <v>1</v>
      </c>
      <c r="G119" s="101">
        <v>1</v>
      </c>
      <c r="H119" s="101">
        <v>1</v>
      </c>
      <c r="J119" s="101">
        <v>1</v>
      </c>
      <c r="K119" s="101">
        <v>1</v>
      </c>
      <c r="L119" s="101">
        <v>1</v>
      </c>
      <c r="N119" s="101">
        <v>1</v>
      </c>
      <c r="O119" s="101">
        <v>1</v>
      </c>
      <c r="P119" s="101">
        <v>1</v>
      </c>
      <c r="R119" s="101">
        <v>100</v>
      </c>
      <c r="S119" s="101">
        <v>100</v>
      </c>
      <c r="T119" s="101">
        <v>100</v>
      </c>
      <c r="V119" s="101" t="str">
        <v/>
      </c>
      <c r="W119" s="101" t="str">
        <v/>
      </c>
      <c r="Y119" s="101" t="str">
        <v/>
      </c>
      <c r="Z119" s="101" t="str">
        <v/>
      </c>
      <c r="AB119" s="101" t="str">
        <v/>
      </c>
      <c r="AC119" s="101" t="str">
        <v/>
      </c>
      <c r="AE119" s="101" t="str">
        <v/>
      </c>
      <c r="AF119" s="101" t="str">
        <v/>
      </c>
      <c r="AH119" s="8">
        <v>8</v>
      </c>
      <c r="AI119" s="102">
        <v>0.13043478232514177</v>
      </c>
      <c r="AJ119" s="103">
        <v>120000000</v>
      </c>
    </row>
    <row r="120" spans="2:45">
      <c r="B120" s="101">
        <v>6</v>
      </c>
      <c r="C120" s="101">
        <v>6</v>
      </c>
      <c r="D120" s="101">
        <v>3</v>
      </c>
      <c r="F120" s="101">
        <v>1</v>
      </c>
      <c r="G120" s="101">
        <v>1</v>
      </c>
      <c r="H120" s="101">
        <v>1</v>
      </c>
      <c r="J120" s="101">
        <v>1</v>
      </c>
      <c r="K120" s="101">
        <v>1</v>
      </c>
      <c r="L120" s="101">
        <v>1</v>
      </c>
      <c r="N120" s="101">
        <v>1</v>
      </c>
      <c r="O120" s="101">
        <v>1</v>
      </c>
      <c r="P120" s="101">
        <v>1</v>
      </c>
      <c r="R120" s="101">
        <v>447</v>
      </c>
      <c r="S120" s="101">
        <v>100</v>
      </c>
      <c r="T120" s="101">
        <v>100</v>
      </c>
      <c r="V120" s="101" t="str">
        <v/>
      </c>
      <c r="W120" s="101" t="str">
        <v/>
      </c>
      <c r="Y120" s="101" t="str">
        <v/>
      </c>
      <c r="Z120" s="101" t="str">
        <v/>
      </c>
      <c r="AB120" s="101" t="str">
        <v/>
      </c>
      <c r="AC120" s="101" t="str">
        <v/>
      </c>
      <c r="AE120" s="101" t="str">
        <v/>
      </c>
      <c r="AF120" s="101" t="str">
        <v/>
      </c>
      <c r="AH120" s="8">
        <v>9</v>
      </c>
      <c r="AI120" s="102">
        <v>8.695652155009452E-2</v>
      </c>
      <c r="AJ120" s="103">
        <v>80000000</v>
      </c>
    </row>
    <row r="121" spans="2:45">
      <c r="B121" s="101">
        <v>6</v>
      </c>
      <c r="C121" s="101">
        <v>6</v>
      </c>
      <c r="D121" s="101">
        <v>3</v>
      </c>
      <c r="F121" s="101">
        <v>1</v>
      </c>
      <c r="G121" s="101">
        <v>1</v>
      </c>
      <c r="H121" s="101">
        <v>1</v>
      </c>
      <c r="J121" s="101">
        <v>1</v>
      </c>
      <c r="K121" s="101">
        <v>1</v>
      </c>
      <c r="L121" s="101">
        <v>1</v>
      </c>
      <c r="N121" s="101">
        <v>1</v>
      </c>
      <c r="O121" s="101">
        <v>1</v>
      </c>
      <c r="P121" s="101">
        <v>1</v>
      </c>
      <c r="R121" s="101">
        <v>373</v>
      </c>
      <c r="S121" s="101">
        <v>100</v>
      </c>
      <c r="T121" s="101">
        <v>100</v>
      </c>
      <c r="V121" s="101" t="str">
        <v/>
      </c>
      <c r="W121" s="101" t="str">
        <v/>
      </c>
      <c r="Y121" s="101" t="str">
        <v/>
      </c>
      <c r="Z121" s="101" t="str">
        <v/>
      </c>
      <c r="AB121" s="101" t="str">
        <v/>
      </c>
      <c r="AC121" s="101" t="str">
        <v/>
      </c>
      <c r="AE121" s="101" t="str">
        <v/>
      </c>
      <c r="AF121" s="101" t="str">
        <v/>
      </c>
      <c r="AH121" s="8">
        <v>10</v>
      </c>
      <c r="AI121" s="102">
        <v>8.695652155009452E-2</v>
      </c>
      <c r="AJ121" s="103">
        <v>80000000</v>
      </c>
    </row>
    <row r="122" spans="2:45">
      <c r="B122" s="101">
        <v>0</v>
      </c>
      <c r="C122" s="101">
        <v>2</v>
      </c>
      <c r="D122" s="101">
        <v>5</v>
      </c>
      <c r="F122" s="101">
        <v>1</v>
      </c>
      <c r="G122" s="101">
        <v>1</v>
      </c>
      <c r="H122" s="101">
        <v>1</v>
      </c>
      <c r="J122" s="101">
        <v>1</v>
      </c>
      <c r="K122" s="101">
        <v>1</v>
      </c>
      <c r="L122" s="101">
        <v>1</v>
      </c>
      <c r="N122" s="101">
        <v>1</v>
      </c>
      <c r="O122" s="101">
        <v>1</v>
      </c>
      <c r="P122" s="101">
        <v>1</v>
      </c>
      <c r="R122" s="101">
        <v>298</v>
      </c>
      <c r="S122" s="101">
        <v>100</v>
      </c>
      <c r="T122" s="101">
        <v>100</v>
      </c>
      <c r="V122" s="101" t="str">
        <v/>
      </c>
      <c r="W122" s="101" t="str">
        <v/>
      </c>
      <c r="Y122" s="101" t="str">
        <v/>
      </c>
      <c r="Z122" s="101" t="str">
        <v/>
      </c>
      <c r="AB122" s="101" t="str">
        <v/>
      </c>
      <c r="AC122" s="101" t="str">
        <v/>
      </c>
      <c r="AE122" s="101" t="str">
        <v/>
      </c>
      <c r="AF122" s="101" t="str">
        <v/>
      </c>
      <c r="AH122" s="8">
        <v>20</v>
      </c>
      <c r="AI122" s="102">
        <v>8.695652155009452E-2</v>
      </c>
      <c r="AJ122" s="103">
        <v>80000000</v>
      </c>
    </row>
    <row r="123" spans="2:45">
      <c r="B123" s="101">
        <v>0</v>
      </c>
      <c r="C123" s="101">
        <v>2</v>
      </c>
      <c r="D123" s="101">
        <v>5</v>
      </c>
      <c r="F123" s="101">
        <v>1</v>
      </c>
      <c r="G123" s="101">
        <v>1</v>
      </c>
      <c r="H123" s="101">
        <v>1</v>
      </c>
      <c r="J123" s="101">
        <v>1</v>
      </c>
      <c r="K123" s="101">
        <v>1</v>
      </c>
      <c r="L123" s="101">
        <v>1</v>
      </c>
      <c r="N123" s="101">
        <v>1</v>
      </c>
      <c r="O123" s="101">
        <v>1</v>
      </c>
      <c r="P123" s="101">
        <v>1</v>
      </c>
      <c r="R123" s="101">
        <v>373</v>
      </c>
      <c r="S123" s="101">
        <v>100</v>
      </c>
      <c r="T123" s="101">
        <v>100</v>
      </c>
      <c r="V123" s="101" t="str">
        <v/>
      </c>
      <c r="W123" s="101" t="str">
        <v/>
      </c>
      <c r="Y123" s="101" t="str">
        <v/>
      </c>
      <c r="Z123" s="101" t="str">
        <v/>
      </c>
      <c r="AB123" s="101" t="str">
        <v/>
      </c>
      <c r="AC123" s="101" t="str">
        <v/>
      </c>
      <c r="AE123" s="101" t="str">
        <v/>
      </c>
      <c r="AF123" s="101" t="str">
        <v/>
      </c>
      <c r="AH123" s="8">
        <v>50</v>
      </c>
      <c r="AI123" s="102">
        <v>8.695652155009452E-2</v>
      </c>
      <c r="AJ123" s="103">
        <v>80000000</v>
      </c>
    </row>
    <row r="124" spans="2:45">
      <c r="B124" s="101">
        <v>0</v>
      </c>
      <c r="C124" s="101">
        <v>7</v>
      </c>
      <c r="D124" s="101">
        <v>5</v>
      </c>
      <c r="F124" s="101">
        <v>1</v>
      </c>
      <c r="G124" s="101">
        <v>1</v>
      </c>
      <c r="H124" s="101">
        <v>1</v>
      </c>
      <c r="J124" s="101">
        <v>1</v>
      </c>
      <c r="K124" s="101">
        <v>1</v>
      </c>
      <c r="L124" s="101">
        <v>1</v>
      </c>
      <c r="N124" s="101">
        <v>1</v>
      </c>
      <c r="O124" s="101">
        <v>1</v>
      </c>
      <c r="P124" s="101">
        <v>1</v>
      </c>
      <c r="R124" s="101">
        <v>447</v>
      </c>
      <c r="S124" s="101">
        <v>100</v>
      </c>
      <c r="T124" s="101">
        <v>100</v>
      </c>
      <c r="V124" s="101" t="str">
        <v/>
      </c>
      <c r="W124" s="101" t="str">
        <v/>
      </c>
      <c r="Y124" s="101" t="str">
        <v/>
      </c>
      <c r="Z124" s="101" t="str">
        <v/>
      </c>
      <c r="AB124" s="101" t="str">
        <v/>
      </c>
      <c r="AC124" s="101" t="str">
        <v/>
      </c>
      <c r="AE124" s="101" t="str">
        <v/>
      </c>
      <c r="AF124" s="101" t="str">
        <v/>
      </c>
      <c r="AJ124" s="104"/>
    </row>
    <row r="125" spans="2:45">
      <c r="B125" s="101">
        <v>7</v>
      </c>
      <c r="C125" s="101">
        <v>7</v>
      </c>
      <c r="D125" s="101">
        <v>3</v>
      </c>
      <c r="F125" s="101">
        <v>1</v>
      </c>
      <c r="G125" s="101">
        <v>1</v>
      </c>
      <c r="H125" s="101">
        <v>1</v>
      </c>
      <c r="J125" s="101">
        <v>1</v>
      </c>
      <c r="K125" s="101">
        <v>1</v>
      </c>
      <c r="L125" s="101">
        <v>1</v>
      </c>
      <c r="N125" s="101">
        <v>1</v>
      </c>
      <c r="O125" s="101">
        <v>1</v>
      </c>
      <c r="P125" s="101">
        <v>1</v>
      </c>
      <c r="R125" s="101">
        <v>100</v>
      </c>
      <c r="S125" s="101">
        <v>100</v>
      </c>
      <c r="T125" s="101">
        <v>100</v>
      </c>
      <c r="V125" s="101" t="str">
        <v/>
      </c>
      <c r="W125" s="101" t="str">
        <v/>
      </c>
      <c r="Y125" s="101" t="str">
        <v/>
      </c>
      <c r="Z125" s="101" t="str">
        <v/>
      </c>
      <c r="AB125" s="101" t="str">
        <v/>
      </c>
      <c r="AC125" s="101" t="str">
        <v/>
      </c>
      <c r="AE125" s="101" t="str">
        <v/>
      </c>
      <c r="AF125" s="101" t="str">
        <v/>
      </c>
    </row>
    <row r="126" spans="2:45" ht="16.2">
      <c r="B126" s="101" t="str">
        <v/>
      </c>
      <c r="C126" s="101">
        <v>3</v>
      </c>
      <c r="D126" s="101">
        <v>3</v>
      </c>
      <c r="F126" s="101" t="str">
        <v/>
      </c>
      <c r="G126" s="101">
        <v>1</v>
      </c>
      <c r="H126" s="101">
        <v>1</v>
      </c>
      <c r="J126" s="101" t="str">
        <v/>
      </c>
      <c r="K126" s="101">
        <v>1</v>
      </c>
      <c r="L126" s="101">
        <v>1</v>
      </c>
      <c r="N126" s="101" t="str">
        <v/>
      </c>
      <c r="O126" s="101">
        <v>1</v>
      </c>
      <c r="P126" s="101">
        <v>1</v>
      </c>
      <c r="R126" s="101" t="str">
        <v/>
      </c>
      <c r="S126" s="101">
        <v>100</v>
      </c>
      <c r="T126" s="101">
        <v>100</v>
      </c>
      <c r="V126" s="101" t="str">
        <v/>
      </c>
      <c r="W126" s="101" t="str">
        <v/>
      </c>
      <c r="Y126" s="101" t="str">
        <v/>
      </c>
      <c r="Z126" s="101" t="str">
        <v/>
      </c>
      <c r="AB126" s="101" t="str">
        <v/>
      </c>
      <c r="AC126" s="101" t="str">
        <v/>
      </c>
      <c r="AE126" s="101" t="str">
        <v/>
      </c>
      <c r="AF126" s="101" t="str">
        <v/>
      </c>
      <c r="AH126" s="135" t="s">
        <v>110</v>
      </c>
      <c r="AI126" s="147"/>
      <c r="AJ126" s="147"/>
      <c r="AK126" s="147"/>
      <c r="AL126" s="147"/>
      <c r="AM126" s="147"/>
      <c r="AN126" s="147"/>
      <c r="AO126" s="147"/>
      <c r="AP126" s="147"/>
      <c r="AQ126" s="147"/>
      <c r="AR126" s="147"/>
      <c r="AS126" s="147"/>
    </row>
    <row r="127" spans="2:45" ht="16.2">
      <c r="B127" s="101" t="str">
        <v/>
      </c>
      <c r="C127" s="101">
        <v>3</v>
      </c>
      <c r="D127" s="101">
        <v>6</v>
      </c>
      <c r="F127" s="101" t="str">
        <v/>
      </c>
      <c r="G127" s="101">
        <v>1</v>
      </c>
      <c r="H127" s="101">
        <v>1</v>
      </c>
      <c r="J127" s="101" t="str">
        <v/>
      </c>
      <c r="K127" s="101">
        <v>1</v>
      </c>
      <c r="L127" s="101">
        <v>1</v>
      </c>
      <c r="N127" s="101" t="str">
        <v/>
      </c>
      <c r="O127" s="101">
        <v>1</v>
      </c>
      <c r="P127" s="101">
        <v>1</v>
      </c>
      <c r="R127" s="101" t="str">
        <v/>
      </c>
      <c r="S127" s="101">
        <v>100</v>
      </c>
      <c r="T127" s="101">
        <v>100</v>
      </c>
      <c r="V127" s="101" t="str">
        <v/>
      </c>
      <c r="W127" s="101" t="str">
        <v/>
      </c>
      <c r="Y127" s="101" t="str">
        <v/>
      </c>
      <c r="Z127" s="101" t="str">
        <v/>
      </c>
      <c r="AB127" s="101" t="str">
        <v/>
      </c>
      <c r="AC127" s="101" t="str">
        <v/>
      </c>
      <c r="AE127" s="101" t="str">
        <v/>
      </c>
      <c r="AF127" s="101" t="str">
        <v/>
      </c>
      <c r="AH127" s="99" t="str" cm="1">
        <f t="array" ref="AH127:AH138">'Pay Combo Extra Bet (2)'!V2:V13</f>
        <v>Re-spin倍數權重</v>
      </c>
      <c r="AI127" s="99" cm="1">
        <f t="array" ref="AI127:AS138">'Pay Combo Extra Bet (2)'!AH2:AR13</f>
        <v>2</v>
      </c>
      <c r="AJ127" s="99">
        <v>3</v>
      </c>
      <c r="AK127" s="99">
        <v>4</v>
      </c>
      <c r="AL127" s="99">
        <v>5</v>
      </c>
      <c r="AM127" s="99">
        <v>6</v>
      </c>
      <c r="AN127" s="99">
        <v>7</v>
      </c>
      <c r="AO127" s="99">
        <v>8</v>
      </c>
      <c r="AP127" s="99">
        <v>9</v>
      </c>
      <c r="AQ127" s="99">
        <v>10</v>
      </c>
      <c r="AR127" s="99">
        <v>20</v>
      </c>
      <c r="AS127" s="99">
        <v>50</v>
      </c>
    </row>
    <row r="128" spans="2:45">
      <c r="B128" s="101" t="str">
        <v/>
      </c>
      <c r="C128" s="101">
        <v>3</v>
      </c>
      <c r="D128" s="101">
        <v>6</v>
      </c>
      <c r="F128" s="101" t="str">
        <v/>
      </c>
      <c r="G128" s="101">
        <v>1</v>
      </c>
      <c r="H128" s="101">
        <v>1</v>
      </c>
      <c r="J128" s="101" t="str">
        <v/>
      </c>
      <c r="K128" s="101">
        <v>1</v>
      </c>
      <c r="L128" s="101">
        <v>1</v>
      </c>
      <c r="N128" s="101" t="str">
        <v/>
      </c>
      <c r="O128" s="101">
        <v>1</v>
      </c>
      <c r="P128" s="101">
        <v>1</v>
      </c>
      <c r="R128" s="101" t="str">
        <v/>
      </c>
      <c r="S128" s="101">
        <v>100</v>
      </c>
      <c r="T128" s="101">
        <v>100</v>
      </c>
      <c r="V128" s="101" t="str">
        <v/>
      </c>
      <c r="W128" s="101" t="str">
        <v/>
      </c>
      <c r="Y128" s="101" t="str">
        <v/>
      </c>
      <c r="Z128" s="101" t="str">
        <v/>
      </c>
      <c r="AB128" s="101" t="str">
        <v/>
      </c>
      <c r="AC128" s="101" t="str">
        <v/>
      </c>
      <c r="AE128" s="101" t="str">
        <v/>
      </c>
      <c r="AF128" s="101" t="str">
        <v/>
      </c>
      <c r="AH128" s="8">
        <v>1</v>
      </c>
      <c r="AI128" s="103">
        <v>0</v>
      </c>
      <c r="AJ128" s="103">
        <v>0</v>
      </c>
      <c r="AK128" s="103">
        <v>0</v>
      </c>
      <c r="AL128" s="103">
        <v>0</v>
      </c>
      <c r="AM128" s="103">
        <v>0</v>
      </c>
      <c r="AN128" s="103">
        <v>0</v>
      </c>
      <c r="AO128" s="103">
        <v>0</v>
      </c>
      <c r="AP128" s="103">
        <v>0</v>
      </c>
      <c r="AQ128" s="103">
        <v>0</v>
      </c>
      <c r="AR128" s="103">
        <v>0</v>
      </c>
      <c r="AS128" s="103">
        <v>0</v>
      </c>
    </row>
    <row r="129" spans="2:45">
      <c r="B129" s="101" t="str">
        <v/>
      </c>
      <c r="C129" s="101">
        <v>5</v>
      </c>
      <c r="D129" s="101">
        <v>6</v>
      </c>
      <c r="F129" s="101" t="str">
        <v/>
      </c>
      <c r="G129" s="101">
        <v>1</v>
      </c>
      <c r="H129" s="101">
        <v>1</v>
      </c>
      <c r="J129" s="101" t="str">
        <v/>
      </c>
      <c r="K129" s="101">
        <v>1</v>
      </c>
      <c r="L129" s="101">
        <v>1</v>
      </c>
      <c r="N129" s="101" t="str">
        <v/>
      </c>
      <c r="O129" s="101">
        <v>1</v>
      </c>
      <c r="P129" s="101">
        <v>1</v>
      </c>
      <c r="R129" s="101" t="str">
        <v/>
      </c>
      <c r="S129" s="101">
        <v>100</v>
      </c>
      <c r="T129" s="101">
        <v>100</v>
      </c>
      <c r="V129" s="101" t="str">
        <v/>
      </c>
      <c r="W129" s="101" t="str">
        <v/>
      </c>
      <c r="Y129" s="101" t="str">
        <v/>
      </c>
      <c r="Z129" s="101" t="str">
        <v/>
      </c>
      <c r="AB129" s="101" t="str">
        <v/>
      </c>
      <c r="AC129" s="101" t="str">
        <v/>
      </c>
      <c r="AE129" s="101" t="str">
        <v/>
      </c>
      <c r="AF129" s="101" t="str">
        <v/>
      </c>
      <c r="AH129" s="8">
        <v>2</v>
      </c>
      <c r="AI129" s="103">
        <v>0</v>
      </c>
      <c r="AJ129" s="103">
        <v>0</v>
      </c>
      <c r="AK129" s="103">
        <v>0</v>
      </c>
      <c r="AL129" s="103">
        <v>0</v>
      </c>
      <c r="AM129" s="103">
        <v>0</v>
      </c>
      <c r="AN129" s="103">
        <v>0</v>
      </c>
      <c r="AO129" s="103">
        <v>0</v>
      </c>
      <c r="AP129" s="103">
        <v>0</v>
      </c>
      <c r="AQ129" s="103">
        <v>0</v>
      </c>
      <c r="AR129" s="103">
        <v>0</v>
      </c>
      <c r="AS129" s="103">
        <v>0</v>
      </c>
    </row>
    <row r="130" spans="2:45">
      <c r="B130" s="101" t="str">
        <v/>
      </c>
      <c r="C130" s="101">
        <v>5</v>
      </c>
      <c r="D130" s="101">
        <v>2</v>
      </c>
      <c r="F130" s="101" t="str">
        <v/>
      </c>
      <c r="G130" s="101">
        <v>1</v>
      </c>
      <c r="H130" s="101">
        <v>1</v>
      </c>
      <c r="J130" s="101" t="str">
        <v/>
      </c>
      <c r="K130" s="101">
        <v>1</v>
      </c>
      <c r="L130" s="101">
        <v>1</v>
      </c>
      <c r="N130" s="101" t="str">
        <v/>
      </c>
      <c r="O130" s="101">
        <v>1</v>
      </c>
      <c r="P130" s="101">
        <v>1</v>
      </c>
      <c r="R130" s="101" t="str">
        <v/>
      </c>
      <c r="S130" s="101">
        <v>100</v>
      </c>
      <c r="T130" s="101">
        <v>100</v>
      </c>
      <c r="V130" s="101" t="str">
        <v/>
      </c>
      <c r="W130" s="101" t="str">
        <v/>
      </c>
      <c r="Y130" s="101" t="str">
        <v/>
      </c>
      <c r="Z130" s="101" t="str">
        <v/>
      </c>
      <c r="AB130" s="101" t="str">
        <v/>
      </c>
      <c r="AC130" s="101" t="str">
        <v/>
      </c>
      <c r="AE130" s="101" t="str">
        <v/>
      </c>
      <c r="AF130" s="101" t="str">
        <v/>
      </c>
      <c r="AH130" s="8">
        <v>3</v>
      </c>
      <c r="AI130" s="103">
        <v>0</v>
      </c>
      <c r="AJ130" s="103">
        <v>0</v>
      </c>
      <c r="AK130" s="103">
        <v>0</v>
      </c>
      <c r="AL130" s="103">
        <v>0</v>
      </c>
      <c r="AM130" s="103">
        <v>0</v>
      </c>
      <c r="AN130" s="103">
        <v>0</v>
      </c>
      <c r="AO130" s="103">
        <v>0</v>
      </c>
      <c r="AP130" s="103">
        <v>0</v>
      </c>
      <c r="AQ130" s="103">
        <v>0</v>
      </c>
      <c r="AR130" s="103">
        <v>0</v>
      </c>
      <c r="AS130" s="103">
        <v>0</v>
      </c>
    </row>
    <row r="131" spans="2:45">
      <c r="B131" s="101" t="str">
        <v/>
      </c>
      <c r="C131" s="101">
        <v>6</v>
      </c>
      <c r="D131" s="101">
        <v>2</v>
      </c>
      <c r="F131" s="101" t="str">
        <v/>
      </c>
      <c r="G131" s="101">
        <v>1</v>
      </c>
      <c r="H131" s="101">
        <v>1</v>
      </c>
      <c r="J131" s="101" t="str">
        <v/>
      </c>
      <c r="K131" s="101">
        <v>1</v>
      </c>
      <c r="L131" s="101">
        <v>1</v>
      </c>
      <c r="N131" s="101" t="str">
        <v/>
      </c>
      <c r="O131" s="101">
        <v>1</v>
      </c>
      <c r="P131" s="101">
        <v>1</v>
      </c>
      <c r="R131" s="101" t="str">
        <v/>
      </c>
      <c r="S131" s="101">
        <v>100</v>
      </c>
      <c r="T131" s="101">
        <v>677</v>
      </c>
      <c r="V131" s="101" t="str">
        <v/>
      </c>
      <c r="W131" s="101" t="str">
        <v/>
      </c>
      <c r="Y131" s="101" t="str">
        <v/>
      </c>
      <c r="Z131" s="101" t="str">
        <v/>
      </c>
      <c r="AB131" s="101" t="str">
        <v/>
      </c>
      <c r="AC131" s="101" t="str">
        <v/>
      </c>
      <c r="AE131" s="101" t="str">
        <v/>
      </c>
      <c r="AF131" s="101" t="str">
        <v/>
      </c>
      <c r="AH131" s="8">
        <v>5</v>
      </c>
      <c r="AI131" s="103">
        <v>0</v>
      </c>
      <c r="AJ131" s="103">
        <v>0</v>
      </c>
      <c r="AK131" s="103">
        <v>0</v>
      </c>
      <c r="AL131" s="103">
        <v>0</v>
      </c>
      <c r="AM131" s="103">
        <v>0</v>
      </c>
      <c r="AN131" s="103">
        <v>0</v>
      </c>
      <c r="AO131" s="103">
        <v>0</v>
      </c>
      <c r="AP131" s="103">
        <v>0</v>
      </c>
      <c r="AQ131" s="103">
        <v>0</v>
      </c>
      <c r="AR131" s="103">
        <v>0</v>
      </c>
      <c r="AS131" s="103">
        <v>0</v>
      </c>
    </row>
    <row r="132" spans="2:45">
      <c r="B132" s="101" t="str">
        <v/>
      </c>
      <c r="C132" s="101">
        <v>6</v>
      </c>
      <c r="D132" s="101">
        <v>2</v>
      </c>
      <c r="F132" s="101" t="str">
        <v/>
      </c>
      <c r="G132" s="101">
        <v>1</v>
      </c>
      <c r="H132" s="101">
        <v>1</v>
      </c>
      <c r="J132" s="101" t="str">
        <v/>
      </c>
      <c r="K132" s="101">
        <v>1</v>
      </c>
      <c r="L132" s="101">
        <v>1</v>
      </c>
      <c r="N132" s="101" t="str">
        <v/>
      </c>
      <c r="O132" s="101">
        <v>1</v>
      </c>
      <c r="P132" s="101">
        <v>1</v>
      </c>
      <c r="R132" s="101" t="str">
        <v/>
      </c>
      <c r="S132" s="101">
        <v>100</v>
      </c>
      <c r="T132" s="101">
        <v>564</v>
      </c>
      <c r="V132" s="101" t="str">
        <v/>
      </c>
      <c r="W132" s="101" t="str">
        <v/>
      </c>
      <c r="Y132" s="101" t="str">
        <v/>
      </c>
      <c r="Z132" s="101" t="str">
        <v/>
      </c>
      <c r="AB132" s="101" t="str">
        <v/>
      </c>
      <c r="AC132" s="101" t="str">
        <v/>
      </c>
      <c r="AE132" s="101" t="str">
        <v/>
      </c>
      <c r="AF132" s="101" t="str">
        <v/>
      </c>
      <c r="AH132" s="8">
        <v>10</v>
      </c>
      <c r="AI132" s="103">
        <v>10000000</v>
      </c>
      <c r="AJ132" s="103">
        <v>10000000</v>
      </c>
      <c r="AK132" s="103">
        <v>10000000</v>
      </c>
      <c r="AL132" s="103">
        <v>10000000</v>
      </c>
      <c r="AM132" s="103">
        <v>10000000</v>
      </c>
      <c r="AN132" s="103">
        <v>10000000</v>
      </c>
      <c r="AO132" s="103">
        <v>10000000</v>
      </c>
      <c r="AP132" s="103">
        <v>10000000</v>
      </c>
      <c r="AQ132" s="103">
        <v>10000000</v>
      </c>
      <c r="AR132" s="103">
        <v>10000000</v>
      </c>
      <c r="AS132" s="103">
        <v>10000000</v>
      </c>
    </row>
    <row r="133" spans="2:45">
      <c r="B133" s="101" t="str">
        <v/>
      </c>
      <c r="C133" s="101">
        <v>6</v>
      </c>
      <c r="D133" s="101">
        <v>0</v>
      </c>
      <c r="F133" s="101" t="str">
        <v/>
      </c>
      <c r="G133" s="101">
        <v>1</v>
      </c>
      <c r="H133" s="101">
        <v>1</v>
      </c>
      <c r="J133" s="101" t="str">
        <v/>
      </c>
      <c r="K133" s="101">
        <v>1</v>
      </c>
      <c r="L133" s="101">
        <v>1</v>
      </c>
      <c r="N133" s="101" t="str">
        <v/>
      </c>
      <c r="O133" s="101">
        <v>1</v>
      </c>
      <c r="P133" s="101">
        <v>1</v>
      </c>
      <c r="R133" s="101" t="str">
        <v/>
      </c>
      <c r="S133" s="101">
        <v>100</v>
      </c>
      <c r="T133" s="101">
        <v>451</v>
      </c>
      <c r="V133" s="101" t="str">
        <v/>
      </c>
      <c r="W133" s="101" t="str">
        <v/>
      </c>
      <c r="Y133" s="101" t="str">
        <v/>
      </c>
      <c r="Z133" s="101" t="str">
        <v/>
      </c>
      <c r="AB133" s="101" t="str">
        <v/>
      </c>
      <c r="AC133" s="101" t="str">
        <v/>
      </c>
      <c r="AE133" s="101" t="str">
        <v/>
      </c>
      <c r="AF133" s="101" t="str">
        <v/>
      </c>
      <c r="AH133" s="8">
        <v>15</v>
      </c>
      <c r="AI133" s="103">
        <v>20000000</v>
      </c>
      <c r="AJ133" s="103">
        <v>20000000</v>
      </c>
      <c r="AK133" s="103">
        <v>20000000</v>
      </c>
      <c r="AL133" s="103">
        <v>20000000</v>
      </c>
      <c r="AM133" s="103">
        <v>20000000</v>
      </c>
      <c r="AN133" s="103">
        <v>20000000</v>
      </c>
      <c r="AO133" s="103">
        <v>20000000</v>
      </c>
      <c r="AP133" s="103">
        <v>20000000</v>
      </c>
      <c r="AQ133" s="103">
        <v>20000000</v>
      </c>
      <c r="AR133" s="103">
        <v>20000000</v>
      </c>
      <c r="AS133" s="103">
        <v>20000000</v>
      </c>
    </row>
    <row r="134" spans="2:45">
      <c r="B134" s="101" t="str">
        <v/>
      </c>
      <c r="C134" s="101">
        <v>3</v>
      </c>
      <c r="D134" s="101">
        <v>0</v>
      </c>
      <c r="F134" s="101" t="str">
        <v/>
      </c>
      <c r="G134" s="101">
        <v>1</v>
      </c>
      <c r="H134" s="101">
        <v>1</v>
      </c>
      <c r="J134" s="101" t="str">
        <v/>
      </c>
      <c r="K134" s="101">
        <v>1</v>
      </c>
      <c r="L134" s="101">
        <v>1</v>
      </c>
      <c r="N134" s="101" t="str">
        <v/>
      </c>
      <c r="O134" s="101">
        <v>1</v>
      </c>
      <c r="P134" s="101">
        <v>1</v>
      </c>
      <c r="R134" s="101" t="str">
        <v/>
      </c>
      <c r="S134" s="101">
        <v>100</v>
      </c>
      <c r="T134" s="101">
        <v>564</v>
      </c>
      <c r="V134" s="101" t="str">
        <v/>
      </c>
      <c r="W134" s="101" t="str">
        <v/>
      </c>
      <c r="Y134" s="101" t="str">
        <v/>
      </c>
      <c r="Z134" s="101" t="str">
        <v/>
      </c>
      <c r="AB134" s="101" t="str">
        <v/>
      </c>
      <c r="AC134" s="101" t="str">
        <v/>
      </c>
      <c r="AE134" s="101" t="str">
        <v/>
      </c>
      <c r="AF134" s="101" t="str">
        <v/>
      </c>
      <c r="AH134" s="8">
        <v>20</v>
      </c>
      <c r="AI134" s="103">
        <v>20000000</v>
      </c>
      <c r="AJ134" s="103">
        <v>20000000</v>
      </c>
      <c r="AK134" s="103">
        <v>20000000</v>
      </c>
      <c r="AL134" s="103">
        <v>20000000</v>
      </c>
      <c r="AM134" s="103">
        <v>20000000</v>
      </c>
      <c r="AN134" s="103">
        <v>20000000</v>
      </c>
      <c r="AO134" s="103">
        <v>20000000</v>
      </c>
      <c r="AP134" s="103">
        <v>20000000</v>
      </c>
      <c r="AQ134" s="103">
        <v>20000000</v>
      </c>
      <c r="AR134" s="103">
        <v>20000000</v>
      </c>
      <c r="AS134" s="103">
        <v>20000000</v>
      </c>
    </row>
    <row r="135" spans="2:45">
      <c r="B135" s="101" t="str">
        <v/>
      </c>
      <c r="C135" s="101">
        <v>3</v>
      </c>
      <c r="D135" s="101">
        <v>0</v>
      </c>
      <c r="F135" s="101" t="str">
        <v/>
      </c>
      <c r="G135" s="101">
        <v>1</v>
      </c>
      <c r="H135" s="101">
        <v>1</v>
      </c>
      <c r="J135" s="101" t="str">
        <v/>
      </c>
      <c r="K135" s="101">
        <v>1</v>
      </c>
      <c r="L135" s="101">
        <v>1</v>
      </c>
      <c r="N135" s="101" t="str">
        <v/>
      </c>
      <c r="O135" s="101">
        <v>1</v>
      </c>
      <c r="P135" s="101">
        <v>1</v>
      </c>
      <c r="R135" s="101" t="str">
        <v/>
      </c>
      <c r="S135" s="101">
        <v>100</v>
      </c>
      <c r="T135" s="101">
        <v>677</v>
      </c>
      <c r="V135" s="101" t="str">
        <v/>
      </c>
      <c r="W135" s="101" t="str">
        <v/>
      </c>
      <c r="Y135" s="101" t="str">
        <v/>
      </c>
      <c r="Z135" s="101" t="str">
        <v/>
      </c>
      <c r="AB135" s="101" t="str">
        <v/>
      </c>
      <c r="AC135" s="101" t="str">
        <v/>
      </c>
      <c r="AE135" s="101" t="str">
        <v/>
      </c>
      <c r="AF135" s="101" t="str">
        <v/>
      </c>
      <c r="AH135" s="8">
        <v>25</v>
      </c>
      <c r="AI135" s="103">
        <v>15000000</v>
      </c>
      <c r="AJ135" s="103">
        <v>15000000</v>
      </c>
      <c r="AK135" s="103">
        <v>15000000</v>
      </c>
      <c r="AL135" s="103">
        <v>15000000</v>
      </c>
      <c r="AM135" s="103">
        <v>15000000</v>
      </c>
      <c r="AN135" s="103">
        <v>15000000</v>
      </c>
      <c r="AO135" s="103">
        <v>15000000</v>
      </c>
      <c r="AP135" s="103">
        <v>15000000</v>
      </c>
      <c r="AQ135" s="103">
        <v>15000000</v>
      </c>
      <c r="AR135" s="103">
        <v>15000000</v>
      </c>
      <c r="AS135" s="103">
        <v>15000000</v>
      </c>
    </row>
    <row r="136" spans="2:45">
      <c r="B136" s="101" t="str">
        <v/>
      </c>
      <c r="C136" s="101">
        <v>3</v>
      </c>
      <c r="D136" s="101">
        <v>6</v>
      </c>
      <c r="F136" s="101" t="str">
        <v/>
      </c>
      <c r="G136" s="101">
        <v>1</v>
      </c>
      <c r="H136" s="101">
        <v>1</v>
      </c>
      <c r="J136" s="101" t="str">
        <v/>
      </c>
      <c r="K136" s="101">
        <v>1</v>
      </c>
      <c r="L136" s="101">
        <v>1</v>
      </c>
      <c r="N136" s="101" t="str">
        <v/>
      </c>
      <c r="O136" s="101">
        <v>1</v>
      </c>
      <c r="P136" s="101">
        <v>1</v>
      </c>
      <c r="R136" s="101" t="str">
        <v/>
      </c>
      <c r="S136" s="101">
        <v>100</v>
      </c>
      <c r="T136" s="101">
        <v>100</v>
      </c>
      <c r="V136" s="101" t="str">
        <v/>
      </c>
      <c r="W136" s="101" t="str">
        <v/>
      </c>
      <c r="Y136" s="101" t="str">
        <v/>
      </c>
      <c r="Z136" s="101" t="str">
        <v/>
      </c>
      <c r="AB136" s="101" t="str">
        <v/>
      </c>
      <c r="AC136" s="101" t="str">
        <v/>
      </c>
      <c r="AE136" s="101" t="str">
        <v/>
      </c>
      <c r="AF136" s="101" t="str">
        <v/>
      </c>
      <c r="AH136" s="8">
        <v>50</v>
      </c>
      <c r="AI136" s="103">
        <v>15000000</v>
      </c>
      <c r="AJ136" s="103">
        <v>15000000</v>
      </c>
      <c r="AK136" s="103">
        <v>15000000</v>
      </c>
      <c r="AL136" s="103">
        <v>15000000</v>
      </c>
      <c r="AM136" s="103">
        <v>15000000</v>
      </c>
      <c r="AN136" s="103">
        <v>15000000</v>
      </c>
      <c r="AO136" s="103">
        <v>15000000</v>
      </c>
      <c r="AP136" s="103">
        <v>15000000</v>
      </c>
      <c r="AQ136" s="103">
        <v>15000000</v>
      </c>
      <c r="AR136" s="103">
        <v>15000000</v>
      </c>
      <c r="AS136" s="103">
        <v>15000000</v>
      </c>
    </row>
    <row r="137" spans="2:45">
      <c r="B137" s="101" t="str">
        <v/>
      </c>
      <c r="C137" s="101">
        <v>5</v>
      </c>
      <c r="D137" s="101">
        <v>6</v>
      </c>
      <c r="F137" s="101" t="str">
        <v/>
      </c>
      <c r="G137" s="101">
        <v>1</v>
      </c>
      <c r="H137" s="101">
        <v>1</v>
      </c>
      <c r="J137" s="101" t="str">
        <v/>
      </c>
      <c r="K137" s="101">
        <v>1</v>
      </c>
      <c r="L137" s="101">
        <v>1</v>
      </c>
      <c r="N137" s="101" t="str">
        <v/>
      </c>
      <c r="O137" s="101">
        <v>1</v>
      </c>
      <c r="P137" s="101">
        <v>1</v>
      </c>
      <c r="R137" s="101" t="str">
        <v/>
      </c>
      <c r="S137" s="101">
        <v>100</v>
      </c>
      <c r="T137" s="101">
        <v>100</v>
      </c>
      <c r="V137" s="101" t="str">
        <v/>
      </c>
      <c r="W137" s="101" t="str">
        <v/>
      </c>
      <c r="Y137" s="101" t="str">
        <v/>
      </c>
      <c r="Z137" s="101" t="str">
        <v/>
      </c>
      <c r="AB137" s="101" t="str">
        <v/>
      </c>
      <c r="AC137" s="101" t="str">
        <v/>
      </c>
      <c r="AE137" s="101" t="str">
        <v/>
      </c>
      <c r="AF137" s="101" t="str">
        <v/>
      </c>
      <c r="AH137" s="8">
        <v>100</v>
      </c>
      <c r="AI137" s="103">
        <v>10000000</v>
      </c>
      <c r="AJ137" s="103">
        <v>10000000</v>
      </c>
      <c r="AK137" s="103">
        <v>10000000</v>
      </c>
      <c r="AL137" s="103">
        <v>10000000</v>
      </c>
      <c r="AM137" s="103">
        <v>10000000</v>
      </c>
      <c r="AN137" s="103">
        <v>10000000</v>
      </c>
      <c r="AO137" s="103">
        <v>10000000</v>
      </c>
      <c r="AP137" s="103">
        <v>10000000</v>
      </c>
      <c r="AQ137" s="103">
        <v>10000000</v>
      </c>
      <c r="AR137" s="103">
        <v>10000000</v>
      </c>
      <c r="AS137" s="103">
        <v>10000000</v>
      </c>
    </row>
    <row r="138" spans="2:45">
      <c r="B138" s="101" t="str">
        <v/>
      </c>
      <c r="C138" s="101">
        <v>5</v>
      </c>
      <c r="D138" s="101">
        <v>1</v>
      </c>
      <c r="F138" s="101" t="str">
        <v/>
      </c>
      <c r="G138" s="101">
        <v>1</v>
      </c>
      <c r="H138" s="101">
        <v>1</v>
      </c>
      <c r="J138" s="101" t="str">
        <v/>
      </c>
      <c r="K138" s="101">
        <v>1</v>
      </c>
      <c r="L138" s="101">
        <v>1</v>
      </c>
      <c r="N138" s="101" t="str">
        <v/>
      </c>
      <c r="O138" s="101">
        <v>1</v>
      </c>
      <c r="P138" s="101">
        <v>1</v>
      </c>
      <c r="R138" s="101" t="str">
        <v/>
      </c>
      <c r="S138" s="101">
        <v>100</v>
      </c>
      <c r="T138" s="101">
        <v>100</v>
      </c>
      <c r="V138" s="101" t="str">
        <v/>
      </c>
      <c r="W138" s="101" t="str">
        <v/>
      </c>
      <c r="Y138" s="101" t="str">
        <v/>
      </c>
      <c r="Z138" s="101" t="str">
        <v/>
      </c>
      <c r="AB138" s="101" t="str">
        <v/>
      </c>
      <c r="AC138" s="101" t="str">
        <v/>
      </c>
      <c r="AE138" s="101" t="str">
        <v/>
      </c>
      <c r="AF138" s="101" t="str">
        <v/>
      </c>
      <c r="AH138" s="8">
        <v>500</v>
      </c>
      <c r="AI138" s="103">
        <v>5000000</v>
      </c>
      <c r="AJ138" s="103">
        <v>5000000</v>
      </c>
      <c r="AK138" s="103">
        <v>5000000</v>
      </c>
      <c r="AL138" s="103">
        <v>5000000</v>
      </c>
      <c r="AM138" s="103">
        <v>5000000</v>
      </c>
      <c r="AN138" s="103">
        <v>5000000</v>
      </c>
      <c r="AO138" s="103">
        <v>5000000</v>
      </c>
      <c r="AP138" s="103">
        <v>5000000</v>
      </c>
      <c r="AQ138" s="103">
        <v>3000000</v>
      </c>
      <c r="AR138" s="103">
        <v>3000000</v>
      </c>
      <c r="AS138" s="103">
        <v>3000000</v>
      </c>
    </row>
    <row r="139" spans="2:45">
      <c r="B139" s="101" t="str">
        <v/>
      </c>
      <c r="C139" s="101">
        <v>5</v>
      </c>
      <c r="D139" s="101">
        <v>1</v>
      </c>
      <c r="F139" s="101" t="str">
        <v/>
      </c>
      <c r="G139" s="101">
        <v>1</v>
      </c>
      <c r="H139" s="101">
        <v>1</v>
      </c>
      <c r="J139" s="101" t="str">
        <v/>
      </c>
      <c r="K139" s="101">
        <v>1</v>
      </c>
      <c r="L139" s="101">
        <v>1</v>
      </c>
      <c r="N139" s="101" t="str">
        <v/>
      </c>
      <c r="O139" s="101">
        <v>1</v>
      </c>
      <c r="P139" s="101">
        <v>1</v>
      </c>
      <c r="R139" s="101" t="str">
        <v/>
      </c>
      <c r="S139" s="101">
        <v>100</v>
      </c>
      <c r="T139" s="101">
        <v>100</v>
      </c>
      <c r="V139" s="101" t="str">
        <v/>
      </c>
      <c r="W139" s="101" t="str">
        <v/>
      </c>
      <c r="Y139" s="101" t="str">
        <v/>
      </c>
      <c r="Z139" s="101" t="str">
        <v/>
      </c>
      <c r="AB139" s="101" t="str">
        <v/>
      </c>
      <c r="AC139" s="101" t="str">
        <v/>
      </c>
      <c r="AE139" s="101" t="str">
        <v/>
      </c>
      <c r="AF139" s="101" t="str">
        <v/>
      </c>
    </row>
    <row r="140" spans="2:45">
      <c r="B140" s="101" t="str">
        <v/>
      </c>
      <c r="C140" s="101">
        <v>1</v>
      </c>
      <c r="D140" s="101">
        <v>1</v>
      </c>
      <c r="F140" s="101" t="str">
        <v/>
      </c>
      <c r="G140" s="101">
        <v>1</v>
      </c>
      <c r="H140" s="101">
        <v>1</v>
      </c>
      <c r="J140" s="101" t="str">
        <v/>
      </c>
      <c r="K140" s="101">
        <v>1</v>
      </c>
      <c r="L140" s="101">
        <v>1</v>
      </c>
      <c r="N140" s="101" t="str">
        <v/>
      </c>
      <c r="O140" s="101">
        <v>1</v>
      </c>
      <c r="P140" s="101">
        <v>1</v>
      </c>
      <c r="R140" s="101" t="str">
        <v/>
      </c>
      <c r="S140" s="101">
        <v>100</v>
      </c>
      <c r="T140" s="101">
        <v>100</v>
      </c>
      <c r="V140" s="101" t="str">
        <v/>
      </c>
      <c r="W140" s="101" t="str">
        <v/>
      </c>
      <c r="Y140" s="101" t="str">
        <v/>
      </c>
      <c r="Z140" s="101" t="str">
        <v/>
      </c>
      <c r="AB140" s="101" t="str">
        <v/>
      </c>
      <c r="AC140" s="101" t="str">
        <v/>
      </c>
      <c r="AE140" s="101" t="str">
        <v/>
      </c>
      <c r="AF140" s="101" t="str">
        <v/>
      </c>
    </row>
    <row r="141" spans="2:45">
      <c r="B141" s="101" t="str">
        <v/>
      </c>
      <c r="C141" s="101">
        <v>1</v>
      </c>
      <c r="D141" s="101">
        <v>5</v>
      </c>
      <c r="F141" s="101" t="str">
        <v/>
      </c>
      <c r="G141" s="101">
        <v>1</v>
      </c>
      <c r="H141" s="101">
        <v>1</v>
      </c>
      <c r="J141" s="101" t="str">
        <v/>
      </c>
      <c r="K141" s="101">
        <v>1</v>
      </c>
      <c r="L141" s="101">
        <v>1</v>
      </c>
      <c r="N141" s="101" t="str">
        <v/>
      </c>
      <c r="O141" s="101">
        <v>1</v>
      </c>
      <c r="P141" s="101">
        <v>1</v>
      </c>
      <c r="R141" s="101" t="str">
        <v/>
      </c>
      <c r="S141" s="101">
        <v>100</v>
      </c>
      <c r="T141" s="101">
        <v>100</v>
      </c>
      <c r="V141" s="101" t="str">
        <v/>
      </c>
      <c r="W141" s="101" t="str">
        <v/>
      </c>
      <c r="Y141" s="101" t="str">
        <v/>
      </c>
      <c r="Z141" s="101" t="str">
        <v/>
      </c>
      <c r="AB141" s="101" t="str">
        <v/>
      </c>
      <c r="AC141" s="101" t="str">
        <v/>
      </c>
      <c r="AE141" s="101" t="str">
        <v/>
      </c>
      <c r="AF141" s="101" t="str">
        <v/>
      </c>
    </row>
    <row r="142" spans="2:45" ht="16.2">
      <c r="B142" s="101" t="str">
        <v/>
      </c>
      <c r="C142" s="101">
        <v>4</v>
      </c>
      <c r="D142" s="101">
        <v>5</v>
      </c>
      <c r="F142" s="101" t="str">
        <v/>
      </c>
      <c r="G142" s="101">
        <v>1</v>
      </c>
      <c r="H142" s="101">
        <v>1</v>
      </c>
      <c r="J142" s="101" t="str">
        <v/>
      </c>
      <c r="K142" s="101">
        <v>1</v>
      </c>
      <c r="L142" s="101">
        <v>1</v>
      </c>
      <c r="N142" s="101" t="str">
        <v/>
      </c>
      <c r="O142" s="101">
        <v>1</v>
      </c>
      <c r="P142" s="101">
        <v>1</v>
      </c>
      <c r="R142" s="101" t="str">
        <v/>
      </c>
      <c r="S142" s="101">
        <v>701</v>
      </c>
      <c r="T142" s="101">
        <v>677</v>
      </c>
      <c r="V142" s="101" t="str">
        <v/>
      </c>
      <c r="W142" s="101" t="str">
        <v/>
      </c>
      <c r="Y142" s="101" t="str">
        <v/>
      </c>
      <c r="Z142" s="101" t="str">
        <v/>
      </c>
      <c r="AB142" s="101" t="str">
        <v/>
      </c>
      <c r="AC142" s="101" t="str">
        <v/>
      </c>
      <c r="AE142" s="101" t="str">
        <v/>
      </c>
      <c r="AF142" s="101" t="str">
        <v/>
      </c>
      <c r="AH142" s="156" t="s">
        <v>108</v>
      </c>
      <c r="AI142" s="157"/>
      <c r="AJ142" s="157"/>
    </row>
    <row r="143" spans="2:45" ht="16.2">
      <c r="B143" s="101" t="str">
        <v/>
      </c>
      <c r="C143" s="101">
        <v>4</v>
      </c>
      <c r="D143" s="101">
        <v>5</v>
      </c>
      <c r="F143" s="101" t="str">
        <v/>
      </c>
      <c r="G143" s="101">
        <v>1</v>
      </c>
      <c r="H143" s="101">
        <v>1</v>
      </c>
      <c r="J143" s="101" t="str">
        <v/>
      </c>
      <c r="K143" s="101">
        <v>1</v>
      </c>
      <c r="L143" s="101">
        <v>1</v>
      </c>
      <c r="N143" s="101" t="str">
        <v/>
      </c>
      <c r="O143" s="101">
        <v>1</v>
      </c>
      <c r="P143" s="101">
        <v>1</v>
      </c>
      <c r="R143" s="101" t="str">
        <v/>
      </c>
      <c r="S143" s="101">
        <v>584</v>
      </c>
      <c r="T143" s="101">
        <v>564</v>
      </c>
      <c r="V143" s="101" t="str">
        <v/>
      </c>
      <c r="W143" s="101" t="str">
        <v/>
      </c>
      <c r="Y143" s="101" t="str">
        <v/>
      </c>
      <c r="Z143" s="101" t="str">
        <v/>
      </c>
      <c r="AB143" s="101" t="str">
        <v/>
      </c>
      <c r="AC143" s="101" t="str">
        <v/>
      </c>
      <c r="AE143" s="101" t="str">
        <v/>
      </c>
      <c r="AF143" s="101" t="str">
        <v/>
      </c>
      <c r="AH143" s="99" t="str" cm="1">
        <f t="array" ref="AH143:AJ155">'Pay Combo Super Feature Buy'!L2:N14</f>
        <v>倍數</v>
      </c>
      <c r="AI143" s="99" t="str">
        <v>比例</v>
      </c>
      <c r="AJ143" s="99" t="str">
        <v>權重</v>
      </c>
    </row>
    <row r="144" spans="2:45">
      <c r="B144" s="101" t="str">
        <v/>
      </c>
      <c r="C144" s="101">
        <v>0</v>
      </c>
      <c r="D144" s="101">
        <v>0</v>
      </c>
      <c r="F144" s="101" t="str">
        <v/>
      </c>
      <c r="G144" s="101">
        <v>1</v>
      </c>
      <c r="H144" s="101">
        <v>1</v>
      </c>
      <c r="J144" s="101" t="str">
        <v/>
      </c>
      <c r="K144" s="101">
        <v>1</v>
      </c>
      <c r="L144" s="101">
        <v>1</v>
      </c>
      <c r="N144" s="101" t="str">
        <v/>
      </c>
      <c r="O144" s="101">
        <v>1</v>
      </c>
      <c r="P144" s="101">
        <v>1</v>
      </c>
      <c r="R144" s="101" t="str">
        <v/>
      </c>
      <c r="S144" s="101">
        <v>467</v>
      </c>
      <c r="T144" s="101">
        <v>451</v>
      </c>
      <c r="V144" s="101" t="str">
        <v/>
      </c>
      <c r="W144" s="101" t="str">
        <v/>
      </c>
      <c r="Y144" s="101" t="str">
        <v/>
      </c>
      <c r="Z144" s="101" t="str">
        <v/>
      </c>
      <c r="AB144" s="101" t="str">
        <v/>
      </c>
      <c r="AC144" s="101" t="str">
        <v/>
      </c>
      <c r="AE144" s="101" t="str">
        <v/>
      </c>
      <c r="AF144" s="101" t="str">
        <v/>
      </c>
      <c r="AH144" s="8">
        <v>1</v>
      </c>
      <c r="AI144" s="102">
        <v>0</v>
      </c>
      <c r="AJ144" s="103">
        <v>0</v>
      </c>
    </row>
    <row r="145" spans="2:36">
      <c r="B145" s="101" t="str">
        <v/>
      </c>
      <c r="C145" s="101">
        <v>0</v>
      </c>
      <c r="D145" s="101">
        <v>0</v>
      </c>
      <c r="F145" s="101" t="str">
        <v/>
      </c>
      <c r="G145" s="101">
        <v>1</v>
      </c>
      <c r="H145" s="101">
        <v>1</v>
      </c>
      <c r="J145" s="101" t="str">
        <v/>
      </c>
      <c r="K145" s="101">
        <v>1</v>
      </c>
      <c r="L145" s="101">
        <v>1</v>
      </c>
      <c r="N145" s="101" t="str">
        <v/>
      </c>
      <c r="O145" s="101">
        <v>1</v>
      </c>
      <c r="P145" s="101">
        <v>1</v>
      </c>
      <c r="R145" s="101" t="str">
        <v/>
      </c>
      <c r="S145" s="101">
        <v>584</v>
      </c>
      <c r="T145" s="101">
        <v>564</v>
      </c>
      <c r="V145" s="101" t="str">
        <v/>
      </c>
      <c r="W145" s="101" t="str">
        <v/>
      </c>
      <c r="Y145" s="101" t="str">
        <v/>
      </c>
      <c r="Z145" s="101" t="str">
        <v/>
      </c>
      <c r="AB145" s="101" t="str">
        <v/>
      </c>
      <c r="AC145" s="101" t="str">
        <v/>
      </c>
      <c r="AE145" s="101" t="str">
        <v/>
      </c>
      <c r="AF145" s="101" t="str">
        <v/>
      </c>
      <c r="AH145" s="8">
        <v>2</v>
      </c>
      <c r="AI145" s="102">
        <v>7.8235294117647056E-2</v>
      </c>
      <c r="AJ145" s="103">
        <v>13300000</v>
      </c>
    </row>
    <row r="146" spans="2:36">
      <c r="B146" s="101" t="str">
        <v/>
      </c>
      <c r="C146" s="101">
        <v>0</v>
      </c>
      <c r="D146" s="101">
        <v>0</v>
      </c>
      <c r="F146" s="101" t="str">
        <v/>
      </c>
      <c r="G146" s="101">
        <v>1</v>
      </c>
      <c r="H146" s="101">
        <v>1</v>
      </c>
      <c r="J146" s="101" t="str">
        <v/>
      </c>
      <c r="K146" s="101">
        <v>1</v>
      </c>
      <c r="L146" s="101">
        <v>1</v>
      </c>
      <c r="N146" s="101" t="str">
        <v/>
      </c>
      <c r="O146" s="101">
        <v>1</v>
      </c>
      <c r="P146" s="101">
        <v>1</v>
      </c>
      <c r="R146" s="101" t="str">
        <v/>
      </c>
      <c r="S146" s="101">
        <v>701</v>
      </c>
      <c r="T146" s="101">
        <v>677</v>
      </c>
      <c r="V146" s="101" t="str">
        <v/>
      </c>
      <c r="W146" s="101" t="str">
        <v/>
      </c>
      <c r="Y146" s="101" t="str">
        <v/>
      </c>
      <c r="Z146" s="101" t="str">
        <v/>
      </c>
      <c r="AB146" s="101" t="str">
        <v/>
      </c>
      <c r="AC146" s="101" t="str">
        <v/>
      </c>
      <c r="AE146" s="101" t="str">
        <v/>
      </c>
      <c r="AF146" s="101" t="str">
        <v/>
      </c>
      <c r="AH146" s="8">
        <v>3</v>
      </c>
      <c r="AI146" s="102">
        <v>9.4705882352941181E-2</v>
      </c>
      <c r="AJ146" s="103">
        <v>16100000</v>
      </c>
    </row>
    <row r="147" spans="2:36">
      <c r="B147" s="101" t="str">
        <v/>
      </c>
      <c r="C147" s="101">
        <v>2</v>
      </c>
      <c r="D147" s="101">
        <v>7</v>
      </c>
      <c r="F147" s="101" t="str">
        <v/>
      </c>
      <c r="G147" s="101">
        <v>1</v>
      </c>
      <c r="H147" s="101">
        <v>1</v>
      </c>
      <c r="J147" s="101" t="str">
        <v/>
      </c>
      <c r="K147" s="101">
        <v>1</v>
      </c>
      <c r="L147" s="101">
        <v>1</v>
      </c>
      <c r="N147" s="101" t="str">
        <v/>
      </c>
      <c r="O147" s="101">
        <v>1</v>
      </c>
      <c r="P147" s="101">
        <v>1</v>
      </c>
      <c r="R147" s="101" t="str">
        <v/>
      </c>
      <c r="S147" s="101">
        <v>100</v>
      </c>
      <c r="T147" s="101">
        <v>100</v>
      </c>
      <c r="V147" s="101" t="str">
        <v/>
      </c>
      <c r="W147" s="101" t="str">
        <v/>
      </c>
      <c r="Y147" s="101" t="str">
        <v/>
      </c>
      <c r="Z147" s="101" t="str">
        <v/>
      </c>
      <c r="AB147" s="101" t="str">
        <v/>
      </c>
      <c r="AC147" s="101" t="str">
        <v/>
      </c>
      <c r="AE147" s="101" t="str">
        <v/>
      </c>
      <c r="AF147" s="101" t="str">
        <v/>
      </c>
      <c r="AH147" s="8">
        <v>5</v>
      </c>
      <c r="AI147" s="102">
        <v>0.11529411764705882</v>
      </c>
      <c r="AJ147" s="103">
        <v>19600000</v>
      </c>
    </row>
    <row r="148" spans="2:36">
      <c r="B148" s="101" t="str">
        <v/>
      </c>
      <c r="C148" s="101">
        <v>2</v>
      </c>
      <c r="D148" s="101">
        <v>7</v>
      </c>
      <c r="F148" s="101" t="str">
        <v/>
      </c>
      <c r="G148" s="101">
        <v>1</v>
      </c>
      <c r="H148" s="101">
        <v>1</v>
      </c>
      <c r="J148" s="101" t="str">
        <v/>
      </c>
      <c r="K148" s="101">
        <v>1</v>
      </c>
      <c r="L148" s="101">
        <v>1</v>
      </c>
      <c r="N148" s="101" t="str">
        <v/>
      </c>
      <c r="O148" s="101">
        <v>1</v>
      </c>
      <c r="P148" s="101">
        <v>1</v>
      </c>
      <c r="R148" s="101" t="str">
        <v/>
      </c>
      <c r="S148" s="101">
        <v>100</v>
      </c>
      <c r="T148" s="101">
        <v>100</v>
      </c>
      <c r="V148" s="101" t="str">
        <v/>
      </c>
      <c r="W148" s="101" t="str">
        <v/>
      </c>
      <c r="Y148" s="101" t="str">
        <v/>
      </c>
      <c r="Z148" s="101" t="str">
        <v/>
      </c>
      <c r="AB148" s="101" t="str">
        <v/>
      </c>
      <c r="AC148" s="101" t="str">
        <v/>
      </c>
      <c r="AE148" s="101" t="str">
        <v/>
      </c>
      <c r="AF148" s="101" t="str">
        <v/>
      </c>
      <c r="AH148" s="8">
        <v>10</v>
      </c>
      <c r="AI148" s="102">
        <v>8.7647058823529411E-2</v>
      </c>
      <c r="AJ148" s="103">
        <v>14900000</v>
      </c>
    </row>
    <row r="149" spans="2:36">
      <c r="B149" s="101" t="str">
        <v/>
      </c>
      <c r="C149" s="101">
        <v>7</v>
      </c>
      <c r="D149" s="101">
        <v>7</v>
      </c>
      <c r="F149" s="101" t="str">
        <v/>
      </c>
      <c r="G149" s="101">
        <v>1</v>
      </c>
      <c r="H149" s="101">
        <v>1</v>
      </c>
      <c r="J149" s="101" t="str">
        <v/>
      </c>
      <c r="K149" s="101">
        <v>1</v>
      </c>
      <c r="L149" s="101">
        <v>1</v>
      </c>
      <c r="N149" s="101" t="str">
        <v/>
      </c>
      <c r="O149" s="101">
        <v>1</v>
      </c>
      <c r="P149" s="101">
        <v>1</v>
      </c>
      <c r="R149" s="101" t="str">
        <v/>
      </c>
      <c r="S149" s="101">
        <v>100</v>
      </c>
      <c r="T149" s="101">
        <v>100</v>
      </c>
      <c r="V149" s="101" t="str">
        <v/>
      </c>
      <c r="W149" s="101" t="str">
        <v/>
      </c>
      <c r="Y149" s="101" t="str">
        <v/>
      </c>
      <c r="Z149" s="101" t="str">
        <v/>
      </c>
      <c r="AB149" s="101" t="str">
        <v/>
      </c>
      <c r="AC149" s="101" t="str">
        <v/>
      </c>
      <c r="AE149" s="101" t="str">
        <v/>
      </c>
      <c r="AF149" s="101" t="str">
        <v/>
      </c>
      <c r="AH149" s="8">
        <v>15</v>
      </c>
      <c r="AI149" s="102">
        <v>7.4705882352941178E-2</v>
      </c>
      <c r="AJ149" s="103">
        <v>12700000</v>
      </c>
    </row>
    <row r="150" spans="2:36">
      <c r="B150" s="101" t="str">
        <v/>
      </c>
      <c r="C150" s="101">
        <v>7</v>
      </c>
      <c r="D150" s="101">
        <v>3</v>
      </c>
      <c r="F150" s="101" t="str">
        <v/>
      </c>
      <c r="G150" s="101">
        <v>1</v>
      </c>
      <c r="H150" s="101">
        <v>1</v>
      </c>
      <c r="J150" s="101" t="str">
        <v/>
      </c>
      <c r="K150" s="101">
        <v>1</v>
      </c>
      <c r="L150" s="101">
        <v>1</v>
      </c>
      <c r="N150" s="101" t="str">
        <v/>
      </c>
      <c r="O150" s="101">
        <v>1</v>
      </c>
      <c r="P150" s="101">
        <v>1</v>
      </c>
      <c r="R150" s="101" t="str">
        <v/>
      </c>
      <c r="S150" s="101">
        <v>100</v>
      </c>
      <c r="T150" s="101">
        <v>100</v>
      </c>
      <c r="V150" s="101" t="str">
        <v/>
      </c>
      <c r="W150" s="101" t="str">
        <v/>
      </c>
      <c r="Y150" s="101" t="str">
        <v/>
      </c>
      <c r="Z150" s="101" t="str">
        <v/>
      </c>
      <c r="AB150" s="101" t="str">
        <v/>
      </c>
      <c r="AC150" s="101" t="str">
        <v/>
      </c>
      <c r="AE150" s="101" t="str">
        <v/>
      </c>
      <c r="AF150" s="101" t="str">
        <v/>
      </c>
      <c r="AH150" s="8">
        <v>20</v>
      </c>
      <c r="AI150" s="102">
        <v>6.6470588235294115E-2</v>
      </c>
      <c r="AJ150" s="103">
        <v>11300000</v>
      </c>
    </row>
    <row r="151" spans="2:36">
      <c r="B151" s="101" t="str">
        <v/>
      </c>
      <c r="C151" s="101">
        <v>2</v>
      </c>
      <c r="D151" s="101">
        <v>3</v>
      </c>
      <c r="F151" s="101" t="str">
        <v/>
      </c>
      <c r="G151" s="101">
        <v>1</v>
      </c>
      <c r="H151" s="101">
        <v>1</v>
      </c>
      <c r="J151" s="101" t="str">
        <v/>
      </c>
      <c r="K151" s="101">
        <v>1</v>
      </c>
      <c r="L151" s="101">
        <v>1</v>
      </c>
      <c r="N151" s="101" t="str">
        <v/>
      </c>
      <c r="O151" s="101">
        <v>1</v>
      </c>
      <c r="P151" s="101">
        <v>1</v>
      </c>
      <c r="R151" s="101" t="str">
        <v/>
      </c>
      <c r="S151" s="101">
        <v>100</v>
      </c>
      <c r="T151" s="101">
        <v>100</v>
      </c>
      <c r="V151" s="101" t="str">
        <v/>
      </c>
      <c r="W151" s="101" t="str">
        <v/>
      </c>
      <c r="Y151" s="101" t="str">
        <v/>
      </c>
      <c r="Z151" s="101" t="str">
        <v/>
      </c>
      <c r="AB151" s="101" t="str">
        <v/>
      </c>
      <c r="AC151" s="101" t="str">
        <v/>
      </c>
      <c r="AE151" s="101" t="str">
        <v/>
      </c>
      <c r="AF151" s="101" t="str">
        <v/>
      </c>
      <c r="AH151" s="8">
        <v>25</v>
      </c>
      <c r="AI151" s="102">
        <v>2.0588235294117647E-2</v>
      </c>
      <c r="AJ151" s="103">
        <v>3500000</v>
      </c>
    </row>
    <row r="152" spans="2:36">
      <c r="B152" s="101" t="str">
        <v/>
      </c>
      <c r="C152" s="101">
        <v>2</v>
      </c>
      <c r="D152" s="101">
        <v>3</v>
      </c>
      <c r="F152" s="101" t="str">
        <v/>
      </c>
      <c r="G152" s="101">
        <v>1</v>
      </c>
      <c r="H152" s="101">
        <v>1</v>
      </c>
      <c r="J152" s="101" t="str">
        <v/>
      </c>
      <c r="K152" s="101">
        <v>1</v>
      </c>
      <c r="L152" s="101">
        <v>1</v>
      </c>
      <c r="N152" s="101" t="str">
        <v/>
      </c>
      <c r="O152" s="101">
        <v>1</v>
      </c>
      <c r="P152" s="101">
        <v>1</v>
      </c>
      <c r="R152" s="101" t="str">
        <v/>
      </c>
      <c r="S152" s="101">
        <v>100</v>
      </c>
      <c r="T152" s="101">
        <v>100</v>
      </c>
      <c r="V152" s="101" t="str">
        <v/>
      </c>
      <c r="W152" s="101" t="str">
        <v/>
      </c>
      <c r="Y152" s="101" t="str">
        <v/>
      </c>
      <c r="Z152" s="101" t="str">
        <v/>
      </c>
      <c r="AB152" s="101" t="str">
        <v/>
      </c>
      <c r="AC152" s="101" t="str">
        <v/>
      </c>
      <c r="AE152" s="101" t="str">
        <v/>
      </c>
      <c r="AF152" s="101" t="str">
        <v/>
      </c>
      <c r="AH152" s="8">
        <v>50</v>
      </c>
      <c r="AI152" s="102">
        <v>1.5294117647058824E-2</v>
      </c>
      <c r="AJ152" s="103">
        <v>2600000</v>
      </c>
    </row>
    <row r="153" spans="2:36">
      <c r="B153" s="101" t="str">
        <v/>
      </c>
      <c r="C153" s="101">
        <v>7</v>
      </c>
      <c r="D153" s="101">
        <v>5</v>
      </c>
      <c r="F153" s="101" t="str">
        <v/>
      </c>
      <c r="G153" s="101">
        <v>1</v>
      </c>
      <c r="H153" s="101">
        <v>1</v>
      </c>
      <c r="J153" s="101" t="str">
        <v/>
      </c>
      <c r="K153" s="101">
        <v>1</v>
      </c>
      <c r="L153" s="101">
        <v>1</v>
      </c>
      <c r="N153" s="101" t="str">
        <v/>
      </c>
      <c r="O153" s="101">
        <v>1</v>
      </c>
      <c r="P153" s="101">
        <v>1</v>
      </c>
      <c r="R153" s="101" t="str">
        <v/>
      </c>
      <c r="S153" s="101">
        <v>100</v>
      </c>
      <c r="T153" s="101">
        <v>100</v>
      </c>
      <c r="V153" s="101" t="str">
        <v/>
      </c>
      <c r="W153" s="101" t="str">
        <v/>
      </c>
      <c r="Y153" s="101" t="str">
        <v/>
      </c>
      <c r="Z153" s="101" t="str">
        <v/>
      </c>
      <c r="AB153" s="101" t="str">
        <v/>
      </c>
      <c r="AC153" s="101" t="str">
        <v/>
      </c>
      <c r="AE153" s="101" t="str">
        <v/>
      </c>
      <c r="AF153" s="101" t="str">
        <v/>
      </c>
      <c r="AH153" s="8">
        <v>100</v>
      </c>
      <c r="AI153" s="102">
        <v>1.1764705882352941E-2</v>
      </c>
      <c r="AJ153" s="103">
        <v>2000000</v>
      </c>
    </row>
    <row r="154" spans="2:36">
      <c r="B154" s="101" t="str">
        <v/>
      </c>
      <c r="C154" s="101">
        <v>7</v>
      </c>
      <c r="D154" s="101">
        <v>5</v>
      </c>
      <c r="F154" s="101" t="str">
        <v/>
      </c>
      <c r="G154" s="101">
        <v>1</v>
      </c>
      <c r="H154" s="101">
        <v>1</v>
      </c>
      <c r="J154" s="101" t="str">
        <v/>
      </c>
      <c r="K154" s="101">
        <v>1</v>
      </c>
      <c r="L154" s="101">
        <v>1</v>
      </c>
      <c r="N154" s="101" t="str">
        <v/>
      </c>
      <c r="O154" s="101">
        <v>1</v>
      </c>
      <c r="P154" s="101">
        <v>1</v>
      </c>
      <c r="R154" s="101" t="str">
        <v/>
      </c>
      <c r="S154" s="101">
        <v>100</v>
      </c>
      <c r="T154" s="101">
        <v>100</v>
      </c>
      <c r="V154" s="101" t="str">
        <v/>
      </c>
      <c r="W154" s="101" t="str">
        <v/>
      </c>
      <c r="Y154" s="101" t="str">
        <v/>
      </c>
      <c r="Z154" s="101" t="str">
        <v/>
      </c>
      <c r="AB154" s="101" t="str">
        <v/>
      </c>
      <c r="AC154" s="101" t="str">
        <v/>
      </c>
      <c r="AE154" s="101" t="str">
        <v/>
      </c>
      <c r="AF154" s="101" t="str">
        <v/>
      </c>
      <c r="AH154" s="8">
        <v>500</v>
      </c>
      <c r="AI154" s="102">
        <v>5.8823529411764705E-3</v>
      </c>
      <c r="AJ154" s="103">
        <v>1000000</v>
      </c>
    </row>
    <row r="155" spans="2:36">
      <c r="B155" s="101" t="str">
        <v/>
      </c>
      <c r="C155" s="101">
        <v>7</v>
      </c>
      <c r="D155" s="101">
        <v>5</v>
      </c>
      <c r="F155" s="101" t="str">
        <v/>
      </c>
      <c r="G155" s="101">
        <v>1</v>
      </c>
      <c r="H155" s="101">
        <v>1</v>
      </c>
      <c r="J155" s="101" t="str">
        <v/>
      </c>
      <c r="K155" s="101">
        <v>1</v>
      </c>
      <c r="L155" s="101">
        <v>1</v>
      </c>
      <c r="N155" s="101" t="str">
        <v/>
      </c>
      <c r="O155" s="101">
        <v>1</v>
      </c>
      <c r="P155" s="101">
        <v>1</v>
      </c>
      <c r="R155" s="101" t="str">
        <v/>
      </c>
      <c r="S155" s="101">
        <v>100</v>
      </c>
      <c r="T155" s="101">
        <v>100</v>
      </c>
      <c r="V155" s="101" t="str">
        <v/>
      </c>
      <c r="W155" s="101" t="str">
        <v/>
      </c>
      <c r="Y155" s="101" t="str">
        <v/>
      </c>
      <c r="Z155" s="101" t="str">
        <v/>
      </c>
      <c r="AB155" s="101" t="str">
        <v/>
      </c>
      <c r="AC155" s="101" t="str">
        <v/>
      </c>
      <c r="AE155" s="101" t="str">
        <v/>
      </c>
      <c r="AF155" s="101" t="str">
        <v/>
      </c>
      <c r="AH155" s="8" t="str">
        <v>Re-spin</v>
      </c>
      <c r="AI155" s="102">
        <v>0.42941176470588233</v>
      </c>
      <c r="AJ155" s="103">
        <v>73000000</v>
      </c>
    </row>
    <row r="156" spans="2:36">
      <c r="B156" s="101" t="str">
        <v/>
      </c>
      <c r="C156" s="101">
        <v>1</v>
      </c>
      <c r="D156" s="101">
        <v>4</v>
      </c>
      <c r="F156" s="101" t="str">
        <v/>
      </c>
      <c r="G156" s="101">
        <v>1</v>
      </c>
      <c r="H156" s="101">
        <v>1</v>
      </c>
      <c r="J156" s="101" t="str">
        <v/>
      </c>
      <c r="K156" s="101">
        <v>1</v>
      </c>
      <c r="L156" s="101">
        <v>1</v>
      </c>
      <c r="N156" s="101" t="str">
        <v/>
      </c>
      <c r="O156" s="101">
        <v>1</v>
      </c>
      <c r="P156" s="101">
        <v>1</v>
      </c>
      <c r="R156" s="101" t="str">
        <v/>
      </c>
      <c r="S156" s="101">
        <v>100</v>
      </c>
      <c r="T156" s="101">
        <v>100</v>
      </c>
      <c r="V156" s="101" t="str">
        <v/>
      </c>
      <c r="W156" s="101" t="str">
        <v/>
      </c>
      <c r="Y156" s="101" t="str">
        <v/>
      </c>
      <c r="Z156" s="101" t="str">
        <v/>
      </c>
      <c r="AB156" s="101" t="str">
        <v/>
      </c>
      <c r="AC156" s="101" t="str">
        <v/>
      </c>
      <c r="AE156" s="101" t="str">
        <v/>
      </c>
      <c r="AF156" s="101" t="str">
        <v/>
      </c>
      <c r="AJ156" s="104"/>
    </row>
    <row r="157" spans="2:36">
      <c r="B157" s="101" t="str">
        <v/>
      </c>
      <c r="C157" s="101">
        <v>1</v>
      </c>
      <c r="D157" s="101">
        <v>4</v>
      </c>
      <c r="F157" s="101" t="str">
        <v/>
      </c>
      <c r="G157" s="101">
        <v>1</v>
      </c>
      <c r="H157" s="101">
        <v>1</v>
      </c>
      <c r="J157" s="101" t="str">
        <v/>
      </c>
      <c r="K157" s="101">
        <v>1</v>
      </c>
      <c r="L157" s="101">
        <v>1</v>
      </c>
      <c r="N157" s="101" t="str">
        <v/>
      </c>
      <c r="O157" s="101">
        <v>1</v>
      </c>
      <c r="P157" s="101">
        <v>1</v>
      </c>
      <c r="R157" s="101" t="str">
        <v/>
      </c>
      <c r="S157" s="101">
        <v>100</v>
      </c>
      <c r="T157" s="101">
        <v>677</v>
      </c>
      <c r="V157" s="101" t="str">
        <v/>
      </c>
      <c r="W157" s="101" t="str">
        <v/>
      </c>
      <c r="Y157" s="101" t="str">
        <v/>
      </c>
      <c r="Z157" s="101" t="str">
        <v/>
      </c>
      <c r="AB157" s="101" t="str">
        <v/>
      </c>
      <c r="AC157" s="101" t="str">
        <v/>
      </c>
      <c r="AE157" s="101" t="str">
        <v/>
      </c>
      <c r="AF157" s="101" t="str">
        <v/>
      </c>
    </row>
    <row r="158" spans="2:36" ht="16.2">
      <c r="B158" s="101" t="str">
        <v/>
      </c>
      <c r="C158" s="101">
        <v>6</v>
      </c>
      <c r="D158" s="101">
        <v>4</v>
      </c>
      <c r="F158" s="101" t="str">
        <v/>
      </c>
      <c r="G158" s="101">
        <v>1</v>
      </c>
      <c r="H158" s="101">
        <v>1</v>
      </c>
      <c r="J158" s="101" t="str">
        <v/>
      </c>
      <c r="K158" s="101">
        <v>1</v>
      </c>
      <c r="L158" s="101">
        <v>1</v>
      </c>
      <c r="N158" s="101" t="str">
        <v/>
      </c>
      <c r="O158" s="101">
        <v>1</v>
      </c>
      <c r="P158" s="101">
        <v>1</v>
      </c>
      <c r="R158" s="101" t="str">
        <v/>
      </c>
      <c r="S158" s="101">
        <v>100</v>
      </c>
      <c r="T158" s="101">
        <v>564</v>
      </c>
      <c r="V158" s="101" t="str">
        <v/>
      </c>
      <c r="W158" s="101" t="str">
        <v/>
      </c>
      <c r="Y158" s="101" t="str">
        <v/>
      </c>
      <c r="Z158" s="101" t="str">
        <v/>
      </c>
      <c r="AB158" s="101" t="str">
        <v/>
      </c>
      <c r="AC158" s="101" t="str">
        <v/>
      </c>
      <c r="AE158" s="101" t="str">
        <v/>
      </c>
      <c r="AF158" s="101" t="str">
        <v/>
      </c>
      <c r="AH158" s="156" t="s">
        <v>109</v>
      </c>
      <c r="AI158" s="157"/>
      <c r="AJ158" s="157"/>
    </row>
    <row r="159" spans="2:36" ht="16.2">
      <c r="B159" s="101" t="str">
        <v/>
      </c>
      <c r="C159" s="101">
        <v>6</v>
      </c>
      <c r="D159" s="101">
        <v>0</v>
      </c>
      <c r="F159" s="101" t="str">
        <v/>
      </c>
      <c r="G159" s="101">
        <v>1</v>
      </c>
      <c r="H159" s="101">
        <v>1</v>
      </c>
      <c r="J159" s="101" t="str">
        <v/>
      </c>
      <c r="K159" s="101">
        <v>1</v>
      </c>
      <c r="L159" s="101">
        <v>1</v>
      </c>
      <c r="N159" s="101" t="str">
        <v/>
      </c>
      <c r="O159" s="101">
        <v>1</v>
      </c>
      <c r="P159" s="101">
        <v>1</v>
      </c>
      <c r="R159" s="101" t="str">
        <v/>
      </c>
      <c r="S159" s="101">
        <v>100</v>
      </c>
      <c r="T159" s="101">
        <v>451</v>
      </c>
      <c r="V159" s="101" t="str">
        <v/>
      </c>
      <c r="W159" s="101" t="str">
        <v/>
      </c>
      <c r="Y159" s="101" t="str">
        <v/>
      </c>
      <c r="Z159" s="101" t="str">
        <v/>
      </c>
      <c r="AB159" s="101" t="str">
        <v/>
      </c>
      <c r="AC159" s="101" t="str">
        <v/>
      </c>
      <c r="AE159" s="101" t="str">
        <v/>
      </c>
      <c r="AF159" s="101" t="str">
        <v/>
      </c>
      <c r="AH159" s="99" t="str" cm="1">
        <f t="array" ref="AH159:AJ170">'Pay Combo Super Feature Buy'!Q2:S13</f>
        <v>Re-spin數</v>
      </c>
      <c r="AI159" s="99" t="str">
        <v>比例</v>
      </c>
      <c r="AJ159" s="99" t="str">
        <v>權重</v>
      </c>
    </row>
    <row r="160" spans="2:36">
      <c r="B160" s="101" t="str">
        <v/>
      </c>
      <c r="C160" s="101">
        <v>3</v>
      </c>
      <c r="D160" s="101">
        <v>0</v>
      </c>
      <c r="F160" s="101" t="str">
        <v/>
      </c>
      <c r="G160" s="101">
        <v>1</v>
      </c>
      <c r="H160" s="101">
        <v>1</v>
      </c>
      <c r="J160" s="101" t="str">
        <v/>
      </c>
      <c r="K160" s="101">
        <v>1</v>
      </c>
      <c r="L160" s="101">
        <v>1</v>
      </c>
      <c r="N160" s="101" t="str">
        <v/>
      </c>
      <c r="O160" s="101">
        <v>1</v>
      </c>
      <c r="P160" s="101">
        <v>1</v>
      </c>
      <c r="R160" s="101" t="str">
        <v/>
      </c>
      <c r="S160" s="101">
        <v>100</v>
      </c>
      <c r="T160" s="101">
        <v>564</v>
      </c>
      <c r="V160" s="101" t="str">
        <v/>
      </c>
      <c r="W160" s="101" t="str">
        <v/>
      </c>
      <c r="Y160" s="101" t="str">
        <v/>
      </c>
      <c r="Z160" s="101" t="str">
        <v/>
      </c>
      <c r="AB160" s="101" t="str">
        <v/>
      </c>
      <c r="AC160" s="101" t="str">
        <v/>
      </c>
      <c r="AE160" s="101" t="str">
        <v/>
      </c>
      <c r="AF160" s="101" t="str">
        <v/>
      </c>
      <c r="AH160" s="8">
        <v>2</v>
      </c>
      <c r="AI160" s="102">
        <v>0</v>
      </c>
      <c r="AJ160" s="103">
        <v>0</v>
      </c>
    </row>
    <row r="161" spans="2:45">
      <c r="B161" s="101" t="str">
        <v/>
      </c>
      <c r="C161" s="101">
        <v>3</v>
      </c>
      <c r="D161" s="101">
        <v>0</v>
      </c>
      <c r="F161" s="101" t="str">
        <v/>
      </c>
      <c r="G161" s="101">
        <v>1</v>
      </c>
      <c r="H161" s="101">
        <v>1</v>
      </c>
      <c r="J161" s="101" t="str">
        <v/>
      </c>
      <c r="K161" s="101">
        <v>1</v>
      </c>
      <c r="L161" s="101">
        <v>1</v>
      </c>
      <c r="N161" s="101" t="str">
        <v/>
      </c>
      <c r="O161" s="101">
        <v>1</v>
      </c>
      <c r="P161" s="101">
        <v>1</v>
      </c>
      <c r="R161" s="101" t="str">
        <v/>
      </c>
      <c r="S161" s="101">
        <v>100</v>
      </c>
      <c r="T161" s="101">
        <v>677</v>
      </c>
      <c r="V161" s="101" t="str">
        <v/>
      </c>
      <c r="W161" s="101" t="str">
        <v/>
      </c>
      <c r="Y161" s="101" t="str">
        <v/>
      </c>
      <c r="Z161" s="101" t="str">
        <v/>
      </c>
      <c r="AB161" s="101" t="str">
        <v/>
      </c>
      <c r="AC161" s="101" t="str">
        <v/>
      </c>
      <c r="AE161" s="101" t="str">
        <v/>
      </c>
      <c r="AF161" s="101" t="str">
        <v/>
      </c>
      <c r="AH161" s="8">
        <v>3</v>
      </c>
      <c r="AI161" s="102">
        <v>0.11503067484662577</v>
      </c>
      <c r="AJ161" s="103">
        <v>150000000</v>
      </c>
    </row>
    <row r="162" spans="2:45">
      <c r="B162" s="101" t="str">
        <v/>
      </c>
      <c r="C162" s="101">
        <v>5</v>
      </c>
      <c r="D162" s="101">
        <v>3</v>
      </c>
      <c r="F162" s="101" t="str">
        <v/>
      </c>
      <c r="G162" s="101">
        <v>1</v>
      </c>
      <c r="H162" s="101">
        <v>1</v>
      </c>
      <c r="J162" s="101" t="str">
        <v/>
      </c>
      <c r="K162" s="101">
        <v>1</v>
      </c>
      <c r="L162" s="101">
        <v>1</v>
      </c>
      <c r="N162" s="101" t="str">
        <v/>
      </c>
      <c r="O162" s="101">
        <v>1</v>
      </c>
      <c r="P162" s="101">
        <v>1</v>
      </c>
      <c r="R162" s="101" t="str">
        <v/>
      </c>
      <c r="S162" s="101">
        <v>100</v>
      </c>
      <c r="T162" s="101">
        <v>100</v>
      </c>
      <c r="V162" s="101" t="str">
        <v/>
      </c>
      <c r="W162" s="101" t="str">
        <v/>
      </c>
      <c r="Y162" s="101" t="str">
        <v/>
      </c>
      <c r="Z162" s="101" t="str">
        <v/>
      </c>
      <c r="AB162" s="101" t="str">
        <v/>
      </c>
      <c r="AC162" s="101" t="str">
        <v/>
      </c>
      <c r="AE162" s="101" t="str">
        <v/>
      </c>
      <c r="AF162" s="101" t="str">
        <v/>
      </c>
      <c r="AH162" s="8">
        <v>4</v>
      </c>
      <c r="AI162" s="102">
        <v>0.11503067484662577</v>
      </c>
      <c r="AJ162" s="103">
        <v>150000000</v>
      </c>
    </row>
    <row r="163" spans="2:45">
      <c r="B163" s="101" t="str">
        <v/>
      </c>
      <c r="C163" s="101">
        <v>5</v>
      </c>
      <c r="D163" s="101">
        <v>3</v>
      </c>
      <c r="F163" s="101" t="str">
        <v/>
      </c>
      <c r="G163" s="101">
        <v>1</v>
      </c>
      <c r="H163" s="101">
        <v>1</v>
      </c>
      <c r="J163" s="101" t="str">
        <v/>
      </c>
      <c r="K163" s="101">
        <v>1</v>
      </c>
      <c r="L163" s="101">
        <v>1</v>
      </c>
      <c r="N163" s="101" t="str">
        <v/>
      </c>
      <c r="O163" s="101">
        <v>1</v>
      </c>
      <c r="P163" s="101">
        <v>1</v>
      </c>
      <c r="R163" s="101" t="str">
        <v/>
      </c>
      <c r="S163" s="101">
        <v>100</v>
      </c>
      <c r="T163" s="101">
        <v>100</v>
      </c>
      <c r="V163" s="101" t="str">
        <v/>
      </c>
      <c r="W163" s="101" t="str">
        <v/>
      </c>
      <c r="Y163" s="101" t="str">
        <v/>
      </c>
      <c r="Z163" s="101" t="str">
        <v/>
      </c>
      <c r="AB163" s="101" t="str">
        <v/>
      </c>
      <c r="AC163" s="101" t="str">
        <v/>
      </c>
      <c r="AE163" s="101" t="str">
        <v/>
      </c>
      <c r="AF163" s="101" t="str">
        <v/>
      </c>
      <c r="AH163" s="8">
        <v>5</v>
      </c>
      <c r="AI163" s="102">
        <v>0.11503067484662577</v>
      </c>
      <c r="AJ163" s="103">
        <v>150000000</v>
      </c>
    </row>
    <row r="164" spans="2:45">
      <c r="B164" s="101" t="str">
        <v/>
      </c>
      <c r="C164" s="101">
        <v>5</v>
      </c>
      <c r="D164" s="101">
        <v>3</v>
      </c>
      <c r="F164" s="101" t="str">
        <v/>
      </c>
      <c r="G164" s="101">
        <v>1</v>
      </c>
      <c r="H164" s="101">
        <v>1</v>
      </c>
      <c r="J164" s="101" t="str">
        <v/>
      </c>
      <c r="K164" s="101">
        <v>1</v>
      </c>
      <c r="L164" s="101">
        <v>1</v>
      </c>
      <c r="N164" s="101" t="str">
        <v/>
      </c>
      <c r="O164" s="101">
        <v>1</v>
      </c>
      <c r="P164" s="101">
        <v>1</v>
      </c>
      <c r="R164" s="101" t="str">
        <v/>
      </c>
      <c r="S164" s="101">
        <v>100</v>
      </c>
      <c r="T164" s="101">
        <v>100</v>
      </c>
      <c r="V164" s="101" t="str">
        <v/>
      </c>
      <c r="W164" s="101" t="str">
        <v/>
      </c>
      <c r="Y164" s="101" t="str">
        <v/>
      </c>
      <c r="Z164" s="101" t="str">
        <v/>
      </c>
      <c r="AB164" s="101" t="str">
        <v/>
      </c>
      <c r="AC164" s="101" t="str">
        <v/>
      </c>
      <c r="AE164" s="101" t="str">
        <v/>
      </c>
      <c r="AF164" s="101" t="str">
        <v/>
      </c>
      <c r="AH164" s="8">
        <v>6</v>
      </c>
      <c r="AI164" s="102">
        <v>0.11503067484662577</v>
      </c>
      <c r="AJ164" s="103">
        <v>150000000</v>
      </c>
    </row>
    <row r="165" spans="2:45">
      <c r="B165" s="101" t="str">
        <v/>
      </c>
      <c r="C165" s="101">
        <v>1</v>
      </c>
      <c r="D165" s="101">
        <v>3</v>
      </c>
      <c r="F165" s="101" t="str">
        <v/>
      </c>
      <c r="G165" s="101">
        <v>1</v>
      </c>
      <c r="H165" s="101">
        <v>1</v>
      </c>
      <c r="J165" s="101" t="str">
        <v/>
      </c>
      <c r="K165" s="101">
        <v>1</v>
      </c>
      <c r="L165" s="101">
        <v>1</v>
      </c>
      <c r="N165" s="101" t="str">
        <v/>
      </c>
      <c r="O165" s="101">
        <v>1</v>
      </c>
      <c r="P165" s="101">
        <v>1</v>
      </c>
      <c r="R165" s="101" t="str">
        <v/>
      </c>
      <c r="S165" s="101">
        <v>100</v>
      </c>
      <c r="T165" s="101">
        <v>100</v>
      </c>
      <c r="V165" s="101" t="str">
        <v/>
      </c>
      <c r="W165" s="101" t="str">
        <v/>
      </c>
      <c r="Y165" s="101" t="str">
        <v/>
      </c>
      <c r="Z165" s="101" t="str">
        <v/>
      </c>
      <c r="AB165" s="101" t="str">
        <v/>
      </c>
      <c r="AC165" s="101" t="str">
        <v/>
      </c>
      <c r="AE165" s="101" t="str">
        <v/>
      </c>
      <c r="AF165" s="101" t="str">
        <v/>
      </c>
      <c r="AH165" s="8">
        <v>7</v>
      </c>
      <c r="AI165" s="102">
        <v>0.11503067484662577</v>
      </c>
      <c r="AJ165" s="103">
        <v>150000000</v>
      </c>
    </row>
    <row r="166" spans="2:45">
      <c r="B166" s="101" t="str">
        <v/>
      </c>
      <c r="C166" s="101">
        <v>1</v>
      </c>
      <c r="D166" s="101">
        <v>5</v>
      </c>
      <c r="F166" s="101" t="str">
        <v/>
      </c>
      <c r="G166" s="101">
        <v>1</v>
      </c>
      <c r="H166" s="101">
        <v>1</v>
      </c>
      <c r="J166" s="101" t="str">
        <v/>
      </c>
      <c r="K166" s="101">
        <v>1</v>
      </c>
      <c r="L166" s="101">
        <v>1</v>
      </c>
      <c r="N166" s="101" t="str">
        <v/>
      </c>
      <c r="O166" s="101">
        <v>1</v>
      </c>
      <c r="P166" s="101">
        <v>1</v>
      </c>
      <c r="R166" s="101" t="str">
        <v/>
      </c>
      <c r="S166" s="101">
        <v>100</v>
      </c>
      <c r="T166" s="101">
        <v>100</v>
      </c>
      <c r="V166" s="101" t="str">
        <v/>
      </c>
      <c r="W166" s="101" t="str">
        <v/>
      </c>
      <c r="Y166" s="101" t="str">
        <v/>
      </c>
      <c r="Z166" s="101" t="str">
        <v/>
      </c>
      <c r="AB166" s="101" t="str">
        <v/>
      </c>
      <c r="AC166" s="101" t="str">
        <v/>
      </c>
      <c r="AE166" s="101" t="str">
        <v/>
      </c>
      <c r="AF166" s="101" t="str">
        <v/>
      </c>
      <c r="AH166" s="8">
        <v>8</v>
      </c>
      <c r="AI166" s="102">
        <v>0.11503067484662577</v>
      </c>
      <c r="AJ166" s="103">
        <v>150000000</v>
      </c>
    </row>
    <row r="167" spans="2:45">
      <c r="B167" s="101" t="str">
        <v/>
      </c>
      <c r="C167" s="101">
        <v>5</v>
      </c>
      <c r="D167" s="101">
        <v>5</v>
      </c>
      <c r="F167" s="101" t="str">
        <v/>
      </c>
      <c r="G167" s="101">
        <v>1</v>
      </c>
      <c r="H167" s="101">
        <v>1</v>
      </c>
      <c r="J167" s="101" t="str">
        <v/>
      </c>
      <c r="K167" s="101">
        <v>1</v>
      </c>
      <c r="L167" s="101">
        <v>1</v>
      </c>
      <c r="N167" s="101" t="str">
        <v/>
      </c>
      <c r="O167" s="101">
        <v>1</v>
      </c>
      <c r="P167" s="101">
        <v>1</v>
      </c>
      <c r="R167" s="101" t="str">
        <v/>
      </c>
      <c r="S167" s="101">
        <v>100</v>
      </c>
      <c r="T167" s="101">
        <v>100</v>
      </c>
      <c r="V167" s="101" t="str">
        <v/>
      </c>
      <c r="W167" s="101" t="str">
        <v/>
      </c>
      <c r="Y167" s="101" t="str">
        <v/>
      </c>
      <c r="Z167" s="101" t="str">
        <v/>
      </c>
      <c r="AB167" s="101" t="str">
        <v/>
      </c>
      <c r="AC167" s="101" t="str">
        <v/>
      </c>
      <c r="AE167" s="101" t="str">
        <v/>
      </c>
      <c r="AF167" s="101" t="str">
        <v/>
      </c>
      <c r="AH167" s="8">
        <v>9</v>
      </c>
      <c r="AI167" s="102">
        <v>0.11503067484662577</v>
      </c>
      <c r="AJ167" s="103">
        <v>150000000</v>
      </c>
    </row>
    <row r="168" spans="2:45">
      <c r="B168" s="101" t="str">
        <v/>
      </c>
      <c r="C168" s="101">
        <v>5</v>
      </c>
      <c r="D168" s="101">
        <v>5</v>
      </c>
      <c r="F168" s="101" t="str">
        <v/>
      </c>
      <c r="G168" s="101">
        <v>1</v>
      </c>
      <c r="H168" s="101">
        <v>1</v>
      </c>
      <c r="J168" s="101" t="str">
        <v/>
      </c>
      <c r="K168" s="101">
        <v>1</v>
      </c>
      <c r="L168" s="101">
        <v>1</v>
      </c>
      <c r="N168" s="101" t="str">
        <v/>
      </c>
      <c r="O168" s="101">
        <v>1</v>
      </c>
      <c r="P168" s="101">
        <v>1</v>
      </c>
      <c r="R168" s="101" t="str">
        <v/>
      </c>
      <c r="S168" s="101">
        <v>100</v>
      </c>
      <c r="T168" s="101">
        <v>100</v>
      </c>
      <c r="V168" s="101" t="str">
        <v/>
      </c>
      <c r="W168" s="101" t="str">
        <v/>
      </c>
      <c r="Y168" s="101" t="str">
        <v/>
      </c>
      <c r="Z168" s="101" t="str">
        <v/>
      </c>
      <c r="AB168" s="101" t="str">
        <v/>
      </c>
      <c r="AC168" s="101" t="str">
        <v/>
      </c>
      <c r="AE168" s="101" t="str">
        <v/>
      </c>
      <c r="AF168" s="101" t="str">
        <v/>
      </c>
      <c r="AH168" s="8">
        <v>10</v>
      </c>
      <c r="AI168" s="102">
        <v>0.15337423312883436</v>
      </c>
      <c r="AJ168" s="103">
        <v>200000000</v>
      </c>
    </row>
    <row r="169" spans="2:45">
      <c r="B169" s="101" t="str">
        <v/>
      </c>
      <c r="C169" s="101">
        <v>5</v>
      </c>
      <c r="D169" s="101">
        <v>1</v>
      </c>
      <c r="F169" s="101" t="str">
        <v/>
      </c>
      <c r="G169" s="101">
        <v>1</v>
      </c>
      <c r="H169" s="101">
        <v>1</v>
      </c>
      <c r="J169" s="101" t="str">
        <v/>
      </c>
      <c r="K169" s="101">
        <v>1</v>
      </c>
      <c r="L169" s="101">
        <v>1</v>
      </c>
      <c r="N169" s="101" t="str">
        <v/>
      </c>
      <c r="O169" s="101">
        <v>1</v>
      </c>
      <c r="P169" s="101">
        <v>1</v>
      </c>
      <c r="R169" s="101" t="str">
        <v/>
      </c>
      <c r="S169" s="101">
        <v>100</v>
      </c>
      <c r="T169" s="101">
        <v>100</v>
      </c>
      <c r="V169" s="101" t="str">
        <v/>
      </c>
      <c r="W169" s="101" t="str">
        <v/>
      </c>
      <c r="Y169" s="101" t="str">
        <v/>
      </c>
      <c r="Z169" s="101" t="str">
        <v/>
      </c>
      <c r="AB169" s="101" t="str">
        <v/>
      </c>
      <c r="AC169" s="101" t="str">
        <v/>
      </c>
      <c r="AE169" s="101" t="str">
        <v/>
      </c>
      <c r="AF169" s="101" t="str">
        <v/>
      </c>
      <c r="AH169" s="8">
        <v>20</v>
      </c>
      <c r="AI169" s="102">
        <v>3.834355828220859E-2</v>
      </c>
      <c r="AJ169" s="103">
        <v>50000000</v>
      </c>
    </row>
    <row r="170" spans="2:45">
      <c r="B170" s="101" t="str">
        <v/>
      </c>
      <c r="C170" s="101">
        <v>4</v>
      </c>
      <c r="D170" s="101">
        <v>1</v>
      </c>
      <c r="F170" s="101" t="str">
        <v/>
      </c>
      <c r="G170" s="101">
        <v>1</v>
      </c>
      <c r="H170" s="101">
        <v>1</v>
      </c>
      <c r="J170" s="101" t="str">
        <v/>
      </c>
      <c r="K170" s="101">
        <v>1</v>
      </c>
      <c r="L170" s="101">
        <v>1</v>
      </c>
      <c r="N170" s="101" t="str">
        <v/>
      </c>
      <c r="O170" s="101">
        <v>1</v>
      </c>
      <c r="P170" s="101">
        <v>1</v>
      </c>
      <c r="R170" s="101" t="str">
        <v/>
      </c>
      <c r="S170" s="101">
        <v>100</v>
      </c>
      <c r="T170" s="101">
        <v>100</v>
      </c>
      <c r="V170" s="101" t="str">
        <v/>
      </c>
      <c r="W170" s="101" t="str">
        <v/>
      </c>
      <c r="Y170" s="101" t="str">
        <v/>
      </c>
      <c r="Z170" s="101" t="str">
        <v/>
      </c>
      <c r="AB170" s="101" t="str">
        <v/>
      </c>
      <c r="AC170" s="101" t="str">
        <v/>
      </c>
      <c r="AE170" s="101" t="str">
        <v/>
      </c>
      <c r="AF170" s="101" t="str">
        <v/>
      </c>
      <c r="AH170" s="8">
        <v>50</v>
      </c>
      <c r="AI170" s="102">
        <v>3.0674846625766872E-3</v>
      </c>
      <c r="AJ170" s="103">
        <v>4000000</v>
      </c>
    </row>
    <row r="171" spans="2:45">
      <c r="B171" s="101" t="str">
        <v/>
      </c>
      <c r="C171" s="101">
        <v>4</v>
      </c>
      <c r="D171" s="101">
        <v>1</v>
      </c>
      <c r="F171" s="101" t="str">
        <v/>
      </c>
      <c r="G171" s="101">
        <v>1</v>
      </c>
      <c r="H171" s="101">
        <v>1</v>
      </c>
      <c r="J171" s="101" t="str">
        <v/>
      </c>
      <c r="K171" s="101">
        <v>1</v>
      </c>
      <c r="L171" s="101">
        <v>1</v>
      </c>
      <c r="N171" s="101" t="str">
        <v/>
      </c>
      <c r="O171" s="101">
        <v>1</v>
      </c>
      <c r="P171" s="101">
        <v>1</v>
      </c>
      <c r="R171" s="101" t="str">
        <v/>
      </c>
      <c r="S171" s="101">
        <v>100</v>
      </c>
      <c r="T171" s="101">
        <v>100</v>
      </c>
      <c r="V171" s="101" t="str">
        <v/>
      </c>
      <c r="W171" s="101" t="str">
        <v/>
      </c>
      <c r="Y171" s="101" t="str">
        <v/>
      </c>
      <c r="Z171" s="101" t="str">
        <v/>
      </c>
      <c r="AB171" s="101" t="str">
        <v/>
      </c>
      <c r="AC171" s="101" t="str">
        <v/>
      </c>
      <c r="AE171" s="101" t="str">
        <v/>
      </c>
      <c r="AF171" s="101" t="str">
        <v/>
      </c>
      <c r="AJ171" s="104"/>
    </row>
    <row r="172" spans="2:45">
      <c r="B172" s="101" t="str">
        <v/>
      </c>
      <c r="C172" s="101">
        <v>1</v>
      </c>
      <c r="D172" s="101">
        <v>3</v>
      </c>
      <c r="F172" s="101" t="str">
        <v/>
      </c>
      <c r="G172" s="101">
        <v>1</v>
      </c>
      <c r="H172" s="101">
        <v>1</v>
      </c>
      <c r="J172" s="101" t="str">
        <v/>
      </c>
      <c r="K172" s="101">
        <v>1</v>
      </c>
      <c r="L172" s="101">
        <v>1</v>
      </c>
      <c r="N172" s="101" t="str">
        <v/>
      </c>
      <c r="O172" s="101">
        <v>1</v>
      </c>
      <c r="P172" s="101">
        <v>1</v>
      </c>
      <c r="R172" s="101" t="str">
        <v/>
      </c>
      <c r="S172" s="101">
        <v>100</v>
      </c>
      <c r="T172" s="101">
        <v>100</v>
      </c>
      <c r="V172" s="101" t="str">
        <v/>
      </c>
      <c r="W172" s="101" t="str">
        <v/>
      </c>
      <c r="Y172" s="101" t="str">
        <v/>
      </c>
      <c r="Z172" s="101" t="str">
        <v/>
      </c>
      <c r="AB172" s="101" t="str">
        <v/>
      </c>
      <c r="AC172" s="101" t="str">
        <v/>
      </c>
      <c r="AE172" s="101" t="str">
        <v/>
      </c>
      <c r="AF172" s="101" t="str">
        <v/>
      </c>
    </row>
    <row r="173" spans="2:45" ht="16.2">
      <c r="B173" s="101" t="str">
        <v/>
      </c>
      <c r="C173" s="101">
        <v>1</v>
      </c>
      <c r="D173" s="101">
        <v>3</v>
      </c>
      <c r="F173" s="101" t="str">
        <v/>
      </c>
      <c r="G173" s="101">
        <v>1</v>
      </c>
      <c r="H173" s="101">
        <v>1</v>
      </c>
      <c r="J173" s="101" t="str">
        <v/>
      </c>
      <c r="K173" s="101">
        <v>1</v>
      </c>
      <c r="L173" s="101">
        <v>1</v>
      </c>
      <c r="N173" s="101" t="str">
        <v/>
      </c>
      <c r="O173" s="101">
        <v>1</v>
      </c>
      <c r="P173" s="101">
        <v>1</v>
      </c>
      <c r="R173" s="101" t="str">
        <v/>
      </c>
      <c r="S173" s="101">
        <v>100</v>
      </c>
      <c r="T173" s="101">
        <v>100</v>
      </c>
      <c r="V173" s="101" t="str">
        <v/>
      </c>
      <c r="W173" s="101" t="str">
        <v/>
      </c>
      <c r="Y173" s="101" t="str">
        <v/>
      </c>
      <c r="Z173" s="101" t="str">
        <v/>
      </c>
      <c r="AB173" s="101" t="str">
        <v/>
      </c>
      <c r="AC173" s="101" t="str">
        <v/>
      </c>
      <c r="AE173" s="101" t="str">
        <v/>
      </c>
      <c r="AF173" s="101" t="str">
        <v/>
      </c>
      <c r="AH173" s="156" t="s">
        <v>110</v>
      </c>
      <c r="AI173" s="157"/>
      <c r="AJ173" s="157"/>
      <c r="AK173" s="157"/>
      <c r="AL173" s="157"/>
      <c r="AM173" s="157"/>
      <c r="AN173" s="157"/>
      <c r="AO173" s="157"/>
      <c r="AP173" s="157"/>
      <c r="AQ173" s="157"/>
      <c r="AR173" s="157"/>
      <c r="AS173" s="157"/>
    </row>
    <row r="174" spans="2:45" ht="16.2">
      <c r="B174" s="101" t="str">
        <v/>
      </c>
      <c r="C174" s="101">
        <v>4</v>
      </c>
      <c r="D174" s="101">
        <v>3</v>
      </c>
      <c r="F174" s="101" t="str">
        <v/>
      </c>
      <c r="G174" s="101">
        <v>1</v>
      </c>
      <c r="H174" s="101">
        <v>1</v>
      </c>
      <c r="J174" s="101" t="str">
        <v/>
      </c>
      <c r="K174" s="101">
        <v>1</v>
      </c>
      <c r="L174" s="101">
        <v>1</v>
      </c>
      <c r="N174" s="101" t="str">
        <v/>
      </c>
      <c r="O174" s="101">
        <v>1</v>
      </c>
      <c r="P174" s="101">
        <v>1</v>
      </c>
      <c r="R174" s="101" t="str">
        <v/>
      </c>
      <c r="S174" s="101">
        <v>100</v>
      </c>
      <c r="T174" s="101">
        <v>100</v>
      </c>
      <c r="V174" s="101" t="str">
        <v/>
      </c>
      <c r="W174" s="101" t="str">
        <v/>
      </c>
      <c r="Y174" s="101" t="str">
        <v/>
      </c>
      <c r="Z174" s="101" t="str">
        <v/>
      </c>
      <c r="AB174" s="101" t="str">
        <v/>
      </c>
      <c r="AC174" s="101" t="str">
        <v/>
      </c>
      <c r="AE174" s="101" t="str">
        <v/>
      </c>
      <c r="AF174" s="101" t="str">
        <v/>
      </c>
      <c r="AH174" s="99" t="str" cm="1">
        <f t="array" ref="AH174:AH185">'Pay Combo Super Feature Buy'!V2:V13</f>
        <v>Re-spin倍數權重</v>
      </c>
      <c r="AI174" s="99" cm="1">
        <f t="array" ref="AI174:AS185">'Pay Combo Super Feature Buy'!AH2:AR13</f>
        <v>2</v>
      </c>
      <c r="AJ174" s="99">
        <v>3</v>
      </c>
      <c r="AK174" s="99">
        <v>4</v>
      </c>
      <c r="AL174" s="99">
        <v>5</v>
      </c>
      <c r="AM174" s="99">
        <v>6</v>
      </c>
      <c r="AN174" s="99">
        <v>7</v>
      </c>
      <c r="AO174" s="99">
        <v>8</v>
      </c>
      <c r="AP174" s="99">
        <v>9</v>
      </c>
      <c r="AQ174" s="99">
        <v>10</v>
      </c>
      <c r="AR174" s="99">
        <v>20</v>
      </c>
      <c r="AS174" s="99">
        <v>50</v>
      </c>
    </row>
    <row r="175" spans="2:45">
      <c r="B175" s="101" t="str">
        <v/>
      </c>
      <c r="C175" s="101">
        <v>4</v>
      </c>
      <c r="D175" s="101">
        <v>5</v>
      </c>
      <c r="F175" s="101" t="str">
        <v/>
      </c>
      <c r="G175" s="101">
        <v>1</v>
      </c>
      <c r="H175" s="101">
        <v>1</v>
      </c>
      <c r="J175" s="101" t="str">
        <v/>
      </c>
      <c r="K175" s="101">
        <v>1</v>
      </c>
      <c r="L175" s="101">
        <v>1</v>
      </c>
      <c r="N175" s="101" t="str">
        <v/>
      </c>
      <c r="O175" s="101">
        <v>1</v>
      </c>
      <c r="P175" s="101">
        <v>1</v>
      </c>
      <c r="R175" s="101" t="str">
        <v/>
      </c>
      <c r="S175" s="101">
        <v>100</v>
      </c>
      <c r="T175" s="101">
        <v>100</v>
      </c>
      <c r="V175" s="101" t="str">
        <v/>
      </c>
      <c r="W175" s="101" t="str">
        <v/>
      </c>
      <c r="Y175" s="101" t="str">
        <v/>
      </c>
      <c r="Z175" s="101" t="str">
        <v/>
      </c>
      <c r="AB175" s="101" t="str">
        <v/>
      </c>
      <c r="AC175" s="101" t="str">
        <v/>
      </c>
      <c r="AE175" s="101" t="str">
        <v/>
      </c>
      <c r="AF175" s="101" t="str">
        <v/>
      </c>
      <c r="AH175" s="8">
        <v>1</v>
      </c>
      <c r="AI175" s="103">
        <v>0</v>
      </c>
      <c r="AJ175" s="103">
        <v>0</v>
      </c>
      <c r="AK175" s="103">
        <v>0</v>
      </c>
      <c r="AL175" s="103">
        <v>0</v>
      </c>
      <c r="AM175" s="103">
        <v>0</v>
      </c>
      <c r="AN175" s="103">
        <v>0</v>
      </c>
      <c r="AO175" s="103">
        <v>0</v>
      </c>
      <c r="AP175" s="103">
        <v>0</v>
      </c>
      <c r="AQ175" s="103">
        <v>0</v>
      </c>
      <c r="AR175" s="103">
        <v>0</v>
      </c>
      <c r="AS175" s="103">
        <v>0</v>
      </c>
    </row>
    <row r="176" spans="2:45">
      <c r="B176" s="101" t="str">
        <v/>
      </c>
      <c r="C176" s="101">
        <v>6</v>
      </c>
      <c r="D176" s="101">
        <v>5</v>
      </c>
      <c r="F176" s="101" t="str">
        <v/>
      </c>
      <c r="G176" s="101">
        <v>1</v>
      </c>
      <c r="H176" s="101">
        <v>1</v>
      </c>
      <c r="J176" s="101" t="str">
        <v/>
      </c>
      <c r="K176" s="101">
        <v>1</v>
      </c>
      <c r="L176" s="101">
        <v>1</v>
      </c>
      <c r="N176" s="101" t="str">
        <v/>
      </c>
      <c r="O176" s="101">
        <v>1</v>
      </c>
      <c r="P176" s="101">
        <v>1</v>
      </c>
      <c r="R176" s="101" t="str">
        <v/>
      </c>
      <c r="S176" s="101">
        <v>100</v>
      </c>
      <c r="T176" s="101">
        <v>100</v>
      </c>
      <c r="V176" s="101" t="str">
        <v/>
      </c>
      <c r="W176" s="101" t="str">
        <v/>
      </c>
      <c r="Y176" s="101" t="str">
        <v/>
      </c>
      <c r="Z176" s="101" t="str">
        <v/>
      </c>
      <c r="AB176" s="101" t="str">
        <v/>
      </c>
      <c r="AC176" s="101" t="str">
        <v/>
      </c>
      <c r="AE176" s="101" t="str">
        <v/>
      </c>
      <c r="AF176" s="101" t="str">
        <v/>
      </c>
      <c r="AH176" s="8">
        <v>2</v>
      </c>
      <c r="AI176" s="103">
        <v>0</v>
      </c>
      <c r="AJ176" s="103">
        <v>0</v>
      </c>
      <c r="AK176" s="103">
        <v>0</v>
      </c>
      <c r="AL176" s="103">
        <v>0</v>
      </c>
      <c r="AM176" s="103">
        <v>0</v>
      </c>
      <c r="AN176" s="103">
        <v>0</v>
      </c>
      <c r="AO176" s="103">
        <v>0</v>
      </c>
      <c r="AP176" s="103">
        <v>0</v>
      </c>
      <c r="AQ176" s="103">
        <v>0</v>
      </c>
      <c r="AR176" s="103">
        <v>0</v>
      </c>
      <c r="AS176" s="103">
        <v>0</v>
      </c>
    </row>
    <row r="177" spans="2:45">
      <c r="B177" s="101" t="str">
        <v/>
      </c>
      <c r="C177" s="101">
        <v>6</v>
      </c>
      <c r="D177" s="101">
        <v>5</v>
      </c>
      <c r="F177" s="101" t="str">
        <v/>
      </c>
      <c r="G177" s="101">
        <v>1</v>
      </c>
      <c r="H177" s="101">
        <v>1</v>
      </c>
      <c r="J177" s="101" t="str">
        <v/>
      </c>
      <c r="K177" s="101">
        <v>1</v>
      </c>
      <c r="L177" s="101">
        <v>1</v>
      </c>
      <c r="N177" s="101" t="str">
        <v/>
      </c>
      <c r="O177" s="101">
        <v>1</v>
      </c>
      <c r="P177" s="101">
        <v>1</v>
      </c>
      <c r="R177" s="101" t="str">
        <v/>
      </c>
      <c r="S177" s="101">
        <v>100</v>
      </c>
      <c r="T177" s="101">
        <v>100</v>
      </c>
      <c r="V177" s="101" t="str">
        <v/>
      </c>
      <c r="W177" s="101" t="str">
        <v/>
      </c>
      <c r="Y177" s="101" t="str">
        <v/>
      </c>
      <c r="Z177" s="101" t="str">
        <v/>
      </c>
      <c r="AB177" s="101" t="str">
        <v/>
      </c>
      <c r="AC177" s="101" t="str">
        <v/>
      </c>
      <c r="AE177" s="101" t="str">
        <v/>
      </c>
      <c r="AF177" s="101" t="str">
        <v/>
      </c>
      <c r="AH177" s="8">
        <v>3</v>
      </c>
      <c r="AI177" s="103">
        <v>0</v>
      </c>
      <c r="AJ177" s="103">
        <v>105000000</v>
      </c>
      <c r="AK177" s="103">
        <v>105000000</v>
      </c>
      <c r="AL177" s="103">
        <v>100300000</v>
      </c>
      <c r="AM177" s="103">
        <v>100300000</v>
      </c>
      <c r="AN177" s="103">
        <v>100300000</v>
      </c>
      <c r="AO177" s="103">
        <v>100300000</v>
      </c>
      <c r="AP177" s="103">
        <v>100300000</v>
      </c>
      <c r="AQ177" s="103">
        <v>100300000</v>
      </c>
      <c r="AR177" s="103">
        <v>100300000</v>
      </c>
      <c r="AS177" s="103">
        <v>100300000</v>
      </c>
    </row>
    <row r="178" spans="2:45">
      <c r="B178" s="101" t="str">
        <v/>
      </c>
      <c r="C178" s="101">
        <v>6</v>
      </c>
      <c r="D178" s="101">
        <v>4</v>
      </c>
      <c r="F178" s="101" t="str">
        <v/>
      </c>
      <c r="G178" s="101">
        <v>1</v>
      </c>
      <c r="H178" s="101">
        <v>1</v>
      </c>
      <c r="J178" s="101" t="str">
        <v/>
      </c>
      <c r="K178" s="101">
        <v>1</v>
      </c>
      <c r="L178" s="101">
        <v>1</v>
      </c>
      <c r="N178" s="101" t="str">
        <v/>
      </c>
      <c r="O178" s="101">
        <v>1</v>
      </c>
      <c r="P178" s="101">
        <v>1</v>
      </c>
      <c r="R178" s="101" t="str">
        <v/>
      </c>
      <c r="S178" s="101">
        <v>100</v>
      </c>
      <c r="T178" s="101">
        <v>100</v>
      </c>
      <c r="V178" s="101" t="str">
        <v/>
      </c>
      <c r="W178" s="101" t="str">
        <v/>
      </c>
      <c r="Y178" s="101" t="str">
        <v/>
      </c>
      <c r="Z178" s="101" t="str">
        <v/>
      </c>
      <c r="AB178" s="101" t="str">
        <v/>
      </c>
      <c r="AC178" s="101" t="str">
        <v/>
      </c>
      <c r="AE178" s="101" t="str">
        <v/>
      </c>
      <c r="AF178" s="101" t="str">
        <v/>
      </c>
      <c r="AH178" s="8">
        <v>5</v>
      </c>
      <c r="AI178" s="103">
        <v>0</v>
      </c>
      <c r="AJ178" s="103">
        <v>167500000</v>
      </c>
      <c r="AK178" s="103">
        <v>167500000</v>
      </c>
      <c r="AL178" s="103">
        <v>159900000</v>
      </c>
      <c r="AM178" s="103">
        <v>159900000</v>
      </c>
      <c r="AN178" s="103">
        <v>159900000</v>
      </c>
      <c r="AO178" s="103">
        <v>159900000</v>
      </c>
      <c r="AP178" s="103">
        <v>159900000</v>
      </c>
      <c r="AQ178" s="103">
        <v>159900000</v>
      </c>
      <c r="AR178" s="103">
        <v>159900000</v>
      </c>
      <c r="AS178" s="103">
        <v>159900000</v>
      </c>
    </row>
    <row r="179" spans="2:45">
      <c r="B179" s="101" t="str">
        <v/>
      </c>
      <c r="C179" s="101">
        <v>1</v>
      </c>
      <c r="D179" s="101">
        <v>4</v>
      </c>
      <c r="F179" s="101" t="str">
        <v/>
      </c>
      <c r="G179" s="101">
        <v>1</v>
      </c>
      <c r="H179" s="101">
        <v>1</v>
      </c>
      <c r="J179" s="101" t="str">
        <v/>
      </c>
      <c r="K179" s="101">
        <v>1</v>
      </c>
      <c r="L179" s="101">
        <v>1</v>
      </c>
      <c r="N179" s="101" t="str">
        <v/>
      </c>
      <c r="O179" s="101">
        <v>1</v>
      </c>
      <c r="P179" s="101">
        <v>1</v>
      </c>
      <c r="R179" s="101" t="str">
        <v/>
      </c>
      <c r="S179" s="101">
        <v>100</v>
      </c>
      <c r="T179" s="101">
        <v>100</v>
      </c>
      <c r="V179" s="101" t="str">
        <v/>
      </c>
      <c r="W179" s="101" t="str">
        <v/>
      </c>
      <c r="Y179" s="101" t="str">
        <v/>
      </c>
      <c r="Z179" s="101" t="str">
        <v/>
      </c>
      <c r="AB179" s="101" t="str">
        <v/>
      </c>
      <c r="AC179" s="101" t="str">
        <v/>
      </c>
      <c r="AE179" s="101" t="str">
        <v/>
      </c>
      <c r="AF179" s="101" t="str">
        <v/>
      </c>
      <c r="AH179" s="8">
        <v>10</v>
      </c>
      <c r="AI179" s="103">
        <v>155200000</v>
      </c>
      <c r="AJ179" s="103">
        <v>96200000</v>
      </c>
      <c r="AK179" s="103">
        <v>96200000</v>
      </c>
      <c r="AL179" s="103">
        <v>68900000</v>
      </c>
      <c r="AM179" s="103">
        <v>68900000</v>
      </c>
      <c r="AN179" s="103">
        <v>68900000</v>
      </c>
      <c r="AO179" s="103">
        <v>68900000</v>
      </c>
      <c r="AP179" s="103">
        <v>68900000</v>
      </c>
      <c r="AQ179" s="103">
        <v>68900000</v>
      </c>
      <c r="AR179" s="103">
        <v>68900000</v>
      </c>
      <c r="AS179" s="103">
        <v>68900000</v>
      </c>
    </row>
    <row r="180" spans="2:45">
      <c r="B180" s="101" t="str">
        <v/>
      </c>
      <c r="C180" s="101">
        <v>1</v>
      </c>
      <c r="D180" s="101">
        <v>4</v>
      </c>
      <c r="F180" s="101" t="str">
        <v/>
      </c>
      <c r="G180" s="101">
        <v>1</v>
      </c>
      <c r="H180" s="101">
        <v>1</v>
      </c>
      <c r="J180" s="101" t="str">
        <v/>
      </c>
      <c r="K180" s="101">
        <v>1</v>
      </c>
      <c r="L180" s="101">
        <v>1</v>
      </c>
      <c r="N180" s="101" t="str">
        <v/>
      </c>
      <c r="O180" s="101">
        <v>1</v>
      </c>
      <c r="P180" s="101">
        <v>1</v>
      </c>
      <c r="R180" s="101" t="str">
        <v/>
      </c>
      <c r="S180" s="101">
        <v>100</v>
      </c>
      <c r="T180" s="101">
        <v>100</v>
      </c>
      <c r="V180" s="101" t="str">
        <v/>
      </c>
      <c r="W180" s="101" t="str">
        <v/>
      </c>
      <c r="Y180" s="101" t="str">
        <v/>
      </c>
      <c r="Z180" s="101" t="str">
        <v/>
      </c>
      <c r="AB180" s="101" t="str">
        <v/>
      </c>
      <c r="AC180" s="101" t="str">
        <v/>
      </c>
      <c r="AE180" s="101" t="str">
        <v/>
      </c>
      <c r="AF180" s="101" t="str">
        <v/>
      </c>
      <c r="AH180" s="8">
        <v>15</v>
      </c>
      <c r="AI180" s="103">
        <v>84100000</v>
      </c>
      <c r="AJ180" s="103">
        <v>52200000</v>
      </c>
      <c r="AK180" s="103">
        <v>52200000</v>
      </c>
      <c r="AL180" s="103">
        <v>27700000</v>
      </c>
      <c r="AM180" s="103">
        <v>27700000</v>
      </c>
      <c r="AN180" s="103">
        <v>27700000</v>
      </c>
      <c r="AO180" s="103">
        <v>27700000</v>
      </c>
      <c r="AP180" s="103">
        <v>27700000</v>
      </c>
      <c r="AQ180" s="103">
        <v>27700000</v>
      </c>
      <c r="AR180" s="103">
        <v>27700000</v>
      </c>
      <c r="AS180" s="103">
        <v>27700000</v>
      </c>
    </row>
    <row r="181" spans="2:45">
      <c r="B181" s="101" t="str">
        <v/>
      </c>
      <c r="C181" s="101">
        <v>4</v>
      </c>
      <c r="D181" s="101">
        <v>6</v>
      </c>
      <c r="F181" s="101" t="str">
        <v/>
      </c>
      <c r="G181" s="101">
        <v>1</v>
      </c>
      <c r="H181" s="101">
        <v>1</v>
      </c>
      <c r="J181" s="101" t="str">
        <v/>
      </c>
      <c r="K181" s="101">
        <v>1</v>
      </c>
      <c r="L181" s="101">
        <v>1</v>
      </c>
      <c r="N181" s="101" t="str">
        <v/>
      </c>
      <c r="O181" s="101">
        <v>1</v>
      </c>
      <c r="P181" s="101">
        <v>1</v>
      </c>
      <c r="R181" s="101" t="str">
        <v/>
      </c>
      <c r="S181" s="101">
        <v>701</v>
      </c>
      <c r="T181" s="101">
        <v>100</v>
      </c>
      <c r="V181" s="101" t="str">
        <v/>
      </c>
      <c r="W181" s="101" t="str">
        <v/>
      </c>
      <c r="Y181" s="101" t="str">
        <v/>
      </c>
      <c r="Z181" s="101" t="str">
        <v/>
      </c>
      <c r="AB181" s="101" t="str">
        <v/>
      </c>
      <c r="AC181" s="101" t="str">
        <v/>
      </c>
      <c r="AE181" s="101" t="str">
        <v/>
      </c>
      <c r="AF181" s="101" t="str">
        <v/>
      </c>
      <c r="AH181" s="8">
        <v>20</v>
      </c>
      <c r="AI181" s="103">
        <v>15600000</v>
      </c>
      <c r="AJ181" s="103">
        <v>9700000</v>
      </c>
      <c r="AK181" s="103">
        <v>9700000</v>
      </c>
      <c r="AL181" s="103">
        <v>13200000</v>
      </c>
      <c r="AM181" s="103">
        <v>13200000</v>
      </c>
      <c r="AN181" s="103">
        <v>13200000</v>
      </c>
      <c r="AO181" s="103">
        <v>13200000</v>
      </c>
      <c r="AP181" s="103">
        <v>13200000</v>
      </c>
      <c r="AQ181" s="103">
        <v>13200000</v>
      </c>
      <c r="AR181" s="103">
        <v>13200000</v>
      </c>
      <c r="AS181" s="103">
        <v>13200000</v>
      </c>
    </row>
    <row r="182" spans="2:45">
      <c r="B182" s="101" t="str">
        <v/>
      </c>
      <c r="C182" s="101">
        <v>4</v>
      </c>
      <c r="D182" s="101">
        <v>6</v>
      </c>
      <c r="F182" s="101" t="str">
        <v/>
      </c>
      <c r="G182" s="101">
        <v>1</v>
      </c>
      <c r="H182" s="101">
        <v>1</v>
      </c>
      <c r="J182" s="101" t="str">
        <v/>
      </c>
      <c r="K182" s="101">
        <v>1</v>
      </c>
      <c r="L182" s="101">
        <v>1</v>
      </c>
      <c r="N182" s="101" t="str">
        <v/>
      </c>
      <c r="O182" s="101">
        <v>1</v>
      </c>
      <c r="P182" s="101">
        <v>1</v>
      </c>
      <c r="R182" s="101" t="str">
        <v/>
      </c>
      <c r="S182" s="101">
        <v>584</v>
      </c>
      <c r="T182" s="101">
        <v>100</v>
      </c>
      <c r="V182" s="101" t="str">
        <v/>
      </c>
      <c r="W182" s="101" t="str">
        <v/>
      </c>
      <c r="Y182" s="101" t="str">
        <v/>
      </c>
      <c r="Z182" s="101" t="str">
        <v/>
      </c>
      <c r="AB182" s="101" t="str">
        <v/>
      </c>
      <c r="AC182" s="101" t="str">
        <v/>
      </c>
      <c r="AE182" s="101" t="str">
        <v/>
      </c>
      <c r="AF182" s="101" t="str">
        <v/>
      </c>
      <c r="AH182" s="8">
        <v>25</v>
      </c>
      <c r="AI182" s="103">
        <v>8400000</v>
      </c>
      <c r="AJ182" s="103">
        <v>5200000</v>
      </c>
      <c r="AK182" s="103">
        <v>5200000</v>
      </c>
      <c r="AL182" s="103">
        <v>5000000</v>
      </c>
      <c r="AM182" s="103">
        <v>5000000</v>
      </c>
      <c r="AN182" s="103">
        <v>5000000</v>
      </c>
      <c r="AO182" s="103">
        <v>5000000</v>
      </c>
      <c r="AP182" s="103">
        <v>5000000</v>
      </c>
      <c r="AQ182" s="103">
        <v>5000000</v>
      </c>
      <c r="AR182" s="103">
        <v>5000000</v>
      </c>
      <c r="AS182" s="103">
        <v>5000000</v>
      </c>
    </row>
    <row r="183" spans="2:45">
      <c r="B183" s="101" t="str">
        <v/>
      </c>
      <c r="C183" s="101">
        <v>0</v>
      </c>
      <c r="D183" s="101">
        <v>6</v>
      </c>
      <c r="F183" s="101" t="str">
        <v/>
      </c>
      <c r="G183" s="101">
        <v>1</v>
      </c>
      <c r="H183" s="101">
        <v>1</v>
      </c>
      <c r="J183" s="101" t="str">
        <v/>
      </c>
      <c r="K183" s="101">
        <v>1</v>
      </c>
      <c r="L183" s="101">
        <v>1</v>
      </c>
      <c r="N183" s="101" t="str">
        <v/>
      </c>
      <c r="O183" s="101">
        <v>1</v>
      </c>
      <c r="P183" s="101">
        <v>1</v>
      </c>
      <c r="R183" s="101" t="str">
        <v/>
      </c>
      <c r="S183" s="101">
        <v>467</v>
      </c>
      <c r="T183" s="101">
        <v>100</v>
      </c>
      <c r="V183" s="101" t="str">
        <v/>
      </c>
      <c r="W183" s="101" t="str">
        <v/>
      </c>
      <c r="Y183" s="101" t="str">
        <v/>
      </c>
      <c r="Z183" s="101" t="str">
        <v/>
      </c>
      <c r="AB183" s="101" t="str">
        <v/>
      </c>
      <c r="AC183" s="101" t="str">
        <v/>
      </c>
      <c r="AE183" s="101" t="str">
        <v/>
      </c>
      <c r="AF183" s="101" t="str">
        <v/>
      </c>
      <c r="AH183" s="8">
        <v>50</v>
      </c>
      <c r="AI183" s="103">
        <v>4800000</v>
      </c>
      <c r="AJ183" s="103">
        <v>3000000</v>
      </c>
      <c r="AK183" s="103">
        <v>3000000</v>
      </c>
      <c r="AL183" s="103">
        <v>2900000</v>
      </c>
      <c r="AM183" s="103">
        <v>2900000</v>
      </c>
      <c r="AN183" s="103">
        <v>2900000</v>
      </c>
      <c r="AO183" s="103">
        <v>2900000</v>
      </c>
      <c r="AP183" s="103">
        <v>2900000</v>
      </c>
      <c r="AQ183" s="103">
        <v>2900000</v>
      </c>
      <c r="AR183" s="103">
        <v>2900000</v>
      </c>
      <c r="AS183" s="103">
        <v>2900000</v>
      </c>
    </row>
    <row r="184" spans="2:45">
      <c r="B184" s="101" t="str">
        <v/>
      </c>
      <c r="C184" s="101">
        <v>0</v>
      </c>
      <c r="D184" s="101">
        <v>6</v>
      </c>
      <c r="F184" s="101" t="str">
        <v/>
      </c>
      <c r="G184" s="101">
        <v>1</v>
      </c>
      <c r="H184" s="101">
        <v>1</v>
      </c>
      <c r="J184" s="101" t="str">
        <v/>
      </c>
      <c r="K184" s="101">
        <v>1</v>
      </c>
      <c r="L184" s="101">
        <v>1</v>
      </c>
      <c r="N184" s="101" t="str">
        <v/>
      </c>
      <c r="O184" s="101">
        <v>1</v>
      </c>
      <c r="P184" s="101">
        <v>1</v>
      </c>
      <c r="R184" s="101" t="str">
        <v/>
      </c>
      <c r="S184" s="101">
        <v>584</v>
      </c>
      <c r="T184" s="101">
        <v>100</v>
      </c>
      <c r="V184" s="101" t="str">
        <v/>
      </c>
      <c r="W184" s="101" t="str">
        <v/>
      </c>
      <c r="Y184" s="101" t="str">
        <v/>
      </c>
      <c r="Z184" s="101" t="str">
        <v/>
      </c>
      <c r="AB184" s="101" t="str">
        <v/>
      </c>
      <c r="AC184" s="101" t="str">
        <v/>
      </c>
      <c r="AE184" s="101" t="str">
        <v/>
      </c>
      <c r="AF184" s="101" t="str">
        <v/>
      </c>
      <c r="AH184" s="8">
        <v>100</v>
      </c>
      <c r="AI184" s="103">
        <v>1700000</v>
      </c>
      <c r="AJ184" s="103">
        <v>1100000</v>
      </c>
      <c r="AK184" s="103">
        <v>1100000</v>
      </c>
      <c r="AL184" s="103">
        <v>1000000</v>
      </c>
      <c r="AM184" s="103">
        <v>1000000</v>
      </c>
      <c r="AN184" s="103">
        <v>1000000</v>
      </c>
      <c r="AO184" s="103">
        <v>1000000</v>
      </c>
      <c r="AP184" s="103">
        <v>1000000</v>
      </c>
      <c r="AQ184" s="103">
        <v>1000000</v>
      </c>
      <c r="AR184" s="103">
        <v>1000000</v>
      </c>
      <c r="AS184" s="103">
        <v>1000000</v>
      </c>
    </row>
    <row r="185" spans="2:45">
      <c r="B185" s="101" t="str">
        <v/>
      </c>
      <c r="C185" s="101">
        <v>0</v>
      </c>
      <c r="D185" s="101">
        <v>2</v>
      </c>
      <c r="F185" s="101" t="str">
        <v/>
      </c>
      <c r="G185" s="101">
        <v>1</v>
      </c>
      <c r="H185" s="101">
        <v>1</v>
      </c>
      <c r="J185" s="101" t="str">
        <v/>
      </c>
      <c r="K185" s="101">
        <v>1</v>
      </c>
      <c r="L185" s="101">
        <v>1</v>
      </c>
      <c r="N185" s="101" t="str">
        <v/>
      </c>
      <c r="O185" s="101">
        <v>1</v>
      </c>
      <c r="P185" s="101">
        <v>1</v>
      </c>
      <c r="R185" s="101" t="str">
        <v/>
      </c>
      <c r="S185" s="101">
        <v>701</v>
      </c>
      <c r="T185" s="101">
        <v>100</v>
      </c>
      <c r="V185" s="101" t="str">
        <v/>
      </c>
      <c r="W185" s="101" t="str">
        <v/>
      </c>
      <c r="Y185" s="101" t="str">
        <v/>
      </c>
      <c r="Z185" s="101" t="str">
        <v/>
      </c>
      <c r="AB185" s="101" t="str">
        <v/>
      </c>
      <c r="AC185" s="101" t="str">
        <v/>
      </c>
      <c r="AE185" s="101" t="str">
        <v/>
      </c>
      <c r="AF185" s="101" t="str">
        <v/>
      </c>
      <c r="AH185" s="8">
        <v>500</v>
      </c>
      <c r="AI185" s="103">
        <v>200000</v>
      </c>
      <c r="AJ185" s="103">
        <v>100000</v>
      </c>
      <c r="AK185" s="103">
        <v>100000</v>
      </c>
      <c r="AL185" s="103">
        <v>100000</v>
      </c>
      <c r="AM185" s="103">
        <v>100000</v>
      </c>
      <c r="AN185" s="103">
        <v>100000</v>
      </c>
      <c r="AO185" s="103">
        <v>100000</v>
      </c>
      <c r="AP185" s="103">
        <v>100000</v>
      </c>
      <c r="AQ185" s="103">
        <v>100000</v>
      </c>
      <c r="AR185" s="103">
        <v>100000</v>
      </c>
      <c r="AS185" s="103">
        <v>100000</v>
      </c>
    </row>
    <row r="186" spans="2:45">
      <c r="B186" s="101" t="str">
        <v/>
      </c>
      <c r="C186" s="101">
        <v>4</v>
      </c>
      <c r="D186" s="101">
        <v>2</v>
      </c>
      <c r="F186" s="101" t="str">
        <v/>
      </c>
      <c r="G186" s="101">
        <v>1</v>
      </c>
      <c r="H186" s="101">
        <v>1</v>
      </c>
      <c r="J186" s="101" t="str">
        <v/>
      </c>
      <c r="K186" s="101">
        <v>1</v>
      </c>
      <c r="L186" s="101">
        <v>1</v>
      </c>
      <c r="N186" s="101" t="str">
        <v/>
      </c>
      <c r="O186" s="101">
        <v>1</v>
      </c>
      <c r="P186" s="101">
        <v>1</v>
      </c>
      <c r="R186" s="101" t="str">
        <v/>
      </c>
      <c r="S186" s="101">
        <v>100</v>
      </c>
      <c r="T186" s="101">
        <v>100</v>
      </c>
      <c r="V186" s="101" t="str">
        <v/>
      </c>
      <c r="W186" s="101" t="str">
        <v/>
      </c>
      <c r="Y186" s="101" t="str">
        <v/>
      </c>
      <c r="Z186" s="101" t="str">
        <v/>
      </c>
      <c r="AB186" s="101" t="str">
        <v/>
      </c>
      <c r="AC186" s="101" t="str">
        <v/>
      </c>
      <c r="AE186" s="101" t="str">
        <v/>
      </c>
      <c r="AF186" s="101" t="str">
        <v/>
      </c>
    </row>
    <row r="187" spans="2:45">
      <c r="B187" s="101" t="str">
        <v/>
      </c>
      <c r="C187" s="101">
        <v>4</v>
      </c>
      <c r="D187" s="101">
        <v>2</v>
      </c>
      <c r="F187" s="101" t="str">
        <v/>
      </c>
      <c r="G187" s="101">
        <v>1</v>
      </c>
      <c r="H187" s="101">
        <v>1</v>
      </c>
      <c r="J187" s="101" t="str">
        <v/>
      </c>
      <c r="K187" s="101">
        <v>1</v>
      </c>
      <c r="L187" s="101">
        <v>1</v>
      </c>
      <c r="N187" s="101" t="str">
        <v/>
      </c>
      <c r="O187" s="101">
        <v>1</v>
      </c>
      <c r="P187" s="101">
        <v>1</v>
      </c>
      <c r="R187" s="101" t="str">
        <v/>
      </c>
      <c r="S187" s="101">
        <v>100</v>
      </c>
      <c r="T187" s="101">
        <v>100</v>
      </c>
      <c r="V187" s="101" t="str">
        <v/>
      </c>
      <c r="W187" s="101" t="str">
        <v/>
      </c>
      <c r="Y187" s="101" t="str">
        <v/>
      </c>
      <c r="Z187" s="101" t="str">
        <v/>
      </c>
      <c r="AB187" s="101" t="str">
        <v/>
      </c>
      <c r="AC187" s="101" t="str">
        <v/>
      </c>
      <c r="AE187" s="101" t="str">
        <v/>
      </c>
      <c r="AF187" s="101" t="str">
        <v/>
      </c>
    </row>
    <row r="188" spans="2:45">
      <c r="B188" s="101" t="str">
        <v/>
      </c>
      <c r="C188" s="101">
        <v>6</v>
      </c>
      <c r="D188" s="101">
        <v>7</v>
      </c>
      <c r="F188" s="101" t="str">
        <v/>
      </c>
      <c r="G188" s="101">
        <v>1</v>
      </c>
      <c r="H188" s="101">
        <v>1</v>
      </c>
      <c r="J188" s="101" t="str">
        <v/>
      </c>
      <c r="K188" s="101">
        <v>1</v>
      </c>
      <c r="L188" s="101">
        <v>1</v>
      </c>
      <c r="N188" s="101" t="str">
        <v/>
      </c>
      <c r="O188" s="101">
        <v>1</v>
      </c>
      <c r="P188" s="101">
        <v>1</v>
      </c>
      <c r="R188" s="101" t="str">
        <v/>
      </c>
      <c r="S188" s="101">
        <v>100</v>
      </c>
      <c r="T188" s="101">
        <v>100</v>
      </c>
      <c r="V188" s="101" t="str">
        <v/>
      </c>
      <c r="W188" s="101" t="str">
        <v/>
      </c>
      <c r="Y188" s="101" t="str">
        <v/>
      </c>
      <c r="Z188" s="101" t="str">
        <v/>
      </c>
      <c r="AB188" s="101" t="str">
        <v/>
      </c>
      <c r="AC188" s="101" t="str">
        <v/>
      </c>
      <c r="AE188" s="101" t="str">
        <v/>
      </c>
      <c r="AF188" s="101" t="str">
        <v/>
      </c>
    </row>
    <row r="189" spans="2:45">
      <c r="B189" s="101" t="str">
        <v/>
      </c>
      <c r="C189" s="101">
        <v>2</v>
      </c>
      <c r="D189" s="101">
        <v>7</v>
      </c>
      <c r="F189" s="101" t="str">
        <v/>
      </c>
      <c r="G189" s="101">
        <v>1</v>
      </c>
      <c r="H189" s="101">
        <v>1</v>
      </c>
      <c r="J189" s="101" t="str">
        <v/>
      </c>
      <c r="K189" s="101">
        <v>1</v>
      </c>
      <c r="L189" s="101">
        <v>1</v>
      </c>
      <c r="N189" s="101" t="str">
        <v/>
      </c>
      <c r="O189" s="101">
        <v>1</v>
      </c>
      <c r="P189" s="101">
        <v>1</v>
      </c>
      <c r="R189" s="101" t="str">
        <v/>
      </c>
      <c r="S189" s="101">
        <v>100</v>
      </c>
      <c r="T189" s="101">
        <v>100</v>
      </c>
      <c r="V189" s="101" t="str">
        <v/>
      </c>
      <c r="W189" s="101" t="str">
        <v/>
      </c>
      <c r="Y189" s="101" t="str">
        <v/>
      </c>
      <c r="Z189" s="101" t="str">
        <v/>
      </c>
      <c r="AB189" s="101" t="str">
        <v/>
      </c>
      <c r="AC189" s="101" t="str">
        <v/>
      </c>
      <c r="AE189" s="101" t="str">
        <v/>
      </c>
      <c r="AF189" s="101" t="str">
        <v/>
      </c>
    </row>
    <row r="190" spans="2:45">
      <c r="B190" s="101" t="str">
        <v/>
      </c>
      <c r="C190" s="101">
        <v>2</v>
      </c>
      <c r="D190" s="101">
        <v>7</v>
      </c>
      <c r="F190" s="101" t="str">
        <v/>
      </c>
      <c r="G190" s="101">
        <v>1</v>
      </c>
      <c r="H190" s="101">
        <v>1</v>
      </c>
      <c r="J190" s="101" t="str">
        <v/>
      </c>
      <c r="K190" s="101">
        <v>1</v>
      </c>
      <c r="L190" s="101">
        <v>1</v>
      </c>
      <c r="N190" s="101" t="str">
        <v/>
      </c>
      <c r="O190" s="101">
        <v>1</v>
      </c>
      <c r="P190" s="101">
        <v>1</v>
      </c>
      <c r="R190" s="101" t="str">
        <v/>
      </c>
      <c r="S190" s="101">
        <v>100</v>
      </c>
      <c r="T190" s="101">
        <v>100</v>
      </c>
      <c r="V190" s="101" t="str">
        <v/>
      </c>
      <c r="W190" s="101" t="str">
        <v/>
      </c>
      <c r="Y190" s="101" t="str">
        <v/>
      </c>
      <c r="Z190" s="101" t="str">
        <v/>
      </c>
      <c r="AB190" s="101" t="str">
        <v/>
      </c>
      <c r="AC190" s="101" t="str">
        <v/>
      </c>
      <c r="AE190" s="101" t="str">
        <v/>
      </c>
      <c r="AF190" s="101" t="str">
        <v/>
      </c>
    </row>
    <row r="191" spans="2:45">
      <c r="B191" s="101" t="str">
        <v/>
      </c>
      <c r="C191" s="101">
        <v>6</v>
      </c>
      <c r="D191" s="101">
        <v>5</v>
      </c>
      <c r="F191" s="101" t="str">
        <v/>
      </c>
      <c r="G191" s="101">
        <v>1</v>
      </c>
      <c r="H191" s="101">
        <v>1</v>
      </c>
      <c r="J191" s="101" t="str">
        <v/>
      </c>
      <c r="K191" s="101">
        <v>1</v>
      </c>
      <c r="L191" s="101">
        <v>1</v>
      </c>
      <c r="N191" s="101" t="str">
        <v/>
      </c>
      <c r="O191" s="101">
        <v>1</v>
      </c>
      <c r="P191" s="101">
        <v>1</v>
      </c>
      <c r="R191" s="101" t="str">
        <v/>
      </c>
      <c r="S191" s="101">
        <v>100</v>
      </c>
      <c r="T191" s="101">
        <v>100</v>
      </c>
      <c r="V191" s="101" t="str">
        <v/>
      </c>
      <c r="W191" s="101" t="str">
        <v/>
      </c>
      <c r="Y191" s="101" t="str">
        <v/>
      </c>
      <c r="Z191" s="101" t="str">
        <v/>
      </c>
      <c r="AB191" s="101" t="str">
        <v/>
      </c>
      <c r="AC191" s="101" t="str">
        <v/>
      </c>
      <c r="AE191" s="101" t="str">
        <v/>
      </c>
      <c r="AF191" s="101" t="str">
        <v/>
      </c>
    </row>
    <row r="192" spans="2:45">
      <c r="B192" s="101" t="str">
        <v/>
      </c>
      <c r="C192" s="101">
        <v>6</v>
      </c>
      <c r="D192" s="101">
        <v>5</v>
      </c>
      <c r="F192" s="101" t="str">
        <v/>
      </c>
      <c r="G192" s="101">
        <v>1</v>
      </c>
      <c r="H192" s="101">
        <v>1</v>
      </c>
      <c r="J192" s="101" t="str">
        <v/>
      </c>
      <c r="K192" s="101">
        <v>1</v>
      </c>
      <c r="L192" s="101">
        <v>1</v>
      </c>
      <c r="N192" s="101" t="str">
        <v/>
      </c>
      <c r="O192" s="101">
        <v>1</v>
      </c>
      <c r="P192" s="101">
        <v>1</v>
      </c>
      <c r="R192" s="101" t="str">
        <v/>
      </c>
      <c r="S192" s="101">
        <v>100</v>
      </c>
      <c r="T192" s="101">
        <v>677</v>
      </c>
      <c r="V192" s="101" t="str">
        <v/>
      </c>
      <c r="W192" s="101" t="str">
        <v/>
      </c>
      <c r="Y192" s="101" t="str">
        <v/>
      </c>
      <c r="Z192" s="101" t="str">
        <v/>
      </c>
      <c r="AB192" s="101" t="str">
        <v/>
      </c>
      <c r="AC192" s="101" t="str">
        <v/>
      </c>
      <c r="AE192" s="101" t="str">
        <v/>
      </c>
      <c r="AF192" s="101" t="str">
        <v/>
      </c>
    </row>
    <row r="193" spans="2:32">
      <c r="B193" s="101" t="str">
        <v/>
      </c>
      <c r="C193" s="101">
        <v>6</v>
      </c>
      <c r="D193" s="101">
        <v>5</v>
      </c>
      <c r="F193" s="101" t="str">
        <v/>
      </c>
      <c r="G193" s="101">
        <v>1</v>
      </c>
      <c r="H193" s="101">
        <v>1</v>
      </c>
      <c r="J193" s="101" t="str">
        <v/>
      </c>
      <c r="K193" s="101">
        <v>1</v>
      </c>
      <c r="L193" s="101">
        <v>1</v>
      </c>
      <c r="N193" s="101" t="str">
        <v/>
      </c>
      <c r="O193" s="101">
        <v>1</v>
      </c>
      <c r="P193" s="101">
        <v>1</v>
      </c>
      <c r="R193" s="101" t="str">
        <v/>
      </c>
      <c r="S193" s="101">
        <v>100</v>
      </c>
      <c r="T193" s="101">
        <v>564</v>
      </c>
      <c r="V193" s="101" t="str">
        <v/>
      </c>
      <c r="W193" s="101" t="str">
        <v/>
      </c>
      <c r="Y193" s="101" t="str">
        <v/>
      </c>
      <c r="Z193" s="101" t="str">
        <v/>
      </c>
      <c r="AB193" s="101" t="str">
        <v/>
      </c>
      <c r="AC193" s="101" t="str">
        <v/>
      </c>
      <c r="AE193" s="101" t="str">
        <v/>
      </c>
      <c r="AF193" s="101" t="str">
        <v/>
      </c>
    </row>
    <row r="194" spans="2:32">
      <c r="B194" s="101" t="str">
        <v/>
      </c>
      <c r="C194" s="101">
        <v>3</v>
      </c>
      <c r="D194" s="101">
        <v>0</v>
      </c>
      <c r="F194" s="101" t="str">
        <v/>
      </c>
      <c r="G194" s="101">
        <v>1</v>
      </c>
      <c r="H194" s="101">
        <v>1</v>
      </c>
      <c r="J194" s="101" t="str">
        <v/>
      </c>
      <c r="K194" s="101">
        <v>1</v>
      </c>
      <c r="L194" s="101">
        <v>1</v>
      </c>
      <c r="N194" s="101" t="str">
        <v/>
      </c>
      <c r="O194" s="101">
        <v>1</v>
      </c>
      <c r="P194" s="101">
        <v>1</v>
      </c>
      <c r="R194" s="101" t="str">
        <v/>
      </c>
      <c r="S194" s="101">
        <v>100</v>
      </c>
      <c r="T194" s="101">
        <v>451</v>
      </c>
      <c r="V194" s="101" t="str">
        <v/>
      </c>
      <c r="W194" s="101" t="str">
        <v/>
      </c>
      <c r="Y194" s="101" t="str">
        <v/>
      </c>
      <c r="Z194" s="101" t="str">
        <v/>
      </c>
      <c r="AB194" s="101" t="str">
        <v/>
      </c>
      <c r="AC194" s="101" t="str">
        <v/>
      </c>
      <c r="AE194" s="101" t="str">
        <v/>
      </c>
      <c r="AF194" s="101" t="str">
        <v/>
      </c>
    </row>
    <row r="195" spans="2:32">
      <c r="B195" s="101" t="str">
        <v/>
      </c>
      <c r="C195" s="101">
        <v>3</v>
      </c>
      <c r="D195" s="101">
        <v>0</v>
      </c>
      <c r="F195" s="101" t="str">
        <v/>
      </c>
      <c r="G195" s="101">
        <v>1</v>
      </c>
      <c r="H195" s="101">
        <v>1</v>
      </c>
      <c r="J195" s="101" t="str">
        <v/>
      </c>
      <c r="K195" s="101">
        <v>1</v>
      </c>
      <c r="L195" s="101">
        <v>1</v>
      </c>
      <c r="N195" s="101" t="str">
        <v/>
      </c>
      <c r="O195" s="101">
        <v>1</v>
      </c>
      <c r="P195" s="101">
        <v>1</v>
      </c>
      <c r="R195" s="101" t="str">
        <v/>
      </c>
      <c r="S195" s="101">
        <v>100</v>
      </c>
      <c r="T195" s="101">
        <v>564</v>
      </c>
      <c r="V195" s="101" t="str">
        <v/>
      </c>
      <c r="W195" s="101" t="str">
        <v/>
      </c>
      <c r="Y195" s="101" t="str">
        <v/>
      </c>
      <c r="Z195" s="101" t="str">
        <v/>
      </c>
      <c r="AB195" s="101" t="str">
        <v/>
      </c>
      <c r="AC195" s="101" t="str">
        <v/>
      </c>
      <c r="AE195" s="101" t="str">
        <v/>
      </c>
      <c r="AF195" s="101" t="str">
        <v/>
      </c>
    </row>
    <row r="196" spans="2:32">
      <c r="B196" s="101" t="str">
        <v/>
      </c>
      <c r="C196" s="101">
        <v>7</v>
      </c>
      <c r="D196" s="101">
        <v>0</v>
      </c>
      <c r="F196" s="101" t="str">
        <v/>
      </c>
      <c r="G196" s="101">
        <v>1</v>
      </c>
      <c r="H196" s="101">
        <v>1</v>
      </c>
      <c r="J196" s="101" t="str">
        <v/>
      </c>
      <c r="K196" s="101">
        <v>1</v>
      </c>
      <c r="L196" s="101">
        <v>1</v>
      </c>
      <c r="N196" s="101" t="str">
        <v/>
      </c>
      <c r="O196" s="101">
        <v>1</v>
      </c>
      <c r="P196" s="101">
        <v>1</v>
      </c>
      <c r="R196" s="101" t="str">
        <v/>
      </c>
      <c r="S196" s="101">
        <v>100</v>
      </c>
      <c r="T196" s="101">
        <v>677</v>
      </c>
      <c r="V196" s="101" t="str">
        <v/>
      </c>
      <c r="W196" s="101" t="str">
        <v/>
      </c>
      <c r="Y196" s="101" t="str">
        <v/>
      </c>
      <c r="Z196" s="101" t="str">
        <v/>
      </c>
      <c r="AB196" s="101" t="str">
        <v/>
      </c>
      <c r="AC196" s="101" t="str">
        <v/>
      </c>
      <c r="AE196" s="101" t="str">
        <v/>
      </c>
      <c r="AF196" s="101" t="str">
        <v/>
      </c>
    </row>
    <row r="197" spans="2:32">
      <c r="B197" s="101" t="str">
        <v/>
      </c>
      <c r="C197" s="101">
        <v>7</v>
      </c>
      <c r="D197" s="101">
        <v>7</v>
      </c>
      <c r="F197" s="101" t="str">
        <v/>
      </c>
      <c r="G197" s="101">
        <v>1</v>
      </c>
      <c r="H197" s="101">
        <v>1</v>
      </c>
      <c r="J197" s="101" t="str">
        <v/>
      </c>
      <c r="K197" s="101">
        <v>1</v>
      </c>
      <c r="L197" s="101">
        <v>1</v>
      </c>
      <c r="N197" s="101" t="str">
        <v/>
      </c>
      <c r="O197" s="101">
        <v>1</v>
      </c>
      <c r="P197" s="101">
        <v>1</v>
      </c>
      <c r="R197" s="101" t="str">
        <v/>
      </c>
      <c r="S197" s="101">
        <v>100</v>
      </c>
      <c r="T197" s="101">
        <v>100</v>
      </c>
      <c r="V197" s="101" t="str">
        <v/>
      </c>
      <c r="W197" s="101" t="str">
        <v/>
      </c>
      <c r="Y197" s="101" t="str">
        <v/>
      </c>
      <c r="Z197" s="101" t="str">
        <v/>
      </c>
      <c r="AB197" s="101" t="str">
        <v/>
      </c>
      <c r="AC197" s="101" t="str">
        <v/>
      </c>
      <c r="AE197" s="101" t="str">
        <v/>
      </c>
      <c r="AF197" s="101" t="str">
        <v/>
      </c>
    </row>
    <row r="198" spans="2:32">
      <c r="B198" s="101" t="str">
        <v/>
      </c>
      <c r="C198" s="101">
        <v>3</v>
      </c>
      <c r="D198" s="101">
        <v>7</v>
      </c>
      <c r="F198" s="101" t="str">
        <v/>
      </c>
      <c r="G198" s="101">
        <v>1</v>
      </c>
      <c r="H198" s="101">
        <v>1</v>
      </c>
      <c r="J198" s="101" t="str">
        <v/>
      </c>
      <c r="K198" s="101">
        <v>1</v>
      </c>
      <c r="L198" s="101">
        <v>1</v>
      </c>
      <c r="N198" s="101" t="str">
        <v/>
      </c>
      <c r="O198" s="101">
        <v>1</v>
      </c>
      <c r="P198" s="101">
        <v>1</v>
      </c>
      <c r="R198" s="101" t="str">
        <v/>
      </c>
      <c r="S198" s="101">
        <v>100</v>
      </c>
      <c r="T198" s="101">
        <v>677</v>
      </c>
      <c r="V198" s="101" t="str">
        <v/>
      </c>
      <c r="W198" s="101" t="str">
        <v/>
      </c>
      <c r="Y198" s="101" t="str">
        <v/>
      </c>
      <c r="Z198" s="101" t="str">
        <v/>
      </c>
      <c r="AB198" s="101" t="str">
        <v/>
      </c>
      <c r="AC198" s="101" t="str">
        <v/>
      </c>
      <c r="AE198" s="101" t="str">
        <v/>
      </c>
      <c r="AF198" s="101" t="str">
        <v/>
      </c>
    </row>
    <row r="199" spans="2:32">
      <c r="B199" s="101" t="str">
        <v/>
      </c>
      <c r="C199" s="101">
        <v>3</v>
      </c>
      <c r="D199" s="101">
        <v>7</v>
      </c>
      <c r="F199" s="101" t="str">
        <v/>
      </c>
      <c r="G199" s="101">
        <v>1</v>
      </c>
      <c r="H199" s="101">
        <v>1</v>
      </c>
      <c r="J199" s="101" t="str">
        <v/>
      </c>
      <c r="K199" s="101">
        <v>1</v>
      </c>
      <c r="L199" s="101">
        <v>1</v>
      </c>
      <c r="N199" s="101" t="str">
        <v/>
      </c>
      <c r="O199" s="101">
        <v>1</v>
      </c>
      <c r="P199" s="101">
        <v>1</v>
      </c>
      <c r="R199" s="101" t="str">
        <v/>
      </c>
      <c r="S199" s="101">
        <v>100</v>
      </c>
      <c r="T199" s="101">
        <v>564</v>
      </c>
      <c r="V199" s="101" t="str">
        <v/>
      </c>
      <c r="W199" s="101" t="str">
        <v/>
      </c>
      <c r="Y199" s="101" t="str">
        <v/>
      </c>
      <c r="Z199" s="101" t="str">
        <v/>
      </c>
      <c r="AB199" s="101" t="str">
        <v/>
      </c>
      <c r="AC199" s="101" t="str">
        <v/>
      </c>
      <c r="AE199" s="101" t="str">
        <v/>
      </c>
      <c r="AF199" s="101" t="str">
        <v/>
      </c>
    </row>
    <row r="200" spans="2:32">
      <c r="B200" s="101" t="str">
        <v/>
      </c>
      <c r="C200" s="101">
        <v>5</v>
      </c>
      <c r="D200" s="101">
        <v>0</v>
      </c>
      <c r="F200" s="101" t="str">
        <v/>
      </c>
      <c r="G200" s="101">
        <v>1</v>
      </c>
      <c r="H200" s="101">
        <v>1</v>
      </c>
      <c r="J200" s="101" t="str">
        <v/>
      </c>
      <c r="K200" s="101">
        <v>1</v>
      </c>
      <c r="L200" s="101">
        <v>1</v>
      </c>
      <c r="N200" s="101" t="str">
        <v/>
      </c>
      <c r="O200" s="101">
        <v>1</v>
      </c>
      <c r="P200" s="101">
        <v>1</v>
      </c>
      <c r="R200" s="101" t="str">
        <v/>
      </c>
      <c r="S200" s="101">
        <v>100</v>
      </c>
      <c r="T200" s="101">
        <v>451</v>
      </c>
      <c r="V200" s="101" t="str">
        <v/>
      </c>
      <c r="W200" s="101" t="str">
        <v/>
      </c>
      <c r="Y200" s="101" t="str">
        <v/>
      </c>
      <c r="Z200" s="101" t="str">
        <v/>
      </c>
      <c r="AB200" s="101" t="str">
        <v/>
      </c>
      <c r="AC200" s="101" t="str">
        <v/>
      </c>
      <c r="AE200" s="101" t="str">
        <v/>
      </c>
      <c r="AF200" s="101" t="str">
        <v/>
      </c>
    </row>
    <row r="201" spans="2:32">
      <c r="B201" s="101" t="str">
        <v/>
      </c>
      <c r="C201" s="101">
        <v>5</v>
      </c>
      <c r="D201" s="101">
        <v>0</v>
      </c>
      <c r="F201" s="101" t="str">
        <v/>
      </c>
      <c r="G201" s="101">
        <v>1</v>
      </c>
      <c r="H201" s="101">
        <v>1</v>
      </c>
      <c r="J201" s="101" t="str">
        <v/>
      </c>
      <c r="K201" s="101">
        <v>1</v>
      </c>
      <c r="L201" s="101">
        <v>1</v>
      </c>
      <c r="N201" s="101" t="str">
        <v/>
      </c>
      <c r="O201" s="101">
        <v>1</v>
      </c>
      <c r="P201" s="101">
        <v>1</v>
      </c>
      <c r="R201" s="101" t="str">
        <v/>
      </c>
      <c r="S201" s="101">
        <v>701</v>
      </c>
      <c r="T201" s="101">
        <v>564</v>
      </c>
      <c r="V201" s="101" t="str">
        <v/>
      </c>
      <c r="W201" s="101" t="str">
        <v/>
      </c>
      <c r="Y201" s="101" t="str">
        <v/>
      </c>
      <c r="Z201" s="101" t="str">
        <v/>
      </c>
      <c r="AB201" s="101" t="str">
        <v/>
      </c>
      <c r="AC201" s="101" t="str">
        <v/>
      </c>
      <c r="AE201" s="101" t="str">
        <v/>
      </c>
      <c r="AF201" s="101" t="str">
        <v/>
      </c>
    </row>
    <row r="202" spans="2:32">
      <c r="B202" s="101" t="str">
        <v/>
      </c>
      <c r="C202" s="101">
        <v>5</v>
      </c>
      <c r="D202" s="101">
        <v>0</v>
      </c>
      <c r="F202" s="101" t="str">
        <v/>
      </c>
      <c r="G202" s="101">
        <v>1</v>
      </c>
      <c r="H202" s="101">
        <v>1</v>
      </c>
      <c r="J202" s="101" t="str">
        <v/>
      </c>
      <c r="K202" s="101">
        <v>1</v>
      </c>
      <c r="L202" s="101">
        <v>1</v>
      </c>
      <c r="N202" s="101" t="str">
        <v/>
      </c>
      <c r="O202" s="101">
        <v>1</v>
      </c>
      <c r="P202" s="101">
        <v>1</v>
      </c>
      <c r="R202" s="101" t="str">
        <v/>
      </c>
      <c r="S202" s="101">
        <v>584</v>
      </c>
      <c r="T202" s="101">
        <v>677</v>
      </c>
      <c r="V202" s="101" t="str">
        <v/>
      </c>
      <c r="W202" s="101" t="str">
        <v/>
      </c>
      <c r="Y202" s="101" t="str">
        <v/>
      </c>
      <c r="Z202" s="101" t="str">
        <v/>
      </c>
      <c r="AB202" s="101" t="str">
        <v/>
      </c>
      <c r="AC202" s="101" t="str">
        <v/>
      </c>
      <c r="AE202" s="101" t="str">
        <v/>
      </c>
      <c r="AF202" s="101" t="str">
        <v/>
      </c>
    </row>
    <row r="203" spans="2:32">
      <c r="B203" s="101" t="str">
        <v/>
      </c>
      <c r="C203" s="101">
        <v>0</v>
      </c>
      <c r="D203" s="101">
        <v>7</v>
      </c>
      <c r="F203" s="101" t="str">
        <v/>
      </c>
      <c r="G203" s="101">
        <v>1</v>
      </c>
      <c r="H203" s="101">
        <v>1</v>
      </c>
      <c r="J203" s="101" t="str">
        <v/>
      </c>
      <c r="K203" s="101">
        <v>1</v>
      </c>
      <c r="L203" s="101">
        <v>1</v>
      </c>
      <c r="N203" s="101" t="str">
        <v/>
      </c>
      <c r="O203" s="101">
        <v>1</v>
      </c>
      <c r="P203" s="101">
        <v>1</v>
      </c>
      <c r="R203" s="101" t="str">
        <v/>
      </c>
      <c r="S203" s="101">
        <v>467</v>
      </c>
      <c r="T203" s="101">
        <v>100</v>
      </c>
      <c r="V203" s="101" t="str">
        <v/>
      </c>
      <c r="W203" s="101" t="str">
        <v/>
      </c>
      <c r="Y203" s="101" t="str">
        <v/>
      </c>
      <c r="Z203" s="101" t="str">
        <v/>
      </c>
      <c r="AB203" s="101" t="str">
        <v/>
      </c>
      <c r="AC203" s="101" t="str">
        <v/>
      </c>
      <c r="AE203" s="101" t="str">
        <v/>
      </c>
      <c r="AF203" s="101" t="str">
        <v/>
      </c>
    </row>
    <row r="204" spans="2:32">
      <c r="B204" s="101" t="str">
        <v/>
      </c>
      <c r="C204" s="101">
        <v>0</v>
      </c>
      <c r="D204" s="101">
        <v>7</v>
      </c>
      <c r="F204" s="101" t="str">
        <v/>
      </c>
      <c r="G204" s="101">
        <v>1</v>
      </c>
      <c r="H204" s="101">
        <v>1</v>
      </c>
      <c r="J204" s="101" t="str">
        <v/>
      </c>
      <c r="K204" s="101">
        <v>1</v>
      </c>
      <c r="L204" s="101">
        <v>1</v>
      </c>
      <c r="N204" s="101" t="str">
        <v/>
      </c>
      <c r="O204" s="101">
        <v>1</v>
      </c>
      <c r="P204" s="101">
        <v>1</v>
      </c>
      <c r="R204" s="101" t="str">
        <v/>
      </c>
      <c r="S204" s="101">
        <v>584</v>
      </c>
      <c r="T204" s="101">
        <v>100</v>
      </c>
      <c r="V204" s="101" t="str">
        <v/>
      </c>
      <c r="W204" s="101" t="str">
        <v/>
      </c>
      <c r="Y204" s="101" t="str">
        <v/>
      </c>
      <c r="Z204" s="101" t="str">
        <v/>
      </c>
      <c r="AB204" s="101" t="str">
        <v/>
      </c>
      <c r="AC204" s="101" t="str">
        <v/>
      </c>
      <c r="AE204" s="101" t="str">
        <v/>
      </c>
      <c r="AF204" s="101" t="str">
        <v/>
      </c>
    </row>
    <row r="205" spans="2:32">
      <c r="B205" s="101" t="str">
        <v/>
      </c>
      <c r="C205" s="101">
        <v>0</v>
      </c>
      <c r="D205" s="101">
        <v>5</v>
      </c>
      <c r="F205" s="101" t="str">
        <v/>
      </c>
      <c r="G205" s="101">
        <v>1</v>
      </c>
      <c r="H205" s="101">
        <v>1</v>
      </c>
      <c r="J205" s="101" t="str">
        <v/>
      </c>
      <c r="K205" s="101">
        <v>1</v>
      </c>
      <c r="L205" s="101">
        <v>1</v>
      </c>
      <c r="N205" s="101" t="str">
        <v/>
      </c>
      <c r="O205" s="101">
        <v>1</v>
      </c>
      <c r="P205" s="101">
        <v>1</v>
      </c>
      <c r="R205" s="101" t="str">
        <v/>
      </c>
      <c r="S205" s="101">
        <v>701</v>
      </c>
      <c r="T205" s="101">
        <v>100</v>
      </c>
      <c r="V205" s="101" t="str">
        <v/>
      </c>
      <c r="W205" s="101" t="str">
        <v/>
      </c>
      <c r="Y205" s="101" t="str">
        <v/>
      </c>
      <c r="Z205" s="101" t="str">
        <v/>
      </c>
      <c r="AB205" s="101" t="str">
        <v/>
      </c>
      <c r="AC205" s="101" t="str">
        <v/>
      </c>
      <c r="AE205" s="101" t="str">
        <v/>
      </c>
      <c r="AF205" s="101" t="str">
        <v/>
      </c>
    </row>
    <row r="206" spans="2:32">
      <c r="B206" s="101" t="str">
        <v/>
      </c>
      <c r="C206" s="101">
        <v>6</v>
      </c>
      <c r="D206" s="101" t="str">
        <v/>
      </c>
      <c r="F206" s="101" t="str">
        <v/>
      </c>
      <c r="G206" s="101">
        <v>1</v>
      </c>
      <c r="H206" s="101" t="str">
        <v/>
      </c>
      <c r="J206" s="101" t="str">
        <v/>
      </c>
      <c r="K206" s="101">
        <v>1</v>
      </c>
      <c r="L206" s="101" t="str">
        <v/>
      </c>
      <c r="N206" s="101" t="str">
        <v/>
      </c>
      <c r="O206" s="101">
        <v>1</v>
      </c>
      <c r="P206" s="101" t="str">
        <v/>
      </c>
      <c r="R206" s="101" t="str">
        <v/>
      </c>
      <c r="S206" s="101">
        <v>100</v>
      </c>
      <c r="T206" s="101" t="str">
        <v/>
      </c>
      <c r="V206" s="101" t="str">
        <v/>
      </c>
      <c r="W206" s="101" t="str">
        <v/>
      </c>
      <c r="Y206" s="101" t="str">
        <v/>
      </c>
      <c r="Z206" s="101" t="str">
        <v/>
      </c>
      <c r="AB206" s="101" t="str">
        <v/>
      </c>
      <c r="AC206" s="101" t="str">
        <v/>
      </c>
      <c r="AE206" s="101" t="str">
        <v/>
      </c>
      <c r="AF206" s="101" t="str">
        <v/>
      </c>
    </row>
    <row r="207" spans="2:32">
      <c r="B207" s="101" t="str">
        <v/>
      </c>
      <c r="C207" s="101">
        <v>6</v>
      </c>
      <c r="D207" s="101" t="str">
        <v/>
      </c>
      <c r="F207" s="101" t="str">
        <v/>
      </c>
      <c r="G207" s="101">
        <v>1</v>
      </c>
      <c r="H207" s="101" t="str">
        <v/>
      </c>
      <c r="J207" s="101" t="str">
        <v/>
      </c>
      <c r="K207" s="101">
        <v>1</v>
      </c>
      <c r="L207" s="101" t="str">
        <v/>
      </c>
      <c r="N207" s="101" t="str">
        <v/>
      </c>
      <c r="O207" s="101">
        <v>1</v>
      </c>
      <c r="P207" s="101" t="str">
        <v/>
      </c>
      <c r="R207" s="101" t="str">
        <v/>
      </c>
      <c r="S207" s="101">
        <v>100</v>
      </c>
      <c r="T207" s="101" t="str">
        <v/>
      </c>
      <c r="V207" s="101" t="str">
        <v/>
      </c>
      <c r="W207" s="101" t="str">
        <v/>
      </c>
      <c r="Y207" s="101" t="str">
        <v/>
      </c>
      <c r="Z207" s="101" t="str">
        <v/>
      </c>
      <c r="AB207" s="101" t="str">
        <v/>
      </c>
      <c r="AC207" s="101" t="str">
        <v/>
      </c>
      <c r="AE207" s="101" t="str">
        <v/>
      </c>
      <c r="AF207" s="101" t="str">
        <v/>
      </c>
    </row>
    <row r="208" spans="2:32">
      <c r="B208" s="101" t="str">
        <v/>
      </c>
      <c r="C208" s="101">
        <v>1</v>
      </c>
      <c r="D208" s="101" t="str">
        <v/>
      </c>
      <c r="F208" s="101" t="str">
        <v/>
      </c>
      <c r="G208" s="101">
        <v>1</v>
      </c>
      <c r="H208" s="101" t="str">
        <v/>
      </c>
      <c r="J208" s="101" t="str">
        <v/>
      </c>
      <c r="K208" s="101">
        <v>1</v>
      </c>
      <c r="L208" s="101" t="str">
        <v/>
      </c>
      <c r="N208" s="101" t="str">
        <v/>
      </c>
      <c r="O208" s="101">
        <v>1</v>
      </c>
      <c r="P208" s="101" t="str">
        <v/>
      </c>
      <c r="R208" s="101" t="str">
        <v/>
      </c>
      <c r="S208" s="101">
        <v>100</v>
      </c>
      <c r="T208" s="101" t="str">
        <v/>
      </c>
      <c r="V208" s="101" t="str">
        <v/>
      </c>
      <c r="W208" s="101" t="str">
        <v/>
      </c>
      <c r="Y208" s="101" t="str">
        <v/>
      </c>
      <c r="Z208" s="101" t="str">
        <v/>
      </c>
      <c r="AB208" s="101" t="str">
        <v/>
      </c>
      <c r="AC208" s="101" t="str">
        <v/>
      </c>
      <c r="AE208" s="101" t="str">
        <v/>
      </c>
      <c r="AF208" s="101" t="str">
        <v/>
      </c>
    </row>
    <row r="209" spans="2:32">
      <c r="B209" s="101" t="str">
        <v/>
      </c>
      <c r="C209" s="101">
        <v>1</v>
      </c>
      <c r="D209" s="101" t="str">
        <v/>
      </c>
      <c r="F209" s="101" t="str">
        <v/>
      </c>
      <c r="G209" s="101">
        <v>1</v>
      </c>
      <c r="H209" s="101" t="str">
        <v/>
      </c>
      <c r="J209" s="101" t="str">
        <v/>
      </c>
      <c r="K209" s="101">
        <v>1</v>
      </c>
      <c r="L209" s="101" t="str">
        <v/>
      </c>
      <c r="N209" s="101" t="str">
        <v/>
      </c>
      <c r="O209" s="101">
        <v>1</v>
      </c>
      <c r="P209" s="101" t="str">
        <v/>
      </c>
      <c r="R209" s="101" t="str">
        <v/>
      </c>
      <c r="S209" s="101">
        <v>100</v>
      </c>
      <c r="T209" s="101" t="str">
        <v/>
      </c>
      <c r="V209" s="101" t="str">
        <v/>
      </c>
      <c r="W209" s="101" t="str">
        <v/>
      </c>
      <c r="Y209" s="101" t="str">
        <v/>
      </c>
      <c r="Z209" s="101" t="str">
        <v/>
      </c>
      <c r="AB209" s="101" t="str">
        <v/>
      </c>
      <c r="AC209" s="101" t="str">
        <v/>
      </c>
      <c r="AE209" s="101" t="str">
        <v/>
      </c>
      <c r="AF209" s="101" t="str">
        <v/>
      </c>
    </row>
    <row r="210" spans="2:32">
      <c r="B210" s="101" t="str">
        <v/>
      </c>
      <c r="C210" s="101">
        <v>4</v>
      </c>
      <c r="D210" s="101" t="str">
        <v/>
      </c>
      <c r="F210" s="101" t="str">
        <v/>
      </c>
      <c r="G210" s="101">
        <v>1</v>
      </c>
      <c r="H210" s="101" t="str">
        <v/>
      </c>
      <c r="J210" s="101" t="str">
        <v/>
      </c>
      <c r="K210" s="101">
        <v>1</v>
      </c>
      <c r="L210" s="101" t="str">
        <v/>
      </c>
      <c r="N210" s="101" t="str">
        <v/>
      </c>
      <c r="O210" s="101">
        <v>1</v>
      </c>
      <c r="P210" s="101" t="str">
        <v/>
      </c>
      <c r="R210" s="101" t="str">
        <v/>
      </c>
      <c r="S210" s="101">
        <v>701</v>
      </c>
      <c r="T210" s="101" t="str">
        <v/>
      </c>
      <c r="V210" s="101" t="str">
        <v/>
      </c>
      <c r="W210" s="101" t="str">
        <v/>
      </c>
      <c r="Y210" s="101" t="str">
        <v/>
      </c>
      <c r="Z210" s="101" t="str">
        <v/>
      </c>
      <c r="AB210" s="101" t="str">
        <v/>
      </c>
      <c r="AC210" s="101" t="str">
        <v/>
      </c>
      <c r="AE210" s="101" t="str">
        <v/>
      </c>
      <c r="AF210" s="101" t="str">
        <v/>
      </c>
    </row>
    <row r="211" spans="2:32">
      <c r="B211" s="101" t="str">
        <v/>
      </c>
      <c r="C211" s="101">
        <v>4</v>
      </c>
      <c r="D211" s="101" t="str">
        <v/>
      </c>
      <c r="F211" s="101" t="str">
        <v/>
      </c>
      <c r="G211" s="101">
        <v>1</v>
      </c>
      <c r="H211" s="101" t="str">
        <v/>
      </c>
      <c r="J211" s="101" t="str">
        <v/>
      </c>
      <c r="K211" s="101">
        <v>1</v>
      </c>
      <c r="L211" s="101" t="str">
        <v/>
      </c>
      <c r="N211" s="101" t="str">
        <v/>
      </c>
      <c r="O211" s="101">
        <v>1</v>
      </c>
      <c r="P211" s="101" t="str">
        <v/>
      </c>
      <c r="R211" s="101" t="str">
        <v/>
      </c>
      <c r="S211" s="101">
        <v>584</v>
      </c>
      <c r="T211" s="101" t="str">
        <v/>
      </c>
      <c r="V211" s="101" t="str">
        <v/>
      </c>
      <c r="W211" s="101" t="str">
        <v/>
      </c>
      <c r="Y211" s="101" t="str">
        <v/>
      </c>
      <c r="Z211" s="101" t="str">
        <v/>
      </c>
      <c r="AB211" s="101" t="str">
        <v/>
      </c>
      <c r="AC211" s="101" t="str">
        <v/>
      </c>
      <c r="AE211" s="101" t="str">
        <v/>
      </c>
      <c r="AF211" s="101" t="str"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D8E2D-6AAD-4A2A-8317-402164911544}">
  <dimension ref="A1:P60"/>
  <sheetViews>
    <sheetView zoomScale="70" zoomScaleNormal="70" workbookViewId="0">
      <selection activeCell="M18" sqref="M18"/>
    </sheetView>
  </sheetViews>
  <sheetFormatPr defaultRowHeight="15.6"/>
  <cols>
    <col min="1" max="2" width="10.21875" style="1" bestFit="1" customWidth="1"/>
    <col min="3" max="4" width="20.33203125" style="1" customWidth="1"/>
    <col min="5" max="5" width="20.33203125" style="313" customWidth="1"/>
    <col min="6" max="10" width="20.33203125" style="1" customWidth="1"/>
    <col min="11" max="11" width="8.88671875" style="1"/>
    <col min="12" max="12" width="6.21875" style="1" customWidth="1"/>
    <col min="13" max="15" width="16" style="1" customWidth="1"/>
    <col min="16" max="16" width="18.77734375" style="1" bestFit="1" customWidth="1"/>
    <col min="17" max="16384" width="8.88671875" style="1"/>
  </cols>
  <sheetData>
    <row r="1" spans="1:16" ht="16.8" thickBot="1">
      <c r="C1" s="134" t="s">
        <v>116</v>
      </c>
      <c r="D1" s="143" t="s">
        <v>117</v>
      </c>
      <c r="E1" s="309" t="s">
        <v>118</v>
      </c>
      <c r="F1" s="156" t="s">
        <v>154</v>
      </c>
      <c r="G1" s="134" t="s">
        <v>116</v>
      </c>
      <c r="H1" s="143" t="s">
        <v>117</v>
      </c>
      <c r="I1" s="135" t="s">
        <v>118</v>
      </c>
      <c r="J1" s="156" t="s">
        <v>154</v>
      </c>
    </row>
    <row r="2" spans="1:16" ht="16.8" thickBot="1">
      <c r="A2" s="99" t="str" cm="1">
        <f t="array" ref="A2:B60">'Multiplier Weight'!A3:B61</f>
        <v>Lower</v>
      </c>
      <c r="B2" s="99" t="str">
        <v>Upper</v>
      </c>
      <c r="C2" s="99" t="str" cm="1">
        <f t="array" ref="C2:C60">'Multiplier Weight'!M3:M61</f>
        <v>Fixed Weight</v>
      </c>
      <c r="D2" s="99" t="str" cm="1">
        <f t="array" ref="D2:D60">'Multiplier Weight'!M68:M126</f>
        <v>Fixed Weight</v>
      </c>
      <c r="E2" s="310" t="str" cm="1">
        <f t="array" ref="E2:E60">'Multiplier Weight'!M133:M191</f>
        <v>Fixed Weight</v>
      </c>
      <c r="F2" s="99" t="str" cm="1">
        <f t="array" ref="F2:F60">'Multiplier Weight'!M198:M256</f>
        <v>Fixed Weight</v>
      </c>
      <c r="G2" s="99" t="str" cm="1">
        <f t="array" ref="G2:G60">'Multiplier Weight (new_player)'!M3:M61</f>
        <v>Fixed Weight</v>
      </c>
      <c r="H2" s="99" t="str" cm="1">
        <f t="array" ref="H2:H60">'Multiplier Weight (new_player)'!M68:M126</f>
        <v>Fixed Weight</v>
      </c>
      <c r="I2" s="99" t="str" cm="1">
        <f t="array" ref="I2:I60">'Multiplier Weight (new_player)'!M133:M191</f>
        <v>Fixed Weight</v>
      </c>
      <c r="J2" s="99" t="e" cm="1">
        <f t="array" ref="J2">'Multiplier Weight (new_player)'!#REF!</f>
        <v>#REF!</v>
      </c>
      <c r="L2" s="164" t="s">
        <v>265</v>
      </c>
      <c r="M2" s="166"/>
      <c r="N2" s="166"/>
      <c r="O2" s="166"/>
      <c r="P2" s="159"/>
    </row>
    <row r="3" spans="1:16" ht="16.2" thickBot="1">
      <c r="A3" s="8">
        <v>-1</v>
      </c>
      <c r="B3" s="8">
        <v>0</v>
      </c>
      <c r="C3" s="100">
        <v>889373058</v>
      </c>
      <c r="D3" s="100">
        <v>888015044</v>
      </c>
      <c r="E3" s="311">
        <v>858264811</v>
      </c>
      <c r="F3" s="100">
        <v>0</v>
      </c>
      <c r="G3" s="261">
        <v>901290327</v>
      </c>
      <c r="H3" s="261">
        <v>870973614</v>
      </c>
      <c r="I3" s="261">
        <v>875017477</v>
      </c>
      <c r="J3" s="261"/>
      <c r="L3" s="162"/>
      <c r="M3" s="158" t="s">
        <v>111</v>
      </c>
      <c r="N3" s="166" t="s">
        <v>266</v>
      </c>
      <c r="O3" s="166" t="s">
        <v>267</v>
      </c>
      <c r="P3" s="159" t="s">
        <v>284</v>
      </c>
    </row>
    <row r="4" spans="1:16" ht="16.2">
      <c r="A4" s="8">
        <v>0</v>
      </c>
      <c r="B4" s="8">
        <v>1</v>
      </c>
      <c r="C4" s="101">
        <v>11469045</v>
      </c>
      <c r="D4" s="101">
        <v>3944833</v>
      </c>
      <c r="E4" s="312">
        <v>0</v>
      </c>
      <c r="F4" s="101">
        <v>0</v>
      </c>
      <c r="G4" s="262">
        <v>5527353</v>
      </c>
      <c r="H4" s="262">
        <v>9938512</v>
      </c>
      <c r="I4" s="262">
        <v>0</v>
      </c>
      <c r="J4" s="262"/>
      <c r="L4" s="158" t="s">
        <v>268</v>
      </c>
      <c r="M4" s="158">
        <v>3738112000</v>
      </c>
      <c r="N4" s="166">
        <v>4093821000</v>
      </c>
      <c r="O4" s="166">
        <v>3103576000</v>
      </c>
      <c r="P4" s="159">
        <v>31318315000</v>
      </c>
    </row>
    <row r="5" spans="1:16" ht="16.8" thickBot="1">
      <c r="A5" s="8">
        <v>1</v>
      </c>
      <c r="B5" s="8">
        <v>2</v>
      </c>
      <c r="C5" s="101">
        <v>15919961</v>
      </c>
      <c r="D5" s="101">
        <v>11413821</v>
      </c>
      <c r="E5" s="312">
        <v>0</v>
      </c>
      <c r="F5" s="101">
        <v>0</v>
      </c>
      <c r="G5" s="262">
        <v>8967644</v>
      </c>
      <c r="H5" s="262">
        <v>16126273</v>
      </c>
      <c r="I5" s="262">
        <v>0</v>
      </c>
      <c r="J5" s="262"/>
      <c r="L5" s="162" t="s">
        <v>269</v>
      </c>
      <c r="M5" s="162">
        <v>3728958000</v>
      </c>
      <c r="N5" s="167">
        <v>4085750000</v>
      </c>
      <c r="O5" s="167">
        <v>3137415000</v>
      </c>
      <c r="P5" s="305" t="s">
        <v>293</v>
      </c>
    </row>
    <row r="6" spans="1:16">
      <c r="A6" s="8">
        <v>2</v>
      </c>
      <c r="B6" s="8">
        <v>3</v>
      </c>
      <c r="C6" s="101">
        <v>11293805</v>
      </c>
      <c r="D6" s="101">
        <v>5843011</v>
      </c>
      <c r="E6" s="312">
        <v>0</v>
      </c>
      <c r="F6" s="101">
        <v>0</v>
      </c>
      <c r="G6" s="262">
        <v>6326467</v>
      </c>
      <c r="H6" s="262">
        <v>11375532</v>
      </c>
      <c r="I6" s="262">
        <v>0</v>
      </c>
      <c r="J6" s="262"/>
    </row>
    <row r="7" spans="1:16">
      <c r="A7" s="8">
        <v>3</v>
      </c>
      <c r="B7" s="8">
        <v>4</v>
      </c>
      <c r="C7" s="101">
        <v>12006272</v>
      </c>
      <c r="D7" s="101">
        <v>10774192</v>
      </c>
      <c r="E7" s="312">
        <v>0</v>
      </c>
      <c r="F7" s="101">
        <v>0</v>
      </c>
      <c r="G7" s="262">
        <v>8323820</v>
      </c>
      <c r="H7" s="262">
        <v>12413104</v>
      </c>
      <c r="I7" s="262">
        <v>0</v>
      </c>
      <c r="J7" s="262"/>
    </row>
    <row r="8" spans="1:16">
      <c r="A8" s="8">
        <v>4</v>
      </c>
      <c r="B8" s="8">
        <v>5</v>
      </c>
      <c r="C8" s="101">
        <v>9794027</v>
      </c>
      <c r="D8" s="101">
        <v>10054833</v>
      </c>
      <c r="E8" s="312">
        <v>0</v>
      </c>
      <c r="F8" s="101">
        <v>0</v>
      </c>
      <c r="G8" s="262">
        <v>5691902</v>
      </c>
      <c r="H8" s="262">
        <v>8487837</v>
      </c>
      <c r="I8" s="262">
        <v>0</v>
      </c>
      <c r="J8" s="262"/>
    </row>
    <row r="9" spans="1:16">
      <c r="A9" s="8">
        <v>5</v>
      </c>
      <c r="B9" s="8">
        <v>6</v>
      </c>
      <c r="C9" s="101">
        <v>7818692</v>
      </c>
      <c r="D9" s="101">
        <v>8882591</v>
      </c>
      <c r="E9" s="312">
        <v>0</v>
      </c>
      <c r="F9" s="101">
        <v>0</v>
      </c>
      <c r="G9" s="262">
        <v>5660472</v>
      </c>
      <c r="H9" s="262">
        <v>8440848</v>
      </c>
      <c r="I9" s="262">
        <v>0</v>
      </c>
      <c r="J9" s="262"/>
    </row>
    <row r="10" spans="1:16">
      <c r="A10" s="8">
        <v>6</v>
      </c>
      <c r="B10" s="8">
        <v>7</v>
      </c>
      <c r="C10" s="101">
        <v>1899979</v>
      </c>
      <c r="D10" s="101">
        <v>2027178</v>
      </c>
      <c r="E10" s="312">
        <v>0</v>
      </c>
      <c r="F10" s="101">
        <v>0</v>
      </c>
      <c r="G10" s="262">
        <v>1425799</v>
      </c>
      <c r="H10" s="262">
        <v>2126175</v>
      </c>
      <c r="I10" s="262">
        <v>0</v>
      </c>
      <c r="J10" s="262"/>
    </row>
    <row r="11" spans="1:16">
      <c r="A11" s="8">
        <v>7</v>
      </c>
      <c r="B11" s="8">
        <v>8</v>
      </c>
      <c r="C11" s="101">
        <v>8158456</v>
      </c>
      <c r="D11" s="101">
        <v>9240418</v>
      </c>
      <c r="E11" s="312">
        <v>32757535</v>
      </c>
      <c r="F11" s="101">
        <v>0</v>
      </c>
      <c r="G11" s="262">
        <v>14843510</v>
      </c>
      <c r="H11" s="262">
        <v>8853808</v>
      </c>
      <c r="I11" s="262">
        <v>32130940</v>
      </c>
      <c r="J11" s="262"/>
    </row>
    <row r="12" spans="1:16">
      <c r="A12" s="8">
        <v>8</v>
      </c>
      <c r="B12" s="8">
        <v>9</v>
      </c>
      <c r="C12" s="101">
        <v>2985140</v>
      </c>
      <c r="D12" s="101">
        <v>3489208</v>
      </c>
      <c r="E12" s="312">
        <v>0</v>
      </c>
      <c r="F12" s="101">
        <v>0</v>
      </c>
      <c r="G12" s="262">
        <v>3236367</v>
      </c>
      <c r="H12" s="262">
        <v>3860792</v>
      </c>
      <c r="I12" s="262">
        <v>0</v>
      </c>
      <c r="J12" s="262"/>
    </row>
    <row r="13" spans="1:16">
      <c r="A13" s="8">
        <v>9</v>
      </c>
      <c r="B13" s="8">
        <v>10</v>
      </c>
      <c r="C13" s="101">
        <v>6005381</v>
      </c>
      <c r="D13" s="101">
        <v>8117006</v>
      </c>
      <c r="E13" s="312">
        <v>24687357</v>
      </c>
      <c r="F13" s="101">
        <v>0</v>
      </c>
      <c r="G13" s="262">
        <v>4023080</v>
      </c>
      <c r="H13" s="262">
        <v>4799280</v>
      </c>
      <c r="I13" s="262">
        <v>4843926</v>
      </c>
      <c r="J13" s="262"/>
    </row>
    <row r="14" spans="1:16">
      <c r="A14" s="8">
        <v>10</v>
      </c>
      <c r="B14" s="8">
        <v>15</v>
      </c>
      <c r="C14" s="101">
        <v>9566016</v>
      </c>
      <c r="D14" s="101">
        <v>14159110</v>
      </c>
      <c r="E14" s="312">
        <v>3940660</v>
      </c>
      <c r="F14" s="101">
        <v>0</v>
      </c>
      <c r="G14" s="262">
        <v>20179465</v>
      </c>
      <c r="H14" s="262">
        <v>7256522</v>
      </c>
      <c r="I14" s="262">
        <v>3867416</v>
      </c>
      <c r="J14" s="262"/>
    </row>
    <row r="15" spans="1:16">
      <c r="A15" s="8">
        <v>15</v>
      </c>
      <c r="B15" s="8">
        <v>20</v>
      </c>
      <c r="C15" s="101">
        <v>5679442</v>
      </c>
      <c r="D15" s="101">
        <v>8913833</v>
      </c>
      <c r="E15" s="312">
        <v>13537940</v>
      </c>
      <c r="F15" s="101">
        <v>0</v>
      </c>
      <c r="G15" s="262">
        <v>5066242</v>
      </c>
      <c r="H15" s="262">
        <v>18217934</v>
      </c>
      <c r="I15" s="262">
        <v>13290161</v>
      </c>
      <c r="J15" s="262"/>
    </row>
    <row r="16" spans="1:16">
      <c r="A16" s="8">
        <v>20</v>
      </c>
      <c r="B16" s="8">
        <v>25</v>
      </c>
      <c r="C16" s="101">
        <v>2380752</v>
      </c>
      <c r="D16" s="101">
        <v>4976435</v>
      </c>
      <c r="E16" s="312">
        <v>8528776</v>
      </c>
      <c r="F16" s="101">
        <v>0</v>
      </c>
      <c r="G16" s="262">
        <v>7001296</v>
      </c>
      <c r="H16" s="262">
        <v>2517602</v>
      </c>
      <c r="I16" s="262">
        <v>8374812</v>
      </c>
      <c r="J16" s="262"/>
    </row>
    <row r="17" spans="1:10">
      <c r="A17" s="8">
        <v>25</v>
      </c>
      <c r="B17" s="8">
        <v>30</v>
      </c>
      <c r="C17" s="101">
        <v>2063684</v>
      </c>
      <c r="D17" s="101">
        <v>3316662</v>
      </c>
      <c r="E17" s="312">
        <v>6766407</v>
      </c>
      <c r="F17" s="101">
        <v>0</v>
      </c>
      <c r="G17" s="262">
        <v>2436256</v>
      </c>
      <c r="H17" s="262">
        <v>1752094</v>
      </c>
      <c r="I17" s="262">
        <v>6645052</v>
      </c>
      <c r="J17" s="262"/>
    </row>
    <row r="18" spans="1:10">
      <c r="A18" s="8">
        <v>30</v>
      </c>
      <c r="B18" s="8">
        <v>35</v>
      </c>
      <c r="C18" s="101">
        <v>394341</v>
      </c>
      <c r="D18" s="101">
        <v>595546</v>
      </c>
      <c r="E18" s="312">
        <v>4528568</v>
      </c>
      <c r="F18" s="101">
        <v>0</v>
      </c>
      <c r="G18" s="262">
        <v>0</v>
      </c>
      <c r="H18" s="262">
        <v>8665691</v>
      </c>
      <c r="I18" s="262">
        <v>4448048</v>
      </c>
      <c r="J18" s="262"/>
    </row>
    <row r="19" spans="1:10">
      <c r="A19" s="8">
        <v>35</v>
      </c>
      <c r="B19" s="8">
        <v>40</v>
      </c>
      <c r="C19" s="101">
        <v>920120</v>
      </c>
      <c r="D19" s="101">
        <v>1999153</v>
      </c>
      <c r="E19" s="312">
        <v>3968195</v>
      </c>
      <c r="F19" s="101">
        <v>0</v>
      </c>
      <c r="G19" s="262">
        <v>0</v>
      </c>
      <c r="H19" s="262">
        <v>1522365</v>
      </c>
      <c r="I19" s="262">
        <v>3118730</v>
      </c>
      <c r="J19" s="262"/>
    </row>
    <row r="20" spans="1:10">
      <c r="A20" s="8">
        <v>40</v>
      </c>
      <c r="B20" s="8">
        <v>45</v>
      </c>
      <c r="C20" s="101">
        <v>213702</v>
      </c>
      <c r="D20" s="101">
        <v>682819</v>
      </c>
      <c r="E20" s="312">
        <v>8429932</v>
      </c>
      <c r="F20" s="101">
        <v>0</v>
      </c>
      <c r="G20" s="262">
        <v>0</v>
      </c>
      <c r="H20" s="262">
        <v>2672017</v>
      </c>
      <c r="I20" s="262">
        <v>3313087</v>
      </c>
      <c r="J20" s="262"/>
    </row>
    <row r="21" spans="1:10">
      <c r="A21" s="8">
        <v>45</v>
      </c>
      <c r="B21" s="8">
        <v>50</v>
      </c>
      <c r="C21" s="101">
        <v>1068438</v>
      </c>
      <c r="D21" s="101">
        <v>996772</v>
      </c>
      <c r="E21" s="312">
        <v>2874193</v>
      </c>
      <c r="F21" s="101">
        <v>0</v>
      </c>
      <c r="G21" s="262">
        <v>0</v>
      </c>
      <c r="H21" s="262">
        <v>0</v>
      </c>
      <c r="I21" s="262">
        <v>2259416</v>
      </c>
      <c r="J21" s="262"/>
    </row>
    <row r="22" spans="1:10">
      <c r="A22" s="8">
        <v>50</v>
      </c>
      <c r="B22" s="8">
        <v>60</v>
      </c>
      <c r="C22" s="101">
        <v>416585</v>
      </c>
      <c r="D22" s="101">
        <v>961958</v>
      </c>
      <c r="E22" s="312">
        <v>2984329</v>
      </c>
      <c r="F22" s="101">
        <v>90775122</v>
      </c>
      <c r="G22" s="262">
        <v>0</v>
      </c>
      <c r="H22" s="262">
        <v>0</v>
      </c>
      <c r="I22" s="262">
        <v>2346427</v>
      </c>
      <c r="J22" s="262"/>
    </row>
    <row r="23" spans="1:10">
      <c r="A23" s="8">
        <v>60</v>
      </c>
      <c r="B23" s="8">
        <v>70</v>
      </c>
      <c r="C23" s="101">
        <v>42828</v>
      </c>
      <c r="D23" s="101">
        <v>110910</v>
      </c>
      <c r="E23" s="312">
        <v>816945</v>
      </c>
      <c r="F23" s="101">
        <v>71105003</v>
      </c>
      <c r="G23" s="262">
        <v>0</v>
      </c>
      <c r="H23" s="262">
        <v>0</v>
      </c>
      <c r="I23" s="262">
        <v>642390</v>
      </c>
      <c r="J23" s="262"/>
    </row>
    <row r="24" spans="1:10">
      <c r="A24" s="8">
        <v>70</v>
      </c>
      <c r="B24" s="8">
        <v>80</v>
      </c>
      <c r="C24" s="101">
        <v>183597</v>
      </c>
      <c r="D24" s="101">
        <v>367050</v>
      </c>
      <c r="E24" s="312">
        <v>1526204</v>
      </c>
      <c r="F24" s="101">
        <v>61193335</v>
      </c>
      <c r="G24" s="262">
        <v>0</v>
      </c>
      <c r="H24" s="262">
        <v>0</v>
      </c>
      <c r="I24" s="262">
        <v>3000753</v>
      </c>
      <c r="J24" s="262"/>
    </row>
    <row r="25" spans="1:10">
      <c r="A25" s="8">
        <v>80</v>
      </c>
      <c r="B25" s="8">
        <v>90</v>
      </c>
      <c r="C25" s="101">
        <v>70644</v>
      </c>
      <c r="D25" s="101">
        <v>213909</v>
      </c>
      <c r="E25" s="312">
        <v>14340639</v>
      </c>
      <c r="F25" s="101">
        <v>74031785</v>
      </c>
      <c r="G25" s="262">
        <v>0</v>
      </c>
      <c r="H25" s="262">
        <v>0</v>
      </c>
      <c r="I25" s="262">
        <v>14099627</v>
      </c>
      <c r="J25" s="262"/>
    </row>
    <row r="26" spans="1:10">
      <c r="A26" s="8">
        <v>90</v>
      </c>
      <c r="B26" s="8">
        <v>100</v>
      </c>
      <c r="C26" s="101">
        <v>133252</v>
      </c>
      <c r="D26" s="101">
        <v>359002</v>
      </c>
      <c r="E26" s="312">
        <v>2159859</v>
      </c>
      <c r="F26" s="101">
        <v>136453486</v>
      </c>
      <c r="G26" s="262">
        <v>0</v>
      </c>
      <c r="H26" s="262">
        <v>0</v>
      </c>
      <c r="I26" s="262">
        <v>2435165</v>
      </c>
      <c r="J26" s="262"/>
    </row>
    <row r="27" spans="1:10">
      <c r="A27" s="8">
        <v>100</v>
      </c>
      <c r="B27" s="8">
        <v>120</v>
      </c>
      <c r="C27" s="101">
        <v>84026</v>
      </c>
      <c r="D27" s="101">
        <v>183861</v>
      </c>
      <c r="E27" s="312">
        <v>592980</v>
      </c>
      <c r="F27" s="101">
        <v>150348801</v>
      </c>
      <c r="G27" s="262">
        <v>0</v>
      </c>
      <c r="H27" s="262">
        <v>0</v>
      </c>
      <c r="I27" s="262">
        <v>1952080</v>
      </c>
      <c r="J27" s="262"/>
    </row>
    <row r="28" spans="1:10">
      <c r="A28" s="8">
        <v>120</v>
      </c>
      <c r="B28" s="8">
        <v>140</v>
      </c>
      <c r="C28" s="101">
        <v>20360</v>
      </c>
      <c r="D28" s="101">
        <v>42070</v>
      </c>
      <c r="E28" s="312">
        <v>84154</v>
      </c>
      <c r="F28" s="101">
        <v>78930366</v>
      </c>
      <c r="G28" s="262">
        <v>0</v>
      </c>
      <c r="H28" s="262">
        <v>0</v>
      </c>
      <c r="I28" s="262">
        <v>705812</v>
      </c>
      <c r="J28" s="262"/>
    </row>
    <row r="29" spans="1:10">
      <c r="A29" s="8">
        <v>140</v>
      </c>
      <c r="B29" s="8">
        <v>160</v>
      </c>
      <c r="C29" s="101">
        <v>13704</v>
      </c>
      <c r="D29" s="101">
        <v>136131</v>
      </c>
      <c r="E29" s="312">
        <v>147952</v>
      </c>
      <c r="F29" s="101">
        <v>35891684</v>
      </c>
      <c r="G29" s="262">
        <v>0</v>
      </c>
      <c r="H29" s="262">
        <v>0</v>
      </c>
      <c r="I29" s="262">
        <v>2301110</v>
      </c>
      <c r="J29" s="262"/>
    </row>
    <row r="30" spans="1:10">
      <c r="A30" s="8">
        <v>160</v>
      </c>
      <c r="B30" s="8">
        <v>180</v>
      </c>
      <c r="C30" s="101">
        <v>12213</v>
      </c>
      <c r="D30" s="101">
        <v>33190</v>
      </c>
      <c r="E30" s="312">
        <v>4923039</v>
      </c>
      <c r="F30" s="101">
        <v>20412397</v>
      </c>
      <c r="G30" s="262">
        <v>0</v>
      </c>
      <c r="H30" s="262">
        <v>0</v>
      </c>
      <c r="I30" s="262">
        <v>6458119</v>
      </c>
      <c r="J30" s="262"/>
    </row>
    <row r="31" spans="1:10">
      <c r="A31" s="8">
        <v>180</v>
      </c>
      <c r="B31" s="8">
        <v>200</v>
      </c>
      <c r="C31" s="101">
        <v>5422</v>
      </c>
      <c r="D31" s="101">
        <v>40923</v>
      </c>
      <c r="E31" s="312">
        <v>78465</v>
      </c>
      <c r="F31" s="101">
        <v>29873269</v>
      </c>
      <c r="G31" s="262">
        <v>0</v>
      </c>
      <c r="H31" s="262">
        <v>0</v>
      </c>
      <c r="I31" s="262">
        <v>2314686</v>
      </c>
      <c r="J31" s="262"/>
    </row>
    <row r="32" spans="1:10">
      <c r="A32" s="8">
        <v>200</v>
      </c>
      <c r="B32" s="8">
        <v>250</v>
      </c>
      <c r="C32" s="101">
        <v>5767</v>
      </c>
      <c r="D32" s="101">
        <v>56386</v>
      </c>
      <c r="E32" s="312">
        <v>30351</v>
      </c>
      <c r="F32" s="101">
        <v>12615593</v>
      </c>
      <c r="G32" s="262">
        <v>0</v>
      </c>
      <c r="H32" s="262">
        <v>0</v>
      </c>
      <c r="I32" s="262">
        <v>6434766</v>
      </c>
      <c r="J32" s="262"/>
    </row>
    <row r="33" spans="1:10">
      <c r="A33" s="8">
        <v>250</v>
      </c>
      <c r="B33" s="8">
        <v>300</v>
      </c>
      <c r="C33" s="101">
        <v>677</v>
      </c>
      <c r="D33" s="101">
        <v>22098</v>
      </c>
      <c r="E33" s="312">
        <v>2105903</v>
      </c>
      <c r="F33" s="101">
        <v>72873713</v>
      </c>
      <c r="G33" s="262">
        <v>0</v>
      </c>
      <c r="H33" s="262">
        <v>0</v>
      </c>
      <c r="I33" s="262">
        <v>0</v>
      </c>
      <c r="J33" s="262"/>
    </row>
    <row r="34" spans="1:10">
      <c r="A34" s="8">
        <v>300</v>
      </c>
      <c r="B34" s="8">
        <v>350</v>
      </c>
      <c r="C34" s="101">
        <v>339</v>
      </c>
      <c r="D34" s="101">
        <v>2205</v>
      </c>
      <c r="E34" s="312">
        <v>631292</v>
      </c>
      <c r="F34" s="101">
        <v>10912349</v>
      </c>
      <c r="G34" s="262">
        <v>0</v>
      </c>
      <c r="H34" s="262">
        <v>0</v>
      </c>
      <c r="I34" s="262">
        <v>0</v>
      </c>
      <c r="J34" s="262"/>
    </row>
    <row r="35" spans="1:10">
      <c r="A35" s="8">
        <v>350</v>
      </c>
      <c r="B35" s="8">
        <v>400</v>
      </c>
      <c r="C35" s="101">
        <v>0</v>
      </c>
      <c r="D35" s="101">
        <v>1100</v>
      </c>
      <c r="E35" s="312">
        <v>0</v>
      </c>
      <c r="F35" s="101">
        <v>12460421</v>
      </c>
      <c r="G35" s="262">
        <v>0</v>
      </c>
      <c r="H35" s="262">
        <v>0</v>
      </c>
      <c r="I35" s="262">
        <v>0</v>
      </c>
      <c r="J35" s="262"/>
    </row>
    <row r="36" spans="1:10">
      <c r="A36" s="8">
        <v>400</v>
      </c>
      <c r="B36" s="8">
        <v>450</v>
      </c>
      <c r="C36" s="101">
        <v>0</v>
      </c>
      <c r="D36" s="101">
        <v>5517</v>
      </c>
      <c r="E36" s="312">
        <v>819384</v>
      </c>
      <c r="F36" s="101">
        <v>9679713</v>
      </c>
      <c r="G36" s="262">
        <v>0</v>
      </c>
      <c r="H36" s="262">
        <v>0</v>
      </c>
      <c r="I36" s="262">
        <v>0</v>
      </c>
      <c r="J36" s="262"/>
    </row>
    <row r="37" spans="1:10">
      <c r="A37" s="8">
        <v>450</v>
      </c>
      <c r="B37" s="8">
        <v>500</v>
      </c>
      <c r="C37" s="101">
        <v>0</v>
      </c>
      <c r="D37" s="101">
        <v>15446</v>
      </c>
      <c r="E37" s="312">
        <v>0</v>
      </c>
      <c r="F37" s="101">
        <v>12013041</v>
      </c>
      <c r="G37" s="262">
        <v>0</v>
      </c>
      <c r="H37" s="262">
        <v>0</v>
      </c>
      <c r="I37" s="262">
        <v>0</v>
      </c>
      <c r="J37" s="262"/>
    </row>
    <row r="38" spans="1:10">
      <c r="A38" s="8">
        <v>500</v>
      </c>
      <c r="B38" s="8">
        <v>550</v>
      </c>
      <c r="C38" s="101">
        <v>64</v>
      </c>
      <c r="D38" s="101">
        <v>4410</v>
      </c>
      <c r="E38" s="312">
        <v>0</v>
      </c>
      <c r="F38" s="101">
        <v>34555881</v>
      </c>
      <c r="G38" s="262">
        <v>0</v>
      </c>
      <c r="H38" s="262">
        <v>0</v>
      </c>
      <c r="I38" s="262">
        <v>0</v>
      </c>
      <c r="J38" s="262"/>
    </row>
    <row r="39" spans="1:10">
      <c r="A39" s="8">
        <v>550</v>
      </c>
      <c r="B39" s="8">
        <v>600</v>
      </c>
      <c r="C39" s="101">
        <v>0</v>
      </c>
      <c r="D39" s="101">
        <v>0</v>
      </c>
      <c r="E39" s="312">
        <v>0</v>
      </c>
      <c r="F39" s="101">
        <v>18163383</v>
      </c>
      <c r="G39" s="262">
        <v>0</v>
      </c>
      <c r="H39" s="262">
        <v>0</v>
      </c>
      <c r="I39" s="262">
        <v>0</v>
      </c>
      <c r="J39" s="262"/>
    </row>
    <row r="40" spans="1:10">
      <c r="A40" s="8">
        <v>600</v>
      </c>
      <c r="B40" s="8">
        <v>650</v>
      </c>
      <c r="C40" s="101">
        <v>0</v>
      </c>
      <c r="D40" s="101">
        <v>0</v>
      </c>
      <c r="E40" s="312">
        <v>0</v>
      </c>
      <c r="F40" s="101">
        <v>11977512</v>
      </c>
      <c r="G40" s="262">
        <v>0</v>
      </c>
      <c r="H40" s="262">
        <v>0</v>
      </c>
      <c r="I40" s="262">
        <v>0</v>
      </c>
      <c r="J40" s="262"/>
    </row>
    <row r="41" spans="1:10">
      <c r="A41" s="8">
        <v>650</v>
      </c>
      <c r="B41" s="8">
        <v>700</v>
      </c>
      <c r="C41" s="101">
        <v>0</v>
      </c>
      <c r="D41" s="101">
        <v>0</v>
      </c>
      <c r="E41" s="312">
        <v>0</v>
      </c>
      <c r="F41" s="101">
        <v>5630642</v>
      </c>
      <c r="G41" s="262">
        <v>0</v>
      </c>
      <c r="H41" s="262">
        <v>0</v>
      </c>
      <c r="I41" s="262">
        <v>0</v>
      </c>
      <c r="J41" s="262"/>
    </row>
    <row r="42" spans="1:10">
      <c r="A42" s="8">
        <v>700</v>
      </c>
      <c r="B42" s="8">
        <v>750</v>
      </c>
      <c r="C42" s="101">
        <v>0</v>
      </c>
      <c r="D42" s="101">
        <v>0</v>
      </c>
      <c r="E42" s="312">
        <v>0</v>
      </c>
      <c r="F42" s="101">
        <v>4755298</v>
      </c>
      <c r="G42" s="262">
        <v>0</v>
      </c>
      <c r="H42" s="262">
        <v>0</v>
      </c>
      <c r="I42" s="262">
        <v>0</v>
      </c>
      <c r="J42" s="262"/>
    </row>
    <row r="43" spans="1:10">
      <c r="A43" s="8">
        <v>750</v>
      </c>
      <c r="B43" s="8">
        <v>800</v>
      </c>
      <c r="C43" s="101">
        <v>0</v>
      </c>
      <c r="D43" s="101">
        <v>0</v>
      </c>
      <c r="E43" s="312">
        <v>0</v>
      </c>
      <c r="F43" s="101">
        <v>7810255</v>
      </c>
      <c r="G43" s="262">
        <v>0</v>
      </c>
      <c r="H43" s="262">
        <v>0</v>
      </c>
      <c r="I43" s="262">
        <v>0</v>
      </c>
      <c r="J43" s="262"/>
    </row>
    <row r="44" spans="1:10">
      <c r="A44" s="8">
        <v>800</v>
      </c>
      <c r="B44" s="8">
        <v>850</v>
      </c>
      <c r="C44" s="101">
        <v>0</v>
      </c>
      <c r="D44" s="101">
        <v>0</v>
      </c>
      <c r="E44" s="312">
        <v>280905</v>
      </c>
      <c r="F44" s="101">
        <v>4376049</v>
      </c>
      <c r="G44" s="262">
        <v>0</v>
      </c>
      <c r="H44" s="262">
        <v>0</v>
      </c>
      <c r="I44" s="262">
        <v>0</v>
      </c>
      <c r="J44" s="262"/>
    </row>
    <row r="45" spans="1:10">
      <c r="A45" s="8">
        <v>850</v>
      </c>
      <c r="B45" s="8">
        <v>900</v>
      </c>
      <c r="C45" s="101">
        <v>0</v>
      </c>
      <c r="D45" s="101">
        <v>0</v>
      </c>
      <c r="E45" s="312">
        <v>0</v>
      </c>
      <c r="F45" s="101">
        <v>4248122</v>
      </c>
      <c r="G45" s="262">
        <v>0</v>
      </c>
      <c r="H45" s="262">
        <v>0</v>
      </c>
      <c r="I45" s="262">
        <v>0</v>
      </c>
      <c r="J45" s="262"/>
    </row>
    <row r="46" spans="1:10">
      <c r="A46" s="8">
        <v>900</v>
      </c>
      <c r="B46" s="8">
        <v>950</v>
      </c>
      <c r="C46" s="101">
        <v>0</v>
      </c>
      <c r="D46" s="101">
        <v>0</v>
      </c>
      <c r="E46" s="312">
        <v>0</v>
      </c>
      <c r="F46" s="101">
        <v>3260661</v>
      </c>
      <c r="G46" s="262">
        <v>0</v>
      </c>
      <c r="H46" s="262">
        <v>0</v>
      </c>
      <c r="I46" s="262">
        <v>0</v>
      </c>
      <c r="J46" s="262"/>
    </row>
    <row r="47" spans="1:10">
      <c r="A47" s="8">
        <v>950</v>
      </c>
      <c r="B47" s="8">
        <v>1000</v>
      </c>
      <c r="C47" s="101">
        <v>0</v>
      </c>
      <c r="D47" s="101">
        <v>0</v>
      </c>
      <c r="E47" s="312">
        <v>0</v>
      </c>
      <c r="F47" s="101">
        <v>5945955</v>
      </c>
      <c r="G47" s="262">
        <v>0</v>
      </c>
      <c r="H47" s="262">
        <v>0</v>
      </c>
      <c r="I47" s="262">
        <v>0</v>
      </c>
      <c r="J47" s="262"/>
    </row>
    <row r="48" spans="1:10">
      <c r="A48" s="8">
        <v>1000</v>
      </c>
      <c r="B48" s="8">
        <v>2000</v>
      </c>
      <c r="C48" s="101">
        <v>211</v>
      </c>
      <c r="D48" s="101">
        <v>947</v>
      </c>
      <c r="E48" s="312">
        <v>0</v>
      </c>
      <c r="F48" s="101">
        <v>14672811</v>
      </c>
      <c r="G48" s="262">
        <v>0</v>
      </c>
      <c r="H48" s="262">
        <v>0</v>
      </c>
      <c r="I48" s="262">
        <v>0</v>
      </c>
      <c r="J48" s="262"/>
    </row>
    <row r="49" spans="1:10">
      <c r="A49" s="8">
        <v>2000</v>
      </c>
      <c r="B49" s="8">
        <v>3000</v>
      </c>
      <c r="C49" s="101">
        <v>0</v>
      </c>
      <c r="D49" s="101">
        <v>422</v>
      </c>
      <c r="E49" s="312">
        <v>94531</v>
      </c>
      <c r="F49" s="101">
        <v>1505276</v>
      </c>
      <c r="G49" s="262">
        <v>0</v>
      </c>
      <c r="H49" s="262">
        <v>0</v>
      </c>
      <c r="I49" s="262">
        <v>0</v>
      </c>
      <c r="J49" s="262"/>
    </row>
    <row r="50" spans="1:10">
      <c r="A50" s="8">
        <v>3000</v>
      </c>
      <c r="B50" s="8">
        <v>4000</v>
      </c>
      <c r="C50" s="101">
        <v>0</v>
      </c>
      <c r="D50" s="101">
        <v>0</v>
      </c>
      <c r="E50" s="312">
        <v>0</v>
      </c>
      <c r="F50" s="101">
        <v>1208542</v>
      </c>
      <c r="G50" s="262">
        <v>0</v>
      </c>
      <c r="H50" s="262">
        <v>0</v>
      </c>
      <c r="I50" s="262">
        <v>0</v>
      </c>
      <c r="J50" s="262"/>
    </row>
    <row r="51" spans="1:10">
      <c r="A51" s="8">
        <v>4000</v>
      </c>
      <c r="B51" s="8">
        <v>5000</v>
      </c>
      <c r="C51" s="101">
        <v>0</v>
      </c>
      <c r="D51" s="101">
        <v>0</v>
      </c>
      <c r="E51" s="312">
        <v>59285</v>
      </c>
      <c r="F51" s="101">
        <v>955713</v>
      </c>
      <c r="G51" s="262">
        <v>0</v>
      </c>
      <c r="H51" s="262">
        <v>0</v>
      </c>
      <c r="I51" s="262">
        <v>0</v>
      </c>
      <c r="J51" s="262"/>
    </row>
    <row r="52" spans="1:10">
      <c r="A52" s="8">
        <v>5000</v>
      </c>
      <c r="B52" s="8">
        <v>6000</v>
      </c>
      <c r="C52" s="101">
        <v>0</v>
      </c>
      <c r="D52" s="101">
        <v>0</v>
      </c>
      <c r="E52" s="312">
        <v>0</v>
      </c>
      <c r="F52" s="101">
        <v>315764</v>
      </c>
      <c r="G52" s="262">
        <v>0</v>
      </c>
      <c r="H52" s="262">
        <v>0</v>
      </c>
      <c r="I52" s="262">
        <v>0</v>
      </c>
      <c r="J52" s="262"/>
    </row>
    <row r="53" spans="1:10">
      <c r="A53" s="8">
        <v>6000</v>
      </c>
      <c r="B53" s="8">
        <v>7000</v>
      </c>
      <c r="C53" s="101">
        <v>0</v>
      </c>
      <c r="D53" s="101">
        <v>0</v>
      </c>
      <c r="E53" s="312">
        <v>0</v>
      </c>
      <c r="F53" s="101">
        <v>297374</v>
      </c>
      <c r="G53" s="262">
        <v>0</v>
      </c>
      <c r="H53" s="262">
        <v>0</v>
      </c>
      <c r="I53" s="262">
        <v>0</v>
      </c>
      <c r="J53" s="262"/>
    </row>
    <row r="54" spans="1:10">
      <c r="A54" s="8">
        <v>7000</v>
      </c>
      <c r="B54" s="8">
        <v>8000</v>
      </c>
      <c r="C54" s="101">
        <v>0</v>
      </c>
      <c r="D54" s="101">
        <v>0</v>
      </c>
      <c r="E54" s="312">
        <v>0</v>
      </c>
      <c r="F54" s="101">
        <v>276364</v>
      </c>
      <c r="G54" s="262">
        <v>0</v>
      </c>
      <c r="H54" s="262">
        <v>0</v>
      </c>
      <c r="I54" s="262">
        <v>0</v>
      </c>
      <c r="J54" s="262"/>
    </row>
    <row r="55" spans="1:10">
      <c r="A55" s="8">
        <v>8000</v>
      </c>
      <c r="B55" s="8">
        <v>9000</v>
      </c>
      <c r="C55" s="101">
        <v>0</v>
      </c>
      <c r="D55" s="101">
        <v>0</v>
      </c>
      <c r="E55" s="312">
        <v>33681</v>
      </c>
      <c r="F55" s="101">
        <v>222030</v>
      </c>
      <c r="G55" s="262">
        <v>0</v>
      </c>
      <c r="H55" s="262">
        <v>0</v>
      </c>
      <c r="I55" s="262">
        <v>0</v>
      </c>
      <c r="J55" s="262"/>
    </row>
    <row r="56" spans="1:10">
      <c r="A56" s="8">
        <v>9000</v>
      </c>
      <c r="B56" s="8">
        <v>10000</v>
      </c>
      <c r="C56" s="101">
        <v>0</v>
      </c>
      <c r="D56" s="101">
        <v>0</v>
      </c>
      <c r="E56" s="312">
        <v>0</v>
      </c>
      <c r="F56" s="101">
        <v>70069</v>
      </c>
      <c r="G56" s="262">
        <v>0</v>
      </c>
      <c r="H56" s="262">
        <v>0</v>
      </c>
      <c r="I56" s="262">
        <v>0</v>
      </c>
      <c r="J56" s="262"/>
    </row>
    <row r="57" spans="1:10">
      <c r="A57" s="8">
        <v>10000</v>
      </c>
      <c r="B57" s="8">
        <v>20000</v>
      </c>
      <c r="C57" s="101">
        <v>0</v>
      </c>
      <c r="D57" s="101">
        <v>0</v>
      </c>
      <c r="E57" s="312">
        <v>5728</v>
      </c>
      <c r="F57" s="101">
        <v>182221</v>
      </c>
      <c r="G57" s="262">
        <v>0</v>
      </c>
      <c r="H57" s="262">
        <v>0</v>
      </c>
      <c r="I57" s="262">
        <v>0</v>
      </c>
      <c r="J57" s="262"/>
    </row>
    <row r="58" spans="1:10">
      <c r="A58" s="8">
        <v>20000</v>
      </c>
      <c r="B58" s="8">
        <v>30000</v>
      </c>
      <c r="C58" s="101">
        <v>0</v>
      </c>
      <c r="D58" s="101">
        <v>0</v>
      </c>
      <c r="E58" s="312">
        <v>0</v>
      </c>
      <c r="F58" s="101">
        <v>0</v>
      </c>
      <c r="G58" s="262">
        <v>0</v>
      </c>
      <c r="H58" s="262">
        <v>0</v>
      </c>
      <c r="I58" s="262">
        <v>0</v>
      </c>
      <c r="J58" s="262"/>
    </row>
    <row r="59" spans="1:10">
      <c r="A59" s="8">
        <v>30000</v>
      </c>
      <c r="B59" s="8">
        <v>100000</v>
      </c>
      <c r="C59" s="101">
        <v>0</v>
      </c>
      <c r="D59" s="101">
        <v>0</v>
      </c>
      <c r="E59" s="312">
        <v>0</v>
      </c>
      <c r="F59" s="101">
        <v>0</v>
      </c>
      <c r="G59" s="262">
        <v>0</v>
      </c>
      <c r="H59" s="262">
        <v>0</v>
      </c>
      <c r="I59" s="262">
        <v>0</v>
      </c>
      <c r="J59" s="262"/>
    </row>
    <row r="60" spans="1:10">
      <c r="A60" s="8">
        <v>100000</v>
      </c>
      <c r="B60" s="8">
        <v>999999</v>
      </c>
      <c r="C60" s="101">
        <v>0</v>
      </c>
      <c r="D60" s="101">
        <v>0</v>
      </c>
      <c r="E60" s="312">
        <v>0</v>
      </c>
      <c r="F60" s="101">
        <v>0</v>
      </c>
      <c r="G60" s="262">
        <v>0</v>
      </c>
      <c r="H60" s="262">
        <v>0</v>
      </c>
      <c r="I60" s="262">
        <v>0</v>
      </c>
      <c r="J60" s="262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9C0E8-F2A3-4265-B9C5-7BF465029EA2}">
  <dimension ref="A1:BC261"/>
  <sheetViews>
    <sheetView topLeftCell="A187" zoomScale="55" zoomScaleNormal="55" workbookViewId="0">
      <selection activeCell="H208" sqref="H208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4" width="13.5546875" style="1" customWidth="1"/>
    <col min="25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0.89000000018852077</v>
      </c>
      <c r="P2" s="215">
        <v>0.94</v>
      </c>
      <c r="Q2" s="181">
        <f>P2-O2</f>
        <v>4.9999999811479179E-2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0.91998770794638574</v>
      </c>
      <c r="R3" s="216">
        <f>1-SUM(_xlfn.ANCHORARRAY(R4))</f>
        <v>-2.1752781999975213E-2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795188919</v>
      </c>
      <c r="D4" s="166">
        <v>0</v>
      </c>
      <c r="E4" s="241">
        <f>IFERROR((D4/$E$1)/(C4),0)</f>
        <v>0</v>
      </c>
      <c r="F4" s="185" cm="1">
        <f t="array" ref="F4:F61">C4:C61/SUM(C4:C61)</f>
        <v>0.79518891899999999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1.1184424697698787</v>
      </c>
      <c r="L4" s="185" cm="1">
        <f t="array" ref="L4:L61">K4:K61*_xlfn.ANCHORARRAY(J4)*_xlfn.ANCHORARRAY(F4)</f>
        <v>0.88937305850000004</v>
      </c>
      <c r="M4" s="240" cm="1">
        <f t="array" ref="M4:M61">INT(_xlfn.ANCHORARRAY(L4)*$M$2)</f>
        <v>889373058</v>
      </c>
      <c r="N4" s="194" cm="1">
        <f t="array" ref="N4:N61">_xlfn.ANCHORARRAY(M4)/SUM(_xlfn.ANCHORARRAY(M4))</f>
        <v>0.88937305799999999</v>
      </c>
      <c r="O4" s="210" cm="1">
        <f t="array" ref="O4:O61">_xlfn.ANCHORARRAY(N4)*E4:E61</f>
        <v>0</v>
      </c>
      <c r="P4" s="198">
        <v>0.88596776103472219</v>
      </c>
      <c r="Q4" s="198" cm="1">
        <f t="array" ref="Q4:Q55">P4:P55*E4:E55</f>
        <v>0</v>
      </c>
      <c r="R4" s="216" cm="1">
        <f t="array" ref="R4:R55">P2*P4:P55/P3</f>
        <v>0.90524002459951625</v>
      </c>
      <c r="S4" s="182">
        <f>R4+R3</f>
        <v>0.88348724259954103</v>
      </c>
      <c r="T4" s="213" cm="1">
        <f t="array" ref="T4:T61">S4:S55/_xlfn.ANCHORARRAY(F4)</f>
        <v>1.1110406866717681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12223533</v>
      </c>
      <c r="D5" s="30">
        <v>917729700</v>
      </c>
      <c r="E5" s="187">
        <f t="shared" ref="E5:E61" si="0">IFERROR((D5/$E$1)/(C5),0)</f>
        <v>0.75078923581259194</v>
      </c>
      <c r="F5" s="188">
        <v>1.2223533E-2</v>
      </c>
      <c r="G5" s="189">
        <v>9.1772969999999992E-3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0.93827582418274647</v>
      </c>
      <c r="L5" s="188">
        <v>1.1469045499999999E-2</v>
      </c>
      <c r="M5" s="233">
        <v>11469045</v>
      </c>
      <c r="N5" s="195">
        <v>1.1469045000000001E-2</v>
      </c>
      <c r="O5" s="211">
        <v>8.6108355310502288E-3</v>
      </c>
      <c r="P5" s="198">
        <v>1.1765347051168376E-2</v>
      </c>
      <c r="Q5" s="198">
        <v>8.8332959216166369E-3</v>
      </c>
      <c r="R5" s="1">
        <v>1.2021276080726487E-2</v>
      </c>
      <c r="S5" s="182" cm="1">
        <f t="array" ref="S5:S55">R5:R55</f>
        <v>1.2021276080726487E-2</v>
      </c>
      <c r="T5" s="1">
        <v>0.98345348114383024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19854235</v>
      </c>
      <c r="D6" s="30">
        <v>3409420460</v>
      </c>
      <c r="E6" s="187">
        <f t="shared" si="0"/>
        <v>1.7172258009437282</v>
      </c>
      <c r="F6" s="188">
        <v>1.9854235000000001E-2</v>
      </c>
      <c r="G6" s="189">
        <v>3.4094204600000004E-2</v>
      </c>
      <c r="H6" s="178"/>
      <c r="I6" s="214" t="str">
        <f t="shared" si="1"/>
        <v>(1, 2]</v>
      </c>
      <c r="J6" s="160">
        <v>1</v>
      </c>
      <c r="K6" s="234">
        <v>0.80184210069035644</v>
      </c>
      <c r="L6" s="188">
        <v>1.59199615E-2</v>
      </c>
      <c r="M6" s="233">
        <v>15919961</v>
      </c>
      <c r="N6" s="195">
        <v>1.5919961E-2</v>
      </c>
      <c r="O6" s="211">
        <v>2.7338167779217916E-2</v>
      </c>
      <c r="P6" s="198">
        <v>1.6366761835715376E-2</v>
      </c>
      <c r="Q6" s="198">
        <v>2.8105425702191579E-2</v>
      </c>
      <c r="R6" s="1">
        <v>1.67227844379732E-2</v>
      </c>
      <c r="S6" s="182">
        <v>1.67227844379732E-2</v>
      </c>
      <c r="T6" s="1">
        <v>0.84227795419834606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14020917</v>
      </c>
      <c r="D7" s="30">
        <v>3854712400</v>
      </c>
      <c r="E7" s="187">
        <f t="shared" si="0"/>
        <v>2.7492584115575323</v>
      </c>
      <c r="F7" s="188">
        <v>1.4020917000000001E-2</v>
      </c>
      <c r="G7" s="189">
        <v>3.8547124000000002E-2</v>
      </c>
      <c r="H7" s="178"/>
      <c r="I7" s="124" t="str">
        <f t="shared" si="1"/>
        <v>(2, 3]</v>
      </c>
      <c r="J7" s="160">
        <v>1</v>
      </c>
      <c r="K7" s="234">
        <v>0.8054969229188077</v>
      </c>
      <c r="L7" s="188">
        <v>1.1293805500000002E-2</v>
      </c>
      <c r="M7" s="233">
        <v>11293805</v>
      </c>
      <c r="N7" s="195">
        <v>1.1293805000000001E-2</v>
      </c>
      <c r="O7" s="211">
        <v>3.1049588394740518E-2</v>
      </c>
      <c r="P7" s="198">
        <v>1.1624640403900662E-2</v>
      </c>
      <c r="Q7" s="198">
        <v>3.1959140411755446E-2</v>
      </c>
      <c r="R7" s="1">
        <v>1.1877508672434813E-2</v>
      </c>
      <c r="S7" s="182">
        <v>1.1877508672434813E-2</v>
      </c>
      <c r="T7" s="1">
        <v>0.84712780714947622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18463165</v>
      </c>
      <c r="D8" s="30">
        <v>6828453200</v>
      </c>
      <c r="E8" s="187">
        <f t="shared" si="0"/>
        <v>3.6984196371532185</v>
      </c>
      <c r="F8" s="188">
        <v>1.8463165E-2</v>
      </c>
      <c r="G8" s="189">
        <v>6.8284532000000009E-2</v>
      </c>
      <c r="H8" s="178"/>
      <c r="I8" s="124" t="str">
        <f t="shared" si="1"/>
        <v>(3, 4]</v>
      </c>
      <c r="J8" s="160">
        <v>1</v>
      </c>
      <c r="K8" s="234">
        <v>0.65028246782174126</v>
      </c>
      <c r="L8" s="188">
        <v>1.20062725E-2</v>
      </c>
      <c r="M8" s="233">
        <v>12006272</v>
      </c>
      <c r="N8" s="195">
        <v>1.2006272E-2</v>
      </c>
      <c r="O8" s="211">
        <v>4.4404232133802846E-2</v>
      </c>
      <c r="P8" s="198">
        <v>1.2367798075398522E-2</v>
      </c>
      <c r="Q8" s="198">
        <v>4.5741307270399677E-2</v>
      </c>
      <c r="R8" s="1">
        <v>1.2636832090752375E-2</v>
      </c>
      <c r="S8" s="182">
        <v>1.2636832090752375E-2</v>
      </c>
      <c r="T8" s="1">
        <v>0.6844347700273693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12601097</v>
      </c>
      <c r="D9" s="30">
        <v>6055478580</v>
      </c>
      <c r="E9" s="187">
        <f t="shared" si="0"/>
        <v>4.8055169958615505</v>
      </c>
      <c r="F9" s="188">
        <v>1.2601097E-2</v>
      </c>
      <c r="G9" s="189">
        <v>6.0554785799999997E-2</v>
      </c>
      <c r="H9" s="178"/>
      <c r="I9" s="124" t="str">
        <f t="shared" si="1"/>
        <v>(4, 5]</v>
      </c>
      <c r="J9" s="160">
        <v>1</v>
      </c>
      <c r="K9" s="234">
        <v>0.77723610095216311</v>
      </c>
      <c r="L9" s="188">
        <v>9.7940275E-3</v>
      </c>
      <c r="M9" s="233">
        <v>9794027</v>
      </c>
      <c r="N9" s="195">
        <v>9.7940270000000003E-3</v>
      </c>
      <c r="O9" s="211">
        <v>4.7065363206426916E-2</v>
      </c>
      <c r="P9" s="198">
        <v>1.0096140468408626E-2</v>
      </c>
      <c r="Q9" s="198">
        <v>4.8517174613543247E-2</v>
      </c>
      <c r="R9" s="1">
        <v>1.0315759611059043E-2</v>
      </c>
      <c r="S9" s="182">
        <v>1.0315759611059043E-2</v>
      </c>
      <c r="T9" s="1">
        <v>0.81863980660247615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12543731</v>
      </c>
      <c r="D10" s="30">
        <v>7466041340</v>
      </c>
      <c r="E10" s="187">
        <f t="shared" si="0"/>
        <v>5.9520100837621603</v>
      </c>
      <c r="F10" s="188">
        <v>1.2543731000000001E-2</v>
      </c>
      <c r="G10" s="189">
        <v>7.4660413400000014E-2</v>
      </c>
      <c r="H10" s="178"/>
      <c r="I10" s="124" t="str">
        <f t="shared" si="1"/>
        <v>(5, 6]</v>
      </c>
      <c r="J10" s="160">
        <v>1</v>
      </c>
      <c r="K10" s="234">
        <v>0.6233147458280156</v>
      </c>
      <c r="L10" s="188">
        <v>7.8186925000000001E-3</v>
      </c>
      <c r="M10" s="233">
        <v>7818692</v>
      </c>
      <c r="N10" s="195">
        <v>7.8186920000000004E-3</v>
      </c>
      <c r="O10" s="211">
        <v>4.6536933625830536E-2</v>
      </c>
      <c r="P10" s="198">
        <v>8.0644016058650896E-3</v>
      </c>
      <c r="Q10" s="198">
        <v>4.7999399677616773E-2</v>
      </c>
      <c r="R10" s="1">
        <v>8.2398247759577197E-3</v>
      </c>
      <c r="S10" s="182">
        <v>8.2398247759577197E-3</v>
      </c>
      <c r="T10" s="1">
        <v>0.65688787299071694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3159125</v>
      </c>
      <c r="D11" s="30">
        <v>2062217360</v>
      </c>
      <c r="E11" s="187">
        <f t="shared" si="0"/>
        <v>6.5278118466347488</v>
      </c>
      <c r="F11" s="188">
        <v>3.159125E-3</v>
      </c>
      <c r="G11" s="189">
        <v>2.0622173600000002E-2</v>
      </c>
      <c r="H11" s="178"/>
      <c r="I11" s="124" t="str">
        <f t="shared" si="1"/>
        <v>(6, 7]</v>
      </c>
      <c r="J11" s="160">
        <v>1</v>
      </c>
      <c r="K11" s="234">
        <v>0.60142586950500532</v>
      </c>
      <c r="L11" s="188">
        <v>1.8999794999999999E-3</v>
      </c>
      <c r="M11" s="233">
        <v>1899979</v>
      </c>
      <c r="N11" s="195">
        <v>1.899979E-3</v>
      </c>
      <c r="O11" s="211">
        <v>1.2402705424557244E-2</v>
      </c>
      <c r="P11" s="198">
        <v>1.9601644638672913E-3</v>
      </c>
      <c r="Q11" s="198">
        <v>1.2795584808585355E-2</v>
      </c>
      <c r="R11" s="1">
        <v>2.002803494133894E-3</v>
      </c>
      <c r="S11" s="182">
        <v>2.002803494133894E-3</v>
      </c>
      <c r="T11" s="1">
        <v>0.63397412072453418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13147608</v>
      </c>
      <c r="D12" s="30">
        <v>10142167660</v>
      </c>
      <c r="E12" s="187">
        <f t="shared" si="0"/>
        <v>7.7140782262446521</v>
      </c>
      <c r="F12" s="188">
        <v>1.3147608E-2</v>
      </c>
      <c r="G12" s="189">
        <v>0.1014216766</v>
      </c>
      <c r="H12" s="178"/>
      <c r="I12" s="214" t="str">
        <f t="shared" si="1"/>
        <v>(7, 8]</v>
      </c>
      <c r="J12" s="160">
        <v>1</v>
      </c>
      <c r="K12" s="234">
        <v>0.62052781768364251</v>
      </c>
      <c r="L12" s="188">
        <v>8.1584564999999994E-3</v>
      </c>
      <c r="M12" s="233">
        <v>8158456</v>
      </c>
      <c r="N12" s="195">
        <v>8.1584559999999997E-3</v>
      </c>
      <c r="O12" s="211">
        <v>6.2934967789375032E-2</v>
      </c>
      <c r="P12" s="198">
        <v>8.4202434744829677E-3</v>
      </c>
      <c r="Q12" s="198">
        <v>6.4954416846187676E-2</v>
      </c>
      <c r="R12" s="1">
        <v>8.6034071951701062E-3</v>
      </c>
      <c r="S12" s="182">
        <v>8.6034071951701062E-3</v>
      </c>
      <c r="T12" s="1">
        <v>0.65437052847712729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5760279</v>
      </c>
      <c r="D13" s="30">
        <v>5138867060</v>
      </c>
      <c r="E13" s="187">
        <f t="shared" si="0"/>
        <v>8.9212120801787549</v>
      </c>
      <c r="F13" s="188">
        <v>5.7602790000000001E-3</v>
      </c>
      <c r="G13" s="189">
        <v>5.1388670599999998E-2</v>
      </c>
      <c r="H13" s="178"/>
      <c r="I13" s="124" t="str">
        <f t="shared" si="1"/>
        <v>(8, 9]</v>
      </c>
      <c r="J13" s="160">
        <v>1</v>
      </c>
      <c r="K13" s="234">
        <v>0.5182284573368755</v>
      </c>
      <c r="L13" s="188">
        <v>2.9851405E-3</v>
      </c>
      <c r="M13" s="233">
        <v>2985140</v>
      </c>
      <c r="N13" s="195">
        <v>2.9851399999999998E-3</v>
      </c>
      <c r="O13" s="211">
        <v>2.6631067029024808E-2</v>
      </c>
      <c r="P13" s="198">
        <v>3.0822244211840284E-3</v>
      </c>
      <c r="Q13" s="198">
        <v>2.7497177740088925E-2</v>
      </c>
      <c r="R13" s="1">
        <v>3.1492713770930434E-3</v>
      </c>
      <c r="S13" s="182">
        <v>3.1492713770930434E-3</v>
      </c>
      <c r="T13" s="1">
        <v>0.5467220211196443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7136369</v>
      </c>
      <c r="D14" s="30">
        <v>6958218440</v>
      </c>
      <c r="E14" s="187">
        <f t="shared" si="0"/>
        <v>9.7503624602371328</v>
      </c>
      <c r="F14" s="188">
        <v>7.136369E-3</v>
      </c>
      <c r="G14" s="189">
        <v>6.9582184400000011E-2</v>
      </c>
      <c r="H14" s="178"/>
      <c r="I14" s="124" t="str">
        <f t="shared" si="1"/>
        <v>(9, 10]</v>
      </c>
      <c r="J14" s="160">
        <v>1</v>
      </c>
      <c r="K14" s="234">
        <v>0.84151779427325013</v>
      </c>
      <c r="L14" s="188">
        <v>6.0053814999999995E-3</v>
      </c>
      <c r="M14" s="233">
        <v>6005381</v>
      </c>
      <c r="N14" s="195">
        <v>6.0053809999999997E-3</v>
      </c>
      <c r="O14" s="211">
        <v>5.8554641461821329E-2</v>
      </c>
      <c r="P14" s="198">
        <v>6.2021371585412157E-3</v>
      </c>
      <c r="Q14" s="198">
        <v>6.047308532388207E-2</v>
      </c>
      <c r="R14" s="1">
        <v>6.3370508960849054E-3</v>
      </c>
      <c r="S14" s="182">
        <v>6.3370508960849054E-3</v>
      </c>
      <c r="T14" s="1">
        <v>0.88799372567266421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17909726</v>
      </c>
      <c r="D15" s="30">
        <v>22799765820</v>
      </c>
      <c r="E15" s="187">
        <f t="shared" si="0"/>
        <v>12.730382262687883</v>
      </c>
      <c r="F15" s="188">
        <v>1.7909726000000001E-2</v>
      </c>
      <c r="G15" s="189">
        <v>0.22799765820000001</v>
      </c>
      <c r="H15" s="178"/>
      <c r="I15" s="214" t="str">
        <f t="shared" si="1"/>
        <v>(10, 15]</v>
      </c>
      <c r="J15" s="160">
        <v>1</v>
      </c>
      <c r="K15" s="234">
        <v>0.53412411222818257</v>
      </c>
      <c r="L15" s="188">
        <v>9.5660164999999998E-3</v>
      </c>
      <c r="M15" s="233">
        <v>9566016</v>
      </c>
      <c r="N15" s="195">
        <v>9.5660160000000001E-3</v>
      </c>
      <c r="O15" s="211">
        <v>0.12177904041098848</v>
      </c>
      <c r="P15" s="198">
        <v>9.886347575376592E-3</v>
      </c>
      <c r="Q15" s="198">
        <v>0.12585698381634153</v>
      </c>
      <c r="R15" s="1">
        <v>1.010140313895974E-2</v>
      </c>
      <c r="S15" s="182">
        <v>1.010140313895974E-2</v>
      </c>
      <c r="T15" s="1">
        <v>0.56401773756671314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11269242</v>
      </c>
      <c r="D16" s="30">
        <v>20112711300</v>
      </c>
      <c r="E16" s="187">
        <f t="shared" si="0"/>
        <v>17.847439339753286</v>
      </c>
      <c r="F16" s="188">
        <v>1.1269242E-2</v>
      </c>
      <c r="G16" s="189">
        <v>0.20112711300000002</v>
      </c>
      <c r="H16" s="178"/>
      <c r="I16" s="124" t="str">
        <f t="shared" si="1"/>
        <v>(15, 20]</v>
      </c>
      <c r="J16" s="160">
        <v>1</v>
      </c>
      <c r="K16" s="234">
        <v>0.50397733050723381</v>
      </c>
      <c r="L16" s="188">
        <v>5.6794425000000004E-3</v>
      </c>
      <c r="M16" s="233">
        <v>5679442</v>
      </c>
      <c r="N16" s="195">
        <v>5.6794419999999998E-3</v>
      </c>
      <c r="O16" s="211">
        <v>0.10136349657864709</v>
      </c>
      <c r="P16" s="198">
        <v>5.8748370439853752E-3</v>
      </c>
      <c r="Q16" s="198">
        <v>0.1048507977734645</v>
      </c>
      <c r="R16" s="1">
        <v>6.0026310934885654E-3</v>
      </c>
      <c r="S16" s="182">
        <v>6.0026310934885654E-3</v>
      </c>
      <c r="T16" s="1">
        <v>0.53265615322561755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6214274</v>
      </c>
      <c r="D17" s="30">
        <v>14443908240</v>
      </c>
      <c r="E17" s="187">
        <f t="shared" si="0"/>
        <v>23.243114545641212</v>
      </c>
      <c r="F17" s="188">
        <v>6.2142739999999997E-3</v>
      </c>
      <c r="G17" s="189">
        <v>0.1444390824</v>
      </c>
      <c r="H17" s="178"/>
      <c r="I17" s="124" t="str">
        <f t="shared" si="1"/>
        <v>(20, 25]</v>
      </c>
      <c r="J17" s="160">
        <v>1</v>
      </c>
      <c r="K17" s="234">
        <v>0.38311031988612027</v>
      </c>
      <c r="L17" s="188">
        <v>2.3807525E-3</v>
      </c>
      <c r="M17" s="233">
        <v>2380752</v>
      </c>
      <c r="N17" s="195">
        <v>2.3807519999999999E-3</v>
      </c>
      <c r="O17" s="211">
        <v>5.5336091440764408E-2</v>
      </c>
      <c r="P17" s="198">
        <v>2.464368450227477E-3</v>
      </c>
      <c r="Q17" s="198">
        <v>5.7279598171301564E-2</v>
      </c>
      <c r="R17" s="1">
        <v>2.5179753198928912E-3</v>
      </c>
      <c r="S17" s="182">
        <v>2.5179753198928912E-3</v>
      </c>
      <c r="T17" s="1">
        <v>0.40519219459793554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4327912</v>
      </c>
      <c r="D18" s="30">
        <v>12306435380</v>
      </c>
      <c r="E18" s="187">
        <f t="shared" si="0"/>
        <v>28.4350406847459</v>
      </c>
      <c r="F18" s="188">
        <v>4.3279119999999997E-3</v>
      </c>
      <c r="G18" s="189">
        <v>0.12306435379999998</v>
      </c>
      <c r="H18" s="178"/>
      <c r="I18" s="124" t="str">
        <f t="shared" si="1"/>
        <v>(25, 30]</v>
      </c>
      <c r="J18" s="160">
        <v>1</v>
      </c>
      <c r="K18" s="234">
        <v>0.47683143742294204</v>
      </c>
      <c r="L18" s="188">
        <v>2.0636844999999998E-3</v>
      </c>
      <c r="M18" s="233">
        <v>2063684</v>
      </c>
      <c r="N18" s="195">
        <v>2.0636840000000001E-3</v>
      </c>
      <c r="O18" s="211">
        <v>5.8680938500459162E-2</v>
      </c>
      <c r="P18" s="198">
        <v>2.1372963496844662E-3</v>
      </c>
      <c r="Q18" s="198">
        <v>6.0774108658636694E-2</v>
      </c>
      <c r="R18" s="1">
        <v>2.183788491248494E-3</v>
      </c>
      <c r="S18" s="182">
        <v>2.183788491248494E-3</v>
      </c>
      <c r="T18" s="1">
        <v>0.50458246176181354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2145347</v>
      </c>
      <c r="D19" s="30">
        <v>6990216720</v>
      </c>
      <c r="E19" s="187">
        <f t="shared" si="0"/>
        <v>32.583151909691068</v>
      </c>
      <c r="F19" s="188">
        <v>2.1453470000000001E-3</v>
      </c>
      <c r="G19" s="189">
        <v>6.9902167200000004E-2</v>
      </c>
      <c r="H19" s="178"/>
      <c r="I19" s="124" t="str">
        <f t="shared" si="1"/>
        <v>(30, 35]</v>
      </c>
      <c r="J19" s="160">
        <v>1</v>
      </c>
      <c r="K19" s="234">
        <v>0.18381245551418954</v>
      </c>
      <c r="L19" s="188">
        <v>3.9434149999999999E-4</v>
      </c>
      <c r="M19" s="233">
        <v>394341</v>
      </c>
      <c r="N19" s="195">
        <v>3.9434099999999998E-4</v>
      </c>
      <c r="O19" s="211">
        <v>1.2848872707219485E-2</v>
      </c>
      <c r="P19" s="198">
        <v>4.0855510816272726E-4</v>
      </c>
      <c r="Q19" s="198">
        <v>1.3312013152746409E-2</v>
      </c>
      <c r="R19" s="1">
        <v>4.1744231836556716E-4</v>
      </c>
      <c r="S19" s="182">
        <v>4.1744231836556716E-4</v>
      </c>
      <c r="T19" s="1">
        <v>0.19458032587062471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3778148</v>
      </c>
      <c r="D20" s="30">
        <v>14458614080</v>
      </c>
      <c r="E20" s="187">
        <f t="shared" si="0"/>
        <v>38.26905160941287</v>
      </c>
      <c r="F20" s="188">
        <v>3.7781479999999998E-3</v>
      </c>
      <c r="G20" s="189">
        <v>0.14458614080000001</v>
      </c>
      <c r="H20" s="178"/>
      <c r="I20" s="214" t="str">
        <f t="shared" si="1"/>
        <v>(35, 40]</v>
      </c>
      <c r="J20" s="160">
        <v>1</v>
      </c>
      <c r="K20" s="234">
        <v>0.24353744215419831</v>
      </c>
      <c r="L20" s="188">
        <v>9.2012050000000003E-4</v>
      </c>
      <c r="M20" s="233">
        <v>920120</v>
      </c>
      <c r="N20" s="195">
        <v>9.2011999999999997E-4</v>
      </c>
      <c r="O20" s="211">
        <v>3.521211976685297E-2</v>
      </c>
      <c r="P20" s="198">
        <v>9.536856097028299E-4</v>
      </c>
      <c r="Q20" s="198">
        <v>3.6496643816871975E-2</v>
      </c>
      <c r="R20" s="1">
        <v>9.7443092486720862E-4</v>
      </c>
      <c r="S20" s="182">
        <v>9.7443092486720862E-4</v>
      </c>
      <c r="T20" s="1">
        <v>0.25791232235137657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1647988</v>
      </c>
      <c r="D21" s="30">
        <v>7173008520</v>
      </c>
      <c r="E21" s="187">
        <f t="shared" si="0"/>
        <v>43.525854071752953</v>
      </c>
      <c r="F21" s="188">
        <v>1.647988E-3</v>
      </c>
      <c r="G21" s="189">
        <v>7.1730085200000002E-2</v>
      </c>
      <c r="H21" s="178"/>
      <c r="I21" s="124" t="str">
        <f t="shared" si="1"/>
        <v>(40, 45]</v>
      </c>
      <c r="J21" s="160">
        <v>1</v>
      </c>
      <c r="K21" s="234">
        <v>0.12967479132129603</v>
      </c>
      <c r="L21" s="188">
        <v>2.137025E-4</v>
      </c>
      <c r="M21" s="233">
        <v>213702</v>
      </c>
      <c r="N21" s="195">
        <v>2.1370199999999999E-4</v>
      </c>
      <c r="O21" s="211">
        <v>9.3015620668417485E-3</v>
      </c>
      <c r="P21" s="198">
        <v>2.215736170282081E-4</v>
      </c>
      <c r="Q21" s="198">
        <v>9.6441809209202606E-3</v>
      </c>
      <c r="R21" s="1">
        <v>2.2639345961636862E-4</v>
      </c>
      <c r="S21" s="182">
        <v>2.2639345961636862E-4</v>
      </c>
      <c r="T21" s="1">
        <v>0.13737567240560528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2034040</v>
      </c>
      <c r="D22" s="30">
        <v>9788723540</v>
      </c>
      <c r="E22" s="187">
        <f t="shared" si="0"/>
        <v>48.124538062181671</v>
      </c>
      <c r="F22" s="188">
        <v>2.03404E-3</v>
      </c>
      <c r="G22" s="189">
        <v>9.7887235400000008E-2</v>
      </c>
      <c r="H22" s="178"/>
      <c r="I22" s="124" t="str">
        <f t="shared" si="1"/>
        <v>(45, 50]</v>
      </c>
      <c r="J22" s="160">
        <v>1</v>
      </c>
      <c r="K22" s="234">
        <v>0.52527900139623607</v>
      </c>
      <c r="L22" s="188">
        <v>1.0684385000000001E-3</v>
      </c>
      <c r="M22" s="233">
        <v>1068438</v>
      </c>
      <c r="N22" s="195">
        <v>1.0684379999999999E-3</v>
      </c>
      <c r="O22" s="211">
        <v>5.1418085198081255E-2</v>
      </c>
      <c r="P22" s="198">
        <v>1.1080800981705132E-3</v>
      </c>
      <c r="Q22" s="198">
        <v>5.3325842860352864E-2</v>
      </c>
      <c r="R22" s="1">
        <v>1.1321839229845271E-3</v>
      </c>
      <c r="S22" s="182">
        <v>1.1321839229845271E-3</v>
      </c>
      <c r="T22" s="1">
        <v>0.55661831772459103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3238075</v>
      </c>
      <c r="D23" s="30">
        <v>18382953720</v>
      </c>
      <c r="E23" s="187">
        <f t="shared" si="0"/>
        <v>56.771241308493465</v>
      </c>
      <c r="F23" s="188">
        <v>3.238075E-3</v>
      </c>
      <c r="G23" s="189">
        <v>0.18382953719999998</v>
      </c>
      <c r="H23" s="178"/>
      <c r="I23" s="214" t="str">
        <f t="shared" si="1"/>
        <v>(50, 60]</v>
      </c>
      <c r="J23" s="160">
        <v>1</v>
      </c>
      <c r="K23" s="234">
        <v>0.12865220848806774</v>
      </c>
      <c r="L23" s="188">
        <v>4.1658549999999998E-4</v>
      </c>
      <c r="M23" s="233">
        <v>416585</v>
      </c>
      <c r="N23" s="195">
        <v>4.1658500000000002E-4</v>
      </c>
      <c r="O23" s="211">
        <v>2.3650047560498752E-2</v>
      </c>
      <c r="P23" s="198">
        <v>4.3223056316148964E-4</v>
      </c>
      <c r="Q23" s="198">
        <v>2.4538265602146954E-2</v>
      </c>
      <c r="R23" s="1">
        <v>4.4163278037566791E-4</v>
      </c>
      <c r="S23" s="182">
        <v>4.4163278037566791E-4</v>
      </c>
      <c r="T23" s="1">
        <v>0.13638744636108427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1975180</v>
      </c>
      <c r="D24" s="30">
        <v>12940084160</v>
      </c>
      <c r="E24" s="187">
        <f t="shared" si="0"/>
        <v>65.513442622950819</v>
      </c>
      <c r="F24" s="188">
        <v>1.97518E-3</v>
      </c>
      <c r="G24" s="189">
        <v>0.12940084160000001</v>
      </c>
      <c r="H24" s="178"/>
      <c r="I24" s="124" t="str">
        <f t="shared" si="1"/>
        <v>(60, 70]</v>
      </c>
      <c r="J24" s="160">
        <v>1</v>
      </c>
      <c r="K24" s="234">
        <v>2.1683340252533947E-2</v>
      </c>
      <c r="L24" s="188">
        <v>4.2828500000000005E-5</v>
      </c>
      <c r="M24" s="233">
        <v>42828</v>
      </c>
      <c r="N24" s="195">
        <v>4.2827999999999997E-5</v>
      </c>
      <c r="O24" s="211">
        <v>2.8058097206557376E-3</v>
      </c>
      <c r="P24" s="198">
        <v>4.4454732010010405E-5</v>
      </c>
      <c r="Q24" s="198">
        <v>2.9123825348564719E-3</v>
      </c>
      <c r="R24" s="1">
        <v>4.5421746104291465E-5</v>
      </c>
      <c r="S24" s="182">
        <v>4.5421746104291465E-5</v>
      </c>
      <c r="T24" s="1">
        <v>2.2996256596508401E-2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2561154</v>
      </c>
      <c r="D25" s="30">
        <v>19504057100</v>
      </c>
      <c r="E25" s="187">
        <f t="shared" si="0"/>
        <v>76.153394524499504</v>
      </c>
      <c r="F25" s="188">
        <v>2.5611539999999999E-3</v>
      </c>
      <c r="G25" s="189">
        <v>0.195040571</v>
      </c>
      <c r="H25" s="178"/>
      <c r="I25" s="214" t="str">
        <f t="shared" si="1"/>
        <v>(70, 80]</v>
      </c>
      <c r="J25" s="160">
        <v>1</v>
      </c>
      <c r="K25" s="234">
        <v>7.1685458976695662E-2</v>
      </c>
      <c r="L25" s="188">
        <v>1.8359750000000001E-4</v>
      </c>
      <c r="M25" s="233">
        <v>183597</v>
      </c>
      <c r="N25" s="195">
        <v>1.83597E-4</v>
      </c>
      <c r="O25" s="211">
        <v>1.3981534774514534E-2</v>
      </c>
      <c r="P25" s="198">
        <v>1.9063971595438369E-4</v>
      </c>
      <c r="Q25" s="198">
        <v>1.4517861501112703E-2</v>
      </c>
      <c r="R25" s="1">
        <v>1.9478666013607651E-4</v>
      </c>
      <c r="S25" s="182">
        <v>1.9478666013607651E-4</v>
      </c>
      <c r="T25" s="1">
        <v>7.6054255283390423E-2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1688794</v>
      </c>
      <c r="D26" s="30">
        <v>14572354840</v>
      </c>
      <c r="E26" s="187">
        <f t="shared" si="0"/>
        <v>86.288528026508857</v>
      </c>
      <c r="F26" s="188">
        <v>1.688794E-3</v>
      </c>
      <c r="G26" s="189">
        <v>0.14572354839999999</v>
      </c>
      <c r="H26" s="178"/>
      <c r="I26" s="124" t="str">
        <f t="shared" si="1"/>
        <v>(80, 90]</v>
      </c>
      <c r="J26" s="160">
        <v>1</v>
      </c>
      <c r="K26" s="234">
        <v>4.1831330523438619E-2</v>
      </c>
      <c r="L26" s="188">
        <v>7.0644499999999991E-5</v>
      </c>
      <c r="M26" s="233">
        <v>70644</v>
      </c>
      <c r="N26" s="195">
        <v>7.0643999999999997E-5</v>
      </c>
      <c r="O26" s="211">
        <v>6.0957667739046911E-3</v>
      </c>
      <c r="P26" s="198">
        <v>7.3379509611142663E-5</v>
      </c>
      <c r="Q26" s="198">
        <v>6.3318098716525599E-3</v>
      </c>
      <c r="R26" s="1">
        <v>7.497571808697891E-5</v>
      </c>
      <c r="S26" s="182">
        <v>7.497571808697891E-5</v>
      </c>
      <c r="T26" s="1">
        <v>4.4396011643207466E-2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1673182</v>
      </c>
      <c r="D27" s="30">
        <v>16090695940</v>
      </c>
      <c r="E27" s="187">
        <f t="shared" si="0"/>
        <v>96.168234776611271</v>
      </c>
      <c r="F27" s="188">
        <v>1.6731820000000001E-3</v>
      </c>
      <c r="G27" s="189">
        <v>0.16090695939999999</v>
      </c>
      <c r="H27" s="178"/>
      <c r="I27" s="124" t="str">
        <f t="shared" si="1"/>
        <v>(90, 100]</v>
      </c>
      <c r="J27" s="160">
        <v>1</v>
      </c>
      <c r="K27" s="234">
        <v>7.9640170644914896E-2</v>
      </c>
      <c r="L27" s="188">
        <v>1.332525E-4</v>
      </c>
      <c r="M27" s="233">
        <v>133252</v>
      </c>
      <c r="N27" s="195">
        <v>1.3325199999999999E-4</v>
      </c>
      <c r="O27" s="211">
        <v>1.2814609620453004E-2</v>
      </c>
      <c r="P27" s="198">
        <v>1.3844850849153786E-4</v>
      </c>
      <c r="Q27" s="198">
        <v>1.3314348669085872E-2</v>
      </c>
      <c r="R27" s="1">
        <v>1.4146014871497593E-4</v>
      </c>
      <c r="S27" s="182">
        <v>1.4146014871497593E-4</v>
      </c>
      <c r="T27" s="1">
        <v>8.4545583633445692E-2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2856332</v>
      </c>
      <c r="D28" s="30">
        <v>31917444000</v>
      </c>
      <c r="E28" s="187">
        <f t="shared" si="0"/>
        <v>111.74276659716027</v>
      </c>
      <c r="F28" s="188">
        <v>2.8563320000000001E-3</v>
      </c>
      <c r="G28" s="189">
        <v>0.31917444</v>
      </c>
      <c r="H28" s="178"/>
      <c r="I28" s="124" t="str">
        <f t="shared" si="1"/>
        <v>(100, 120]</v>
      </c>
      <c r="J28" s="160">
        <v>1</v>
      </c>
      <c r="K28" s="234">
        <v>2.9417623721612194E-2</v>
      </c>
      <c r="L28" s="188">
        <v>8.4026500000000006E-5</v>
      </c>
      <c r="M28" s="233">
        <v>84026</v>
      </c>
      <c r="N28" s="195">
        <v>8.4025999999999998E-5</v>
      </c>
      <c r="O28" s="211">
        <v>9.3892977060929892E-3</v>
      </c>
      <c r="P28" s="198">
        <v>8.7337367405251263E-5</v>
      </c>
      <c r="Q28" s="198">
        <v>9.7593190611754248E-3</v>
      </c>
      <c r="R28" s="1">
        <v>8.92371981188694E-5</v>
      </c>
      <c r="S28" s="182">
        <v>8.92371981188694E-5</v>
      </c>
      <c r="T28" s="1">
        <v>3.1241885788791147E-2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1970295</v>
      </c>
      <c r="D29" s="30">
        <v>25808802160</v>
      </c>
      <c r="E29" s="187">
        <f t="shared" si="0"/>
        <v>130.98953283645344</v>
      </c>
      <c r="F29" s="188">
        <v>1.9702949999999999E-3</v>
      </c>
      <c r="G29" s="189">
        <v>0.25808802159999999</v>
      </c>
      <c r="H29" s="178"/>
      <c r="I29" s="124" t="str">
        <f t="shared" si="1"/>
        <v>(120, 140]</v>
      </c>
      <c r="J29" s="160">
        <v>1</v>
      </c>
      <c r="K29" s="234">
        <v>1.0333731750829191E-2</v>
      </c>
      <c r="L29" s="188">
        <v>2.0360499999999999E-5</v>
      </c>
      <c r="M29" s="233">
        <v>20360</v>
      </c>
      <c r="N29" s="195">
        <v>2.0360000000000002E-5</v>
      </c>
      <c r="O29" s="211">
        <v>2.6669468885501921E-3</v>
      </c>
      <c r="P29" s="198">
        <v>2.1173301226400169E-5</v>
      </c>
      <c r="Q29" s="198">
        <v>2.7734808362516647E-3</v>
      </c>
      <c r="R29" s="1">
        <v>2.1633879432197852E-5</v>
      </c>
      <c r="S29" s="182">
        <v>2.1633879432197852E-5</v>
      </c>
      <c r="T29" s="1">
        <v>1.0980020470131555E-2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1848146</v>
      </c>
      <c r="D30" s="30">
        <v>27932335060</v>
      </c>
      <c r="E30" s="187">
        <f t="shared" si="0"/>
        <v>151.13705876050921</v>
      </c>
      <c r="F30" s="188">
        <v>1.8481459999999999E-3</v>
      </c>
      <c r="G30" s="189">
        <v>0.27932335060000002</v>
      </c>
      <c r="H30" s="178"/>
      <c r="I30" s="124" t="str">
        <f t="shared" si="1"/>
        <v>(140, 160]</v>
      </c>
      <c r="J30" s="160">
        <v>1</v>
      </c>
      <c r="K30" s="234">
        <v>7.4152691399921866E-3</v>
      </c>
      <c r="L30" s="188">
        <v>1.3704499999999999E-5</v>
      </c>
      <c r="M30" s="233">
        <v>13704</v>
      </c>
      <c r="N30" s="195">
        <v>1.3704E-5</v>
      </c>
      <c r="O30" s="211">
        <v>2.071182253254018E-3</v>
      </c>
      <c r="P30" s="198">
        <v>1.4257876232041717E-5</v>
      </c>
      <c r="Q30" s="198">
        <v>2.1548934778821568E-3</v>
      </c>
      <c r="R30" s="1">
        <v>1.4568024705499943E-5</v>
      </c>
      <c r="S30" s="182">
        <v>1.4568024705499943E-5</v>
      </c>
      <c r="T30" s="1">
        <v>7.8825074996780251E-3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1424062</v>
      </c>
      <c r="D31" s="30">
        <v>24417907680</v>
      </c>
      <c r="E31" s="187">
        <f t="shared" si="0"/>
        <v>171.46660524611991</v>
      </c>
      <c r="F31" s="188">
        <v>1.424062E-3</v>
      </c>
      <c r="G31" s="189">
        <v>0.24417907680000001</v>
      </c>
      <c r="H31" s="178"/>
      <c r="I31" s="124" t="str">
        <f t="shared" si="1"/>
        <v>(160, 180]</v>
      </c>
      <c r="J31" s="160">
        <v>1</v>
      </c>
      <c r="K31" s="234">
        <v>8.5765226514014133E-3</v>
      </c>
      <c r="L31" s="188">
        <v>1.2213499999999999E-5</v>
      </c>
      <c r="M31" s="233">
        <v>12213</v>
      </c>
      <c r="N31" s="195">
        <v>1.2213E-5</v>
      </c>
      <c r="O31" s="211">
        <v>2.0941216498708624E-3</v>
      </c>
      <c r="P31" s="198">
        <v>1.2709781092306809E-5</v>
      </c>
      <c r="Q31" s="198">
        <v>2.1793030173191705E-3</v>
      </c>
      <c r="R31" s="1">
        <v>1.298625418967516E-5</v>
      </c>
      <c r="S31" s="182">
        <v>1.298625418967516E-5</v>
      </c>
      <c r="T31" s="1">
        <v>9.119163484226922E-3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1293811</v>
      </c>
      <c r="D32" s="30">
        <v>24853084560</v>
      </c>
      <c r="E32" s="187">
        <f t="shared" si="0"/>
        <v>192.09207960049807</v>
      </c>
      <c r="F32" s="188">
        <v>1.293811E-3</v>
      </c>
      <c r="G32" s="189">
        <v>0.24853084559999999</v>
      </c>
      <c r="H32" s="178"/>
      <c r="I32" s="124" t="str">
        <f t="shared" si="1"/>
        <v>(180, 200]</v>
      </c>
      <c r="J32" s="160">
        <v>1</v>
      </c>
      <c r="K32" s="234">
        <v>4.1911067381557275E-3</v>
      </c>
      <c r="L32" s="188">
        <v>5.4225000000000002E-6</v>
      </c>
      <c r="M32" s="233">
        <v>5422</v>
      </c>
      <c r="N32" s="195">
        <v>5.4219999999999999E-6</v>
      </c>
      <c r="O32" s="211">
        <v>1.0415232555939006E-3</v>
      </c>
      <c r="P32" s="198">
        <v>5.6453469404415714E-6</v>
      </c>
      <c r="Q32" s="198">
        <v>1.0844264338557305E-3</v>
      </c>
      <c r="R32" s="1">
        <v>5.7681489417512219E-6</v>
      </c>
      <c r="S32" s="182">
        <v>5.7681489417512219E-6</v>
      </c>
      <c r="T32" s="1">
        <v>4.458262405986054E-3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2503603</v>
      </c>
      <c r="D33" s="30">
        <v>56144783160</v>
      </c>
      <c r="E33" s="187">
        <f t="shared" si="0"/>
        <v>224.25593498649746</v>
      </c>
      <c r="F33" s="188">
        <v>2.5036030000000001E-3</v>
      </c>
      <c r="G33" s="189">
        <v>0.5614478316</v>
      </c>
      <c r="H33" s="178"/>
      <c r="I33" s="124" t="str">
        <f t="shared" si="1"/>
        <v>(200, 250]</v>
      </c>
      <c r="J33" s="160">
        <v>1</v>
      </c>
      <c r="K33" s="234">
        <v>2.3036799364755515E-3</v>
      </c>
      <c r="L33" s="188">
        <v>5.7675000000000003E-6</v>
      </c>
      <c r="M33" s="233">
        <v>5767</v>
      </c>
      <c r="N33" s="195">
        <v>5.767E-6</v>
      </c>
      <c r="O33" s="211">
        <v>1.2932839770671309E-3</v>
      </c>
      <c r="P33" s="198">
        <v>6.0073691888808718E-6</v>
      </c>
      <c r="Q33" s="198">
        <v>1.3471881942615567E-3</v>
      </c>
      <c r="R33" s="1">
        <v>6.1380461812399628E-6</v>
      </c>
      <c r="S33" s="182">
        <v>6.1380461812399628E-6</v>
      </c>
      <c r="T33" s="1">
        <v>2.4516851039242094E-3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1740187</v>
      </c>
      <c r="D34" s="30">
        <v>47899699340</v>
      </c>
      <c r="E34" s="187">
        <f t="shared" si="0"/>
        <v>275.25604627548648</v>
      </c>
      <c r="F34" s="188">
        <v>1.740187E-3</v>
      </c>
      <c r="G34" s="189">
        <v>0.47899699340000002</v>
      </c>
      <c r="H34" s="178"/>
      <c r="I34" s="124" t="str">
        <f t="shared" si="1"/>
        <v>(250, 300]</v>
      </c>
      <c r="J34" s="160">
        <v>1</v>
      </c>
      <c r="K34" s="234">
        <v>3.8932597473719779E-4</v>
      </c>
      <c r="L34" s="188">
        <v>6.7750000000000008E-7</v>
      </c>
      <c r="M34" s="233">
        <v>677</v>
      </c>
      <c r="N34" s="195">
        <v>6.7700000000000004E-7</v>
      </c>
      <c r="O34" s="211">
        <v>1.8634834332850435E-4</v>
      </c>
      <c r="P34" s="198">
        <v>7.0704345206238994E-7</v>
      </c>
      <c r="Q34" s="198">
        <v>1.946179851596649E-4</v>
      </c>
      <c r="R34" s="1">
        <v>7.224236141396128E-7</v>
      </c>
      <c r="S34" s="182">
        <v>7.224236141396128E-7</v>
      </c>
      <c r="T34" s="1">
        <v>4.1514136936985095E-4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1196831</v>
      </c>
      <c r="D35" s="30">
        <v>38851996520</v>
      </c>
      <c r="E35" s="187">
        <f t="shared" si="0"/>
        <v>324.62391532304895</v>
      </c>
      <c r="F35" s="188">
        <v>1.196831E-3</v>
      </c>
      <c r="G35" s="189">
        <v>0.38851996519999998</v>
      </c>
      <c r="H35" s="178"/>
      <c r="I35" s="124" t="str">
        <f t="shared" si="1"/>
        <v>(300, 350]</v>
      </c>
      <c r="J35" s="160">
        <v>1</v>
      </c>
      <c r="K35" s="234">
        <v>2.8366578071590724E-4</v>
      </c>
      <c r="L35" s="188">
        <v>3.3949999999999999E-7</v>
      </c>
      <c r="M35" s="233">
        <v>339</v>
      </c>
      <c r="N35" s="195">
        <v>3.39E-7</v>
      </c>
      <c r="O35" s="211">
        <v>1.1004750729451359E-4</v>
      </c>
      <c r="P35" s="198">
        <v>3.550218182208606E-7</v>
      </c>
      <c r="Q35" s="198">
        <v>1.1524857265596353E-4</v>
      </c>
      <c r="R35" s="1">
        <v>3.6274453043785367E-7</v>
      </c>
      <c r="S35" s="182">
        <v>3.6274453043785367E-7</v>
      </c>
      <c r="T35" s="1">
        <v>3.0308751230361989E-4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1011971</v>
      </c>
      <c r="D36" s="30">
        <v>38072554780</v>
      </c>
      <c r="E36" s="187">
        <f t="shared" si="0"/>
        <v>376.22179667203903</v>
      </c>
      <c r="F36" s="188">
        <v>1.011971E-3</v>
      </c>
      <c r="G36" s="189">
        <v>0.38072554780000001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771708</v>
      </c>
      <c r="D37" s="30">
        <v>32822608040</v>
      </c>
      <c r="E37" s="187">
        <f t="shared" si="0"/>
        <v>425.32419049692368</v>
      </c>
      <c r="F37" s="188">
        <v>7.7170799999999996E-4</v>
      </c>
      <c r="G37" s="189">
        <v>0.32822608039999995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669795</v>
      </c>
      <c r="D38" s="30">
        <v>31972690140</v>
      </c>
      <c r="E38" s="187">
        <f t="shared" si="0"/>
        <v>477.35038541643337</v>
      </c>
      <c r="F38" s="188">
        <v>6.6979500000000005E-4</v>
      </c>
      <c r="G38" s="189">
        <v>0.31972690139999999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639553</v>
      </c>
      <c r="D39" s="30">
        <v>33561838540</v>
      </c>
      <c r="E39" s="187">
        <f t="shared" si="0"/>
        <v>524.77024640647448</v>
      </c>
      <c r="F39" s="188">
        <v>6.3955299999999995E-4</v>
      </c>
      <c r="G39" s="189">
        <v>0.33561838539999994</v>
      </c>
      <c r="H39" s="178"/>
      <c r="I39" s="124" t="str">
        <f t="shared" si="1"/>
        <v>(500, 550]</v>
      </c>
      <c r="J39" s="160">
        <v>1</v>
      </c>
      <c r="K39" s="234">
        <v>1.0085168860125744E-4</v>
      </c>
      <c r="L39" s="188">
        <v>6.4499999999999989E-8</v>
      </c>
      <c r="M39" s="233">
        <v>64</v>
      </c>
      <c r="N39" s="195">
        <v>6.4000000000000004E-8</v>
      </c>
      <c r="O39" s="211">
        <v>3.3585295770014367E-5</v>
      </c>
      <c r="P39" s="198">
        <v>6.8004179264840897E-8</v>
      </c>
      <c r="Q39" s="198">
        <v>3.5686569909480621E-5</v>
      </c>
      <c r="R39" s="1">
        <v>6.9483459351476187E-8</v>
      </c>
      <c r="S39" s="182">
        <v>6.9483459351476187E-8</v>
      </c>
      <c r="T39" s="1">
        <v>1.0864378613105746E-4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494411</v>
      </c>
      <c r="D40" s="30">
        <v>28481302480</v>
      </c>
      <c r="E40" s="187">
        <f t="shared" si="0"/>
        <v>576.06530760844726</v>
      </c>
      <c r="F40" s="188">
        <v>4.9441100000000005E-4</v>
      </c>
      <c r="G40" s="189">
        <v>0.28481302480000004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362215</v>
      </c>
      <c r="D41" s="30">
        <v>22669344380</v>
      </c>
      <c r="E41" s="187">
        <f t="shared" si="0"/>
        <v>625.85327443645349</v>
      </c>
      <c r="F41" s="188">
        <v>3.6221499999999999E-4</v>
      </c>
      <c r="G41" s="189">
        <v>0.22669344380000001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305416</v>
      </c>
      <c r="D42" s="30">
        <v>20621962840</v>
      </c>
      <c r="E42" s="187">
        <f t="shared" si="0"/>
        <v>675.20898839615472</v>
      </c>
      <c r="F42" s="188">
        <v>3.0541599999999998E-4</v>
      </c>
      <c r="G42" s="189">
        <v>0.20621962839999997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264605</v>
      </c>
      <c r="D43" s="30">
        <v>19182810820</v>
      </c>
      <c r="E43" s="187">
        <f t="shared" si="0"/>
        <v>724.96025471929852</v>
      </c>
      <c r="F43" s="188">
        <v>2.6460500000000001E-4</v>
      </c>
      <c r="G43" s="189">
        <v>0.19182810819999999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296013</v>
      </c>
      <c r="D44" s="30">
        <v>23135180720</v>
      </c>
      <c r="E44" s="187">
        <f t="shared" si="0"/>
        <v>781.55961798975045</v>
      </c>
      <c r="F44" s="188">
        <v>2.9601300000000003E-4</v>
      </c>
      <c r="G44" s="189">
        <v>0.23135180720000001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315973</v>
      </c>
      <c r="D45" s="30">
        <v>26126987440</v>
      </c>
      <c r="E45" s="187">
        <f t="shared" si="0"/>
        <v>826.8740506309083</v>
      </c>
      <c r="F45" s="188">
        <v>3.1597299999999999E-4</v>
      </c>
      <c r="G45" s="189">
        <v>0.26126987439999999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251982</v>
      </c>
      <c r="D46" s="30">
        <v>22037131900</v>
      </c>
      <c r="E46" s="187">
        <f t="shared" si="0"/>
        <v>874.55182909890391</v>
      </c>
      <c r="F46" s="188">
        <v>2.5198199999999999E-4</v>
      </c>
      <c r="G46" s="189">
        <v>0.22037131899999998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175474</v>
      </c>
      <c r="D47" s="30">
        <v>16223611180</v>
      </c>
      <c r="E47" s="187">
        <f t="shared" si="0"/>
        <v>924.55926120108973</v>
      </c>
      <c r="F47" s="188">
        <v>1.7547400000000001E-4</v>
      </c>
      <c r="G47" s="189">
        <v>0.16223611180000003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223385</v>
      </c>
      <c r="D48" s="30">
        <v>21953588340</v>
      </c>
      <c r="E48" s="187">
        <f t="shared" si="0"/>
        <v>982.76913579694258</v>
      </c>
      <c r="F48" s="188">
        <v>2.2338499999999999E-4</v>
      </c>
      <c r="G48" s="189">
        <v>0.21953588340000002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0</v>
      </c>
      <c r="Q48" s="198">
        <v>0</v>
      </c>
      <c r="R48" s="1">
        <v>0</v>
      </c>
      <c r="S48" s="182">
        <v>0</v>
      </c>
      <c r="T48" s="1">
        <v>0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2471461</v>
      </c>
      <c r="D49" s="30">
        <v>348096281480</v>
      </c>
      <c r="E49" s="187">
        <f t="shared" si="0"/>
        <v>1408.4635827957634</v>
      </c>
      <c r="F49" s="188">
        <v>2.4714609999999999E-3</v>
      </c>
      <c r="G49" s="189">
        <v>3.4809628147999998</v>
      </c>
      <c r="H49" s="178"/>
      <c r="I49" s="124" t="str">
        <f t="shared" si="1"/>
        <v>(1000, 2000]</v>
      </c>
      <c r="J49" s="160">
        <v>1</v>
      </c>
      <c r="K49" s="234">
        <v>8.5576911794278774E-5</v>
      </c>
      <c r="L49" s="188">
        <v>2.1150000000000001E-7</v>
      </c>
      <c r="M49" s="233">
        <v>211</v>
      </c>
      <c r="N49" s="195">
        <v>2.11E-7</v>
      </c>
      <c r="O49" s="211">
        <v>2.9718581596990606E-4</v>
      </c>
      <c r="P49" s="198">
        <v>2.2201364407050998E-7</v>
      </c>
      <c r="Q49" s="198">
        <v>3.1269813255709386E-4</v>
      </c>
      <c r="R49" s="1">
        <v>2.2684305847099578E-7</v>
      </c>
      <c r="S49" s="182">
        <v>2.2684305847099578E-7</v>
      </c>
      <c r="T49" s="1">
        <v>9.1785004283294696E-5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1104277</v>
      </c>
      <c r="D50" s="30">
        <v>266081568140</v>
      </c>
      <c r="E50" s="187">
        <f t="shared" si="0"/>
        <v>2409.5545604952381</v>
      </c>
      <c r="F50" s="188">
        <v>1.1042770000000001E-3</v>
      </c>
      <c r="G50" s="189">
        <v>2.6608156814000004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521194</v>
      </c>
      <c r="D51" s="30">
        <v>179130021260</v>
      </c>
      <c r="E51" s="187">
        <f t="shared" si="0"/>
        <v>3436.9164123148003</v>
      </c>
      <c r="F51" s="188">
        <v>5.21194E-4</v>
      </c>
      <c r="G51" s="189">
        <v>1.7913002125999999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310888</v>
      </c>
      <c r="D52" s="30">
        <v>138110346000</v>
      </c>
      <c r="E52" s="187">
        <f t="shared" si="0"/>
        <v>4442.4469905560845</v>
      </c>
      <c r="F52" s="188">
        <v>3.10888E-4</v>
      </c>
      <c r="G52" s="189">
        <v>1.3811034600000001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150224</v>
      </c>
      <c r="D53" s="30">
        <v>81973706960</v>
      </c>
      <c r="E53" s="187">
        <f t="shared" si="0"/>
        <v>5456.7650282245186</v>
      </c>
      <c r="F53" s="188">
        <v>1.5022399999999999E-4</v>
      </c>
      <c r="G53" s="189">
        <v>0.81973706960000003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101847</v>
      </c>
      <c r="D54" s="30">
        <v>65655424880</v>
      </c>
      <c r="E54" s="187">
        <f t="shared" si="0"/>
        <v>6446.4760748966582</v>
      </c>
      <c r="F54" s="188">
        <v>1.01847E-4</v>
      </c>
      <c r="G54" s="189">
        <v>0.65655424880000002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53374</v>
      </c>
      <c r="D55" s="30">
        <v>39854551540</v>
      </c>
      <c r="E55" s="187">
        <f t="shared" si="0"/>
        <v>7467.0347997152166</v>
      </c>
      <c r="F55" s="188">
        <v>5.3374000000000001E-5</v>
      </c>
      <c r="G55" s="189">
        <v>0.39854551539999999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36380</v>
      </c>
      <c r="D56" s="30">
        <v>30764883500</v>
      </c>
      <c r="E56" s="187">
        <f t="shared" si="0"/>
        <v>8456.5375206157223</v>
      </c>
      <c r="F56" s="188">
        <v>3.6380000000000001E-5</v>
      </c>
      <c r="G56" s="189">
        <v>0.30764883500000001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>
        <v>0</v>
      </c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22179</v>
      </c>
      <c r="D57" s="30">
        <v>21034693900</v>
      </c>
      <c r="E57" s="187">
        <f t="shared" si="0"/>
        <v>9484.0587492673258</v>
      </c>
      <c r="F57" s="188">
        <v>2.2178999999999999E-5</v>
      </c>
      <c r="G57" s="189">
        <v>0.21034693900000001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>
        <v>0</v>
      </c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47859</v>
      </c>
      <c r="D58" s="30">
        <v>59792915140</v>
      </c>
      <c r="E58" s="187">
        <f>IFERROR((D58/$E$1)/(C58),0)</f>
        <v>12493.557144946613</v>
      </c>
      <c r="F58" s="188">
        <v>4.7858999999999997E-5</v>
      </c>
      <c r="G58" s="189">
        <v>0.59792915139999991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>
        <v>0</v>
      </c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2316</v>
      </c>
      <c r="D59" s="30">
        <v>5285570360</v>
      </c>
      <c r="E59" s="187">
        <f t="shared" si="0"/>
        <v>22821.979101899829</v>
      </c>
      <c r="F59" s="188">
        <v>2.3159999999999999E-6</v>
      </c>
      <c r="G59" s="189">
        <v>5.2855703600000005E-2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>
        <v>0</v>
      </c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193</v>
      </c>
      <c r="D60" s="30">
        <v>672510880</v>
      </c>
      <c r="E60" s="187">
        <f t="shared" si="0"/>
        <v>34845.123316062178</v>
      </c>
      <c r="F60" s="188">
        <v>1.9299999999999999E-7</v>
      </c>
      <c r="G60" s="189">
        <v>6.7251087999999999E-3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>
        <v>0</v>
      </c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>
        <v>0</v>
      </c>
      <c r="Q61" s="198"/>
      <c r="S61" s="182"/>
      <c r="T61" s="1" t="e">
        <v>#N/A</v>
      </c>
    </row>
    <row r="62" spans="1:45" ht="16.8" thickBot="1">
      <c r="L62" s="180"/>
      <c r="O62" s="10">
        <f>SUM(O28:O55)</f>
        <v>1.918352269279203E-2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1628664.4951140066</v>
      </c>
      <c r="O64" s="220" cm="1">
        <f t="array" ref="O64:O65">N66/N64:N65</f>
        <v>2.149</v>
      </c>
    </row>
    <row r="65" spans="1:47" ht="16.8" thickBot="1">
      <c r="L65" s="180"/>
      <c r="M65" s="124" t="s">
        <v>179</v>
      </c>
      <c r="N65" s="253">
        <f>1/N49</f>
        <v>4739336.492890995</v>
      </c>
      <c r="O65" s="220">
        <v>0.73850000000000005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306">
        <f>SUM(_xlfn.ANCHORARRAY(O69))</f>
        <v>0.8900000000579813</v>
      </c>
      <c r="P67" s="222">
        <v>0.94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0.92025934598505776</v>
      </c>
      <c r="R68" s="216">
        <f>1-SUM(_xlfn.ANCHORARRAY(R69))</f>
        <v>-2.1451185582703092E-2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795217879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0.79521787899999996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1.1166940129876028</v>
      </c>
      <c r="L69" s="185" cm="1">
        <f t="array" ref="L69:L126">K69:K126*_xlfn.ANCHORARRAY(J69)*_xlfn.ANCHORARRAY(F69)</f>
        <v>0.88801504449999991</v>
      </c>
      <c r="M69" s="240" cm="1">
        <f t="array" ref="M69:M126">INT(_xlfn.ANCHORARRAY(L69)*$M$2)</f>
        <v>888015044</v>
      </c>
      <c r="N69" s="194" cm="1">
        <f t="array" ref="N69:N126">_xlfn.ANCHORARRAY(M69)/SUM(_xlfn.ANCHORARRAY(M69))</f>
        <v>0.88801504399999998</v>
      </c>
      <c r="O69" s="210" cm="1">
        <f t="array" ref="O69:O126">_xlfn.ANCHORARRAY(N69)*E69:E126</f>
        <v>0</v>
      </c>
      <c r="P69" s="183">
        <v>0.88464973418140558</v>
      </c>
      <c r="Q69" s="183" cm="1">
        <f t="array" ref="Q69:Q120">P69:P120*E69:E120</f>
        <v>0</v>
      </c>
      <c r="R69" s="216" cm="1">
        <f t="array" ref="R69:R120">P67*P69:P120/P68</f>
        <v>0.90362651980501962</v>
      </c>
      <c r="S69" s="182">
        <f>R69+R68</f>
        <v>0.88217533422231653</v>
      </c>
      <c r="T69" s="213" cm="1">
        <f t="array" ref="T69:T120">S69:S120/F69:F120</f>
        <v>1.1093504780496977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4452589</v>
      </c>
      <c r="D70" s="30">
        <v>356207120</v>
      </c>
      <c r="E70" s="187">
        <f t="shared" ref="E70:E126" si="2">IFERROR((D70/$E$66)/(C70),0)</f>
        <v>0.53333333333333333</v>
      </c>
      <c r="F70" s="188">
        <v>4.4525889999999999E-3</v>
      </c>
      <c r="G70" s="189">
        <v>2.3747141333333331E-3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0.88596398634592144</v>
      </c>
      <c r="L70" s="188">
        <v>3.9448334999999998E-3</v>
      </c>
      <c r="M70" s="233">
        <v>3944833</v>
      </c>
      <c r="N70" s="195">
        <v>3.944833E-3</v>
      </c>
      <c r="O70" s="211">
        <v>2.1039109333333334E-3</v>
      </c>
      <c r="P70" s="183">
        <v>4.0361703930230355E-3</v>
      </c>
      <c r="Q70" s="183">
        <v>2.1526242096122855E-3</v>
      </c>
      <c r="R70" s="1">
        <v>4.1227510331671834E-3</v>
      </c>
      <c r="S70" s="182" cm="1">
        <f t="array" ref="S70:S120">R70:R120</f>
        <v>4.1227510331671834E-3</v>
      </c>
      <c r="T70" s="1">
        <v>0.925922206870471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12633880</v>
      </c>
      <c r="D71" s="30">
        <v>2096846880</v>
      </c>
      <c r="E71" s="187">
        <f t="shared" si="2"/>
        <v>1.1064676251476189</v>
      </c>
      <c r="F71" s="188">
        <v>1.263388E-2</v>
      </c>
      <c r="G71" s="189">
        <v>1.39789792E-2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0.90342962731955667</v>
      </c>
      <c r="L71" s="188">
        <v>1.1413821500000001E-2</v>
      </c>
      <c r="M71" s="233">
        <v>11413821</v>
      </c>
      <c r="N71" s="195">
        <v>1.1413820999999999E-2</v>
      </c>
      <c r="O71" s="211">
        <v>1.2629023415730019E-2</v>
      </c>
      <c r="P71" s="183">
        <v>1.1713281321625699E-2</v>
      </c>
      <c r="Q71" s="183">
        <v>1.2960366566625151E-2</v>
      </c>
      <c r="R71" s="1">
        <v>1.1964545093038298E-2</v>
      </c>
      <c r="S71" s="1">
        <v>1.1964545093038298E-2</v>
      </c>
      <c r="T71" s="1">
        <v>0.94702063760604793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7640731</v>
      </c>
      <c r="D72" s="30">
        <v>2135906340</v>
      </c>
      <c r="E72" s="187">
        <f t="shared" si="2"/>
        <v>1.8636143060133905</v>
      </c>
      <c r="F72" s="188">
        <v>7.6407310000000004E-3</v>
      </c>
      <c r="G72" s="189">
        <v>1.42393756E-2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0.76471891236584566</v>
      </c>
      <c r="L72" s="188">
        <v>5.843011500000001E-3</v>
      </c>
      <c r="M72" s="233">
        <v>5843011</v>
      </c>
      <c r="N72" s="195">
        <v>5.8430110000000004E-3</v>
      </c>
      <c r="O72" s="211">
        <v>1.0889118889793608E-2</v>
      </c>
      <c r="P72" s="183">
        <v>6.0042766017396332E-3</v>
      </c>
      <c r="Q72" s="183">
        <v>1.1189655772263446E-2</v>
      </c>
      <c r="R72" s="1">
        <v>6.1330754534134301E-3</v>
      </c>
      <c r="S72" s="1">
        <v>6.1330754534134301E-3</v>
      </c>
      <c r="T72" s="1">
        <v>0.80268176610502706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14191574</v>
      </c>
      <c r="D73" s="30">
        <v>5179433520</v>
      </c>
      <c r="E73" s="187">
        <f t="shared" si="2"/>
        <v>2.433102684733913</v>
      </c>
      <c r="F73" s="188">
        <v>1.4191574E-2</v>
      </c>
      <c r="G73" s="189">
        <v>3.45295568E-2</v>
      </c>
      <c r="H73" s="178">
        <v>2</v>
      </c>
      <c r="I73" s="124" t="str">
        <f t="shared" si="3"/>
        <v>(3, 4]</v>
      </c>
      <c r="J73" s="160">
        <v>1</v>
      </c>
      <c r="K73" s="234">
        <v>0.75919644290337351</v>
      </c>
      <c r="L73" s="188">
        <v>1.07741925E-2</v>
      </c>
      <c r="M73" s="233">
        <v>10774192</v>
      </c>
      <c r="N73" s="195">
        <v>1.0774192E-2</v>
      </c>
      <c r="O73" s="211">
        <v>2.6214715481038649E-2</v>
      </c>
      <c r="P73" s="183">
        <v>1.1079075131773286E-2</v>
      </c>
      <c r="Q73" s="183">
        <v>2.6956527447486313E-2</v>
      </c>
      <c r="R73" s="1">
        <v>1.1316734428509662E-2</v>
      </c>
      <c r="S73" s="1">
        <v>1.1316734428509662E-2</v>
      </c>
      <c r="T73" s="1">
        <v>0.79742630581425722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12170676</v>
      </c>
      <c r="D74" s="30">
        <v>5868412120</v>
      </c>
      <c r="E74" s="187">
        <f t="shared" si="2"/>
        <v>3.2145089941320162</v>
      </c>
      <c r="F74" s="188">
        <v>1.2170676E-2</v>
      </c>
      <c r="G74" s="189">
        <v>3.912274746666667E-2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0.82615242571571212</v>
      </c>
      <c r="L74" s="188">
        <v>1.0054833500000001E-2</v>
      </c>
      <c r="M74" s="233">
        <v>10054833</v>
      </c>
      <c r="N74" s="195">
        <v>1.0054832999999999E-2</v>
      </c>
      <c r="O74" s="211">
        <v>3.2321351112995403E-2</v>
      </c>
      <c r="P74" s="183">
        <v>1.0346060977555142E-2</v>
      </c>
      <c r="Q74" s="183">
        <v>3.3257506066189282E-2</v>
      </c>
      <c r="R74" s="1">
        <v>1.0567996251634636E-2</v>
      </c>
      <c r="S74" s="1">
        <v>1.0567996251634636E-2</v>
      </c>
      <c r="T74" s="1">
        <v>0.86831629168623303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12650702</v>
      </c>
      <c r="D75" s="30">
        <v>7564557540</v>
      </c>
      <c r="E75" s="187">
        <f t="shared" si="2"/>
        <v>3.9863703690119334</v>
      </c>
      <c r="F75" s="188">
        <v>1.2650702E-2</v>
      </c>
      <c r="G75" s="189">
        <v>5.0430383600000003E-2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0.70214218151688346</v>
      </c>
      <c r="L75" s="188">
        <v>8.8825915000000002E-3</v>
      </c>
      <c r="M75" s="233">
        <v>8882591</v>
      </c>
      <c r="N75" s="195">
        <v>8.8825910000000004E-3</v>
      </c>
      <c r="O75" s="211">
        <v>3.5409297562452077E-2</v>
      </c>
      <c r="P75" s="183">
        <v>9.1454352594481318E-3</v>
      </c>
      <c r="Q75" s="183">
        <v>3.6457092129980995E-2</v>
      </c>
      <c r="R75" s="1">
        <v>9.3416156884331466E-3</v>
      </c>
      <c r="S75" s="1">
        <v>9.3416156884331466E-3</v>
      </c>
      <c r="T75" s="1">
        <v>0.7384266650525122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2824698</v>
      </c>
      <c r="D76" s="30">
        <v>1830960080</v>
      </c>
      <c r="E76" s="187">
        <f t="shared" si="2"/>
        <v>4.3213117060065658</v>
      </c>
      <c r="F76" s="188">
        <v>2.8246980000000001E-3</v>
      </c>
      <c r="G76" s="189">
        <v>1.2206400533333335E-2</v>
      </c>
      <c r="H76" s="178">
        <v>4</v>
      </c>
      <c r="I76" s="124" t="str">
        <f t="shared" si="3"/>
        <v>(6, 7]</v>
      </c>
      <c r="J76" s="160">
        <v>1</v>
      </c>
      <c r="K76" s="234">
        <v>0.71766202971078674</v>
      </c>
      <c r="L76" s="188">
        <v>2.0271784999999999E-3</v>
      </c>
      <c r="M76" s="233">
        <v>2027178</v>
      </c>
      <c r="N76" s="195">
        <v>2.0271780000000001E-3</v>
      </c>
      <c r="O76" s="211">
        <v>8.7600680215589779E-3</v>
      </c>
      <c r="P76" s="183">
        <v>2.0875943749210993E-3</v>
      </c>
      <c r="Q76" s="183">
        <v>9.0211460097400064E-3</v>
      </c>
      <c r="R76" s="1">
        <v>2.1323757492789381E-3</v>
      </c>
      <c r="S76" s="1">
        <v>2.1323757492789381E-3</v>
      </c>
      <c r="T76" s="1">
        <v>0.75490397532017162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14142278</v>
      </c>
      <c r="D77" s="30">
        <v>10892748240</v>
      </c>
      <c r="E77" s="187">
        <f t="shared" si="2"/>
        <v>5.1348390690665244</v>
      </c>
      <c r="F77" s="188">
        <v>1.4142277999999999E-2</v>
      </c>
      <c r="G77" s="189">
        <v>7.261832159999998E-2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0.65338968021983446</v>
      </c>
      <c r="L77" s="188">
        <v>9.2404185E-3</v>
      </c>
      <c r="M77" s="233">
        <v>9240418</v>
      </c>
      <c r="N77" s="195">
        <v>9.2404180000000002E-3</v>
      </c>
      <c r="O77" s="211">
        <v>4.7448059360905556E-2</v>
      </c>
      <c r="P77" s="183">
        <v>9.5199849150527701E-3</v>
      </c>
      <c r="Q77" s="183">
        <v>4.8883590478736923E-2</v>
      </c>
      <c r="R77" s="1">
        <v>9.7241998782100977E-3</v>
      </c>
      <c r="S77" s="1">
        <v>9.7241998782100977E-3</v>
      </c>
      <c r="T77" s="1">
        <v>0.68759784514277678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6387851</v>
      </c>
      <c r="D78" s="30">
        <v>5707091100</v>
      </c>
      <c r="E78" s="187">
        <f t="shared" si="2"/>
        <v>5.9561930921682427</v>
      </c>
      <c r="F78" s="188">
        <v>6.3878509999999999E-3</v>
      </c>
      <c r="G78" s="189">
        <v>3.8047273999999999E-2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0.54622571816405863</v>
      </c>
      <c r="L78" s="188">
        <v>3.4892084999999999E-3</v>
      </c>
      <c r="M78" s="233">
        <v>3489208</v>
      </c>
      <c r="N78" s="195">
        <v>3.4892080000000002E-3</v>
      </c>
      <c r="O78" s="211">
        <v>2.078239658673817E-2</v>
      </c>
      <c r="P78" s="183">
        <v>3.5961320982492791E-3</v>
      </c>
      <c r="Q78" s="183">
        <v>2.1419257162116845E-2</v>
      </c>
      <c r="R78" s="1">
        <v>3.6732733952687386E-3</v>
      </c>
      <c r="S78" s="1">
        <v>3.6732733952687386E-3</v>
      </c>
      <c r="T78" s="1">
        <v>0.57504055671754695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8534118</v>
      </c>
      <c r="D79" s="30">
        <v>8323686000</v>
      </c>
      <c r="E79" s="187">
        <f t="shared" si="2"/>
        <v>6.5022817823704804</v>
      </c>
      <c r="F79" s="188">
        <v>8.5341180000000003E-3</v>
      </c>
      <c r="G79" s="189">
        <v>5.5491240000000004E-2</v>
      </c>
      <c r="H79" s="178">
        <v>6</v>
      </c>
      <c r="I79" s="124" t="str">
        <f t="shared" si="3"/>
        <v>(9, 10]</v>
      </c>
      <c r="J79" s="160">
        <v>1</v>
      </c>
      <c r="K79" s="234">
        <v>0.95112424037258447</v>
      </c>
      <c r="L79" s="188">
        <v>8.1170064999999993E-3</v>
      </c>
      <c r="M79" s="233">
        <v>8117006</v>
      </c>
      <c r="N79" s="195">
        <v>8.1170059999999995E-3</v>
      </c>
      <c r="O79" s="211">
        <v>5.2779060241191882E-2</v>
      </c>
      <c r="P79" s="183">
        <v>8.3676136679093991E-3</v>
      </c>
      <c r="Q79" s="183">
        <v>5.4408581914761521E-2</v>
      </c>
      <c r="R79" s="1">
        <v>8.5471089015840846E-3</v>
      </c>
      <c r="S79" s="1">
        <v>8.5471089015840846E-3</v>
      </c>
      <c r="T79" s="1">
        <v>1.0015222313054595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21751151</v>
      </c>
      <c r="D80" s="30">
        <v>27771926600</v>
      </c>
      <c r="E80" s="187">
        <f t="shared" si="2"/>
        <v>8.5120174713206378</v>
      </c>
      <c r="F80" s="188">
        <v>2.1751151E-2</v>
      </c>
      <c r="G80" s="189">
        <v>0.18514617733333336</v>
      </c>
      <c r="H80" s="178">
        <v>6.666666666666667</v>
      </c>
      <c r="I80" s="214" t="str">
        <f t="shared" si="3"/>
        <v>(10, 15]</v>
      </c>
      <c r="J80" s="160">
        <v>1</v>
      </c>
      <c r="K80" s="234">
        <v>0.65095913774861847</v>
      </c>
      <c r="L80" s="188">
        <v>1.4159110500000001E-2</v>
      </c>
      <c r="M80" s="233">
        <v>14159110</v>
      </c>
      <c r="N80" s="195">
        <v>1.4159110000000001E-2</v>
      </c>
      <c r="O80" s="211">
        <v>0.12052259169835076</v>
      </c>
      <c r="P80" s="183">
        <v>1.4606271557210398E-2</v>
      </c>
      <c r="Q80" s="183">
        <v>0.12432883868582861</v>
      </c>
      <c r="R80" s="1">
        <v>1.4919593399055471E-2</v>
      </c>
      <c r="S80" s="1">
        <v>1.4919593399055471E-2</v>
      </c>
      <c r="T80" s="1">
        <v>0.68592201852009904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14189980</v>
      </c>
      <c r="D81" s="30">
        <v>25358300600</v>
      </c>
      <c r="E81" s="187">
        <f t="shared" si="2"/>
        <v>11.913712164029361</v>
      </c>
      <c r="F81" s="188">
        <v>1.418998E-2</v>
      </c>
      <c r="G81" s="189">
        <v>0.16905533733333336</v>
      </c>
      <c r="H81" s="178">
        <v>10</v>
      </c>
      <c r="I81" s="124" t="str">
        <f t="shared" si="3"/>
        <v>(15, 20]</v>
      </c>
      <c r="J81" s="160">
        <v>1</v>
      </c>
      <c r="K81" s="234">
        <v>0.62817801716422428</v>
      </c>
      <c r="L81" s="188">
        <v>8.9138334999999992E-3</v>
      </c>
      <c r="M81" s="233">
        <v>8913833</v>
      </c>
      <c r="N81" s="195">
        <v>8.9138329999999995E-3</v>
      </c>
      <c r="O81" s="211">
        <v>0.10619684064022633</v>
      </c>
      <c r="P81" s="183">
        <v>9.2028818201265652E-3</v>
      </c>
      <c r="Q81" s="183">
        <v>0.10964048508456653</v>
      </c>
      <c r="R81" s="1">
        <v>9.4002945459457816E-3</v>
      </c>
      <c r="S81" s="1">
        <v>9.4002945459457816E-3</v>
      </c>
      <c r="T81" s="1">
        <v>0.66246002784681735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7956857</v>
      </c>
      <c r="D82" s="30">
        <v>18496587000</v>
      </c>
      <c r="E82" s="187">
        <f t="shared" si="2"/>
        <v>15.497398030403211</v>
      </c>
      <c r="F82" s="188">
        <v>7.9568569999999995E-3</v>
      </c>
      <c r="G82" s="189">
        <v>0.12331057999999999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0.62542728868949138</v>
      </c>
      <c r="L82" s="188">
        <v>4.9764355000000001E-3</v>
      </c>
      <c r="M82" s="233">
        <v>4976435</v>
      </c>
      <c r="N82" s="195">
        <v>4.9764350000000004E-3</v>
      </c>
      <c r="O82" s="211">
        <v>7.7121793967429617E-2</v>
      </c>
      <c r="P82" s="183">
        <v>5.1414351804073607E-3</v>
      </c>
      <c r="Q82" s="183">
        <v>7.9678867438290807E-2</v>
      </c>
      <c r="R82" s="1">
        <v>5.2517250606237157E-3</v>
      </c>
      <c r="S82" s="1">
        <v>5.2517250606237157E-3</v>
      </c>
      <c r="T82" s="1">
        <v>0.66002506525173399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5541813</v>
      </c>
      <c r="D83" s="30">
        <v>15759584660</v>
      </c>
      <c r="E83" s="187">
        <f t="shared" si="2"/>
        <v>18.958398223349171</v>
      </c>
      <c r="F83" s="188">
        <v>5.5418129999999996E-3</v>
      </c>
      <c r="G83" s="189">
        <v>0.10506389773333333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0.59847968525823592</v>
      </c>
      <c r="L83" s="188">
        <v>3.3166624999999999E-3</v>
      </c>
      <c r="M83" s="233">
        <v>3316662</v>
      </c>
      <c r="N83" s="195">
        <v>3.3166620000000002E-3</v>
      </c>
      <c r="O83" s="211">
        <v>6.287859896824971E-2</v>
      </c>
      <c r="P83" s="183">
        <v>3.4283894610811403E-3</v>
      </c>
      <c r="Q83" s="183">
        <v>6.4996772667909708E-2</v>
      </c>
      <c r="R83" s="1">
        <v>3.5019324796605744E-3</v>
      </c>
      <c r="S83" s="1">
        <v>3.5019324796605744E-3</v>
      </c>
      <c r="T83" s="1">
        <v>0.63191097925183959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2717980</v>
      </c>
      <c r="D84" s="30">
        <v>8855811060</v>
      </c>
      <c r="E84" s="187">
        <f t="shared" si="2"/>
        <v>21.721550710454085</v>
      </c>
      <c r="F84" s="188">
        <v>2.71798E-3</v>
      </c>
      <c r="G84" s="189">
        <v>5.9038740399999998E-2</v>
      </c>
      <c r="H84" s="178">
        <v>20</v>
      </c>
      <c r="I84" s="124" t="str">
        <f t="shared" si="3"/>
        <v>(30, 35]</v>
      </c>
      <c r="J84" s="160">
        <v>1</v>
      </c>
      <c r="K84" s="234">
        <v>0.21911364322033275</v>
      </c>
      <c r="L84" s="188">
        <v>5.9554650000000003E-4</v>
      </c>
      <c r="M84" s="233">
        <v>595546</v>
      </c>
      <c r="N84" s="195">
        <v>5.9554599999999997E-4</v>
      </c>
      <c r="O84" s="211">
        <v>1.2936182639408088E-2</v>
      </c>
      <c r="P84" s="183">
        <v>6.1582301043258182E-4</v>
      </c>
      <c r="Q84" s="183">
        <v>1.3376630749775822E-2</v>
      </c>
      <c r="R84" s="1">
        <v>6.2903314411546986E-4</v>
      </c>
      <c r="S84" s="1">
        <v>6.2903314411546986E-4</v>
      </c>
      <c r="T84" s="1">
        <v>0.23143405915991649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4824714</v>
      </c>
      <c r="D85" s="30">
        <v>18466972780</v>
      </c>
      <c r="E85" s="187">
        <f t="shared" si="2"/>
        <v>25.517191664970536</v>
      </c>
      <c r="F85" s="188">
        <v>4.8247139999999999E-3</v>
      </c>
      <c r="G85" s="189">
        <v>0.12311315186666665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0.41435689244999807</v>
      </c>
      <c r="L85" s="188">
        <v>1.9991534999999998E-3</v>
      </c>
      <c r="M85" s="233">
        <v>1999153</v>
      </c>
      <c r="N85" s="195">
        <v>1.999153E-3</v>
      </c>
      <c r="O85" s="211">
        <v>5.1012770268600842E-2</v>
      </c>
      <c r="P85" s="183">
        <v>2.0680631842966788E-3</v>
      </c>
      <c r="Q85" s="183">
        <v>5.2771164648967639E-2</v>
      </c>
      <c r="R85" s="1">
        <v>2.1124255914597824E-3</v>
      </c>
      <c r="S85" s="1">
        <v>2.1124255914597824E-3</v>
      </c>
      <c r="T85" s="1">
        <v>0.43783436519963309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2092535</v>
      </c>
      <c r="D86" s="30">
        <v>9109320400</v>
      </c>
      <c r="E86" s="187">
        <f t="shared" si="2"/>
        <v>29.021642489452585</v>
      </c>
      <c r="F86" s="188">
        <v>2.092535E-3</v>
      </c>
      <c r="G86" s="189">
        <v>6.0728802666666665E-2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0.32631210469597882</v>
      </c>
      <c r="L86" s="188">
        <v>6.8281950000000004E-4</v>
      </c>
      <c r="M86" s="233">
        <v>682819</v>
      </c>
      <c r="N86" s="195">
        <v>6.8281899999999998E-4</v>
      </c>
      <c r="O86" s="211">
        <v>1.9816528903005524E-2</v>
      </c>
      <c r="P86" s="183">
        <v>7.065878962978679E-4</v>
      </c>
      <c r="Q86" s="183">
        <v>2.0506341313731122E-2</v>
      </c>
      <c r="R86" s="1">
        <v>7.21745044391845E-4</v>
      </c>
      <c r="S86" s="1">
        <v>7.21745044391845E-4</v>
      </c>
      <c r="T86" s="1">
        <v>0.34491420425075087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2589965</v>
      </c>
      <c r="D87" s="30">
        <v>12464788320</v>
      </c>
      <c r="E87" s="187">
        <f t="shared" si="2"/>
        <v>32.084830798871799</v>
      </c>
      <c r="F87" s="188">
        <v>2.5899650000000001E-3</v>
      </c>
      <c r="G87" s="189">
        <v>8.3098588799999998E-2</v>
      </c>
      <c r="H87" s="178">
        <v>30</v>
      </c>
      <c r="I87" s="124" t="str">
        <f t="shared" si="3"/>
        <v>(45, 50]</v>
      </c>
      <c r="J87" s="160">
        <v>1</v>
      </c>
      <c r="K87" s="234">
        <v>0.38485944790759719</v>
      </c>
      <c r="L87" s="188">
        <v>9.9677249999999989E-4</v>
      </c>
      <c r="M87" s="233">
        <v>996772</v>
      </c>
      <c r="N87" s="195">
        <v>9.9677199999999994E-4</v>
      </c>
      <c r="O87" s="211">
        <v>3.1981260965053042E-2</v>
      </c>
      <c r="P87" s="183">
        <v>1.0317330697147604E-3</v>
      </c>
      <c r="Q87" s="183">
        <v>3.3102980971398688E-2</v>
      </c>
      <c r="R87" s="1">
        <v>1.0538649672650233E-3</v>
      </c>
      <c r="S87" s="1">
        <v>1.0538649672650233E-3</v>
      </c>
      <c r="T87" s="1">
        <v>0.40690316945017529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4114058</v>
      </c>
      <c r="D88" s="30">
        <v>23362224820</v>
      </c>
      <c r="E88" s="187">
        <f t="shared" si="2"/>
        <v>37.857552194613362</v>
      </c>
      <c r="F88" s="188">
        <v>4.1140580000000003E-3</v>
      </c>
      <c r="G88" s="189">
        <v>0.15574816546666667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0.23382229905363511</v>
      </c>
      <c r="L88" s="188">
        <v>9.6195850000000002E-4</v>
      </c>
      <c r="M88" s="233">
        <v>961958</v>
      </c>
      <c r="N88" s="195">
        <v>9.6195799999999995E-4</v>
      </c>
      <c r="O88" s="211">
        <v>3.6417375194025881E-2</v>
      </c>
      <c r="P88" s="183">
        <v>9.961167220992077E-4</v>
      </c>
      <c r="Q88" s="183">
        <v>3.7710540798797931E-2</v>
      </c>
      <c r="R88" s="1">
        <v>1.0174846067669914E-3</v>
      </c>
      <c r="S88" s="1">
        <v>1.0174846067669914E-3</v>
      </c>
      <c r="T88" s="1">
        <v>0.24731897478523426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2473364</v>
      </c>
      <c r="D89" s="30">
        <v>16200610080</v>
      </c>
      <c r="E89" s="187">
        <f t="shared" si="2"/>
        <v>43.666871192432659</v>
      </c>
      <c r="F89" s="188">
        <v>2.473364E-3</v>
      </c>
      <c r="G89" s="189">
        <v>0.10800406720000001</v>
      </c>
      <c r="H89" s="178">
        <v>40</v>
      </c>
      <c r="I89" s="124" t="str">
        <f t="shared" si="3"/>
        <v>(60, 70]</v>
      </c>
      <c r="J89" s="160">
        <v>1</v>
      </c>
      <c r="K89" s="234">
        <v>4.484196422362418E-2</v>
      </c>
      <c r="L89" s="188">
        <v>1.109105E-4</v>
      </c>
      <c r="M89" s="233">
        <v>110910</v>
      </c>
      <c r="N89" s="195">
        <v>1.1090999999999999E-4</v>
      </c>
      <c r="O89" s="211">
        <v>4.8430926839527055E-3</v>
      </c>
      <c r="P89" s="183">
        <v>1.1489212134710435E-4</v>
      </c>
      <c r="Q89" s="183">
        <v>5.0169794638893483E-3</v>
      </c>
      <c r="R89" s="1">
        <v>1.1735669356411149E-4</v>
      </c>
      <c r="S89" s="1">
        <v>1.1735669356411149E-4</v>
      </c>
      <c r="T89" s="1">
        <v>4.7448209630329981E-2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3216093</v>
      </c>
      <c r="D90" s="30">
        <v>24497168740</v>
      </c>
      <c r="E90" s="187">
        <f t="shared" si="2"/>
        <v>50.780390450980953</v>
      </c>
      <c r="F90" s="188">
        <v>3.2160930000000002E-3</v>
      </c>
      <c r="G90" s="189">
        <v>0.16331445826666668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0.11412931777781302</v>
      </c>
      <c r="L90" s="188">
        <v>3.6705050000000001E-4</v>
      </c>
      <c r="M90" s="233">
        <v>367050</v>
      </c>
      <c r="N90" s="195">
        <v>3.6705E-4</v>
      </c>
      <c r="O90" s="211">
        <v>1.8638942315032558E-2</v>
      </c>
      <c r="P90" s="183">
        <v>3.803697124083931E-4</v>
      </c>
      <c r="Q90" s="183">
        <v>1.9315322511825536E-2</v>
      </c>
      <c r="R90" s="1">
        <v>3.8852909369930486E-4</v>
      </c>
      <c r="S90" s="1">
        <v>3.8852909369930486E-4</v>
      </c>
      <c r="T90" s="1">
        <v>0.12080779184535548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2107490</v>
      </c>
      <c r="D91" s="30">
        <v>18191147520</v>
      </c>
      <c r="E91" s="187">
        <f t="shared" si="2"/>
        <v>57.544432856146408</v>
      </c>
      <c r="F91" s="188">
        <v>2.1074900000000001E-3</v>
      </c>
      <c r="G91" s="189">
        <v>0.12127431679999999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0.10149965124389677</v>
      </c>
      <c r="L91" s="188">
        <v>2.1390950000000001E-4</v>
      </c>
      <c r="M91" s="233">
        <v>213909</v>
      </c>
      <c r="N91" s="195">
        <v>2.13909E-4</v>
      </c>
      <c r="O91" s="211">
        <v>1.2309272087825422E-2</v>
      </c>
      <c r="P91" s="183">
        <v>2.2174216420352264E-4</v>
      </c>
      <c r="Q91" s="183">
        <v>1.2760027079386199E-2</v>
      </c>
      <c r="R91" s="1">
        <v>2.2649879651936256E-4</v>
      </c>
      <c r="S91" s="1">
        <v>2.2649879651936256E-4</v>
      </c>
      <c r="T91" s="1">
        <v>0.10747324851807721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2095097</v>
      </c>
      <c r="D92" s="30">
        <v>20151879480</v>
      </c>
      <c r="E92" s="187">
        <f t="shared" si="2"/>
        <v>64.123934691329325</v>
      </c>
      <c r="F92" s="188">
        <v>2.0950970000000002E-3</v>
      </c>
      <c r="G92" s="189">
        <v>0.1343458632</v>
      </c>
      <c r="H92" s="178">
        <v>60</v>
      </c>
      <c r="I92" s="124" t="str">
        <f t="shared" si="3"/>
        <v>(90, 100]</v>
      </c>
      <c r="J92" s="160">
        <v>1</v>
      </c>
      <c r="K92" s="234">
        <v>0.171353641382714</v>
      </c>
      <c r="L92" s="188">
        <v>3.5900249999999998E-4</v>
      </c>
      <c r="M92" s="233">
        <v>359002</v>
      </c>
      <c r="N92" s="195">
        <v>3.5900199999999998E-4</v>
      </c>
      <c r="O92" s="211">
        <v>2.3020620802056607E-2</v>
      </c>
      <c r="P92" s="183">
        <v>3.7225063316617972E-4</v>
      </c>
      <c r="Q92" s="183">
        <v>2.3870175289954099E-2</v>
      </c>
      <c r="R92" s="1">
        <v>3.8023585058150603E-4</v>
      </c>
      <c r="S92" s="1">
        <v>3.8023585058150603E-4</v>
      </c>
      <c r="T92" s="1">
        <v>0.18148842300929552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3576814</v>
      </c>
      <c r="D93" s="30">
        <v>39980059880</v>
      </c>
      <c r="E93" s="187">
        <f t="shared" si="2"/>
        <v>74.517079315092516</v>
      </c>
      <c r="F93" s="188">
        <v>3.5768140000000002E-3</v>
      </c>
      <c r="G93" s="189">
        <v>0.26653373253333335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5.1403707321655528E-2</v>
      </c>
      <c r="L93" s="188">
        <v>1.8386150000000001E-4</v>
      </c>
      <c r="M93" s="233">
        <v>183861</v>
      </c>
      <c r="N93" s="195">
        <v>1.8386100000000001E-4</v>
      </c>
      <c r="O93" s="211">
        <v>1.3700784719952225E-2</v>
      </c>
      <c r="P93" s="183">
        <v>1.9072086143560762E-4</v>
      </c>
      <c r="Q93" s="183">
        <v>1.4211961558639944E-2</v>
      </c>
      <c r="R93" s="1">
        <v>1.9481205002875581E-4</v>
      </c>
      <c r="S93" s="1">
        <v>1.9481205002875581E-4</v>
      </c>
      <c r="T93" s="1">
        <v>5.4465244776148773E-2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2464538</v>
      </c>
      <c r="D94" s="30">
        <v>32284132780</v>
      </c>
      <c r="E94" s="187">
        <f t="shared" si="2"/>
        <v>87.329776155476878</v>
      </c>
      <c r="F94" s="188">
        <v>2.4645380000000001E-3</v>
      </c>
      <c r="G94" s="189">
        <v>0.21522755186666667</v>
      </c>
      <c r="H94" s="178">
        <v>80</v>
      </c>
      <c r="I94" s="124" t="str">
        <f t="shared" si="3"/>
        <v>(120, 140]</v>
      </c>
      <c r="J94" s="160">
        <v>1</v>
      </c>
      <c r="K94" s="234">
        <v>1.7070339349606296E-2</v>
      </c>
      <c r="L94" s="188">
        <v>4.2070500000000003E-5</v>
      </c>
      <c r="M94" s="233">
        <v>42070</v>
      </c>
      <c r="N94" s="195">
        <v>4.2070000000000002E-5</v>
      </c>
      <c r="O94" s="211">
        <v>3.6739636828609125E-3</v>
      </c>
      <c r="P94" s="183">
        <v>4.3658426106238795E-5</v>
      </c>
      <c r="Q94" s="183">
        <v>3.8126805791582619E-3</v>
      </c>
      <c r="R94" s="1">
        <v>4.4594951106892443E-5</v>
      </c>
      <c r="S94" s="1">
        <v>4.4594951106892443E-5</v>
      </c>
      <c r="T94" s="1">
        <v>1.8094649425933966E-2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2333116</v>
      </c>
      <c r="D95" s="30">
        <v>35265624880</v>
      </c>
      <c r="E95" s="187">
        <f t="shared" si="2"/>
        <v>100.76831407725406</v>
      </c>
      <c r="F95" s="188">
        <v>2.3331160000000001E-3</v>
      </c>
      <c r="G95" s="189">
        <v>0.23510416586666669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5.8347506081995064E-2</v>
      </c>
      <c r="L95" s="188">
        <v>1.3613150000000001E-4</v>
      </c>
      <c r="M95" s="233">
        <v>136131</v>
      </c>
      <c r="N95" s="195">
        <v>1.36131E-4</v>
      </c>
      <c r="O95" s="211">
        <v>1.3717691363650673E-2</v>
      </c>
      <c r="P95" s="183">
        <v>1.4131737925762155E-4</v>
      </c>
      <c r="Q95" s="183">
        <v>1.4240314057606437E-2</v>
      </c>
      <c r="R95" s="1">
        <v>1.4434880458613798E-4</v>
      </c>
      <c r="S95" s="1">
        <v>1.4434880458613798E-4</v>
      </c>
      <c r="T95" s="1">
        <v>6.1869536099421536E-2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1791620</v>
      </c>
      <c r="D96" s="30">
        <v>30722366440</v>
      </c>
      <c r="E96" s="187">
        <f t="shared" si="2"/>
        <v>114.31875970722959</v>
      </c>
      <c r="F96" s="188">
        <v>1.7916200000000001E-3</v>
      </c>
      <c r="G96" s="189">
        <v>0.20481577626666669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1.8525412754936871E-2</v>
      </c>
      <c r="L96" s="188">
        <v>3.31905E-5</v>
      </c>
      <c r="M96" s="233">
        <v>33190</v>
      </c>
      <c r="N96" s="195">
        <v>3.3189999999999999E-5</v>
      </c>
      <c r="O96" s="211">
        <v>3.7942396346829499E-3</v>
      </c>
      <c r="P96" s="183">
        <v>3.4467336401203274E-5</v>
      </c>
      <c r="Q96" s="183">
        <v>3.9402631477974048E-3</v>
      </c>
      <c r="R96" s="1">
        <v>3.5206701630886936E-5</v>
      </c>
      <c r="S96" s="1">
        <v>3.5206701630886936E-5</v>
      </c>
      <c r="T96" s="1">
        <v>1.9650763906903772E-2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1634196</v>
      </c>
      <c r="D97" s="30">
        <v>31397260220</v>
      </c>
      <c r="E97" s="187">
        <f t="shared" si="2"/>
        <v>128.08443303822389</v>
      </c>
      <c r="F97" s="188">
        <v>1.6341960000000001E-3</v>
      </c>
      <c r="G97" s="189">
        <v>0.20931506813333334</v>
      </c>
      <c r="H97" s="178">
        <v>120</v>
      </c>
      <c r="I97" s="124" t="str">
        <f t="shared" si="3"/>
        <v>(180, 200]</v>
      </c>
      <c r="J97" s="160">
        <v>1</v>
      </c>
      <c r="K97" s="234">
        <v>2.5041977828852844E-2</v>
      </c>
      <c r="L97" s="188">
        <v>4.0923500000000002E-5</v>
      </c>
      <c r="M97" s="233">
        <v>40923</v>
      </c>
      <c r="N97" s="195">
        <v>4.0923000000000001E-5</v>
      </c>
      <c r="O97" s="211">
        <v>5.2415992532232362E-3</v>
      </c>
      <c r="P97" s="183">
        <v>4.2509414891889347E-5</v>
      </c>
      <c r="Q97" s="183">
        <v>5.4447943052142785E-3</v>
      </c>
      <c r="R97" s="1">
        <v>4.3421292239747379E-5</v>
      </c>
      <c r="S97" s="1">
        <v>4.3421292239747379E-5</v>
      </c>
      <c r="T97" s="1">
        <v>2.657043111092389E-2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3164800</v>
      </c>
      <c r="D98" s="30">
        <v>70996941800</v>
      </c>
      <c r="E98" s="187">
        <f t="shared" si="2"/>
        <v>149.5554048702393</v>
      </c>
      <c r="F98" s="188">
        <v>3.1648000000000002E-3</v>
      </c>
      <c r="G98" s="189">
        <v>0.47331294533333335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1.7816765672396359E-2</v>
      </c>
      <c r="L98" s="188">
        <v>5.63865E-5</v>
      </c>
      <c r="M98" s="233">
        <v>56386</v>
      </c>
      <c r="N98" s="195">
        <v>5.6385999999999999E-5</v>
      </c>
      <c r="O98" s="211">
        <v>8.4328310590133133E-3</v>
      </c>
      <c r="P98" s="183">
        <v>5.8594571883021578E-5</v>
      </c>
      <c r="Q98" s="183">
        <v>8.763134921163632E-3</v>
      </c>
      <c r="R98" s="1">
        <v>5.9851494918623296E-5</v>
      </c>
      <c r="S98" s="1">
        <v>5.9851494918623296E-5</v>
      </c>
      <c r="T98" s="1">
        <v>1.8911619981870353E-2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2186646</v>
      </c>
      <c r="D99" s="30">
        <v>60173226980</v>
      </c>
      <c r="E99" s="187">
        <f t="shared" si="2"/>
        <v>183.45669419436587</v>
      </c>
      <c r="F99" s="188">
        <v>2.186646E-3</v>
      </c>
      <c r="G99" s="189">
        <v>0.40115484653333333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1.0106116856592242E-2</v>
      </c>
      <c r="L99" s="188">
        <v>2.2098499999999999E-5</v>
      </c>
      <c r="M99" s="233">
        <v>22098</v>
      </c>
      <c r="N99" s="195">
        <v>2.2098000000000001E-5</v>
      </c>
      <c r="O99" s="211">
        <v>4.0540260283070968E-3</v>
      </c>
      <c r="P99" s="183">
        <v>2.2978224267468849E-5</v>
      </c>
      <c r="Q99" s="183">
        <v>4.2155090625665892E-3</v>
      </c>
      <c r="R99" s="1">
        <v>2.3471134420591289E-5</v>
      </c>
      <c r="S99" s="1">
        <v>2.3471134420591289E-5</v>
      </c>
      <c r="T99" s="1">
        <v>1.0733851945212572E-2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1532786</v>
      </c>
      <c r="D100" s="30">
        <v>49779243740</v>
      </c>
      <c r="E100" s="187">
        <f t="shared" si="2"/>
        <v>216.50877874232498</v>
      </c>
      <c r="F100" s="188">
        <v>1.532786E-3</v>
      </c>
      <c r="G100" s="189">
        <v>0.33186162493333332</v>
      </c>
      <c r="H100" s="178">
        <v>200</v>
      </c>
      <c r="I100" s="124" t="str">
        <f t="shared" si="3"/>
        <v>(300, 350]</v>
      </c>
      <c r="J100" s="160">
        <v>1</v>
      </c>
      <c r="K100" s="234">
        <v>1.4388831839539243E-3</v>
      </c>
      <c r="L100" s="188">
        <v>2.2054999999999999E-6</v>
      </c>
      <c r="M100" s="233">
        <v>2205</v>
      </c>
      <c r="N100" s="195">
        <v>2.2050000000000001E-6</v>
      </c>
      <c r="O100" s="211">
        <v>4.7740185712682656E-4</v>
      </c>
      <c r="P100" s="183">
        <v>2.297022418938809E-6</v>
      </c>
      <c r="Q100" s="183">
        <v>4.9732551866818269E-4</v>
      </c>
      <c r="R100" s="1">
        <v>2.3462962731350944E-6</v>
      </c>
      <c r="S100" s="1">
        <v>2.3462962731350944E-6</v>
      </c>
      <c r="T100" s="1">
        <v>1.5307396291035372E-3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1321982</v>
      </c>
      <c r="D101" s="30">
        <v>49728819760</v>
      </c>
      <c r="E101" s="187">
        <f t="shared" si="2"/>
        <v>250.77910672510419</v>
      </c>
      <c r="F101" s="188">
        <v>1.321982E-3</v>
      </c>
      <c r="G101" s="189">
        <v>0.33152546506666669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8.3246216665582441E-4</v>
      </c>
      <c r="L101" s="188">
        <v>1.1005000000000001E-6</v>
      </c>
      <c r="M101" s="233">
        <v>1100</v>
      </c>
      <c r="N101" s="195">
        <v>1.1000000000000001E-6</v>
      </c>
      <c r="O101" s="211">
        <v>2.7585701739761461E-4</v>
      </c>
      <c r="P101" s="183">
        <v>1.1480112045893569E-6</v>
      </c>
      <c r="Q101" s="183">
        <v>2.8789722439732972E-4</v>
      </c>
      <c r="R101" s="1">
        <v>1.1726374059900255E-6</v>
      </c>
      <c r="S101" s="1">
        <v>1.1726374059900255E-6</v>
      </c>
      <c r="T101" s="1">
        <v>8.8702978254622639E-4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1006647</v>
      </c>
      <c r="D102" s="30">
        <v>42818989640</v>
      </c>
      <c r="E102" s="187">
        <f t="shared" si="2"/>
        <v>283.57500785611376</v>
      </c>
      <c r="F102" s="188">
        <v>1.0066470000000001E-3</v>
      </c>
      <c r="G102" s="189">
        <v>0.28545993093333338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5.4810673453554223E-3</v>
      </c>
      <c r="L102" s="188">
        <v>5.5175000000000001E-6</v>
      </c>
      <c r="M102" s="233">
        <v>5517</v>
      </c>
      <c r="N102" s="195">
        <v>5.5169999999999999E-6</v>
      </c>
      <c r="O102" s="211">
        <v>1.5644833183421796E-3</v>
      </c>
      <c r="P102" s="183">
        <v>5.7440560619871648E-6</v>
      </c>
      <c r="Q102" s="183">
        <v>1.6288707429039681E-3</v>
      </c>
      <c r="R102" s="1">
        <v>5.8672728745703007E-6</v>
      </c>
      <c r="S102" s="1">
        <v>5.8672728745703007E-6</v>
      </c>
      <c r="T102" s="1">
        <v>5.8285306314629663E-3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866131</v>
      </c>
      <c r="D103" s="30">
        <v>41344379840</v>
      </c>
      <c r="E103" s="187">
        <f t="shared" si="2"/>
        <v>318.23038193221731</v>
      </c>
      <c r="F103" s="188">
        <v>8.6613100000000002E-4</v>
      </c>
      <c r="G103" s="189">
        <v>0.27562919893333332</v>
      </c>
      <c r="H103" s="178">
        <v>300</v>
      </c>
      <c r="I103" s="124" t="str">
        <f t="shared" si="3"/>
        <v>(450, 500]</v>
      </c>
      <c r="J103" s="160">
        <v>1</v>
      </c>
      <c r="K103" s="234">
        <v>1.7833907341960973E-2</v>
      </c>
      <c r="L103" s="188">
        <v>1.5446499999999999E-5</v>
      </c>
      <c r="M103" s="233">
        <v>15446</v>
      </c>
      <c r="N103" s="195">
        <v>1.5446000000000001E-5</v>
      </c>
      <c r="O103" s="211">
        <v>4.9153864793250292E-3</v>
      </c>
      <c r="P103" s="183">
        <v>1.6084156981372139E-5</v>
      </c>
      <c r="Q103" s="183">
        <v>5.1184674192397955E-3</v>
      </c>
      <c r="R103" s="1">
        <v>1.6429181217720878E-5</v>
      </c>
      <c r="S103" s="1">
        <v>1.6429181217720878E-5</v>
      </c>
      <c r="T103" s="1">
        <v>1.8968471533429558E-2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824251</v>
      </c>
      <c r="D104" s="30">
        <v>43257771340</v>
      </c>
      <c r="E104" s="187">
        <f t="shared" si="2"/>
        <v>349.87539264940733</v>
      </c>
      <c r="F104" s="188">
        <v>8.2425100000000002E-4</v>
      </c>
      <c r="G104" s="189">
        <v>0.28838514226666667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5.3509185915455362E-3</v>
      </c>
      <c r="L104" s="188">
        <v>4.4104999999999995E-6</v>
      </c>
      <c r="M104" s="233">
        <v>4410</v>
      </c>
      <c r="N104" s="195">
        <v>4.4100000000000001E-6</v>
      </c>
      <c r="O104" s="211">
        <v>1.5429504815838864E-3</v>
      </c>
      <c r="P104" s="183">
        <v>4.5950448476377131E-6</v>
      </c>
      <c r="Q104" s="183">
        <v>1.607693120308881E-3</v>
      </c>
      <c r="R104" s="1">
        <v>4.6936140074252325E-6</v>
      </c>
      <c r="S104" s="1">
        <v>4.6936140074252325E-6</v>
      </c>
      <c r="T104" s="1">
        <v>5.6943989239021031E-3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641727</v>
      </c>
      <c r="D105" s="30">
        <v>36969935840</v>
      </c>
      <c r="E105" s="187">
        <f t="shared" si="2"/>
        <v>384.06711722170542</v>
      </c>
      <c r="F105" s="188">
        <v>6.4172700000000003E-4</v>
      </c>
      <c r="G105" s="189">
        <v>0.24646623893333336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487130</v>
      </c>
      <c r="D106" s="30">
        <v>30486413740</v>
      </c>
      <c r="E106" s="187">
        <f t="shared" si="2"/>
        <v>417.22488507516817</v>
      </c>
      <c r="F106" s="188">
        <v>4.8713000000000001E-4</v>
      </c>
      <c r="G106" s="189">
        <v>0.20324275826666668</v>
      </c>
      <c r="H106" s="178">
        <v>400</v>
      </c>
      <c r="I106" s="124" t="str">
        <f t="shared" si="3"/>
        <v>(600, 650]</v>
      </c>
      <c r="J106" s="160">
        <v>1</v>
      </c>
      <c r="K106" s="234">
        <v>0</v>
      </c>
      <c r="L106" s="188">
        <v>0</v>
      </c>
      <c r="M106" s="233">
        <v>0</v>
      </c>
      <c r="N106" s="195">
        <v>0</v>
      </c>
      <c r="O106" s="211">
        <v>0</v>
      </c>
      <c r="P106" s="183">
        <v>2.5370247613616707E-6</v>
      </c>
      <c r="Q106" s="183">
        <v>1.0585098644919791E-3</v>
      </c>
      <c r="R106" s="1">
        <v>2.5914469503455523E-6</v>
      </c>
      <c r="S106" s="1">
        <v>2.5914469503455523E-6</v>
      </c>
      <c r="T106" s="1">
        <v>5.3198262277945356E-3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398856</v>
      </c>
      <c r="D107" s="30">
        <v>26925018060</v>
      </c>
      <c r="E107" s="187">
        <f t="shared" si="2"/>
        <v>450.03740798684237</v>
      </c>
      <c r="F107" s="188">
        <v>3.98856E-4</v>
      </c>
      <c r="G107" s="189">
        <v>0.17950012039999999</v>
      </c>
      <c r="H107" s="178">
        <v>433.33333333333331</v>
      </c>
      <c r="I107" s="124" t="str">
        <f t="shared" si="3"/>
        <v>(650, 700]</v>
      </c>
      <c r="J107" s="160">
        <v>1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344325</v>
      </c>
      <c r="D108" s="30">
        <v>24963717040</v>
      </c>
      <c r="E108" s="187">
        <f t="shared" si="2"/>
        <v>483.33632546770252</v>
      </c>
      <c r="F108" s="188">
        <v>3.4432499999999998E-4</v>
      </c>
      <c r="G108" s="189">
        <v>0.16642478026666666</v>
      </c>
      <c r="H108" s="178">
        <v>466.66666666666669</v>
      </c>
      <c r="I108" s="124" t="str">
        <f t="shared" si="3"/>
        <v>(700, 750]</v>
      </c>
      <c r="J108" s="160">
        <v>1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0</v>
      </c>
      <c r="Q108" s="183">
        <v>0</v>
      </c>
      <c r="R108" s="1">
        <v>0</v>
      </c>
      <c r="S108" s="1">
        <v>0</v>
      </c>
      <c r="T108" s="1">
        <v>0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392768</v>
      </c>
      <c r="D109" s="30">
        <v>30691991300</v>
      </c>
      <c r="E109" s="187">
        <f t="shared" si="2"/>
        <v>520.95200050241704</v>
      </c>
      <c r="F109" s="188">
        <v>3.9276799999999999E-4</v>
      </c>
      <c r="G109" s="189">
        <v>0.20461327533333332</v>
      </c>
      <c r="H109" s="178">
        <v>500</v>
      </c>
      <c r="I109" s="124" t="str">
        <f t="shared" si="3"/>
        <v>(750, 800]</v>
      </c>
      <c r="J109" s="160">
        <v>1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418753</v>
      </c>
      <c r="D110" s="30">
        <v>34621708880</v>
      </c>
      <c r="E110" s="187">
        <f t="shared" si="2"/>
        <v>551.18743634871475</v>
      </c>
      <c r="F110" s="188">
        <v>4.1875300000000001E-4</v>
      </c>
      <c r="G110" s="189">
        <v>0.23081139253333335</v>
      </c>
      <c r="H110" s="178">
        <v>533.33333333333337</v>
      </c>
      <c r="I110" s="124" t="str">
        <f t="shared" si="3"/>
        <v>(800, 850]</v>
      </c>
      <c r="J110" s="160">
        <v>1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346215</v>
      </c>
      <c r="D111" s="30">
        <v>30283473840</v>
      </c>
      <c r="E111" s="187">
        <f t="shared" si="2"/>
        <v>583.13425357075801</v>
      </c>
      <c r="F111" s="188">
        <v>3.4621499999999998E-4</v>
      </c>
      <c r="G111" s="189">
        <v>0.20188982559999996</v>
      </c>
      <c r="H111" s="178">
        <v>566.66666666666663</v>
      </c>
      <c r="I111" s="124" t="str">
        <f t="shared" si="3"/>
        <v>(850, 900]</v>
      </c>
      <c r="J111" s="160">
        <v>1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245051</v>
      </c>
      <c r="D112" s="30">
        <v>22661715420</v>
      </c>
      <c r="E112" s="187">
        <f t="shared" si="2"/>
        <v>616.51698136306322</v>
      </c>
      <c r="F112" s="188">
        <v>2.4505099999999998E-4</v>
      </c>
      <c r="G112" s="189">
        <v>0.1510781028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314926</v>
      </c>
      <c r="D113" s="30">
        <v>30927721160</v>
      </c>
      <c r="E113" s="187">
        <f t="shared" si="2"/>
        <v>654.70874978037159</v>
      </c>
      <c r="F113" s="188">
        <v>3.1492599999999999E-4</v>
      </c>
      <c r="G113" s="189">
        <v>0.20618480773333328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3471462</v>
      </c>
      <c r="D114" s="30">
        <v>492335740020</v>
      </c>
      <c r="E114" s="187">
        <f t="shared" si="2"/>
        <v>945.49163055796089</v>
      </c>
      <c r="F114" s="188">
        <v>3.4714619999999998E-3</v>
      </c>
      <c r="G114" s="189">
        <v>3.2822382667999999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2.7293975852248997E-4</v>
      </c>
      <c r="L114" s="188">
        <v>9.4750000000000003E-7</v>
      </c>
      <c r="M114" s="233">
        <v>947</v>
      </c>
      <c r="N114" s="195">
        <v>9.47E-7</v>
      </c>
      <c r="O114" s="211">
        <v>8.9538057413838894E-4</v>
      </c>
      <c r="P114" s="183">
        <v>9.9000966249430593E-7</v>
      </c>
      <c r="Q114" s="183">
        <v>9.3604585005987789E-4</v>
      </c>
      <c r="R114" s="1">
        <v>1.0112465434931404E-6</v>
      </c>
      <c r="S114" s="1">
        <v>1.0112465434931404E-6</v>
      </c>
      <c r="T114" s="1">
        <v>2.9130278352266001E-4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1625948</v>
      </c>
      <c r="D115" s="30">
        <v>393309028260</v>
      </c>
      <c r="E115" s="187">
        <f t="shared" si="2"/>
        <v>1612.6347142713053</v>
      </c>
      <c r="F115" s="188">
        <v>1.6259480000000001E-3</v>
      </c>
      <c r="G115" s="189">
        <v>2.6220601884000003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2.5984840843618615E-4</v>
      </c>
      <c r="L115" s="188">
        <v>4.2250000000000003E-7</v>
      </c>
      <c r="M115" s="233">
        <v>422</v>
      </c>
      <c r="N115" s="195">
        <v>4.2199999999999999E-7</v>
      </c>
      <c r="O115" s="211">
        <v>6.8053184942249085E-4</v>
      </c>
      <c r="P115" s="183">
        <v>4.430043237221995E-7</v>
      </c>
      <c r="Q115" s="183">
        <v>7.1440415100670202E-4</v>
      </c>
      <c r="R115" s="1">
        <v>4.5250729168430414E-7</v>
      </c>
      <c r="S115" s="1">
        <v>4.5250729168430414E-7</v>
      </c>
      <c r="T115" s="1">
        <v>2.783036675738118E-4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822190</v>
      </c>
      <c r="D116" s="30">
        <v>283434237380</v>
      </c>
      <c r="E116" s="187">
        <f t="shared" si="2"/>
        <v>2298.2055030264701</v>
      </c>
      <c r="F116" s="188">
        <v>8.2218999999999999E-4</v>
      </c>
      <c r="G116" s="189">
        <v>1.8895615825333334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495097</v>
      </c>
      <c r="D117" s="30">
        <v>219795593180</v>
      </c>
      <c r="E117" s="187">
        <f t="shared" si="2"/>
        <v>2959.6300412511755</v>
      </c>
      <c r="F117" s="188">
        <v>4.9509700000000001E-4</v>
      </c>
      <c r="G117" s="189">
        <v>1.4653039545333333</v>
      </c>
      <c r="H117" s="178">
        <v>2666.6666666666665</v>
      </c>
      <c r="I117" s="124" t="str">
        <f t="shared" si="3"/>
        <v>(4000, 5000]</v>
      </c>
      <c r="J117" s="160">
        <v>1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263613</v>
      </c>
      <c r="D118" s="30">
        <v>144034384720</v>
      </c>
      <c r="E118" s="187">
        <f t="shared" si="2"/>
        <v>3642.571616220242</v>
      </c>
      <c r="F118" s="188">
        <v>2.63613E-4</v>
      </c>
      <c r="G118" s="189">
        <v>0.96022923146666661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171410</v>
      </c>
      <c r="D119" s="30">
        <v>110646987040</v>
      </c>
      <c r="E119" s="187">
        <f t="shared" si="2"/>
        <v>4303.404587052486</v>
      </c>
      <c r="F119" s="188">
        <v>1.7140999999999999E-4</v>
      </c>
      <c r="G119" s="189">
        <v>0.73764658026666652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106095</v>
      </c>
      <c r="D120" s="30">
        <v>79308066020</v>
      </c>
      <c r="E120" s="187">
        <f t="shared" si="2"/>
        <v>4983.4623698886217</v>
      </c>
      <c r="F120" s="188">
        <v>1.0609500000000001E-4</v>
      </c>
      <c r="G120" s="189">
        <v>0.5287204401333333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70205</v>
      </c>
      <c r="D121" s="30">
        <v>59386972540</v>
      </c>
      <c r="E121" s="187">
        <f t="shared" si="2"/>
        <v>5639.3867996106637</v>
      </c>
      <c r="F121" s="188">
        <v>7.0204999999999996E-5</v>
      </c>
      <c r="G121" s="189">
        <v>0.39591315026666662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43227</v>
      </c>
      <c r="D122" s="30">
        <v>40922277040</v>
      </c>
      <c r="E122" s="187">
        <f t="shared" si="2"/>
        <v>6311.2216963163455</v>
      </c>
      <c r="F122" s="188">
        <v>4.3226999999999998E-5</v>
      </c>
      <c r="G122" s="189">
        <v>0.27281518026666668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111376</v>
      </c>
      <c r="D123" s="30">
        <v>141282726820</v>
      </c>
      <c r="E123" s="187">
        <f t="shared" si="2"/>
        <v>8456.8025918210988</v>
      </c>
      <c r="F123" s="188">
        <v>1.11376E-4</v>
      </c>
      <c r="G123" s="189">
        <v>0.94188484546666673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7220</v>
      </c>
      <c r="D124" s="30">
        <v>16717845320</v>
      </c>
      <c r="E124" s="187">
        <f t="shared" si="2"/>
        <v>15436.606943674979</v>
      </c>
      <c r="F124" s="188">
        <v>7.2200000000000003E-6</v>
      </c>
      <c r="G124" s="189">
        <v>0.11145230213333335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806</v>
      </c>
      <c r="D125" s="30">
        <v>2823396900</v>
      </c>
      <c r="E125" s="187">
        <f t="shared" si="2"/>
        <v>23353.158808933003</v>
      </c>
      <c r="F125" s="188">
        <v>8.0599999999999999E-7</v>
      </c>
      <c r="G125" s="189">
        <v>1.8822646000000002E-2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3.1874687552563008E-2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47114.252061248524</v>
      </c>
      <c r="O129" s="220" cm="1">
        <f t="array" ref="O129:O130">N131/N129:N130</f>
        <v>74.287500000000009</v>
      </c>
    </row>
    <row r="130" spans="1:55" ht="16.8" thickBot="1">
      <c r="M130" s="124" t="s">
        <v>179</v>
      </c>
      <c r="N130" s="218">
        <f>1/SUM(N115:N120)</f>
        <v>2369668.2464454975</v>
      </c>
      <c r="O130" s="220">
        <v>1.4770000000000001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307">
        <f>SUM(_xlfn.ANCHORARRAY(O134))</f>
        <v>0.89000000009169355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795198269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0.79519826900000001</v>
      </c>
      <c r="G134" s="186" cm="1">
        <f t="array" ref="G134:G191">E134:E191*_xlfn.ANCHORARRAY(F134)</f>
        <v>0</v>
      </c>
      <c r="H134" s="232"/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1.0793092049600526</v>
      </c>
      <c r="L134" s="185" cm="1">
        <f t="array" ref="L134:L191">K134:K191*_xlfn.ANCHORARRAY(J134)*_xlfn.ANCHORARRAY(F134)</f>
        <v>0.8582648115</v>
      </c>
      <c r="M134" s="240" cm="1">
        <f t="array" ref="M134:M191">INT(_xlfn.ANCHORARRAY(L134)*$M$2)</f>
        <v>858264811</v>
      </c>
      <c r="N134" s="194" cm="1">
        <f t="array" ref="N134:N191">_xlfn.ANCHORARRAY(M134)/SUM(_xlfn.ANCHORARRAY(M134))</f>
        <v>0.85826481099999996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1.1167215506099146</v>
      </c>
      <c r="Q134" s="1" cm="1">
        <f t="array" ref="Q134:Q191">IFERROR(_xlfn.ANCHORARRAY(N4)/(_xlfn.ANCHORARRAY(J69)*_xlfn.ANCHORARRAY(F69)),0)</f>
        <v>1.1184017380474416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/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2.5758148798373264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/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1.2601006974896072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/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1.4781053017047714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1537010</v>
      </c>
      <c r="D138" s="30">
        <v>614804000</v>
      </c>
      <c r="E138" s="187">
        <f t="shared" si="4"/>
        <v>0.5</v>
      </c>
      <c r="F138" s="188">
        <v>1.5370099999999999E-3</v>
      </c>
      <c r="G138" s="189">
        <v>7.6850499999999995E-4</v>
      </c>
      <c r="H138" s="232"/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7.0098385827027805</v>
      </c>
      <c r="Q138" s="1">
        <v>0.84601412077335469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/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0.8047233366495008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1535472</v>
      </c>
      <c r="D140" s="30">
        <v>921283200</v>
      </c>
      <c r="E140" s="187">
        <f t="shared" si="4"/>
        <v>0.75</v>
      </c>
      <c r="F140" s="188">
        <v>1.535472E-3</v>
      </c>
      <c r="G140" s="189">
        <v>1.1516040000000001E-3</v>
      </c>
      <c r="H140" s="232"/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5.7849254170704514</v>
      </c>
      <c r="Q140" s="1">
        <v>0.61804412118789931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/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0.67263084407607465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2173876</v>
      </c>
      <c r="D142" s="30">
        <v>1739100800</v>
      </c>
      <c r="E142" s="187">
        <f t="shared" si="4"/>
        <v>1</v>
      </c>
      <c r="F142" s="188">
        <v>2.1738759999999999E-3</v>
      </c>
      <c r="G142" s="189">
        <v>2.1738759999999999E-3</v>
      </c>
      <c r="H142" s="232"/>
      <c r="I142" s="214" t="str">
        <f t="shared" si="5"/>
        <v>(7, 8]</v>
      </c>
      <c r="J142" s="160">
        <v>1</v>
      </c>
      <c r="K142" s="234">
        <v>15.068723101041641</v>
      </c>
      <c r="L142" s="188">
        <v>3.2757535499999997E-2</v>
      </c>
      <c r="M142" s="233">
        <v>32757535</v>
      </c>
      <c r="N142" s="195">
        <v>3.2757534999999997E-2</v>
      </c>
      <c r="O142" s="211">
        <v>3.2757534999999997E-2</v>
      </c>
      <c r="P142" s="1">
        <v>4.2506647113266816</v>
      </c>
      <c r="Q142" s="1">
        <v>0.57688414836704527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/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0.46731522072133491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3268307</v>
      </c>
      <c r="D144" s="30">
        <v>3268307000</v>
      </c>
      <c r="E144" s="187">
        <f t="shared" si="4"/>
        <v>1.25</v>
      </c>
      <c r="F144" s="188">
        <v>3.2683069999999998E-3</v>
      </c>
      <c r="G144" s="189">
        <v>4.0853837499999993E-3</v>
      </c>
      <c r="H144" s="232"/>
      <c r="I144" s="124" t="str">
        <f t="shared" si="5"/>
        <v>(9, 10]</v>
      </c>
      <c r="J144" s="160">
        <v>1</v>
      </c>
      <c r="K144" s="234">
        <v>7.5535613698468351</v>
      </c>
      <c r="L144" s="188">
        <v>2.46873575E-2</v>
      </c>
      <c r="M144" s="233">
        <v>24687357</v>
      </c>
      <c r="N144" s="195">
        <v>2.4687357E-2</v>
      </c>
      <c r="O144" s="211">
        <v>3.0859196249999998E-2</v>
      </c>
      <c r="P144" s="1">
        <v>2.4835506578788347</v>
      </c>
      <c r="Q144" s="1">
        <v>0.70369087936210861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2634762</v>
      </c>
      <c r="D145" s="30">
        <v>3682764300</v>
      </c>
      <c r="E145" s="187">
        <f t="shared" si="4"/>
        <v>1.7471996996313139</v>
      </c>
      <c r="F145" s="188">
        <v>2.6347620000000001E-3</v>
      </c>
      <c r="G145" s="189">
        <v>4.603455375E-3</v>
      </c>
      <c r="H145" s="232"/>
      <c r="I145" s="214" t="str">
        <f t="shared" si="5"/>
        <v>(10, 15]</v>
      </c>
      <c r="J145" s="160">
        <v>1</v>
      </c>
      <c r="K145" s="234">
        <v>1.4956419213576027</v>
      </c>
      <c r="L145" s="188">
        <v>3.9406605000000001E-3</v>
      </c>
      <c r="M145" s="233">
        <v>3940660</v>
      </c>
      <c r="N145" s="195">
        <v>3.9406600000000003E-3</v>
      </c>
      <c r="O145" s="211">
        <v>6.8851199683491338E-3</v>
      </c>
      <c r="P145" s="1">
        <v>5.3739616709213207</v>
      </c>
      <c r="Q145" s="1">
        <v>0.43979355391353775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9016244</v>
      </c>
      <c r="D146" s="30">
        <v>16921585600</v>
      </c>
      <c r="E146" s="187">
        <f t="shared" si="4"/>
        <v>2.3459859781966861</v>
      </c>
      <c r="F146" s="188">
        <v>9.0162439999999996E-3</v>
      </c>
      <c r="G146" s="189">
        <v>2.1151982E-2</v>
      </c>
      <c r="H146" s="232"/>
      <c r="I146" s="124" t="str">
        <f t="shared" si="5"/>
        <v>(15, 20]</v>
      </c>
      <c r="J146" s="160">
        <v>1</v>
      </c>
      <c r="K146" s="234">
        <v>1.5015055604085248</v>
      </c>
      <c r="L146" s="188">
        <v>1.3537940499999998E-2</v>
      </c>
      <c r="M146" s="233">
        <v>13537940</v>
      </c>
      <c r="N146" s="195">
        <v>1.353794E-2</v>
      </c>
      <c r="O146" s="211">
        <v>3.1759817413668047E-2</v>
      </c>
      <c r="P146" s="1">
        <v>0.98864150082894831</v>
      </c>
      <c r="Q146" s="1">
        <v>0.40024312930673617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5676427</v>
      </c>
      <c r="D147" s="30">
        <v>13793512000</v>
      </c>
      <c r="E147" s="187">
        <f t="shared" si="4"/>
        <v>3.0374547228388562</v>
      </c>
      <c r="F147" s="188">
        <v>5.6764270000000004E-3</v>
      </c>
      <c r="G147" s="189">
        <v>1.7241890000000003E-2</v>
      </c>
      <c r="H147" s="232"/>
      <c r="I147" s="124" t="str">
        <f t="shared" si="5"/>
        <v>(20, 25]</v>
      </c>
      <c r="J147" s="160">
        <v>1</v>
      </c>
      <c r="K147" s="234">
        <v>1.502490298915145</v>
      </c>
      <c r="L147" s="188">
        <v>8.5287764999999998E-3</v>
      </c>
      <c r="M147" s="233">
        <v>8528776</v>
      </c>
      <c r="N147" s="195">
        <v>8.5287760000000001E-3</v>
      </c>
      <c r="O147" s="211">
        <v>2.5905770941234689E-2</v>
      </c>
      <c r="P147" s="1">
        <v>0.87668440023979877</v>
      </c>
      <c r="Q147" s="1">
        <v>0.29920758912721446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4496806</v>
      </c>
      <c r="D148" s="30">
        <v>13439030300</v>
      </c>
      <c r="E148" s="187">
        <f t="shared" si="4"/>
        <v>3.7357155000682707</v>
      </c>
      <c r="F148" s="188">
        <v>4.4968059999999999E-3</v>
      </c>
      <c r="G148" s="189">
        <v>1.6798787874999999E-2</v>
      </c>
      <c r="H148" s="232"/>
      <c r="I148" s="124" t="str">
        <f t="shared" si="5"/>
        <v>(25, 30]</v>
      </c>
      <c r="J148" s="160">
        <v>1</v>
      </c>
      <c r="K148" s="234">
        <v>1.504714123758063</v>
      </c>
      <c r="L148" s="188">
        <v>6.7664075000000001E-3</v>
      </c>
      <c r="M148" s="233">
        <v>6766407</v>
      </c>
      <c r="N148" s="195">
        <v>6.7664070000000003E-3</v>
      </c>
      <c r="O148" s="211">
        <v>2.5277371509670448E-2</v>
      </c>
      <c r="P148" s="1">
        <v>0.73755950334526332</v>
      </c>
      <c r="Q148" s="1">
        <v>0.37238427207846969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3013307</v>
      </c>
      <c r="D149" s="30">
        <v>9688028000</v>
      </c>
      <c r="E149" s="187">
        <f t="shared" si="4"/>
        <v>4.0188520452778294</v>
      </c>
      <c r="F149" s="188">
        <v>3.0133069999999998E-3</v>
      </c>
      <c r="G149" s="189">
        <v>1.2110035E-2</v>
      </c>
      <c r="H149" s="232"/>
      <c r="I149" s="124" t="str">
        <f t="shared" si="5"/>
        <v>(30, 35]</v>
      </c>
      <c r="J149" s="160">
        <v>1</v>
      </c>
      <c r="K149" s="234">
        <v>1.5028566621323349</v>
      </c>
      <c r="L149" s="188">
        <v>4.528568499999999E-3</v>
      </c>
      <c r="M149" s="233">
        <v>4528568</v>
      </c>
      <c r="N149" s="195">
        <v>4.5285680000000002E-3</v>
      </c>
      <c r="O149" s="211">
        <v>1.8199644768979732E-2</v>
      </c>
      <c r="P149" s="1">
        <v>0.19763867405478433</v>
      </c>
      <c r="Q149" s="1">
        <v>0.14508605655670756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10566689</v>
      </c>
      <c r="D150" s="30">
        <v>41532351200</v>
      </c>
      <c r="E150" s="187">
        <f t="shared" si="4"/>
        <v>4.913122644188733</v>
      </c>
      <c r="F150" s="188">
        <v>1.0566689000000001E-2</v>
      </c>
      <c r="G150" s="189">
        <v>5.1915439000000001E-2</v>
      </c>
      <c r="H150" s="232"/>
      <c r="I150" s="214" t="str">
        <f t="shared" si="5"/>
        <v>(35, 40]</v>
      </c>
      <c r="J150" s="160">
        <v>1</v>
      </c>
      <c r="K150" s="234">
        <v>0.37553821258485037</v>
      </c>
      <c r="L150" s="188">
        <v>3.9681955000000005E-3</v>
      </c>
      <c r="M150" s="233">
        <v>3968195</v>
      </c>
      <c r="N150" s="195">
        <v>3.9681949999999999E-3</v>
      </c>
      <c r="O150" s="211">
        <v>1.949622871105651E-2</v>
      </c>
      <c r="P150" s="1">
        <v>0.189193890347298</v>
      </c>
      <c r="Q150" s="1">
        <v>0.19070974984216682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2254117</v>
      </c>
      <c r="D151" s="30">
        <v>10061161100</v>
      </c>
      <c r="E151" s="187">
        <f t="shared" si="4"/>
        <v>5.5793250195087474</v>
      </c>
      <c r="F151" s="188">
        <v>2.2541169999999999E-3</v>
      </c>
      <c r="G151" s="189">
        <v>1.2576451374999999E-2</v>
      </c>
      <c r="H151" s="232"/>
      <c r="I151" s="124" t="str">
        <f t="shared" si="5"/>
        <v>(40, 45]</v>
      </c>
      <c r="J151" s="160">
        <v>1</v>
      </c>
      <c r="K151" s="234">
        <v>3.7397936753061178</v>
      </c>
      <c r="L151" s="188">
        <v>8.4299325000000008E-3</v>
      </c>
      <c r="M151" s="233">
        <v>8429932</v>
      </c>
      <c r="N151" s="195">
        <v>8.4299319999999994E-3</v>
      </c>
      <c r="O151" s="211">
        <v>4.7033330520357408E-2</v>
      </c>
      <c r="P151" s="1">
        <v>0.30292083330190933</v>
      </c>
      <c r="Q151" s="1">
        <v>0.10212589036742516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7651966</v>
      </c>
      <c r="D152" s="30">
        <v>37555374200</v>
      </c>
      <c r="E152" s="187">
        <f t="shared" si="4"/>
        <v>6.1349224173238612</v>
      </c>
      <c r="F152" s="188">
        <v>7.6519659999999996E-3</v>
      </c>
      <c r="G152" s="189">
        <v>4.6944217749999996E-2</v>
      </c>
      <c r="H152" s="232"/>
      <c r="I152" s="124" t="str">
        <f t="shared" si="5"/>
        <v>(45, 50]</v>
      </c>
      <c r="J152" s="160">
        <v>1</v>
      </c>
      <c r="K152" s="234">
        <v>0.3756150380176807</v>
      </c>
      <c r="L152" s="188">
        <v>2.8741934999999999E-3</v>
      </c>
      <c r="M152" s="233">
        <v>2874193</v>
      </c>
      <c r="N152" s="195">
        <v>2.8741930000000001E-3</v>
      </c>
      <c r="O152" s="211">
        <v>1.7632951067415321E-2</v>
      </c>
      <c r="P152" s="1">
        <v>0.13026351659168375</v>
      </c>
      <c r="Q152" s="1">
        <v>0.41252989905268983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7953155</v>
      </c>
      <c r="D153" s="30">
        <v>47114923000</v>
      </c>
      <c r="E153" s="187">
        <f t="shared" si="4"/>
        <v>7.4050680201756407</v>
      </c>
      <c r="F153" s="188">
        <v>7.9531549999999999E-3</v>
      </c>
      <c r="G153" s="189">
        <v>5.8893653749999997E-2</v>
      </c>
      <c r="H153" s="232"/>
      <c r="I153" s="214" t="str">
        <f t="shared" si="5"/>
        <v>(50, 60]</v>
      </c>
      <c r="J153" s="160">
        <v>1</v>
      </c>
      <c r="K153" s="234">
        <v>0.3752384431084268</v>
      </c>
      <c r="L153" s="188">
        <v>2.9843295000000001E-3</v>
      </c>
      <c r="M153" s="233">
        <v>2984329</v>
      </c>
      <c r="N153" s="195">
        <v>2.984329E-3</v>
      </c>
      <c r="O153" s="211">
        <v>2.209915923958275E-2</v>
      </c>
      <c r="P153" s="1">
        <v>0.1209530054424942</v>
      </c>
      <c r="Q153" s="1">
        <v>0.10125890301011799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2181495</v>
      </c>
      <c r="D154" s="30">
        <v>14354464700</v>
      </c>
      <c r="E154" s="187">
        <f t="shared" si="4"/>
        <v>8.225130415151078</v>
      </c>
      <c r="F154" s="188">
        <v>2.1814949999999999E-3</v>
      </c>
      <c r="G154" s="189">
        <v>1.7943080875E-2</v>
      </c>
      <c r="H154" s="232"/>
      <c r="I154" s="124" t="str">
        <f t="shared" si="5"/>
        <v>(60, 70]</v>
      </c>
      <c r="J154" s="160">
        <v>1</v>
      </c>
      <c r="K154" s="234">
        <v>0.37448882532391775</v>
      </c>
      <c r="L154" s="188">
        <v>8.1694549999999986E-4</v>
      </c>
      <c r="M154" s="233">
        <v>816945</v>
      </c>
      <c r="N154" s="195">
        <v>8.1694500000000002E-4</v>
      </c>
      <c r="O154" s="211">
        <v>6.7194791670055973E-3</v>
      </c>
      <c r="P154" s="1">
        <v>5.084128086472809E-2</v>
      </c>
      <c r="Q154" s="1">
        <v>1.7315688269094236E-2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10192453</v>
      </c>
      <c r="D155" s="30">
        <v>79324067200</v>
      </c>
      <c r="E155" s="187">
        <f t="shared" si="4"/>
        <v>9.7282846435494967</v>
      </c>
      <c r="F155" s="188">
        <v>1.0192453000000001E-2</v>
      </c>
      <c r="G155" s="189">
        <v>9.9155084000000004E-2</v>
      </c>
      <c r="H155" s="232"/>
      <c r="I155" s="214" t="str">
        <f t="shared" si="5"/>
        <v>(70, 80]</v>
      </c>
      <c r="J155" s="160">
        <v>1</v>
      </c>
      <c r="K155" s="234">
        <v>0.1497386841028357</v>
      </c>
      <c r="L155" s="188">
        <v>1.5262045000000001E-3</v>
      </c>
      <c r="M155" s="233">
        <v>1526204</v>
      </c>
      <c r="N155" s="195">
        <v>1.526204E-3</v>
      </c>
      <c r="O155" s="211">
        <v>1.4847346936123816E-2</v>
      </c>
      <c r="P155" s="1">
        <v>3.6011939422237217E-2</v>
      </c>
      <c r="Q155" s="1">
        <v>5.7086968567140309E-2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2391271</v>
      </c>
      <c r="D156" s="30">
        <v>21008215200</v>
      </c>
      <c r="E156" s="187">
        <f t="shared" si="4"/>
        <v>10.981720181443258</v>
      </c>
      <c r="F156" s="188">
        <v>2.3912709999999999E-3</v>
      </c>
      <c r="G156" s="189">
        <v>2.6260268999999999E-2</v>
      </c>
      <c r="H156" s="178"/>
      <c r="I156" s="124" t="str">
        <f t="shared" si="5"/>
        <v>(80, 90]</v>
      </c>
      <c r="J156" s="160">
        <v>1</v>
      </c>
      <c r="K156" s="234">
        <v>5.9970783319832845</v>
      </c>
      <c r="L156" s="188">
        <v>1.43406395E-2</v>
      </c>
      <c r="M156" s="233">
        <v>14340639</v>
      </c>
      <c r="N156" s="195">
        <v>1.4340639000000001E-2</v>
      </c>
      <c r="O156" s="211">
        <v>0.15748488472109226</v>
      </c>
      <c r="P156" s="1">
        <v>8.9454102023568224E-2</v>
      </c>
      <c r="Q156" s="1">
        <v>3.3520443750622776E-2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8276896</v>
      </c>
      <c r="D157" s="30">
        <v>82033451100</v>
      </c>
      <c r="E157" s="187">
        <f t="shared" si="4"/>
        <v>12.388921387317177</v>
      </c>
      <c r="F157" s="188">
        <v>8.2768960000000006E-3</v>
      </c>
      <c r="G157" s="189">
        <v>0.102541813875</v>
      </c>
      <c r="H157" s="178"/>
      <c r="I157" s="124" t="str">
        <f t="shared" si="5"/>
        <v>(90, 100]</v>
      </c>
      <c r="J157" s="160">
        <v>1</v>
      </c>
      <c r="K157" s="234">
        <v>0.26095042151067255</v>
      </c>
      <c r="L157" s="188">
        <v>2.1598594999999998E-3</v>
      </c>
      <c r="M157" s="233">
        <v>2159859</v>
      </c>
      <c r="N157" s="195">
        <v>2.1598590000000001E-3</v>
      </c>
      <c r="O157" s="211">
        <v>2.6758323358689492E-2</v>
      </c>
      <c r="P157" s="1">
        <v>4.3373989476248091E-2</v>
      </c>
      <c r="Q157" s="1">
        <v>6.3601828459493748E-2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6630816</v>
      </c>
      <c r="D158" s="30">
        <v>77449465800</v>
      </c>
      <c r="E158" s="187">
        <f t="shared" si="4"/>
        <v>14.600289353527529</v>
      </c>
      <c r="F158" s="188">
        <v>6.6308160000000003E-3</v>
      </c>
      <c r="G158" s="189">
        <v>9.6811832250000007E-2</v>
      </c>
      <c r="H158" s="178"/>
      <c r="I158" s="124" t="str">
        <f t="shared" si="5"/>
        <v>(100, 120]</v>
      </c>
      <c r="J158" s="160">
        <v>1</v>
      </c>
      <c r="K158" s="234">
        <v>8.9427982920955731E-2</v>
      </c>
      <c r="L158" s="188">
        <v>5.9298050000000007E-4</v>
      </c>
      <c r="M158" s="233">
        <v>592980</v>
      </c>
      <c r="N158" s="195">
        <v>5.9298E-4</v>
      </c>
      <c r="O158" s="211">
        <v>8.6576795808547546E-3</v>
      </c>
      <c r="P158" s="1">
        <v>2.7728261499037222E-2</v>
      </c>
      <c r="Q158" s="1">
        <v>2.3491856160258822E-2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2395438</v>
      </c>
      <c r="D159" s="30">
        <v>31722982300</v>
      </c>
      <c r="E159" s="187">
        <f t="shared" si="4"/>
        <v>16.553852729646938</v>
      </c>
      <c r="F159" s="188">
        <v>2.3954380000000002E-3</v>
      </c>
      <c r="G159" s="189">
        <v>3.9653727875000003E-2</v>
      </c>
      <c r="H159" s="178"/>
      <c r="I159" s="124" t="str">
        <f t="shared" si="5"/>
        <v>(120, 140]</v>
      </c>
      <c r="J159" s="160">
        <v>1</v>
      </c>
      <c r="K159" s="234">
        <v>3.5131153467549567E-2</v>
      </c>
      <c r="L159" s="188">
        <v>8.4154500000000002E-5</v>
      </c>
      <c r="M159" s="233">
        <v>84154</v>
      </c>
      <c r="N159" s="195">
        <v>8.4153999999999994E-5</v>
      </c>
      <c r="O159" s="211">
        <v>1.3930729226107083E-3</v>
      </c>
      <c r="P159" s="1">
        <v>1.7562550147405192E-2</v>
      </c>
      <c r="Q159" s="1">
        <v>8.2611832319079686E-3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7805986</v>
      </c>
      <c r="D160" s="30">
        <v>120765802000</v>
      </c>
      <c r="E160" s="187">
        <f t="shared" si="4"/>
        <v>19.338652733940339</v>
      </c>
      <c r="F160" s="188">
        <v>7.805986E-3</v>
      </c>
      <c r="G160" s="189">
        <v>0.15095725250000003</v>
      </c>
      <c r="H160" s="178"/>
      <c r="I160" s="124" t="str">
        <f t="shared" si="5"/>
        <v>(140, 160]</v>
      </c>
      <c r="J160" s="160">
        <v>1</v>
      </c>
      <c r="K160" s="234">
        <v>1.8953723462993656E-2</v>
      </c>
      <c r="L160" s="188">
        <v>1.479525E-4</v>
      </c>
      <c r="M160" s="233">
        <v>147952</v>
      </c>
      <c r="N160" s="195">
        <v>1.47952E-4</v>
      </c>
      <c r="O160" s="211">
        <v>2.8611923492919411E-3</v>
      </c>
      <c r="P160" s="1">
        <v>1.7439308756126388E-2</v>
      </c>
      <c r="Q160" s="1">
        <v>5.8736899494067161E-3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2193558</v>
      </c>
      <c r="D161" s="30">
        <v>38317143000</v>
      </c>
      <c r="E161" s="187">
        <f t="shared" si="4"/>
        <v>21.835040947173496</v>
      </c>
      <c r="F161" s="188">
        <v>2.193558E-3</v>
      </c>
      <c r="G161" s="189">
        <v>4.7896428749999997E-2</v>
      </c>
      <c r="H161" s="178"/>
      <c r="I161" s="124" t="str">
        <f t="shared" si="5"/>
        <v>(160, 180]</v>
      </c>
      <c r="J161" s="160">
        <v>1</v>
      </c>
      <c r="K161" s="234">
        <v>2.244316995493167</v>
      </c>
      <c r="L161" s="188">
        <v>4.9230395000000003E-3</v>
      </c>
      <c r="M161" s="233">
        <v>4923039</v>
      </c>
      <c r="N161" s="195">
        <v>4.9230389999999997E-3</v>
      </c>
      <c r="O161" s="211">
        <v>0.10749475814953205</v>
      </c>
      <c r="P161" s="1">
        <v>1.5130668986185914E-2</v>
      </c>
      <c r="Q161" s="1">
        <v>6.8167356917203424E-3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7872162</v>
      </c>
      <c r="D162" s="30">
        <v>156525461500</v>
      </c>
      <c r="E162" s="187">
        <f t="shared" si="4"/>
        <v>24.854268354106534</v>
      </c>
      <c r="F162" s="188">
        <v>7.8721620000000003E-3</v>
      </c>
      <c r="G162" s="189">
        <v>0.195656826875</v>
      </c>
      <c r="H162" s="178"/>
      <c r="I162" s="124" t="str">
        <f t="shared" si="5"/>
        <v>(180, 200]</v>
      </c>
      <c r="J162" s="160">
        <v>1</v>
      </c>
      <c r="K162" s="234">
        <v>9.9674651004387355E-3</v>
      </c>
      <c r="L162" s="188">
        <v>7.8465499999999996E-5</v>
      </c>
      <c r="M162" s="233">
        <v>78465</v>
      </c>
      <c r="N162" s="195">
        <v>7.8465000000000002E-5</v>
      </c>
      <c r="O162" s="211">
        <v>1.9501901664049693E-3</v>
      </c>
      <c r="P162" s="1">
        <v>5.1984448490770387E-3</v>
      </c>
      <c r="Q162" s="1">
        <v>3.3178394758033919E-3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6377502</v>
      </c>
      <c r="D163" s="30">
        <v>149049300800</v>
      </c>
      <c r="E163" s="187">
        <f t="shared" si="4"/>
        <v>29.213887506424928</v>
      </c>
      <c r="F163" s="188">
        <v>6.3775020000000002E-3</v>
      </c>
      <c r="G163" s="189">
        <v>0.18631162600000001</v>
      </c>
      <c r="H163" s="178"/>
      <c r="I163" s="124" t="str">
        <f t="shared" si="5"/>
        <v>(200, 250]</v>
      </c>
      <c r="J163" s="160">
        <v>1</v>
      </c>
      <c r="K163" s="234">
        <v>4.7591517807442476E-3</v>
      </c>
      <c r="L163" s="188">
        <v>3.0351500000000002E-5</v>
      </c>
      <c r="M163" s="233">
        <v>30351</v>
      </c>
      <c r="N163" s="195">
        <v>3.0351000000000001E-5</v>
      </c>
      <c r="O163" s="211">
        <v>8.8667069970750309E-4</v>
      </c>
      <c r="P163" s="1">
        <v>8.8413927584812986E-3</v>
      </c>
      <c r="Q163" s="1">
        <v>1.8222320525783618E-3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6273332</v>
      </c>
      <c r="D164" s="30">
        <v>180153699500</v>
      </c>
      <c r="E164" s="187">
        <f t="shared" si="4"/>
        <v>35.896733087775367</v>
      </c>
      <c r="F164" s="188">
        <v>6.2733320000000004E-3</v>
      </c>
      <c r="G164" s="189">
        <v>0.22519212437500002</v>
      </c>
      <c r="H164" s="178"/>
      <c r="I164" s="124" t="str">
        <f t="shared" si="5"/>
        <v>(250, 300]</v>
      </c>
      <c r="J164" s="160">
        <v>1</v>
      </c>
      <c r="K164" s="234">
        <v>0.33569138378137808</v>
      </c>
      <c r="L164" s="188">
        <v>2.1059035000000003E-3</v>
      </c>
      <c r="M164" s="233">
        <v>2105903</v>
      </c>
      <c r="N164" s="195">
        <v>2.1059030000000001E-3</v>
      </c>
      <c r="O164" s="211">
        <v>7.5595037899745407E-2</v>
      </c>
      <c r="P164" s="1">
        <v>3.5225299729075392E-3</v>
      </c>
      <c r="Q164" s="1">
        <v>3.0960658469637978E-4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3639555</v>
      </c>
      <c r="D165" s="30">
        <v>118724005300</v>
      </c>
      <c r="E165" s="187">
        <f t="shared" si="4"/>
        <v>40.775591143697511</v>
      </c>
      <c r="F165" s="188">
        <v>3.639555E-3</v>
      </c>
      <c r="G165" s="189">
        <v>0.148405006625</v>
      </c>
      <c r="H165" s="178"/>
      <c r="I165" s="124" t="str">
        <f t="shared" si="5"/>
        <v>(300, 350]</v>
      </c>
      <c r="J165" s="160">
        <v>1</v>
      </c>
      <c r="K165" s="234">
        <v>0.17345321062602434</v>
      </c>
      <c r="L165" s="188">
        <v>6.3129250000000005E-4</v>
      </c>
      <c r="M165" s="233">
        <v>631292</v>
      </c>
      <c r="N165" s="195">
        <v>6.3129199999999999E-4</v>
      </c>
      <c r="O165" s="211">
        <v>2.5741304484287089E-2</v>
      </c>
      <c r="P165" s="1">
        <v>6.058432967766664E-4</v>
      </c>
      <c r="Q165" s="1">
        <v>2.2116590313324888E-4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6060287</v>
      </c>
      <c r="D166" s="30">
        <v>236200276700</v>
      </c>
      <c r="E166" s="187">
        <f t="shared" si="4"/>
        <v>48.718871874384824</v>
      </c>
      <c r="F166" s="188">
        <v>6.0602870000000001E-3</v>
      </c>
      <c r="G166" s="189">
        <v>0.29525034587499999</v>
      </c>
      <c r="H166" s="178"/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1.8150955557055302E-4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2438675</v>
      </c>
      <c r="D167" s="30">
        <v>105176842800</v>
      </c>
      <c r="E167" s="187">
        <f t="shared" si="4"/>
        <v>53.910854664930753</v>
      </c>
      <c r="F167" s="188">
        <v>2.438675E-3</v>
      </c>
      <c r="G167" s="189">
        <v>0.13147105349999999</v>
      </c>
      <c r="H167" s="178"/>
      <c r="I167" s="124" t="str">
        <f t="shared" si="5"/>
        <v>(400, 450]</v>
      </c>
      <c r="J167" s="160">
        <v>1</v>
      </c>
      <c r="K167" s="234">
        <v>0.33599577639496858</v>
      </c>
      <c r="L167" s="188">
        <v>8.1938449999999999E-4</v>
      </c>
      <c r="M167" s="233">
        <v>819384</v>
      </c>
      <c r="N167" s="195">
        <v>8.1938400000000004E-4</v>
      </c>
      <c r="O167" s="211">
        <v>4.4173691738769623E-2</v>
      </c>
      <c r="P167" s="1">
        <v>2.2622940736260469E-3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4943761</v>
      </c>
      <c r="D168" s="30">
        <v>240787337900</v>
      </c>
      <c r="E168" s="187">
        <f t="shared" si="4"/>
        <v>60.881618746335029</v>
      </c>
      <c r="F168" s="188">
        <v>4.9437609999999996E-3</v>
      </c>
      <c r="G168" s="189">
        <v>0.30098417237499997</v>
      </c>
      <c r="H168" s="178"/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3.1243419736512348E-3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1805371</v>
      </c>
      <c r="D169" s="30">
        <v>95003605200</v>
      </c>
      <c r="E169" s="187">
        <f t="shared" si="4"/>
        <v>65.778450246514424</v>
      </c>
      <c r="F169" s="188">
        <v>1.8053710000000001E-3</v>
      </c>
      <c r="G169" s="189">
        <v>0.1187545065</v>
      </c>
      <c r="H169" s="178"/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2.4427112211285102E-3</v>
      </c>
      <c r="Q169" s="1">
        <v>7.7646250959962441E-5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3484162</v>
      </c>
      <c r="D170" s="30">
        <v>203829811900</v>
      </c>
      <c r="E170" s="187">
        <f t="shared" si="4"/>
        <v>73.127272748798703</v>
      </c>
      <c r="F170" s="188">
        <v>3.4841619999999998E-3</v>
      </c>
      <c r="G170" s="189">
        <v>0.25478726487499997</v>
      </c>
      <c r="H170" s="178"/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1806937</v>
      </c>
      <c r="D171" s="30">
        <v>113897184400</v>
      </c>
      <c r="E171" s="187">
        <f t="shared" si="4"/>
        <v>78.791612823247291</v>
      </c>
      <c r="F171" s="188">
        <v>1.806937E-3</v>
      </c>
      <c r="G171" s="189">
        <v>0.14237148049999998</v>
      </c>
      <c r="H171" s="178"/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0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1739433</v>
      </c>
      <c r="D172" s="30">
        <v>118149569000</v>
      </c>
      <c r="E172" s="187">
        <f t="shared" si="4"/>
        <v>84.905231331129173</v>
      </c>
      <c r="F172" s="188">
        <v>1.7394330000000001E-3</v>
      </c>
      <c r="G172" s="189">
        <v>0.14768696125000003</v>
      </c>
      <c r="H172" s="178"/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1613476</v>
      </c>
      <c r="D173" s="30">
        <v>117206766500</v>
      </c>
      <c r="E173" s="187">
        <f t="shared" si="4"/>
        <v>90.802998076822959</v>
      </c>
      <c r="F173" s="188">
        <v>1.613476E-3</v>
      </c>
      <c r="G173" s="189">
        <v>0.14650845812499999</v>
      </c>
      <c r="H173" s="178"/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4037756</v>
      </c>
      <c r="D174" s="30">
        <v>319977787400</v>
      </c>
      <c r="E174" s="187">
        <f t="shared" si="4"/>
        <v>99.058049632023327</v>
      </c>
      <c r="F174" s="188">
        <v>4.037756E-3</v>
      </c>
      <c r="G174" s="189">
        <v>0.39997223425</v>
      </c>
      <c r="H174" s="178"/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1073590</v>
      </c>
      <c r="D175" s="30">
        <v>88882963800</v>
      </c>
      <c r="E175" s="187">
        <f t="shared" si="4"/>
        <v>103.4880212651012</v>
      </c>
      <c r="F175" s="188">
        <v>1.0735899999999999E-3</v>
      </c>
      <c r="G175" s="189">
        <v>0.11110370474999999</v>
      </c>
      <c r="H175" s="178"/>
      <c r="I175" s="124" t="str">
        <f t="shared" si="5"/>
        <v>(800, 850]</v>
      </c>
      <c r="J175" s="160">
        <v>1</v>
      </c>
      <c r="K175" s="234">
        <v>0.26165063012882012</v>
      </c>
      <c r="L175" s="188">
        <v>2.8090549999999998E-4</v>
      </c>
      <c r="M175" s="233">
        <v>280905</v>
      </c>
      <c r="N175" s="195">
        <v>2.8090500000000002E-4</v>
      </c>
      <c r="O175" s="211">
        <v>2.9070302613473254E-2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1404569</v>
      </c>
      <c r="D176" s="30">
        <v>123880308000</v>
      </c>
      <c r="E176" s="187">
        <f t="shared" si="4"/>
        <v>110.24761688461015</v>
      </c>
      <c r="F176" s="188">
        <v>1.404569E-3</v>
      </c>
      <c r="G176" s="189">
        <v>0.15485038500000001</v>
      </c>
      <c r="H176" s="178"/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932958</v>
      </c>
      <c r="D177" s="30">
        <v>86554923000</v>
      </c>
      <c r="E177" s="187">
        <f t="shared" si="4"/>
        <v>115.9684077418276</v>
      </c>
      <c r="F177" s="188">
        <v>9.3295800000000001E-4</v>
      </c>
      <c r="G177" s="189">
        <v>0.10819365374999999</v>
      </c>
      <c r="H177" s="178"/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3382931</v>
      </c>
      <c r="D178" s="30">
        <v>335662253800</v>
      </c>
      <c r="E178" s="187">
        <f t="shared" si="4"/>
        <v>124.02789688882216</v>
      </c>
      <c r="F178" s="188">
        <v>3.382931E-3</v>
      </c>
      <c r="G178" s="189">
        <v>0.41957781725000004</v>
      </c>
      <c r="H178" s="178"/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19711760</v>
      </c>
      <c r="D179" s="30">
        <v>2928553346700</v>
      </c>
      <c r="E179" s="187">
        <f t="shared" si="4"/>
        <v>185.71105184798313</v>
      </c>
      <c r="F179" s="188">
        <v>1.9711759999999998E-2</v>
      </c>
      <c r="G179" s="189">
        <v>3.6606916833749996</v>
      </c>
      <c r="H179" s="178"/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4.8042386879710388E-5</v>
      </c>
      <c r="Q179" s="1">
        <v>6.078130770263365E-5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8484953</v>
      </c>
      <c r="D180" s="30">
        <v>2130326733300</v>
      </c>
      <c r="E180" s="187">
        <f t="shared" si="4"/>
        <v>313.83891185077869</v>
      </c>
      <c r="F180" s="188">
        <v>8.4849529999999999E-3</v>
      </c>
      <c r="G180" s="189">
        <v>2.6629084166250001</v>
      </c>
      <c r="H180" s="178"/>
      <c r="I180" s="124" t="str">
        <f t="shared" si="5"/>
        <v>(2000, 3000]</v>
      </c>
      <c r="J180" s="160">
        <v>1</v>
      </c>
      <c r="K180" s="234">
        <v>1.1141075265826458E-2</v>
      </c>
      <c r="L180" s="188">
        <v>9.4531500000000001E-5</v>
      </c>
      <c r="M180" s="233">
        <v>94531</v>
      </c>
      <c r="N180" s="195">
        <v>9.4530999999999993E-5</v>
      </c>
      <c r="O180" s="211">
        <v>2.9667506176165957E-2</v>
      </c>
      <c r="P180" s="1">
        <v>4.9735101655837106E-5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4565674</v>
      </c>
      <c r="D181" s="30">
        <v>1614756926700</v>
      </c>
      <c r="E181" s="187">
        <f t="shared" si="4"/>
        <v>442.091607586306</v>
      </c>
      <c r="F181" s="188">
        <v>4.5656739999999996E-3</v>
      </c>
      <c r="G181" s="189">
        <v>2.0184461583749997</v>
      </c>
      <c r="H181" s="178"/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2661686</v>
      </c>
      <c r="D182" s="30">
        <v>1200209255000</v>
      </c>
      <c r="E182" s="187">
        <f t="shared" si="4"/>
        <v>563.65084715101636</v>
      </c>
      <c r="F182" s="188">
        <v>2.6616859999999999E-3</v>
      </c>
      <c r="G182" s="189">
        <v>1.5002615687500001</v>
      </c>
      <c r="H182" s="178"/>
      <c r="I182" s="124" t="str">
        <f t="shared" si="5"/>
        <v>(4000, 5000]</v>
      </c>
      <c r="J182" s="160">
        <v>1</v>
      </c>
      <c r="K182" s="234">
        <v>2.227366413619037E-2</v>
      </c>
      <c r="L182" s="188">
        <v>5.92855E-5</v>
      </c>
      <c r="M182" s="233">
        <v>59285</v>
      </c>
      <c r="N182" s="195">
        <v>5.9284999999999999E-5</v>
      </c>
      <c r="O182" s="211">
        <v>3.3416040473348008E-2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1769466</v>
      </c>
      <c r="D183" s="30">
        <v>979407619600</v>
      </c>
      <c r="E183" s="187">
        <f t="shared" si="4"/>
        <v>691.88078465480544</v>
      </c>
      <c r="F183" s="188">
        <v>1.7694659999999999E-3</v>
      </c>
      <c r="G183" s="189">
        <v>1.2242595244999999</v>
      </c>
      <c r="H183" s="178"/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1108896</v>
      </c>
      <c r="D184" s="30">
        <v>718738961300</v>
      </c>
      <c r="E184" s="187">
        <f t="shared" si="4"/>
        <v>810.19653928321497</v>
      </c>
      <c r="F184" s="188">
        <v>1.1088960000000001E-3</v>
      </c>
      <c r="G184" s="189">
        <v>0.89842370162499996</v>
      </c>
      <c r="H184" s="178"/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807723</v>
      </c>
      <c r="D185" s="30">
        <v>606952896100</v>
      </c>
      <c r="E185" s="187">
        <f t="shared" si="4"/>
        <v>939.29616975745398</v>
      </c>
      <c r="F185" s="188">
        <v>8.0772299999999999E-4</v>
      </c>
      <c r="G185" s="189">
        <v>0.75869112012499995</v>
      </c>
      <c r="H185" s="178"/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576360</v>
      </c>
      <c r="D186" s="30">
        <v>489372414400</v>
      </c>
      <c r="E186" s="187">
        <f t="shared" si="4"/>
        <v>1061.3427684086334</v>
      </c>
      <c r="F186" s="188">
        <v>5.7636000000000005E-4</v>
      </c>
      <c r="G186" s="189">
        <v>0.61171551800000001</v>
      </c>
      <c r="H186" s="178"/>
      <c r="I186" s="124" t="str">
        <f t="shared" si="5"/>
        <v>(8000, 9000]</v>
      </c>
      <c r="J186" s="160">
        <v>1</v>
      </c>
      <c r="K186" s="234">
        <v>5.8438302449857725E-2</v>
      </c>
      <c r="L186" s="188">
        <v>3.3681499999999999E-5</v>
      </c>
      <c r="M186" s="233">
        <v>33681</v>
      </c>
      <c r="N186" s="195">
        <v>3.3680999999999998E-5</v>
      </c>
      <c r="O186" s="211">
        <v>3.5747085782771179E-2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462675</v>
      </c>
      <c r="D187" s="30">
        <v>439780988800</v>
      </c>
      <c r="E187" s="187">
        <f t="shared" si="4"/>
        <v>1188.1476976279246</v>
      </c>
      <c r="F187" s="188">
        <v>4.6267500000000001E-4</v>
      </c>
      <c r="G187" s="189">
        <v>0.54972623600000003</v>
      </c>
      <c r="H187" s="178"/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1545607</v>
      </c>
      <c r="D188" s="30">
        <v>2078648749800</v>
      </c>
      <c r="E188" s="187">
        <f t="shared" si="4"/>
        <v>1681.0941832238079</v>
      </c>
      <c r="F188" s="188">
        <v>1.5456070000000001E-3</v>
      </c>
      <c r="G188" s="189">
        <v>2.5983109372500004</v>
      </c>
      <c r="H188" s="178"/>
      <c r="I188" s="124" t="str">
        <f t="shared" si="5"/>
        <v>(10000, 20000]</v>
      </c>
      <c r="J188" s="160">
        <v>1</v>
      </c>
      <c r="K188" s="234">
        <v>3.7063108539234098E-3</v>
      </c>
      <c r="L188" s="188">
        <v>5.7285000000000003E-6</v>
      </c>
      <c r="M188" s="233">
        <v>5728</v>
      </c>
      <c r="N188" s="195">
        <v>5.728E-6</v>
      </c>
      <c r="O188" s="211">
        <v>9.6293074815059724E-3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280887</v>
      </c>
      <c r="D189" s="30">
        <v>668925003000</v>
      </c>
      <c r="E189" s="187">
        <f t="shared" si="4"/>
        <v>2976.8421242350128</v>
      </c>
      <c r="F189" s="188">
        <v>2.8088700000000001E-4</v>
      </c>
      <c r="G189" s="189">
        <v>0.83615625375000002</v>
      </c>
      <c r="H189" s="178"/>
      <c r="I189" s="124" t="str">
        <f t="shared" si="5"/>
        <v>(20000, 30000]</v>
      </c>
      <c r="J189" s="160">
        <v>0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93523</v>
      </c>
      <c r="D190" s="30">
        <v>354341167100</v>
      </c>
      <c r="E190" s="187">
        <f t="shared" si="4"/>
        <v>4736.0163689680612</v>
      </c>
      <c r="F190" s="188">
        <v>9.3523000000000006E-5</v>
      </c>
      <c r="G190" s="189">
        <v>0.44292645887500004</v>
      </c>
      <c r="H190" s="178"/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13</v>
      </c>
      <c r="D191" s="167">
        <v>136044800</v>
      </c>
      <c r="E191" s="190">
        <f t="shared" si="4"/>
        <v>13081.23076923077</v>
      </c>
      <c r="F191" s="191">
        <v>1.3000000000000001E-8</v>
      </c>
      <c r="G191" s="192">
        <v>1.70056E-4</v>
      </c>
      <c r="H191" s="178"/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29690.329859564743</v>
      </c>
      <c r="O192" s="10">
        <f>SUM(O175:O185)</f>
        <v>9.2153849262987225E-2</v>
      </c>
    </row>
    <row r="193" spans="1:20" ht="16.8" thickBot="1">
      <c r="M193" s="114"/>
      <c r="N193" s="164" t="s">
        <v>181</v>
      </c>
      <c r="O193" s="219" t="s">
        <v>180</v>
      </c>
    </row>
    <row r="194" spans="1:20">
      <c r="M194" s="128" t="s">
        <v>178</v>
      </c>
      <c r="N194" s="218">
        <f>1/SUM(N181:N185)</f>
        <v>16867.673104495236</v>
      </c>
      <c r="O194" s="220" cm="1">
        <f t="array" ref="O194:O195">N196/N194:N195</f>
        <v>207.4975</v>
      </c>
    </row>
    <row r="195" spans="1:20" ht="16.8" thickBot="1">
      <c r="M195" s="124" t="s">
        <v>179</v>
      </c>
      <c r="N195" s="218">
        <f>1/SUM(N192)</f>
        <v>3.3680999999999998E-5</v>
      </c>
      <c r="O195" s="220">
        <v>103916154508.47659</v>
      </c>
    </row>
    <row r="196" spans="1:20" ht="16.8" thickBot="1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20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308">
        <f>SUM(_xlfn.ANCHORARRAY(O199))</f>
        <v>0.89999999998969349</v>
      </c>
      <c r="P197" s="34"/>
    </row>
    <row r="198" spans="1:20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  <c r="P198" s="34"/>
    </row>
    <row r="199" spans="1:20" ht="15.6">
      <c r="A199" s="255" cm="1">
        <f t="array" ref="A199:B256">_xlfn.ANCHORARRAY(A134)</f>
        <v>-1</v>
      </c>
      <c r="B199" s="256">
        <v>0</v>
      </c>
      <c r="C199" s="158">
        <v>15110792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1.5110792E-2</v>
      </c>
      <c r="G199" s="186" cm="1">
        <f t="array" ref="G199:G256">E199:E256*_xlfn.ANCHORARRAY(F199)</f>
        <v>0</v>
      </c>
      <c r="H199" s="232"/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P199" s="198"/>
      <c r="Q199" s="1">
        <v>0</v>
      </c>
      <c r="R199" s="1" cm="1">
        <f t="array" ref="R199:R256">IFERROR(Q199:Q256/_xlfn.ANCHORARRAY(J199)/_xlfn.ANCHORARRAY(F199),0)</f>
        <v>0</v>
      </c>
      <c r="S199" s="182"/>
      <c r="T199" s="213"/>
    </row>
    <row r="200" spans="1:20" ht="15.6">
      <c r="A200" s="257">
        <v>0</v>
      </c>
      <c r="B200" s="258">
        <v>1</v>
      </c>
      <c r="C200" s="160">
        <v>402891</v>
      </c>
      <c r="D200" s="30">
        <v>322312.8</v>
      </c>
      <c r="E200" s="187">
        <f t="shared" ref="E200:E256" si="6">IFERROR((D200/$E$196)/(C200),0)</f>
        <v>3.1999999999999997E-3</v>
      </c>
      <c r="F200" s="188">
        <v>4.02891E-4</v>
      </c>
      <c r="G200" s="189">
        <v>1.2892511999999999E-6</v>
      </c>
      <c r="H200" s="232"/>
      <c r="I200" s="274" t="str">
        <f t="shared" ref="I200:I256" si="7">"("&amp;$A200&amp;", "&amp;$B200&amp;"]"</f>
        <v>(0, 1]</v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P200" s="198"/>
      <c r="Q200" s="1">
        <v>0</v>
      </c>
      <c r="R200" s="1">
        <v>0</v>
      </c>
    </row>
    <row r="201" spans="1:20" ht="15.6">
      <c r="A201" s="257">
        <v>1</v>
      </c>
      <c r="B201" s="258">
        <v>2</v>
      </c>
      <c r="C201" s="160">
        <v>1666895</v>
      </c>
      <c r="D201" s="30">
        <v>2885989.2</v>
      </c>
      <c r="E201" s="187">
        <f t="shared" si="6"/>
        <v>6.925425296734347E-3</v>
      </c>
      <c r="F201" s="188">
        <v>1.6668950000000001E-3</v>
      </c>
      <c r="G201" s="189">
        <v>1.1543956799999999E-5</v>
      </c>
      <c r="H201" s="232"/>
      <c r="I201" s="274" t="str">
        <f t="shared" si="7"/>
        <v>(1, 2]</v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20" ht="15.6">
      <c r="A202" s="257">
        <v>2</v>
      </c>
      <c r="B202" s="258">
        <v>3</v>
      </c>
      <c r="C202" s="160">
        <v>811562</v>
      </c>
      <c r="D202" s="30">
        <v>2276998.6</v>
      </c>
      <c r="E202" s="187">
        <f t="shared" si="6"/>
        <v>1.1222795547351895E-2</v>
      </c>
      <c r="F202" s="188">
        <v>8.1156200000000005E-4</v>
      </c>
      <c r="G202" s="189">
        <v>9.1079943999999999E-6</v>
      </c>
      <c r="H202" s="232"/>
      <c r="I202" s="274" t="str">
        <f t="shared" si="7"/>
        <v>(2, 3]</v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20" ht="15.6">
      <c r="A203" s="257">
        <v>3</v>
      </c>
      <c r="B203" s="258">
        <v>4</v>
      </c>
      <c r="C203" s="160">
        <v>1927195</v>
      </c>
      <c r="D203" s="30">
        <v>7238136.7999999998</v>
      </c>
      <c r="E203" s="187">
        <f t="shared" si="6"/>
        <v>1.5023153962105547E-2</v>
      </c>
      <c r="F203" s="188">
        <v>1.927195E-3</v>
      </c>
      <c r="G203" s="189">
        <v>2.8952547199999999E-5</v>
      </c>
      <c r="H203" s="232"/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20" ht="15.6">
      <c r="A204" s="257">
        <v>4</v>
      </c>
      <c r="B204" s="258">
        <v>5</v>
      </c>
      <c r="C204" s="160">
        <v>1832630</v>
      </c>
      <c r="D204" s="30">
        <v>8902385</v>
      </c>
      <c r="E204" s="187">
        <f t="shared" si="6"/>
        <v>1.9430839831280727E-2</v>
      </c>
      <c r="F204" s="188">
        <v>1.83263E-3</v>
      </c>
      <c r="G204" s="189">
        <v>3.5609540000000001E-5</v>
      </c>
      <c r="H204" s="232"/>
      <c r="I204" s="274" t="str">
        <f t="shared" si="7"/>
        <v>(4, 5]</v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20" ht="15.6">
      <c r="A205" s="257">
        <v>5</v>
      </c>
      <c r="B205" s="258">
        <v>6</v>
      </c>
      <c r="C205" s="160">
        <v>2016840</v>
      </c>
      <c r="D205" s="30">
        <v>11978441.6</v>
      </c>
      <c r="E205" s="187">
        <f t="shared" si="6"/>
        <v>2.3756850518633108E-2</v>
      </c>
      <c r="F205" s="188">
        <v>2.0168400000000002E-3</v>
      </c>
      <c r="G205" s="189">
        <v>4.7913766400000002E-5</v>
      </c>
      <c r="H205" s="232"/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20" ht="15.6">
      <c r="A206" s="257">
        <v>6</v>
      </c>
      <c r="B206" s="258">
        <v>7</v>
      </c>
      <c r="C206" s="160">
        <v>467346</v>
      </c>
      <c r="D206" s="30">
        <v>3080156.4</v>
      </c>
      <c r="E206" s="187">
        <f t="shared" si="6"/>
        <v>2.6362963628660564E-2</v>
      </c>
      <c r="F206" s="188">
        <v>4.6734599999999999E-4</v>
      </c>
      <c r="G206" s="189">
        <v>1.23206256E-5</v>
      </c>
      <c r="H206" s="232"/>
      <c r="I206" s="274" t="str">
        <f t="shared" si="7"/>
        <v>(6, 7]</v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20" ht="15.6">
      <c r="A207" s="257">
        <v>7</v>
      </c>
      <c r="B207" s="258">
        <v>8</v>
      </c>
      <c r="C207" s="160">
        <v>3003508</v>
      </c>
      <c r="D207" s="30">
        <v>23382478.800000001</v>
      </c>
      <c r="E207" s="187">
        <f t="shared" si="6"/>
        <v>3.1140225096786826E-2</v>
      </c>
      <c r="F207" s="188">
        <v>3.0035079999999998E-3</v>
      </c>
      <c r="G207" s="189">
        <v>9.3529915200000005E-5</v>
      </c>
      <c r="H207" s="232"/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20" ht="15.6">
      <c r="A208" s="257">
        <v>8</v>
      </c>
      <c r="B208" s="258">
        <v>9</v>
      </c>
      <c r="C208" s="160">
        <v>1150951</v>
      </c>
      <c r="D208" s="30">
        <v>10171967.4</v>
      </c>
      <c r="E208" s="187">
        <f t="shared" si="6"/>
        <v>3.5351522002239885E-2</v>
      </c>
      <c r="F208" s="188">
        <v>1.1509510000000001E-3</v>
      </c>
      <c r="G208" s="189">
        <v>4.0687869599999999E-5</v>
      </c>
      <c r="H208" s="232"/>
      <c r="I208" s="274" t="str">
        <f t="shared" si="7"/>
        <v>(8, 9]</v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4" ht="15.6">
      <c r="A209" s="257">
        <v>9</v>
      </c>
      <c r="B209" s="258">
        <v>10</v>
      </c>
      <c r="C209" s="160">
        <v>2601490</v>
      </c>
      <c r="D209" s="30">
        <v>25658936.199999999</v>
      </c>
      <c r="E209" s="187">
        <f t="shared" si="6"/>
        <v>3.9452677042771646E-2</v>
      </c>
      <c r="F209" s="188">
        <v>2.6014900000000001E-3</v>
      </c>
      <c r="G209" s="189">
        <v>1.0263574480000002E-4</v>
      </c>
      <c r="H209" s="232"/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4" ht="15.6">
      <c r="A210" s="257">
        <v>10</v>
      </c>
      <c r="B210" s="258">
        <v>15</v>
      </c>
      <c r="C210" s="160">
        <v>7604578</v>
      </c>
      <c r="D210" s="30">
        <v>98941832.799999997</v>
      </c>
      <c r="E210" s="187">
        <f t="shared" si="6"/>
        <v>5.20432996018977E-2</v>
      </c>
      <c r="F210" s="188">
        <v>7.6045779999999999E-3</v>
      </c>
      <c r="G210" s="189">
        <v>3.9576733119999998E-4</v>
      </c>
      <c r="H210" s="232"/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4" ht="15.6">
      <c r="A211" s="257">
        <v>15</v>
      </c>
      <c r="B211" s="258">
        <v>20</v>
      </c>
      <c r="C211" s="160">
        <v>8546802</v>
      </c>
      <c r="D211" s="30">
        <v>154823080.59999999</v>
      </c>
      <c r="E211" s="187">
        <f t="shared" si="6"/>
        <v>7.2458952763852488E-2</v>
      </c>
      <c r="F211" s="188">
        <v>8.5468019999999992E-3</v>
      </c>
      <c r="G211" s="189">
        <v>6.1929232239999995E-4</v>
      </c>
      <c r="H211" s="232"/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4" ht="15.6">
      <c r="A212" s="257">
        <v>20</v>
      </c>
      <c r="B212" s="258">
        <v>25</v>
      </c>
      <c r="C212" s="160">
        <v>6920327</v>
      </c>
      <c r="D212" s="30">
        <v>159811398.80000001</v>
      </c>
      <c r="E212" s="187">
        <f t="shared" si="6"/>
        <v>9.2372166112959703E-2</v>
      </c>
      <c r="F212" s="188">
        <v>6.9203270000000004E-3</v>
      </c>
      <c r="G212" s="189">
        <v>6.3924559520000016E-4</v>
      </c>
      <c r="H212" s="232"/>
      <c r="I212" s="274" t="str">
        <f t="shared" si="7"/>
        <v>(20, 25]</v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5.9828691256932701E-2</v>
      </c>
      <c r="R212" s="1">
        <v>8.6453561019490408</v>
      </c>
      <c r="S212" s="182"/>
    </row>
    <row r="213" spans="1:24" ht="15.6">
      <c r="A213" s="257">
        <v>25</v>
      </c>
      <c r="B213" s="258">
        <v>30</v>
      </c>
      <c r="C213" s="160">
        <v>7078934</v>
      </c>
      <c r="D213" s="30">
        <v>199820858.59999999</v>
      </c>
      <c r="E213" s="187">
        <f t="shared" si="6"/>
        <v>0.112910140764132</v>
      </c>
      <c r="F213" s="188">
        <v>7.0789340000000003E-3</v>
      </c>
      <c r="G213" s="189">
        <v>7.9928343440000005E-4</v>
      </c>
      <c r="H213" s="232"/>
      <c r="I213" s="274" t="str">
        <f t="shared" si="7"/>
        <v>(25, 30]</v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5.7737519973484426E-2</v>
      </c>
      <c r="R213" s="1">
        <v>8.1562449902039518</v>
      </c>
      <c r="S213" s="182"/>
    </row>
    <row r="214" spans="1:24" ht="15.6">
      <c r="A214" s="257">
        <v>30</v>
      </c>
      <c r="B214" s="258">
        <v>35</v>
      </c>
      <c r="C214" s="160">
        <v>5885108</v>
      </c>
      <c r="D214" s="30">
        <v>192666090.19999999</v>
      </c>
      <c r="E214" s="187">
        <f t="shared" si="6"/>
        <v>0.13095160884048346</v>
      </c>
      <c r="F214" s="188">
        <v>5.885108E-3</v>
      </c>
      <c r="G214" s="189">
        <v>7.7066436079999991E-4</v>
      </c>
      <c r="H214" s="232"/>
      <c r="I214" s="274" t="str">
        <f t="shared" si="7"/>
        <v>(30, 35]</v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3.969084365502263E-2</v>
      </c>
      <c r="R214" s="1">
        <v>6.7442846681866548</v>
      </c>
    </row>
    <row r="215" spans="1:24" ht="15.6">
      <c r="A215" s="257">
        <v>35</v>
      </c>
      <c r="B215" s="258">
        <v>40</v>
      </c>
      <c r="C215" s="160">
        <v>7787029</v>
      </c>
      <c r="D215" s="30">
        <v>297088533.60000002</v>
      </c>
      <c r="E215" s="187">
        <f t="shared" si="6"/>
        <v>0.15260687155524913</v>
      </c>
      <c r="F215" s="188">
        <v>7.787029E-3</v>
      </c>
      <c r="G215" s="189">
        <v>1.1883541344E-3</v>
      </c>
      <c r="H215" s="232"/>
      <c r="I215" s="274" t="str">
        <f t="shared" si="7"/>
        <v>(35, 40]</v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0.14578571768617526</v>
      </c>
      <c r="R215" s="1">
        <v>18.721609703286742</v>
      </c>
    </row>
    <row r="216" spans="1:24" ht="15.6">
      <c r="A216" s="257">
        <v>40</v>
      </c>
      <c r="B216" s="258">
        <v>45</v>
      </c>
      <c r="C216" s="160">
        <v>5819120</v>
      </c>
      <c r="D216" s="30">
        <v>250840203</v>
      </c>
      <c r="E216" s="187">
        <f t="shared" si="6"/>
        <v>0.17242483605768572</v>
      </c>
      <c r="F216" s="188">
        <v>5.8191199999999997E-3</v>
      </c>
      <c r="G216" s="189">
        <v>1.003360812E-3</v>
      </c>
      <c r="H216" s="232"/>
      <c r="I216" s="274" t="str">
        <f t="shared" si="7"/>
        <v>(40, 45]</v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4.9052519485505035E-2</v>
      </c>
      <c r="R216" s="1">
        <v>8.4295425228393697</v>
      </c>
    </row>
    <row r="217" spans="1:24" ht="15.6">
      <c r="A217" s="257">
        <v>45</v>
      </c>
      <c r="B217" s="258">
        <v>50</v>
      </c>
      <c r="C217" s="160">
        <v>6609475</v>
      </c>
      <c r="D217" s="30">
        <v>317388480</v>
      </c>
      <c r="E217" s="187">
        <f t="shared" si="6"/>
        <v>0.19208090203836159</v>
      </c>
      <c r="F217" s="188">
        <v>6.6094750000000001E-3</v>
      </c>
      <c r="G217" s="189">
        <v>1.2695539199999999E-3</v>
      </c>
      <c r="H217" s="232"/>
      <c r="I217" s="274" t="str">
        <f t="shared" si="7"/>
        <v>(45, 50]</v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9.7526683223074465E-2</v>
      </c>
      <c r="R217" s="1">
        <v>14.75558697522488</v>
      </c>
    </row>
    <row r="218" spans="1:24" ht="15.6">
      <c r="A218" s="257">
        <v>50</v>
      </c>
      <c r="B218" s="258">
        <v>60</v>
      </c>
      <c r="C218" s="160">
        <v>12595243</v>
      </c>
      <c r="D218" s="30">
        <v>704780394.79999995</v>
      </c>
      <c r="E218" s="187">
        <f t="shared" si="6"/>
        <v>0.22382431043212109</v>
      </c>
      <c r="F218" s="188">
        <v>1.2595243000000001E-2</v>
      </c>
      <c r="G218" s="189">
        <v>2.8191215792000004E-3</v>
      </c>
      <c r="H218" s="232"/>
      <c r="I218" s="274" t="str">
        <f t="shared" si="7"/>
        <v>(50, 60]</v>
      </c>
      <c r="J218" s="160">
        <v>1</v>
      </c>
      <c r="K218" s="234">
        <v>7.2070957662349189</v>
      </c>
      <c r="L218" s="188">
        <v>9.0775122499999999E-2</v>
      </c>
      <c r="M218" s="233">
        <v>90775122</v>
      </c>
      <c r="N218" s="195">
        <v>9.0775122E-2</v>
      </c>
      <c r="O218" s="211">
        <v>2.0317679086041665E-2</v>
      </c>
      <c r="Q218" s="1">
        <v>0.11195442178961326</v>
      </c>
      <c r="R218" s="1">
        <v>8.8886273801635465</v>
      </c>
    </row>
    <row r="219" spans="1:24" ht="15.6">
      <c r="A219" s="257">
        <v>60</v>
      </c>
      <c r="B219" s="258">
        <v>70</v>
      </c>
      <c r="C219" s="160">
        <v>11076442</v>
      </c>
      <c r="D219" s="30">
        <v>725550381.39999998</v>
      </c>
      <c r="E219" s="187">
        <f t="shared" si="6"/>
        <v>0.26201568388115964</v>
      </c>
      <c r="F219" s="188">
        <v>1.1076442000000001E-2</v>
      </c>
      <c r="G219" s="189">
        <v>2.9022015255999998E-3</v>
      </c>
      <c r="H219" s="232"/>
      <c r="I219" s="274" t="str">
        <f t="shared" si="7"/>
        <v>(60, 70]</v>
      </c>
      <c r="J219" s="160">
        <v>1</v>
      </c>
      <c r="K219" s="234">
        <v>6.4194805064658853</v>
      </c>
      <c r="L219" s="188">
        <v>7.1105003500000014E-2</v>
      </c>
      <c r="M219" s="233">
        <v>71105003</v>
      </c>
      <c r="N219" s="195">
        <v>7.1105003E-2</v>
      </c>
      <c r="O219" s="211">
        <v>1.8630625988416909E-2</v>
      </c>
      <c r="Q219" s="1">
        <v>4.2150854631160924E-2</v>
      </c>
      <c r="R219" s="1">
        <v>3.8054507603760235</v>
      </c>
    </row>
    <row r="220" spans="1:24" ht="15.6">
      <c r="A220" s="257">
        <v>70</v>
      </c>
      <c r="B220" s="258">
        <v>80</v>
      </c>
      <c r="C220" s="160">
        <v>12242682</v>
      </c>
      <c r="D220" s="30">
        <v>927266696.20000005</v>
      </c>
      <c r="E220" s="187">
        <f t="shared" si="6"/>
        <v>0.30296194778235686</v>
      </c>
      <c r="F220" s="188">
        <v>1.2242682E-2</v>
      </c>
      <c r="G220" s="189">
        <v>3.7090667848000002E-3</v>
      </c>
      <c r="H220" s="232"/>
      <c r="I220" s="274" t="str">
        <f t="shared" si="7"/>
        <v>(70, 80]</v>
      </c>
      <c r="J220" s="160">
        <v>1</v>
      </c>
      <c r="K220" s="234">
        <v>4.9983602857609144</v>
      </c>
      <c r="L220" s="188">
        <v>6.1193335500000001E-2</v>
      </c>
      <c r="M220" s="233">
        <v>61193335</v>
      </c>
      <c r="N220" s="195">
        <v>6.1193335000000001E-2</v>
      </c>
      <c r="O220" s="211">
        <v>1.8539251962898271E-2</v>
      </c>
      <c r="Q220" s="1">
        <v>3.6385840192037056E-2</v>
      </c>
      <c r="R220" s="1">
        <v>2.9720481339004849</v>
      </c>
    </row>
    <row r="221" spans="1:24" thickBot="1">
      <c r="A221" s="257">
        <v>80</v>
      </c>
      <c r="B221" s="258">
        <v>90</v>
      </c>
      <c r="C221" s="160">
        <v>10865580</v>
      </c>
      <c r="D221" s="30">
        <v>930938257.39999998</v>
      </c>
      <c r="E221" s="187">
        <f t="shared" si="6"/>
        <v>0.34271093025867005</v>
      </c>
      <c r="F221" s="188">
        <v>1.086558E-2</v>
      </c>
      <c r="G221" s="189">
        <v>3.7237530296000002E-3</v>
      </c>
      <c r="H221" s="232"/>
      <c r="I221" s="274" t="str">
        <f t="shared" si="7"/>
        <v>(80, 90]</v>
      </c>
      <c r="J221" s="160">
        <v>1</v>
      </c>
      <c r="K221" s="276">
        <v>6.8134223391664319</v>
      </c>
      <c r="L221" s="188">
        <v>7.4031785500000002E-2</v>
      </c>
      <c r="M221" s="233">
        <v>74031785</v>
      </c>
      <c r="N221" s="195">
        <v>7.4031785000000003E-2</v>
      </c>
      <c r="O221" s="211">
        <v>2.5371501906059857E-2</v>
      </c>
      <c r="Q221" s="1">
        <v>4.4133565457011449E-2</v>
      </c>
      <c r="R221" s="1">
        <v>4.0617772320494119</v>
      </c>
    </row>
    <row r="222" spans="1:24" ht="16.8" thickBot="1">
      <c r="A222" s="257">
        <v>90</v>
      </c>
      <c r="B222" s="258">
        <v>100</v>
      </c>
      <c r="C222" s="160">
        <v>11239365</v>
      </c>
      <c r="D222" s="30">
        <v>1075784281.4000001</v>
      </c>
      <c r="E222" s="187">
        <f t="shared" si="6"/>
        <v>0.38286301099750747</v>
      </c>
      <c r="F222" s="188">
        <v>1.1239364999999999E-2</v>
      </c>
      <c r="G222" s="189">
        <v>4.3031371256000003E-3</v>
      </c>
      <c r="H222" s="232"/>
      <c r="I222" s="274" t="str">
        <f t="shared" si="7"/>
        <v>(90, 100]</v>
      </c>
      <c r="J222" s="160">
        <v>1</v>
      </c>
      <c r="K222" s="276">
        <v>12.140675785509234</v>
      </c>
      <c r="L222" s="188">
        <v>0.1364534865</v>
      </c>
      <c r="M222" s="233">
        <v>136453486</v>
      </c>
      <c r="N222" s="195">
        <v>0.13645348600000001</v>
      </c>
      <c r="O222" s="211">
        <v>5.2242992511066233E-2</v>
      </c>
      <c r="Q222" s="1">
        <v>8.1534868779438843E-2</v>
      </c>
      <c r="R222" s="1">
        <v>7.2544017192642869</v>
      </c>
      <c r="U222" s="301" t="s">
        <v>289</v>
      </c>
      <c r="V222" s="184" t="s">
        <v>290</v>
      </c>
      <c r="W222" s="299" t="s">
        <v>256</v>
      </c>
      <c r="X222" s="300" t="s">
        <v>291</v>
      </c>
    </row>
    <row r="223" spans="1:24" ht="15.6">
      <c r="A223" s="257">
        <v>100</v>
      </c>
      <c r="B223" s="258">
        <v>120</v>
      </c>
      <c r="C223" s="160">
        <v>21487497</v>
      </c>
      <c r="D223" s="30">
        <v>2379865576.4000001</v>
      </c>
      <c r="E223" s="187">
        <f t="shared" si="6"/>
        <v>0.44302332214868956</v>
      </c>
      <c r="F223" s="188">
        <v>2.1487497000000001E-2</v>
      </c>
      <c r="G223" s="189">
        <v>9.5194623056000013E-3</v>
      </c>
      <c r="H223" s="232"/>
      <c r="I223" s="274" t="str">
        <f t="shared" si="7"/>
        <v>(100, 120]</v>
      </c>
      <c r="J223" s="160">
        <v>1</v>
      </c>
      <c r="K223" s="276">
        <v>6.9970365324541985</v>
      </c>
      <c r="L223" s="188">
        <v>0.15034880149999999</v>
      </c>
      <c r="M223" s="233">
        <v>150348801</v>
      </c>
      <c r="N223" s="195">
        <v>0.150348801</v>
      </c>
      <c r="O223" s="211">
        <v>6.6608025300092216E-2</v>
      </c>
      <c r="Q223" s="1">
        <v>9.0112979805137619E-2</v>
      </c>
      <c r="R223" s="1">
        <v>4.1937401925006723</v>
      </c>
      <c r="U223" s="128" t="s">
        <v>270</v>
      </c>
      <c r="V223" s="185">
        <f>SUM(N199:N228)</f>
        <v>0.761630841</v>
      </c>
      <c r="W223" s="296" cm="1">
        <f t="array" ref="W223:W228">1/V223:V228</f>
        <v>1.3129720412674308</v>
      </c>
      <c r="X223" s="302"/>
    </row>
    <row r="224" spans="1:24" ht="15.6">
      <c r="A224" s="257">
        <v>120</v>
      </c>
      <c r="B224" s="258">
        <v>140</v>
      </c>
      <c r="C224" s="160">
        <v>20319575</v>
      </c>
      <c r="D224" s="30">
        <v>2653516966</v>
      </c>
      <c r="E224" s="187">
        <f t="shared" si="6"/>
        <v>0.52235678472605851</v>
      </c>
      <c r="F224" s="188">
        <v>2.0319574999999999E-2</v>
      </c>
      <c r="G224" s="189">
        <v>1.0614067864E-2</v>
      </c>
      <c r="H224" s="232"/>
      <c r="I224" s="274" t="str">
        <f t="shared" si="7"/>
        <v>(120, 140]</v>
      </c>
      <c r="J224" s="160">
        <v>1</v>
      </c>
      <c r="K224" s="276">
        <v>3.8844496747594377</v>
      </c>
      <c r="L224" s="188">
        <v>7.8930366500000002E-2</v>
      </c>
      <c r="M224" s="233">
        <v>78930366</v>
      </c>
      <c r="N224" s="195">
        <v>7.8930366000000002E-2</v>
      </c>
      <c r="O224" s="211">
        <v>4.1229812201011011E-2</v>
      </c>
      <c r="Q224" s="1">
        <v>4.747126106777233E-2</v>
      </c>
      <c r="R224" s="272">
        <v>2.3362329708063445</v>
      </c>
      <c r="U224" s="124" t="s">
        <v>274</v>
      </c>
      <c r="V224" s="188">
        <f>SUM(N229:N256)</f>
        <v>0.23836915899999997</v>
      </c>
      <c r="W224" s="297">
        <v>4.1951735878717438</v>
      </c>
      <c r="X224" s="303">
        <v>2500</v>
      </c>
    </row>
    <row r="225" spans="1:24" ht="15.6">
      <c r="A225" s="257">
        <v>140</v>
      </c>
      <c r="B225" s="258">
        <v>160</v>
      </c>
      <c r="C225" s="160">
        <v>20082979</v>
      </c>
      <c r="D225" s="30">
        <v>3024516101</v>
      </c>
      <c r="E225" s="187">
        <f t="shared" si="6"/>
        <v>0.6024038766360309</v>
      </c>
      <c r="F225" s="188">
        <v>2.0082979000000001E-2</v>
      </c>
      <c r="G225" s="189">
        <v>1.2098064404000001E-2</v>
      </c>
      <c r="H225" s="232"/>
      <c r="I225" s="124" t="str">
        <f t="shared" si="7"/>
        <v>(140, 160]</v>
      </c>
      <c r="J225" s="160">
        <v>1</v>
      </c>
      <c r="K225" s="276">
        <v>1.7871693487305842</v>
      </c>
      <c r="L225" s="188">
        <v>3.58916845E-2</v>
      </c>
      <c r="M225" s="233">
        <v>35891684</v>
      </c>
      <c r="N225" s="195">
        <v>3.5891684E-2</v>
      </c>
      <c r="O225" s="211">
        <v>2.1621289580595403E-2</v>
      </c>
      <c r="Q225" s="1">
        <v>2.1651011757170088E-2</v>
      </c>
      <c r="R225" s="272">
        <v>1.0780776973958937</v>
      </c>
      <c r="U225" s="124" t="s">
        <v>271</v>
      </c>
      <c r="V225" s="188">
        <f>SUM(N234:N256)</f>
        <v>0.12042992199999998</v>
      </c>
      <c r="W225" s="297">
        <v>8.303584220539479</v>
      </c>
      <c r="X225" s="303">
        <v>5000</v>
      </c>
    </row>
    <row r="226" spans="1:24" ht="15.6">
      <c r="A226" s="257">
        <v>160</v>
      </c>
      <c r="B226" s="258">
        <v>180</v>
      </c>
      <c r="C226" s="160">
        <v>19271714</v>
      </c>
      <c r="D226" s="30">
        <v>3287359850.1999998</v>
      </c>
      <c r="E226" s="187">
        <f t="shared" si="6"/>
        <v>0.68231810625666189</v>
      </c>
      <c r="F226" s="188">
        <v>1.9271713999999999E-2</v>
      </c>
      <c r="G226" s="189">
        <v>1.3149439400799998E-2</v>
      </c>
      <c r="H226" s="232"/>
      <c r="I226" s="124" t="str">
        <f t="shared" si="7"/>
        <v>(160, 180]</v>
      </c>
      <c r="J226" s="160">
        <v>1</v>
      </c>
      <c r="K226" s="276">
        <v>1.0591895199357981</v>
      </c>
      <c r="L226" s="188">
        <v>2.0412397499999999E-2</v>
      </c>
      <c r="M226" s="233">
        <v>20412397</v>
      </c>
      <c r="N226" s="195">
        <v>2.0412396999999999E-2</v>
      </c>
      <c r="O226" s="211">
        <v>1.3927748065199166E-2</v>
      </c>
      <c r="Q226" s="1">
        <v>1.2345605360363113E-2</v>
      </c>
      <c r="R226" s="272">
        <v>0.64060754328147018</v>
      </c>
      <c r="U226" s="124" t="s">
        <v>286</v>
      </c>
      <c r="V226" s="188">
        <f>SUM(N245:N256)</f>
        <v>5.0333529999999991E-3</v>
      </c>
      <c r="W226" s="297">
        <v>198.67472041003288</v>
      </c>
      <c r="X226" s="303">
        <v>12500</v>
      </c>
    </row>
    <row r="227" spans="1:24" ht="15.6">
      <c r="A227" s="257">
        <v>180</v>
      </c>
      <c r="B227" s="258">
        <v>200</v>
      </c>
      <c r="C227" s="160">
        <v>18790619</v>
      </c>
      <c r="D227" s="30">
        <v>3582627649.8000002</v>
      </c>
      <c r="E227" s="187">
        <f t="shared" si="6"/>
        <v>0.76264175220624719</v>
      </c>
      <c r="F227" s="188">
        <v>1.8790619000000001E-2</v>
      </c>
      <c r="G227" s="189">
        <v>1.4330510599200002E-2</v>
      </c>
      <c r="H227" s="232"/>
      <c r="I227" s="124" t="str">
        <f t="shared" si="7"/>
        <v>(180, 200]</v>
      </c>
      <c r="J227" s="160">
        <v>1</v>
      </c>
      <c r="K227" s="276">
        <v>1.5897969885930847</v>
      </c>
      <c r="L227" s="188">
        <v>2.9873269500000004E-2</v>
      </c>
      <c r="M227" s="233">
        <v>29873269</v>
      </c>
      <c r="N227" s="195">
        <v>2.9873269000000001E-2</v>
      </c>
      <c r="O227" s="211">
        <v>2.2782602214288565E-2</v>
      </c>
      <c r="Q227" s="1">
        <v>1.8109825476012021E-2</v>
      </c>
      <c r="R227" s="272">
        <v>0.96376949987714722</v>
      </c>
      <c r="U227" s="124" t="s">
        <v>287</v>
      </c>
      <c r="V227" s="188">
        <f>SUM(N246:N256)</f>
        <v>3.5280769999999993E-3</v>
      </c>
      <c r="W227" s="297">
        <v>283.44052581618831</v>
      </c>
      <c r="X227" s="303">
        <v>25000</v>
      </c>
    </row>
    <row r="228" spans="1:24" thickBot="1">
      <c r="A228" s="257">
        <v>200</v>
      </c>
      <c r="B228" s="258">
        <v>250</v>
      </c>
      <c r="C228" s="160">
        <v>44299128</v>
      </c>
      <c r="D228" s="30">
        <v>9977298221.6000004</v>
      </c>
      <c r="E228" s="187">
        <f t="shared" si="6"/>
        <v>0.90090244860801771</v>
      </c>
      <c r="F228" s="188">
        <v>4.4299128E-2</v>
      </c>
      <c r="G228" s="189">
        <v>3.9909192886399998E-2</v>
      </c>
      <c r="H228" s="232"/>
      <c r="I228" s="124" t="str">
        <f t="shared" si="7"/>
        <v>(200, 250]</v>
      </c>
      <c r="J228" s="160">
        <v>1</v>
      </c>
      <c r="K228" s="276">
        <v>0.28478198261600091</v>
      </c>
      <c r="L228" s="188">
        <v>1.2615593499999999E-2</v>
      </c>
      <c r="M228" s="233">
        <v>12615593</v>
      </c>
      <c r="N228" s="195">
        <v>1.2615593E-2</v>
      </c>
      <c r="O228" s="211">
        <v>1.1365418624342167E-2</v>
      </c>
      <c r="Q228" s="1">
        <v>7.674595432961279E-3</v>
      </c>
      <c r="R228" s="272">
        <v>0.17324484204206636</v>
      </c>
      <c r="U228" s="125" t="s">
        <v>272</v>
      </c>
      <c r="V228" s="191">
        <f>SUM(N253)</f>
        <v>1.8222099999999999E-4</v>
      </c>
      <c r="W228" s="298">
        <v>5487.8416867430215</v>
      </c>
      <c r="X228" s="304">
        <v>100000</v>
      </c>
    </row>
    <row r="229" spans="1:24" ht="15.6">
      <c r="A229" s="257">
        <v>250</v>
      </c>
      <c r="B229" s="258">
        <v>300</v>
      </c>
      <c r="C229" s="160">
        <v>41452331</v>
      </c>
      <c r="D229" s="30">
        <v>11406990263.200001</v>
      </c>
      <c r="E229" s="187">
        <f t="shared" si="6"/>
        <v>1.1007332989983121</v>
      </c>
      <c r="F229" s="188">
        <v>4.1452331000000002E-2</v>
      </c>
      <c r="G229" s="189">
        <v>4.5627961052800002E-2</v>
      </c>
      <c r="H229" s="232"/>
      <c r="I229" s="275" t="str">
        <f t="shared" si="7"/>
        <v>(250, 300]</v>
      </c>
      <c r="J229" s="160">
        <v>1</v>
      </c>
      <c r="K229" s="276">
        <v>1.7580124384319906</v>
      </c>
      <c r="L229" s="188">
        <v>7.2873713500000006E-2</v>
      </c>
      <c r="M229" s="233">
        <v>72873713</v>
      </c>
      <c r="N229" s="195">
        <v>7.2873713000000007E-2</v>
      </c>
      <c r="O229" s="211">
        <v>8.0214522520746193E-2</v>
      </c>
      <c r="P229" s="1" cm="1">
        <f t="array" ref="P229:P256">2*K229:K256</f>
        <v>3.5160248768639812</v>
      </c>
      <c r="Q229" s="1">
        <v>1.1129664251999793E-2</v>
      </c>
      <c r="R229" s="272">
        <v>0.26849308551549955</v>
      </c>
    </row>
    <row r="230" spans="1:24" ht="15.6">
      <c r="A230" s="257">
        <v>300</v>
      </c>
      <c r="B230" s="258">
        <v>350</v>
      </c>
      <c r="C230" s="160">
        <v>38417261</v>
      </c>
      <c r="D230" s="30">
        <v>12489682119.799999</v>
      </c>
      <c r="E230" s="187">
        <f t="shared" si="6"/>
        <v>1.3004240067817432</v>
      </c>
      <c r="F230" s="188">
        <v>3.8417261000000001E-2</v>
      </c>
      <c r="G230" s="189">
        <v>4.99587284792E-2</v>
      </c>
      <c r="H230" s="232"/>
      <c r="I230" s="124" t="str">
        <f t="shared" si="7"/>
        <v>(300, 350]</v>
      </c>
      <c r="J230" s="160">
        <v>1</v>
      </c>
      <c r="K230" s="276">
        <v>0.28404808713458257</v>
      </c>
      <c r="L230" s="188">
        <v>1.0912349500000001E-2</v>
      </c>
      <c r="M230" s="233">
        <v>10912349</v>
      </c>
      <c r="N230" s="195">
        <v>1.0912349E-2</v>
      </c>
      <c r="O230" s="211">
        <v>1.4190680609980749E-2</v>
      </c>
      <c r="P230" s="1">
        <v>0.56809617426916514</v>
      </c>
      <c r="Q230" s="1">
        <v>1.6724255706989108E-3</v>
      </c>
      <c r="R230" s="272">
        <v>4.3533180845425463E-2</v>
      </c>
    </row>
    <row r="231" spans="1:24" ht="15.6">
      <c r="A231" s="257">
        <v>350</v>
      </c>
      <c r="B231" s="258">
        <v>400</v>
      </c>
      <c r="C231" s="160">
        <v>36097070</v>
      </c>
      <c r="D231" s="30">
        <v>13542176268.200001</v>
      </c>
      <c r="E231" s="187">
        <f t="shared" si="6"/>
        <v>1.5006399431532809</v>
      </c>
      <c r="F231" s="188">
        <v>3.6097070000000002E-2</v>
      </c>
      <c r="G231" s="189">
        <v>5.41687050728E-2</v>
      </c>
      <c r="H231" s="232"/>
      <c r="I231" s="124" t="str">
        <f t="shared" si="7"/>
        <v>(350, 400]</v>
      </c>
      <c r="J231" s="160">
        <v>1</v>
      </c>
      <c r="K231" s="276">
        <v>0.34519204744318582</v>
      </c>
      <c r="L231" s="188">
        <v>1.2460421500000001E-2</v>
      </c>
      <c r="M231" s="233">
        <v>12460421</v>
      </c>
      <c r="N231" s="195">
        <v>1.2460420999999999E-2</v>
      </c>
      <c r="O231" s="211">
        <v>1.8698605461105945E-2</v>
      </c>
      <c r="P231" s="1">
        <v>0.69038409488637165</v>
      </c>
      <c r="Q231" s="1">
        <v>1.915424125577387E-3</v>
      </c>
      <c r="R231" s="272">
        <v>5.3063146830958495E-2</v>
      </c>
    </row>
    <row r="232" spans="1:24" ht="15.6">
      <c r="A232" s="257">
        <v>400</v>
      </c>
      <c r="B232" s="258">
        <v>450</v>
      </c>
      <c r="C232" s="160">
        <v>33574935</v>
      </c>
      <c r="D232" s="30">
        <v>14273155322</v>
      </c>
      <c r="E232" s="187">
        <f t="shared" si="6"/>
        <v>1.7004536654501343</v>
      </c>
      <c r="F232" s="188">
        <v>3.3574935E-2</v>
      </c>
      <c r="G232" s="189">
        <v>5.7092621288000009E-2</v>
      </c>
      <c r="H232" s="232"/>
      <c r="I232" s="124" t="str">
        <f t="shared" si="7"/>
        <v>(400, 450]</v>
      </c>
      <c r="J232" s="160">
        <v>1</v>
      </c>
      <c r="K232" s="276">
        <v>0.28830177928862705</v>
      </c>
      <c r="L232" s="188">
        <v>9.6797134999999992E-3</v>
      </c>
      <c r="M232" s="233">
        <v>9679713</v>
      </c>
      <c r="N232" s="195">
        <v>9.6797129999999995E-3</v>
      </c>
      <c r="O232" s="211">
        <v>1.6459903451355316E-2</v>
      </c>
      <c r="P232" s="1">
        <v>0.57660355857725409</v>
      </c>
      <c r="Q232" s="1">
        <v>1.4918749622586027E-3</v>
      </c>
      <c r="R232" s="272">
        <v>4.4434187653932991E-2</v>
      </c>
    </row>
    <row r="233" spans="1:24" ht="15.6">
      <c r="A233" s="257">
        <v>450</v>
      </c>
      <c r="B233" s="258">
        <v>500</v>
      </c>
      <c r="C233" s="160">
        <v>31501058</v>
      </c>
      <c r="D233" s="30">
        <v>14967072917</v>
      </c>
      <c r="E233" s="187">
        <f t="shared" si="6"/>
        <v>1.9005168546402473</v>
      </c>
      <c r="F233" s="188">
        <v>3.1501057999999998E-2</v>
      </c>
      <c r="G233" s="189">
        <v>5.9868291668E-2</v>
      </c>
      <c r="H233" s="232"/>
      <c r="I233" s="124" t="str">
        <f t="shared" si="7"/>
        <v>(450, 500]</v>
      </c>
      <c r="J233" s="160">
        <v>1</v>
      </c>
      <c r="K233" s="276">
        <v>0.38135358818741899</v>
      </c>
      <c r="L233" s="188">
        <v>1.20130415E-2</v>
      </c>
      <c r="M233" s="233">
        <v>12013041</v>
      </c>
      <c r="N233" s="195">
        <v>1.2013041E-2</v>
      </c>
      <c r="O233" s="211">
        <v>2.2830986895984333E-2</v>
      </c>
      <c r="P233" s="1">
        <v>0.76270717637483798</v>
      </c>
      <c r="Q233" s="1">
        <v>1.8558185333071217E-3</v>
      </c>
      <c r="R233" s="272">
        <v>5.8912895348058526E-2</v>
      </c>
    </row>
    <row r="234" spans="1:24" ht="15.6">
      <c r="A234" s="257">
        <v>500</v>
      </c>
      <c r="B234" s="258">
        <v>550</v>
      </c>
      <c r="C234" s="160">
        <v>29413304</v>
      </c>
      <c r="D234" s="30">
        <v>15442781243.799999</v>
      </c>
      <c r="E234" s="187">
        <f t="shared" si="6"/>
        <v>2.1001083378868284</v>
      </c>
      <c r="F234" s="188">
        <v>2.9413304000000001E-2</v>
      </c>
      <c r="G234" s="189">
        <v>6.1771124975200001E-2</v>
      </c>
      <c r="H234" s="232"/>
      <c r="I234" s="275" t="str">
        <f t="shared" si="7"/>
        <v>(500, 550]</v>
      </c>
      <c r="J234" s="160">
        <v>1</v>
      </c>
      <c r="K234" s="276">
        <v>1.1748384846530673</v>
      </c>
      <c r="L234" s="188">
        <v>3.4555881500000003E-2</v>
      </c>
      <c r="M234" s="233">
        <v>34555881</v>
      </c>
      <c r="N234" s="195">
        <v>3.4555880999999997E-2</v>
      </c>
      <c r="O234" s="211">
        <v>7.2571093811125031E-2</v>
      </c>
      <c r="P234" s="1">
        <v>2.3496769693061346</v>
      </c>
      <c r="Q234" s="1">
        <v>5.3495038293716922E-3</v>
      </c>
      <c r="R234" s="272">
        <v>0.18187361166129762</v>
      </c>
    </row>
    <row r="235" spans="1:24" ht="15.6">
      <c r="A235" s="257">
        <v>550</v>
      </c>
      <c r="B235" s="258">
        <v>600</v>
      </c>
      <c r="C235" s="160">
        <v>27695602</v>
      </c>
      <c r="D235" s="30">
        <v>15927312930</v>
      </c>
      <c r="E235" s="187">
        <f t="shared" si="6"/>
        <v>2.3003382168764555</v>
      </c>
      <c r="F235" s="188">
        <v>2.7695602E-2</v>
      </c>
      <c r="G235" s="189">
        <v>6.3709251719999999E-2</v>
      </c>
      <c r="H235" s="232"/>
      <c r="I235" s="124" t="str">
        <f t="shared" si="7"/>
        <v>(550, 600]</v>
      </c>
      <c r="J235" s="160">
        <v>1</v>
      </c>
      <c r="K235" s="276">
        <v>0.65582194241526148</v>
      </c>
      <c r="L235" s="188">
        <v>1.8163383500000001E-2</v>
      </c>
      <c r="M235" s="233">
        <v>18163383</v>
      </c>
      <c r="N235" s="195">
        <v>1.8163383000000002E-2</v>
      </c>
      <c r="O235" s="211">
        <v>4.1781924062664129E-2</v>
      </c>
      <c r="P235" s="1">
        <v>1.311643884830523</v>
      </c>
      <c r="Q235" s="1">
        <v>2.8171970608689904E-3</v>
      </c>
      <c r="R235" s="272">
        <v>0.10172001536088619</v>
      </c>
    </row>
    <row r="236" spans="1:24" ht="15.6">
      <c r="A236" s="257">
        <v>600</v>
      </c>
      <c r="B236" s="258">
        <v>650</v>
      </c>
      <c r="C236" s="160">
        <v>25856019</v>
      </c>
      <c r="D236" s="30">
        <v>16161953803.200001</v>
      </c>
      <c r="E236" s="187">
        <f t="shared" si="6"/>
        <v>2.5003004218398819</v>
      </c>
      <c r="F236" s="188">
        <v>2.5856019000000001E-2</v>
      </c>
      <c r="G236" s="189">
        <v>6.4647815212799997E-2</v>
      </c>
      <c r="H236" s="232"/>
      <c r="I236" s="124" t="str">
        <f t="shared" si="7"/>
        <v>(600, 650]</v>
      </c>
      <c r="J236" s="160">
        <v>1</v>
      </c>
      <c r="K236" s="276">
        <v>0.46323884972392693</v>
      </c>
      <c r="L236" s="188">
        <v>1.1977512499999999E-2</v>
      </c>
      <c r="M236" s="233">
        <v>11977512</v>
      </c>
      <c r="N236" s="195">
        <v>1.1977511999999999E-2</v>
      </c>
      <c r="O236" s="211">
        <v>2.9947378306192245E-2</v>
      </c>
      <c r="P236" s="1">
        <v>0.92647769944785385</v>
      </c>
      <c r="Q236" s="1">
        <v>1.8609975223638686E-3</v>
      </c>
      <c r="R236" s="272">
        <v>7.1975408215931014E-2</v>
      </c>
    </row>
    <row r="237" spans="1:24" ht="15.6">
      <c r="A237" s="257">
        <v>650</v>
      </c>
      <c r="B237" s="258">
        <v>700</v>
      </c>
      <c r="C237" s="160">
        <v>24290959</v>
      </c>
      <c r="D237" s="30">
        <v>16397447364.4</v>
      </c>
      <c r="E237" s="187">
        <f t="shared" si="6"/>
        <v>2.7001729103243721</v>
      </c>
      <c r="F237" s="188">
        <v>2.4290959000000001E-2</v>
      </c>
      <c r="G237" s="189">
        <v>6.5589789457600009E-2</v>
      </c>
      <c r="H237" s="232"/>
      <c r="I237" s="124" t="str">
        <f t="shared" si="7"/>
        <v>(650, 700]</v>
      </c>
      <c r="J237" s="160">
        <v>1</v>
      </c>
      <c r="K237" s="276">
        <v>0.23179992605479266</v>
      </c>
      <c r="L237" s="188">
        <v>5.6306425000000005E-3</v>
      </c>
      <c r="M237" s="233">
        <v>5630642</v>
      </c>
      <c r="N237" s="195">
        <v>5.6306419999999999E-3</v>
      </c>
      <c r="O237" s="211">
        <v>1.5203706996134643E-2</v>
      </c>
      <c r="P237" s="1">
        <v>0.46359985210958532</v>
      </c>
      <c r="Q237" s="1">
        <v>8.762685323830589E-4</v>
      </c>
      <c r="R237" s="272">
        <v>3.607385498378466E-2</v>
      </c>
    </row>
    <row r="238" spans="1:24" ht="15.6">
      <c r="A238" s="257">
        <v>700</v>
      </c>
      <c r="B238" s="258">
        <v>750</v>
      </c>
      <c r="C238" s="160">
        <v>22772654</v>
      </c>
      <c r="D238" s="30">
        <v>16510470569.4</v>
      </c>
      <c r="E238" s="187">
        <f t="shared" si="6"/>
        <v>2.9000520658505593</v>
      </c>
      <c r="F238" s="188">
        <v>2.2772654E-2</v>
      </c>
      <c r="G238" s="189">
        <v>6.6041882277600009E-2</v>
      </c>
      <c r="H238" s="232"/>
      <c r="I238" s="124" t="str">
        <f t="shared" si="7"/>
        <v>(700, 750]</v>
      </c>
      <c r="J238" s="160">
        <v>1</v>
      </c>
      <c r="K238" s="276">
        <v>0.2088161748736006</v>
      </c>
      <c r="L238" s="188">
        <v>4.7552985000000004E-3</v>
      </c>
      <c r="M238" s="233">
        <v>4755298</v>
      </c>
      <c r="N238" s="195">
        <v>4.7552979999999998E-3</v>
      </c>
      <c r="O238" s="211">
        <v>1.3790611788635032E-2</v>
      </c>
      <c r="P238" s="1">
        <v>0.4176323497472012</v>
      </c>
      <c r="Q238" s="1">
        <v>7.4115146154725073E-4</v>
      </c>
      <c r="R238" s="272">
        <v>3.2545677879585344E-2</v>
      </c>
    </row>
    <row r="239" spans="1:24" ht="15.6">
      <c r="A239" s="257">
        <v>750</v>
      </c>
      <c r="B239" s="258">
        <v>800</v>
      </c>
      <c r="C239" s="160">
        <v>21478091</v>
      </c>
      <c r="D239" s="30">
        <v>16647691716.799999</v>
      </c>
      <c r="E239" s="187">
        <f t="shared" si="6"/>
        <v>3.1004043547073152</v>
      </c>
      <c r="F239" s="188">
        <v>2.1478091000000001E-2</v>
      </c>
      <c r="G239" s="189">
        <v>6.6590766867200002E-2</v>
      </c>
      <c r="H239" s="232"/>
      <c r="I239" s="124" t="str">
        <f t="shared" si="7"/>
        <v>(750, 800]</v>
      </c>
      <c r="J239" s="160">
        <v>1</v>
      </c>
      <c r="K239" s="276">
        <v>0.36363825351145035</v>
      </c>
      <c r="L239" s="188">
        <v>7.8102555000000009E-3</v>
      </c>
      <c r="M239" s="233">
        <v>7810255</v>
      </c>
      <c r="N239" s="195">
        <v>7.8102550000000003E-3</v>
      </c>
      <c r="O239" s="211">
        <v>2.4214948613374584E-2</v>
      </c>
      <c r="P239" s="1">
        <v>0.7272765070229007</v>
      </c>
      <c r="Q239" s="1">
        <v>1.2189966059970045E-3</v>
      </c>
      <c r="R239" s="272">
        <v>5.6755351581153302E-2</v>
      </c>
    </row>
    <row r="240" spans="1:24" ht="15.6">
      <c r="A240" s="257">
        <v>800</v>
      </c>
      <c r="B240" s="258">
        <v>850</v>
      </c>
      <c r="C240" s="160">
        <v>20101606</v>
      </c>
      <c r="D240" s="30">
        <v>16584103182.4</v>
      </c>
      <c r="E240" s="187">
        <f t="shared" si="6"/>
        <v>3.300055365208133</v>
      </c>
      <c r="F240" s="188">
        <v>2.0101606000000001E-2</v>
      </c>
      <c r="G240" s="189">
        <v>6.6336412729600003E-2</v>
      </c>
      <c r="H240" s="232"/>
      <c r="I240" s="124" t="str">
        <f t="shared" si="7"/>
        <v>(800, 850]</v>
      </c>
      <c r="J240" s="160">
        <v>1</v>
      </c>
      <c r="K240" s="276">
        <v>0.2176965114130682</v>
      </c>
      <c r="L240" s="188">
        <v>4.3760495000000005E-3</v>
      </c>
      <c r="M240" s="233">
        <v>4376049</v>
      </c>
      <c r="N240" s="195">
        <v>4.3760489999999999E-3</v>
      </c>
      <c r="O240" s="211">
        <v>1.4441203980863685E-2</v>
      </c>
      <c r="P240" s="1">
        <v>0.4353930228261364</v>
      </c>
      <c r="Q240" s="1">
        <v>6.8389177127303735E-4</v>
      </c>
      <c r="R240" s="272">
        <v>3.4021747877907731E-2</v>
      </c>
    </row>
    <row r="241" spans="1:19" ht="15.6">
      <c r="A241" s="257">
        <v>850</v>
      </c>
      <c r="B241" s="258">
        <v>900</v>
      </c>
      <c r="C241" s="160">
        <v>18942867</v>
      </c>
      <c r="D241" s="30">
        <v>16575648170.200001</v>
      </c>
      <c r="E241" s="187">
        <f t="shared" si="6"/>
        <v>3.5001350471816122</v>
      </c>
      <c r="F241" s="188">
        <v>1.8942866999999999E-2</v>
      </c>
      <c r="G241" s="189">
        <v>6.6302592680799993E-2</v>
      </c>
      <c r="H241" s="232"/>
      <c r="I241" s="124" t="str">
        <f t="shared" si="7"/>
        <v>(850, 900]</v>
      </c>
      <c r="J241" s="160">
        <v>1</v>
      </c>
      <c r="K241" s="276">
        <v>0.22425974378640784</v>
      </c>
      <c r="L241" s="188">
        <v>4.2481224999999997E-3</v>
      </c>
      <c r="M241" s="233">
        <v>4248122</v>
      </c>
      <c r="N241" s="195">
        <v>4.248122E-3</v>
      </c>
      <c r="O241" s="211">
        <v>1.4869000696903245E-2</v>
      </c>
      <c r="P241" s="1">
        <v>0.44851948757281568</v>
      </c>
      <c r="Q241" s="1">
        <v>6.6471945033239174E-4</v>
      </c>
      <c r="R241" s="272">
        <v>3.5090752119644394E-2</v>
      </c>
    </row>
    <row r="242" spans="1:19" ht="15.6">
      <c r="A242" s="257">
        <v>900</v>
      </c>
      <c r="B242" s="258">
        <v>950</v>
      </c>
      <c r="C242" s="160">
        <v>17747649</v>
      </c>
      <c r="D242" s="30">
        <v>16416620302.6</v>
      </c>
      <c r="E242" s="187">
        <f t="shared" si="6"/>
        <v>3.7000101371398544</v>
      </c>
      <c r="F242" s="188">
        <v>1.7747649000000001E-2</v>
      </c>
      <c r="G242" s="189">
        <v>6.5666481210400002E-2</v>
      </c>
      <c r="H242" s="232"/>
      <c r="I242" s="124" t="str">
        <f t="shared" si="7"/>
        <v>(900, 950]</v>
      </c>
      <c r="J242" s="160">
        <v>1</v>
      </c>
      <c r="K242" s="276">
        <v>0.18372357375334614</v>
      </c>
      <c r="L242" s="188">
        <v>3.2606614999999999E-3</v>
      </c>
      <c r="M242" s="233">
        <v>3260661</v>
      </c>
      <c r="N242" s="195">
        <v>3.2606610000000002E-3</v>
      </c>
      <c r="O242" s="211">
        <v>1.2064478753776576E-2</v>
      </c>
      <c r="P242" s="1">
        <v>0.36744714750669227</v>
      </c>
      <c r="Q242" s="1">
        <v>5.1080162542589203E-4</v>
      </c>
      <c r="R242" s="272">
        <v>2.8781368474545106E-2</v>
      </c>
    </row>
    <row r="243" spans="1:19" ht="15.6">
      <c r="A243" s="257">
        <v>950</v>
      </c>
      <c r="B243" s="258">
        <v>1000</v>
      </c>
      <c r="C243" s="160">
        <v>16769457</v>
      </c>
      <c r="D243" s="30">
        <v>16351530875.200001</v>
      </c>
      <c r="E243" s="187">
        <f t="shared" si="6"/>
        <v>3.900312544455077</v>
      </c>
      <c r="F243" s="188">
        <v>1.6769457000000002E-2</v>
      </c>
      <c r="G243" s="189">
        <v>6.5406123500800009E-2</v>
      </c>
      <c r="H243" s="232"/>
      <c r="I243" s="124" t="str">
        <f t="shared" si="7"/>
        <v>(950, 1000]</v>
      </c>
      <c r="J243" s="160">
        <v>1</v>
      </c>
      <c r="K243" s="276">
        <v>0.35457054453224091</v>
      </c>
      <c r="L243" s="188">
        <v>5.9459554999999999E-3</v>
      </c>
      <c r="M243" s="233">
        <v>5945955</v>
      </c>
      <c r="N243" s="195">
        <v>5.9459550000000002E-3</v>
      </c>
      <c r="O243" s="211">
        <v>2.319108287526539E-2</v>
      </c>
      <c r="P243" s="1">
        <v>0.70914108906448181</v>
      </c>
      <c r="Q243" s="1">
        <v>9.3249869117555866E-4</v>
      </c>
      <c r="R243" s="272">
        <v>5.5606969932035281E-2</v>
      </c>
    </row>
    <row r="244" spans="1:19" ht="15.6">
      <c r="A244" s="257">
        <v>1000</v>
      </c>
      <c r="B244" s="258">
        <v>2000</v>
      </c>
      <c r="C244" s="160">
        <v>190682659</v>
      </c>
      <c r="D244" s="30">
        <v>268034574372.39999</v>
      </c>
      <c r="E244" s="187">
        <f t="shared" si="6"/>
        <v>5.6226313557416878</v>
      </c>
      <c r="F244" s="188">
        <v>0.190682659</v>
      </c>
      <c r="G244" s="189">
        <v>1.0721382974895999</v>
      </c>
      <c r="H244" s="232"/>
      <c r="I244" s="275" t="str">
        <f t="shared" si="7"/>
        <v>(1000, 2000]</v>
      </c>
      <c r="J244" s="160">
        <v>1</v>
      </c>
      <c r="K244" s="276">
        <v>7.6948850917796352E-2</v>
      </c>
      <c r="L244" s="188">
        <v>1.4672811499999999E-2</v>
      </c>
      <c r="M244" s="233">
        <v>14672811</v>
      </c>
      <c r="N244" s="195">
        <v>1.4672810999999999E-2</v>
      </c>
      <c r="O244" s="211">
        <v>8.2499807205471551E-2</v>
      </c>
      <c r="P244" s="1">
        <v>0.1538977018355927</v>
      </c>
      <c r="Q244" s="1">
        <v>2.3188292455711568E-3</v>
      </c>
      <c r="R244" s="272">
        <v>1.2160671860418922E-2</v>
      </c>
    </row>
    <row r="245" spans="1:19" ht="15.6">
      <c r="A245" s="257">
        <v>2000</v>
      </c>
      <c r="B245" s="258">
        <v>3000</v>
      </c>
      <c r="C245" s="160">
        <v>63337089</v>
      </c>
      <c r="D245" s="30">
        <v>152985868823.79999</v>
      </c>
      <c r="E245" s="187">
        <f t="shared" si="6"/>
        <v>9.6616924610349546</v>
      </c>
      <c r="F245" s="188">
        <v>6.3337088999999999E-2</v>
      </c>
      <c r="G245" s="189">
        <v>0.61194347529519999</v>
      </c>
      <c r="H245" s="232"/>
      <c r="I245" s="124" t="str">
        <f t="shared" si="7"/>
        <v>(2000, 3000]</v>
      </c>
      <c r="J245" s="160">
        <v>1</v>
      </c>
      <c r="K245" s="276">
        <v>2.3766114353629356E-2</v>
      </c>
      <c r="L245" s="188">
        <v>1.5052765E-3</v>
      </c>
      <c r="M245" s="233">
        <v>1505276</v>
      </c>
      <c r="N245" s="195">
        <v>1.5052760000000001E-3</v>
      </c>
      <c r="O245" s="211">
        <v>1.4543513780976854E-2</v>
      </c>
      <c r="P245" s="1">
        <v>4.7532228707258713E-2</v>
      </c>
      <c r="Q245" s="1">
        <v>2.4060234572901006E-4</v>
      </c>
      <c r="R245" s="272">
        <v>3.7987591398305352E-3</v>
      </c>
    </row>
    <row r="246" spans="1:19" ht="15.6">
      <c r="A246" s="257">
        <v>3000</v>
      </c>
      <c r="B246" s="258">
        <v>4000</v>
      </c>
      <c r="C246" s="160">
        <v>23980137</v>
      </c>
      <c r="D246" s="30">
        <v>82158975145.399994</v>
      </c>
      <c r="E246" s="187">
        <f t="shared" si="6"/>
        <v>13.70450471494804</v>
      </c>
      <c r="F246" s="188">
        <v>2.3980136999999999E-2</v>
      </c>
      <c r="G246" s="189">
        <v>0.32863590058159992</v>
      </c>
      <c r="H246" s="232"/>
      <c r="I246" s="124" t="str">
        <f t="shared" si="7"/>
        <v>(3000, 4000]</v>
      </c>
      <c r="J246" s="160">
        <v>1</v>
      </c>
      <c r="K246" s="276">
        <v>5.039764785330459E-2</v>
      </c>
      <c r="L246" s="188">
        <v>1.2085424999999999E-3</v>
      </c>
      <c r="M246" s="233">
        <v>1208542</v>
      </c>
      <c r="N246" s="195">
        <v>1.2085419999999999E-3</v>
      </c>
      <c r="O246" s="211">
        <v>1.6562469537212732E-2</v>
      </c>
      <c r="P246" s="1">
        <v>0.10079529570660918</v>
      </c>
      <c r="Q246" s="1">
        <v>1.9459292360516313E-4</v>
      </c>
      <c r="R246" s="272">
        <v>8.1147544572061098E-3</v>
      </c>
    </row>
    <row r="247" spans="1:19" ht="15.6">
      <c r="A247" s="257">
        <v>4000</v>
      </c>
      <c r="B247" s="258">
        <v>5000</v>
      </c>
      <c r="C247" s="160">
        <v>10483743</v>
      </c>
      <c r="D247" s="30">
        <v>46525247928.199997</v>
      </c>
      <c r="E247" s="187">
        <f t="shared" si="6"/>
        <v>17.751388193396195</v>
      </c>
      <c r="F247" s="188">
        <v>1.0483743E-2</v>
      </c>
      <c r="G247" s="189">
        <v>0.18610099171280001</v>
      </c>
      <c r="H247" s="232"/>
      <c r="I247" s="124" t="str">
        <f t="shared" si="7"/>
        <v>(4000, 5000]</v>
      </c>
      <c r="J247" s="160">
        <v>1</v>
      </c>
      <c r="K247" s="276">
        <v>9.1161477346401953E-2</v>
      </c>
      <c r="L247" s="188">
        <v>9.5571350000000002E-4</v>
      </c>
      <c r="M247" s="233">
        <v>955713</v>
      </c>
      <c r="N247" s="195">
        <v>9.5571299999999996E-4</v>
      </c>
      <c r="O247" s="211">
        <v>1.6965232464475257E-2</v>
      </c>
      <c r="P247" s="1">
        <v>0.18232295469280391</v>
      </c>
      <c r="Q247" s="1">
        <v>1.5472097419784935E-4</v>
      </c>
      <c r="R247" s="272">
        <v>1.4758180756419664E-2</v>
      </c>
    </row>
    <row r="248" spans="1:19" ht="15.6">
      <c r="A248" s="257">
        <v>5000</v>
      </c>
      <c r="B248" s="258">
        <v>6000</v>
      </c>
      <c r="C248" s="160">
        <v>5307516</v>
      </c>
      <c r="D248" s="30">
        <v>28923266193</v>
      </c>
      <c r="E248" s="187">
        <f t="shared" si="6"/>
        <v>21.797968159116241</v>
      </c>
      <c r="F248" s="188">
        <v>5.307516E-3</v>
      </c>
      <c r="G248" s="189">
        <v>0.11569306477199999</v>
      </c>
      <c r="H248" s="232"/>
      <c r="I248" s="124" t="str">
        <f t="shared" si="7"/>
        <v>(5000, 6000]</v>
      </c>
      <c r="J248" s="160">
        <v>1</v>
      </c>
      <c r="K248" s="276">
        <v>5.949383854895586E-2</v>
      </c>
      <c r="L248" s="188">
        <v>3.1576450000000002E-4</v>
      </c>
      <c r="M248" s="233">
        <v>315764</v>
      </c>
      <c r="N248" s="195">
        <v>3.1576400000000001E-4</v>
      </c>
      <c r="O248" s="211">
        <v>6.8830136177951808E-3</v>
      </c>
      <c r="P248" s="1">
        <v>0.11898767709791172</v>
      </c>
      <c r="Q248" s="1">
        <v>5.1339773931655664E-5</v>
      </c>
      <c r="R248" s="272">
        <v>9.6730323435022456E-3</v>
      </c>
    </row>
    <row r="249" spans="1:19" ht="15.6">
      <c r="A249" s="257">
        <v>6000</v>
      </c>
      <c r="B249" s="258">
        <v>7000</v>
      </c>
      <c r="C249" s="160">
        <v>3110842</v>
      </c>
      <c r="D249" s="30">
        <v>20096818659.599998</v>
      </c>
      <c r="E249" s="187">
        <f t="shared" si="6"/>
        <v>25.841002094738332</v>
      </c>
      <c r="F249" s="188">
        <v>3.1108419999999999E-3</v>
      </c>
      <c r="G249" s="189">
        <v>8.038727463839998E-2</v>
      </c>
      <c r="H249" s="232"/>
      <c r="I249" s="124" t="str">
        <f t="shared" si="7"/>
        <v>(6000, 7000]</v>
      </c>
      <c r="J249" s="160">
        <v>1</v>
      </c>
      <c r="K249" s="276">
        <v>9.559292950268769E-2</v>
      </c>
      <c r="L249" s="188">
        <v>2.973745E-4</v>
      </c>
      <c r="M249" s="233">
        <v>297374</v>
      </c>
      <c r="N249" s="195">
        <v>2.9737399999999999E-4</v>
      </c>
      <c r="O249" s="211">
        <v>7.6844421569207165E-3</v>
      </c>
      <c r="P249" s="1">
        <v>0.19118585900537538</v>
      </c>
      <c r="Q249" s="1">
        <v>4.8522573340460124E-5</v>
      </c>
      <c r="R249" s="272">
        <v>1.559789064840327E-2</v>
      </c>
    </row>
    <row r="250" spans="1:19" ht="15.6">
      <c r="A250" s="257">
        <v>7000</v>
      </c>
      <c r="B250" s="258">
        <v>8000</v>
      </c>
      <c r="C250" s="160">
        <v>2027752</v>
      </c>
      <c r="D250" s="30">
        <v>15143669069</v>
      </c>
      <c r="E250" s="187">
        <f t="shared" si="6"/>
        <v>29.872822848158947</v>
      </c>
      <c r="F250" s="188">
        <v>2.0277519999999999E-3</v>
      </c>
      <c r="G250" s="189">
        <v>6.0574676275999995E-2</v>
      </c>
      <c r="H250" s="232"/>
      <c r="I250" s="124" t="str">
        <f t="shared" si="7"/>
        <v>(7000, 8000]</v>
      </c>
      <c r="J250" s="160">
        <v>1</v>
      </c>
      <c r="K250" s="276">
        <v>0.1362910750427074</v>
      </c>
      <c r="L250" s="188">
        <v>2.7636449999999998E-4</v>
      </c>
      <c r="M250" s="233">
        <v>276364</v>
      </c>
      <c r="N250" s="195">
        <v>2.7636400000000003E-4</v>
      </c>
      <c r="O250" s="211">
        <v>8.2557728136086004E-3</v>
      </c>
      <c r="P250" s="1">
        <v>0.27258215008541481</v>
      </c>
      <c r="Q250" s="1">
        <v>4.5230985118384998E-5</v>
      </c>
      <c r="R250" s="272">
        <v>2.230597485214415E-2</v>
      </c>
    </row>
    <row r="251" spans="1:19" ht="15.6">
      <c r="A251" s="257">
        <v>8000</v>
      </c>
      <c r="B251" s="258">
        <v>9000</v>
      </c>
      <c r="C251" s="160">
        <v>1429878</v>
      </c>
      <c r="D251" s="30">
        <v>12114614288</v>
      </c>
      <c r="E251" s="187">
        <f t="shared" si="6"/>
        <v>33.889924281652</v>
      </c>
      <c r="F251" s="188">
        <v>1.4298780000000001E-3</v>
      </c>
      <c r="G251" s="189">
        <v>4.8458457151999999E-2</v>
      </c>
      <c r="H251" s="232"/>
      <c r="I251" s="124" t="str">
        <f t="shared" si="7"/>
        <v>(8000, 9000]</v>
      </c>
      <c r="J251" s="160">
        <v>1</v>
      </c>
      <c r="K251" s="276">
        <v>0.15527933152338871</v>
      </c>
      <c r="L251" s="188">
        <v>2.2203050000000002E-4</v>
      </c>
      <c r="M251" s="233">
        <v>222030</v>
      </c>
      <c r="N251" s="195">
        <v>2.2202999999999999E-4</v>
      </c>
      <c r="O251" s="211">
        <v>7.5245798882551933E-3</v>
      </c>
      <c r="P251" s="198">
        <v>0.31055866304677743</v>
      </c>
      <c r="Q251" s="198">
        <v>3.6435176505648529E-5</v>
      </c>
      <c r="R251" s="272">
        <v>2.548131834020002E-2</v>
      </c>
      <c r="S251" s="182"/>
    </row>
    <row r="252" spans="1:19" ht="15.6">
      <c r="A252" s="257">
        <v>9000</v>
      </c>
      <c r="B252" s="258">
        <v>10000</v>
      </c>
      <c r="C252" s="160">
        <v>1042499</v>
      </c>
      <c r="D252" s="30">
        <v>9877166657.3999996</v>
      </c>
      <c r="E252" s="187">
        <f t="shared" si="6"/>
        <v>37.898037916199435</v>
      </c>
      <c r="F252" s="188">
        <v>1.0424989999999999E-3</v>
      </c>
      <c r="G252" s="189">
        <v>3.9508666629599988E-2</v>
      </c>
      <c r="H252" s="232"/>
      <c r="I252" s="124" t="str">
        <f t="shared" si="7"/>
        <v>(9000, 10000]</v>
      </c>
      <c r="J252" s="160">
        <v>1</v>
      </c>
      <c r="K252" s="276">
        <v>6.721301411320299E-2</v>
      </c>
      <c r="L252" s="188">
        <v>7.0069500000000004E-5</v>
      </c>
      <c r="M252" s="233">
        <v>70069</v>
      </c>
      <c r="N252" s="195">
        <v>7.0068999999999996E-5</v>
      </c>
      <c r="O252" s="211">
        <v>2.6554776187501781E-3</v>
      </c>
      <c r="P252" s="198">
        <v>0.13442602822640598</v>
      </c>
      <c r="Q252" s="198">
        <v>1.1525633621686288E-5</v>
      </c>
      <c r="R252" s="272">
        <v>1.1055774270945382E-2</v>
      </c>
      <c r="S252" s="182"/>
    </row>
    <row r="253" spans="1:19" ht="15.6">
      <c r="A253" s="257">
        <v>10000</v>
      </c>
      <c r="B253" s="258">
        <v>20000</v>
      </c>
      <c r="C253" s="160">
        <v>2854249</v>
      </c>
      <c r="D253" s="30">
        <v>36490918340.400002</v>
      </c>
      <c r="E253" s="187">
        <f t="shared" si="6"/>
        <v>51.139081895658023</v>
      </c>
      <c r="F253" s="188">
        <v>2.8542490000000001E-3</v>
      </c>
      <c r="G253" s="189">
        <v>0.14596367336160002</v>
      </c>
      <c r="H253" s="232"/>
      <c r="I253" s="275" t="str">
        <f t="shared" si="7"/>
        <v>(10000, 20000]</v>
      </c>
      <c r="J253" s="160">
        <v>1</v>
      </c>
      <c r="K253" s="276">
        <v>6.3842187559669805E-2</v>
      </c>
      <c r="L253" s="188">
        <v>1.822215E-4</v>
      </c>
      <c r="M253" s="233">
        <v>182221</v>
      </c>
      <c r="N253" s="195">
        <v>1.8222099999999999E-4</v>
      </c>
      <c r="O253" s="211">
        <v>9.3186146421087006E-3</v>
      </c>
      <c r="P253" s="198">
        <v>0.12768437511933961</v>
      </c>
      <c r="Q253" s="198">
        <v>3.0161344925913713E-5</v>
      </c>
      <c r="R253" s="272">
        <v>1.0567173685937601E-2</v>
      </c>
      <c r="S253" s="182"/>
    </row>
    <row r="254" spans="1:19" ht="15.6">
      <c r="A254" s="257">
        <v>20000</v>
      </c>
      <c r="B254" s="258">
        <v>30000</v>
      </c>
      <c r="C254" s="160">
        <v>113860</v>
      </c>
      <c r="D254" s="30">
        <v>2572864813</v>
      </c>
      <c r="E254" s="187">
        <f t="shared" si="6"/>
        <v>90.386959880555068</v>
      </c>
      <c r="F254" s="188">
        <v>1.1386E-4</v>
      </c>
      <c r="G254" s="189">
        <v>1.0291459252E-2</v>
      </c>
      <c r="H254" s="232"/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>
        <v>0</v>
      </c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4616</v>
      </c>
      <c r="D255" s="30">
        <v>154809664</v>
      </c>
      <c r="E255" s="187">
        <f t="shared" si="6"/>
        <v>134.15048873483533</v>
      </c>
      <c r="F255" s="188">
        <v>4.6160000000000004E-6</v>
      </c>
      <c r="G255" s="189">
        <v>6.1923865599999991E-4</v>
      </c>
      <c r="H255" s="232"/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>
        <v>0</v>
      </c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/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>
        <v>0</v>
      </c>
      <c r="Q256" s="198">
        <v>0</v>
      </c>
      <c r="R256" s="1">
        <v>0</v>
      </c>
      <c r="S256" s="182"/>
    </row>
    <row r="257" spans="13:15" ht="16.8" thickBot="1">
      <c r="N257" s="1">
        <f>1/N251</f>
        <v>4503.8958699274872</v>
      </c>
      <c r="O257" s="10">
        <f>SUM(O240:O250)</f>
        <v>0.21796001788326977</v>
      </c>
    </row>
    <row r="258" spans="13:15" ht="16.8" thickBot="1">
      <c r="M258" s="114"/>
      <c r="N258" s="164" t="s">
        <v>181</v>
      </c>
      <c r="O258" s="219" t="s">
        <v>180</v>
      </c>
    </row>
    <row r="259" spans="13:15">
      <c r="M259" s="128" t="s">
        <v>178</v>
      </c>
      <c r="N259" s="218">
        <f>1/SUM(N244:N253)</f>
        <v>50.745543374144248</v>
      </c>
      <c r="O259" s="220" cm="1">
        <f t="array" ref="O259:O260">N261/N259:N260</f>
        <v>275.88629600000002</v>
      </c>
    </row>
    <row r="260" spans="13:15" ht="16.8" thickBot="1">
      <c r="M260" s="124" t="s">
        <v>179</v>
      </c>
      <c r="N260" s="218">
        <f>1/SUM(N257)</f>
        <v>2.2203000000000001E-4</v>
      </c>
      <c r="O260" s="220">
        <v>63054542.178984821</v>
      </c>
    </row>
    <row r="261" spans="13:15" ht="16.8" thickBot="1">
      <c r="M261" s="114" t="s">
        <v>177</v>
      </c>
      <c r="N261" s="184">
        <f>N196/250</f>
        <v>14000</v>
      </c>
      <c r="O261" s="165"/>
    </row>
  </sheetData>
  <phoneticPr fontId="2" type="noConversion"/>
  <conditionalFormatting sqref="J4:O61 C4:G61">
    <cfRule type="cellIs" dxfId="93" priority="50" operator="equal">
      <formula>0</formula>
    </cfRule>
  </conditionalFormatting>
  <conditionalFormatting sqref="O4:O61"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{7383A3D1-9BBA-440D-AFB3-C08DDCD46BF4}</x14:id>
        </ext>
      </extLst>
    </cfRule>
  </conditionalFormatting>
  <conditionalFormatting sqref="N5:N61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{241C5951-080D-4AD5-AFE5-6FCFC670B7C9}</x14:id>
        </ext>
      </extLst>
    </cfRule>
  </conditionalFormatting>
  <conditionalFormatting sqref="AX134:AX185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{12F5A5AB-7EA4-43F9-80A4-155C3D2F7F89}</x14:id>
        </ext>
      </extLst>
    </cfRule>
  </conditionalFormatting>
  <conditionalFormatting sqref="J69:O126 C69:G126">
    <cfRule type="cellIs" dxfId="92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{4E677AE0-CC34-4BD8-AF66-4347B487609B}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{57A7C7AA-E23C-4CDF-9949-D1F10229EFD8}</x14:id>
        </ext>
      </extLst>
    </cfRule>
  </conditionalFormatting>
  <conditionalFormatting sqref="J134:O191 C134:G191">
    <cfRule type="cellIs" dxfId="91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{46017EB9-D3E4-464C-B5E3-888A572F9179}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{1FADF4AB-15ED-4537-83E4-96712FC5FBC2}</x14:id>
        </ext>
      </extLst>
    </cfRule>
  </conditionalFormatting>
  <conditionalFormatting sqref="C199:G256 J199:O256">
    <cfRule type="cellIs" dxfId="90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{5BAFB5AD-D75B-429F-834C-F4E7F73154F1}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{2F6C85F3-7D75-492A-9035-793298DB958C}</x14:id>
        </ext>
      </extLst>
    </cfRule>
  </conditionalFormatting>
  <conditionalFormatting sqref="R134:R191">
    <cfRule type="cellIs" dxfId="89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{95FCDCE0-C060-4DF4-98A7-D415B87377CF}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{6B2AE40D-E245-4485-B1BD-99FA80403D67}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{A3FA5EE4-FD32-4E67-BD01-A259EF00454E}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{9C61059D-C18C-451F-943A-38752C710D1E}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83A3D1-9BBA-440D-AFB3-C08DDCD46B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241C5951-080D-4AD5-AFE5-6FCFC670B7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12F5A5AB-7EA4-43F9-80A4-155C3D2F7F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4E677AE0-CC34-4BD8-AF66-4347B48760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57A7C7AA-E23C-4CDF-9949-D1F10229EF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46017EB9-D3E4-464C-B5E3-888A572F91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1FADF4AB-15ED-4537-83E4-96712FC5FB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5BAFB5AD-D75B-429F-834C-F4E7F73154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2F6C85F3-7D75-492A-9035-793298DB95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95FCDCE0-C060-4DF4-98A7-D415B87377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6B2AE40D-E245-4485-B1BD-99FA80403D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3FA5EE4-FD32-4E67-BD01-A259EF0045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9C61059D-C18C-451F-943A-38752C710D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F7F79-F1A7-4567-84D2-B3A3092B2B45}">
  <dimension ref="A1:BM258"/>
  <sheetViews>
    <sheetView topLeftCell="G4" zoomScale="70" zoomScaleNormal="70" workbookViewId="0">
      <selection activeCell="M25" sqref="M25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9.33203125" style="1" customWidth="1"/>
    <col min="56" max="56" width="18.77734375" style="1" customWidth="1"/>
    <col min="57" max="62" width="8.88671875" style="1" customWidth="1"/>
    <col min="63" max="63" width="25.21875" style="1" bestFit="1" customWidth="1"/>
    <col min="64" max="64" width="8.88671875" style="1"/>
    <col min="65" max="65" width="16.21875" style="1" bestFit="1" customWidth="1"/>
    <col min="66" max="16384" width="8.88671875" style="1"/>
  </cols>
  <sheetData>
    <row r="1" spans="1:30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W1" s="179"/>
    </row>
    <row r="2" spans="1:30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0.8999999999017908</v>
      </c>
      <c r="P2" s="215"/>
      <c r="Q2" s="181"/>
    </row>
    <row r="3" spans="1:30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/>
      <c r="R3" s="216"/>
      <c r="W3" s="85"/>
      <c r="AD3" s="197"/>
    </row>
    <row r="4" spans="1:30" ht="15.6">
      <c r="A4" s="239">
        <v>-1</v>
      </c>
      <c r="B4" s="245">
        <v>0</v>
      </c>
      <c r="C4" s="158" cm="1">
        <f t="array" ref="C4:D61">'Multiplier Weight'!C4:D61</f>
        <v>795188919</v>
      </c>
      <c r="D4" s="166">
        <v>0</v>
      </c>
      <c r="E4" s="241">
        <f>IFERROR((D4/$E$1)/(C4),0)</f>
        <v>0</v>
      </c>
      <c r="F4" s="185" cm="1">
        <f t="array" ref="F4:F61">C4:C61/SUM(C4:C61)</f>
        <v>0.79518891899999999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54">
        <v>1.1334291838893193</v>
      </c>
      <c r="L4" s="185" cm="1">
        <f t="array" ref="L4:L61">K4:K61*_xlfn.ANCHORARRAY(J4)*_xlfn.ANCHORARRAY(F4)</f>
        <v>0.90129032750000004</v>
      </c>
      <c r="M4" s="240" cm="1">
        <f t="array" ref="M4:M61">INT(_xlfn.ANCHORARRAY(L4)*$M$2)</f>
        <v>901290327</v>
      </c>
      <c r="N4" s="194" cm="1">
        <f t="array" ref="N4:N61">_xlfn.ANCHORARRAY(M4)/SUM(_xlfn.ANCHORARRAY(M4))</f>
        <v>0.901290327</v>
      </c>
      <c r="O4" s="210" cm="1">
        <f t="array" ref="O4:O61">_xlfn.ANCHORARRAY(N4)*E4:E61</f>
        <v>0</v>
      </c>
      <c r="P4" s="198"/>
      <c r="Q4" s="198"/>
      <c r="R4" s="216"/>
      <c r="S4" s="182"/>
      <c r="T4" s="213"/>
      <c r="AD4" s="197"/>
    </row>
    <row r="5" spans="1:30" ht="15.6">
      <c r="A5" s="242">
        <v>0</v>
      </c>
      <c r="B5" s="246">
        <v>1</v>
      </c>
      <c r="C5" s="160">
        <v>12223533</v>
      </c>
      <c r="D5" s="30">
        <v>917729700</v>
      </c>
      <c r="E5" s="187">
        <f t="shared" ref="E5:E61" si="0">IFERROR((D5/$E$1)/(C5),0)</f>
        <v>0.75078923581259194</v>
      </c>
      <c r="F5" s="188">
        <v>1.2223533E-2</v>
      </c>
      <c r="G5" s="189">
        <v>9.1772969999999992E-3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0.4521895183659258</v>
      </c>
      <c r="L5" s="188">
        <v>5.5273535000000002E-3</v>
      </c>
      <c r="M5" s="233">
        <v>5527353</v>
      </c>
      <c r="N5" s="195">
        <v>5.5273529999999996E-3</v>
      </c>
      <c r="O5" s="211">
        <v>4.1498771349364368E-3</v>
      </c>
      <c r="P5" s="198"/>
      <c r="Q5" s="198"/>
      <c r="S5" s="182"/>
      <c r="AD5" s="197"/>
    </row>
    <row r="6" spans="1:30" ht="15.6">
      <c r="A6" s="242">
        <v>1</v>
      </c>
      <c r="B6" s="246">
        <v>2</v>
      </c>
      <c r="C6" s="160">
        <v>19854235</v>
      </c>
      <c r="D6" s="30">
        <v>3409420460</v>
      </c>
      <c r="E6" s="187">
        <f t="shared" si="0"/>
        <v>1.7172258009437282</v>
      </c>
      <c r="F6" s="188">
        <v>1.9854235000000001E-2</v>
      </c>
      <c r="G6" s="189">
        <v>3.4094204600000004E-2</v>
      </c>
      <c r="H6" s="178"/>
      <c r="I6" s="214" t="str">
        <f t="shared" si="1"/>
        <v>(1, 2]</v>
      </c>
      <c r="J6" s="160">
        <v>1</v>
      </c>
      <c r="K6" s="234">
        <v>0.45167413904388659</v>
      </c>
      <c r="L6" s="188">
        <v>8.9676445E-3</v>
      </c>
      <c r="M6" s="233">
        <v>8967644</v>
      </c>
      <c r="N6" s="195">
        <v>8.9676440000000003E-3</v>
      </c>
      <c r="O6" s="211">
        <v>1.5399469650478219E-2</v>
      </c>
      <c r="P6" s="198"/>
      <c r="Q6" s="198"/>
      <c r="S6" s="182"/>
      <c r="AD6" s="197"/>
    </row>
    <row r="7" spans="1:30" ht="15.6">
      <c r="A7" s="242">
        <v>2</v>
      </c>
      <c r="B7" s="246">
        <v>3</v>
      </c>
      <c r="C7" s="160">
        <v>14020917</v>
      </c>
      <c r="D7" s="30">
        <v>3854712400</v>
      </c>
      <c r="E7" s="187">
        <f t="shared" si="0"/>
        <v>2.7492584115575323</v>
      </c>
      <c r="F7" s="188">
        <v>1.4020917000000001E-2</v>
      </c>
      <c r="G7" s="189">
        <v>3.8547124000000002E-2</v>
      </c>
      <c r="H7" s="178"/>
      <c r="I7" s="124" t="str">
        <f t="shared" si="1"/>
        <v>(2, 3]</v>
      </c>
      <c r="J7" s="160">
        <v>1</v>
      </c>
      <c r="K7" s="234">
        <v>0.45121638620355575</v>
      </c>
      <c r="L7" s="188">
        <v>6.3264675000000003E-3</v>
      </c>
      <c r="M7" s="233">
        <v>6326467</v>
      </c>
      <c r="N7" s="195">
        <v>6.3264669999999997E-3</v>
      </c>
      <c r="O7" s="211">
        <v>1.7393092615191147E-2</v>
      </c>
      <c r="P7" s="198"/>
      <c r="Q7" s="198"/>
      <c r="S7" s="182"/>
      <c r="AD7" s="197"/>
    </row>
    <row r="8" spans="1:30" ht="15.6">
      <c r="A8" s="242">
        <v>3</v>
      </c>
      <c r="B8" s="246">
        <v>4</v>
      </c>
      <c r="C8" s="160">
        <v>18463165</v>
      </c>
      <c r="D8" s="30">
        <v>6828453200</v>
      </c>
      <c r="E8" s="187">
        <f t="shared" si="0"/>
        <v>3.6984196371532185</v>
      </c>
      <c r="F8" s="188">
        <v>1.8463165E-2</v>
      </c>
      <c r="G8" s="189">
        <v>6.8284532000000009E-2</v>
      </c>
      <c r="H8" s="178"/>
      <c r="I8" s="124" t="str">
        <f t="shared" si="1"/>
        <v>(3, 4]</v>
      </c>
      <c r="J8" s="160">
        <v>1</v>
      </c>
      <c r="K8" s="234">
        <v>0.45083389007247676</v>
      </c>
      <c r="L8" s="188">
        <v>8.3238205000000006E-3</v>
      </c>
      <c r="M8" s="233">
        <v>8323820</v>
      </c>
      <c r="N8" s="195">
        <v>8.3238199999999991E-3</v>
      </c>
      <c r="O8" s="211">
        <v>3.0784979344128702E-2</v>
      </c>
      <c r="P8" s="198"/>
      <c r="Q8" s="198"/>
      <c r="S8" s="182"/>
      <c r="AD8" s="197"/>
    </row>
    <row r="9" spans="1:30" ht="15.6">
      <c r="A9" s="242">
        <v>4</v>
      </c>
      <c r="B9" s="246">
        <v>5</v>
      </c>
      <c r="C9" s="160">
        <v>12601097</v>
      </c>
      <c r="D9" s="30">
        <v>6055478580</v>
      </c>
      <c r="E9" s="187">
        <f t="shared" si="0"/>
        <v>4.8055169958615505</v>
      </c>
      <c r="F9" s="188">
        <v>1.2601097E-2</v>
      </c>
      <c r="G9" s="189">
        <v>6.0554785799999997E-2</v>
      </c>
      <c r="H9" s="178"/>
      <c r="I9" s="124" t="str">
        <f t="shared" si="1"/>
        <v>(4, 5]</v>
      </c>
      <c r="J9" s="160">
        <v>1</v>
      </c>
      <c r="K9" s="234">
        <v>0.45169896716135111</v>
      </c>
      <c r="L9" s="188">
        <v>5.6919025000000002E-3</v>
      </c>
      <c r="M9" s="233">
        <v>5691902</v>
      </c>
      <c r="N9" s="195">
        <v>5.6919020000000004E-3</v>
      </c>
      <c r="O9" s="211">
        <v>2.7352531799778354E-2</v>
      </c>
      <c r="P9" s="198"/>
      <c r="Q9" s="198"/>
      <c r="S9" s="182"/>
      <c r="AD9" s="197"/>
    </row>
    <row r="10" spans="1:30" ht="15.6">
      <c r="A10" s="242">
        <v>5</v>
      </c>
      <c r="B10" s="246">
        <v>6</v>
      </c>
      <c r="C10" s="160">
        <v>12543731</v>
      </c>
      <c r="D10" s="30">
        <v>7466041340</v>
      </c>
      <c r="E10" s="187">
        <f t="shared" si="0"/>
        <v>5.9520100837621603</v>
      </c>
      <c r="F10" s="188">
        <v>1.2543731000000001E-2</v>
      </c>
      <c r="G10" s="189">
        <v>7.4660413400000014E-2</v>
      </c>
      <c r="H10" s="178"/>
      <c r="I10" s="124" t="str">
        <f t="shared" si="1"/>
        <v>(5, 6]</v>
      </c>
      <c r="J10" s="160">
        <v>1</v>
      </c>
      <c r="K10" s="234">
        <v>0.45125907913682139</v>
      </c>
      <c r="L10" s="188">
        <v>5.6604725000000003E-3</v>
      </c>
      <c r="M10" s="233">
        <v>5660472</v>
      </c>
      <c r="N10" s="195">
        <v>5.6604719999999997E-3</v>
      </c>
      <c r="O10" s="211">
        <v>3.3691186422853361E-2</v>
      </c>
      <c r="P10" s="198"/>
      <c r="Q10" s="198"/>
      <c r="S10" s="182"/>
      <c r="AD10" s="197"/>
    </row>
    <row r="11" spans="1:30" ht="15.6">
      <c r="A11" s="242">
        <v>6</v>
      </c>
      <c r="B11" s="246">
        <v>7</v>
      </c>
      <c r="C11" s="160">
        <v>3159125</v>
      </c>
      <c r="D11" s="30">
        <v>2062217360</v>
      </c>
      <c r="E11" s="187">
        <f t="shared" si="0"/>
        <v>6.5278118466347488</v>
      </c>
      <c r="F11" s="188">
        <v>3.159125E-3</v>
      </c>
      <c r="G11" s="189">
        <v>2.0622173600000002E-2</v>
      </c>
      <c r="H11" s="178"/>
      <c r="I11" s="124" t="str">
        <f t="shared" si="1"/>
        <v>(6, 7]</v>
      </c>
      <c r="J11" s="160">
        <v>1</v>
      </c>
      <c r="K11" s="234">
        <v>0.45132734538835911</v>
      </c>
      <c r="L11" s="188">
        <v>1.4257994999999999E-3</v>
      </c>
      <c r="M11" s="233">
        <v>1425799</v>
      </c>
      <c r="N11" s="195">
        <v>1.4257989999999999E-3</v>
      </c>
      <c r="O11" s="211">
        <v>9.3073476031199781E-3</v>
      </c>
      <c r="P11" s="198"/>
      <c r="Q11" s="198"/>
      <c r="S11" s="182"/>
      <c r="AD11" s="197"/>
    </row>
    <row r="12" spans="1:30" ht="15.6">
      <c r="A12" s="242">
        <v>7</v>
      </c>
      <c r="B12" s="246">
        <v>8</v>
      </c>
      <c r="C12" s="160">
        <v>13147608</v>
      </c>
      <c r="D12" s="30">
        <v>10142167660</v>
      </c>
      <c r="E12" s="187">
        <f t="shared" si="0"/>
        <v>7.7140782262446521</v>
      </c>
      <c r="F12" s="188">
        <v>1.3147608E-2</v>
      </c>
      <c r="G12" s="189">
        <v>0.1014216766</v>
      </c>
      <c r="H12" s="178"/>
      <c r="I12" s="214" t="str">
        <f t="shared" si="1"/>
        <v>(7, 8]</v>
      </c>
      <c r="J12" s="160">
        <v>1</v>
      </c>
      <c r="K12" s="234">
        <v>1.1289894329067309</v>
      </c>
      <c r="L12" s="188">
        <v>1.4843510499999999E-2</v>
      </c>
      <c r="M12" s="233">
        <v>14843510</v>
      </c>
      <c r="N12" s="195">
        <v>1.4843510000000001E-2</v>
      </c>
      <c r="O12" s="211">
        <v>0.11450399729204476</v>
      </c>
      <c r="P12" s="198"/>
      <c r="Q12" s="198"/>
      <c r="S12" s="182"/>
      <c r="AD12" s="197"/>
    </row>
    <row r="13" spans="1:30" ht="15.6">
      <c r="A13" s="242">
        <v>8</v>
      </c>
      <c r="B13" s="246">
        <v>9</v>
      </c>
      <c r="C13" s="160">
        <v>5760279</v>
      </c>
      <c r="D13" s="30">
        <v>5138867060</v>
      </c>
      <c r="E13" s="187">
        <f t="shared" si="0"/>
        <v>8.9212120801787549</v>
      </c>
      <c r="F13" s="188">
        <v>5.7602790000000001E-3</v>
      </c>
      <c r="G13" s="189">
        <v>5.1388670599999998E-2</v>
      </c>
      <c r="H13" s="178"/>
      <c r="I13" s="124" t="str">
        <f t="shared" si="1"/>
        <v>(8, 9]</v>
      </c>
      <c r="J13" s="160">
        <v>1</v>
      </c>
      <c r="K13" s="234">
        <v>0.56184214341006744</v>
      </c>
      <c r="L13" s="188">
        <v>3.2363674999999997E-3</v>
      </c>
      <c r="M13" s="233">
        <v>3236367</v>
      </c>
      <c r="N13" s="195">
        <v>3.236367E-3</v>
      </c>
      <c r="O13" s="211">
        <v>2.8872316376291875E-2</v>
      </c>
      <c r="P13" s="198"/>
      <c r="Q13" s="198"/>
      <c r="S13" s="182"/>
      <c r="AD13" s="197"/>
    </row>
    <row r="14" spans="1:30" ht="15.6">
      <c r="A14" s="242">
        <v>9</v>
      </c>
      <c r="B14" s="246">
        <v>10</v>
      </c>
      <c r="C14" s="160">
        <v>7136369</v>
      </c>
      <c r="D14" s="30">
        <v>6958218440</v>
      </c>
      <c r="E14" s="187">
        <f t="shared" si="0"/>
        <v>9.7503624602371328</v>
      </c>
      <c r="F14" s="188">
        <v>7.136369E-3</v>
      </c>
      <c r="G14" s="189">
        <v>6.9582184400000011E-2</v>
      </c>
      <c r="H14" s="178"/>
      <c r="I14" s="124" t="str">
        <f t="shared" si="1"/>
        <v>(9, 10]</v>
      </c>
      <c r="J14" s="160">
        <v>1</v>
      </c>
      <c r="K14" s="234">
        <v>0.56374334062602427</v>
      </c>
      <c r="L14" s="188">
        <v>4.0230804999999998E-3</v>
      </c>
      <c r="M14" s="233">
        <v>4023080</v>
      </c>
      <c r="N14" s="195">
        <v>4.0230800000000001E-3</v>
      </c>
      <c r="O14" s="211">
        <v>3.9226488206530803E-2</v>
      </c>
      <c r="P14" s="198"/>
      <c r="Q14" s="198"/>
      <c r="S14" s="182"/>
    </row>
    <row r="15" spans="1:30" ht="15.6">
      <c r="A15" s="242">
        <v>10</v>
      </c>
      <c r="B15" s="246">
        <v>15</v>
      </c>
      <c r="C15" s="160">
        <v>17909726</v>
      </c>
      <c r="D15" s="30">
        <v>22799765820</v>
      </c>
      <c r="E15" s="187">
        <f t="shared" si="0"/>
        <v>12.730382262687883</v>
      </c>
      <c r="F15" s="188">
        <v>1.7909726000000001E-2</v>
      </c>
      <c r="G15" s="189">
        <v>0.22799765820000001</v>
      </c>
      <c r="H15" s="178"/>
      <c r="I15" s="214" t="str">
        <f t="shared" si="1"/>
        <v>(10, 15]</v>
      </c>
      <c r="J15" s="160">
        <v>1</v>
      </c>
      <c r="K15" s="234">
        <v>1.126732229180949</v>
      </c>
      <c r="L15" s="188">
        <v>2.01794655E-2</v>
      </c>
      <c r="M15" s="233">
        <v>20179465</v>
      </c>
      <c r="N15" s="195">
        <v>2.0179465000000001E-2</v>
      </c>
      <c r="O15" s="211">
        <v>0.25689230330653096</v>
      </c>
      <c r="P15" s="198"/>
      <c r="Q15" s="198"/>
      <c r="S15" s="182"/>
    </row>
    <row r="16" spans="1:30" ht="15.6">
      <c r="A16" s="242">
        <v>15</v>
      </c>
      <c r="B16" s="246">
        <v>20</v>
      </c>
      <c r="C16" s="160">
        <v>11269242</v>
      </c>
      <c r="D16" s="30">
        <v>20112711300</v>
      </c>
      <c r="E16" s="187">
        <f t="shared" si="0"/>
        <v>17.847439339753286</v>
      </c>
      <c r="F16" s="188">
        <v>1.1269242E-2</v>
      </c>
      <c r="G16" s="189">
        <v>0.20112711300000002</v>
      </c>
      <c r="H16" s="178"/>
      <c r="I16" s="124" t="str">
        <f t="shared" si="1"/>
        <v>(15, 20]</v>
      </c>
      <c r="J16" s="160">
        <v>1</v>
      </c>
      <c r="K16" s="234">
        <v>0.44956373285798634</v>
      </c>
      <c r="L16" s="188">
        <v>5.0662425000000001E-3</v>
      </c>
      <c r="M16" s="233">
        <v>5066242</v>
      </c>
      <c r="N16" s="195">
        <v>5.0662420000000003E-3</v>
      </c>
      <c r="O16" s="211">
        <v>9.0419446775510379E-2</v>
      </c>
      <c r="P16" s="198"/>
      <c r="Q16" s="198"/>
      <c r="S16" s="182"/>
    </row>
    <row r="17" spans="1:19" ht="15.6">
      <c r="A17" s="242">
        <v>20</v>
      </c>
      <c r="B17" s="246">
        <v>25</v>
      </c>
      <c r="C17" s="160">
        <v>6214274</v>
      </c>
      <c r="D17" s="30">
        <v>14443908240</v>
      </c>
      <c r="E17" s="187">
        <f t="shared" si="0"/>
        <v>23.243114545641212</v>
      </c>
      <c r="F17" s="188">
        <v>6.2142739999999997E-3</v>
      </c>
      <c r="G17" s="189">
        <v>0.1444390824</v>
      </c>
      <c r="H17" s="178"/>
      <c r="I17" s="124" t="str">
        <f t="shared" si="1"/>
        <v>(20, 25]</v>
      </c>
      <c r="J17" s="160">
        <v>1</v>
      </c>
      <c r="K17" s="234">
        <v>1.1266475375884617</v>
      </c>
      <c r="L17" s="188">
        <v>7.0012964999999995E-3</v>
      </c>
      <c r="M17" s="233">
        <v>7001296</v>
      </c>
      <c r="N17" s="195">
        <v>7.0012959999999997E-3</v>
      </c>
      <c r="O17" s="211">
        <v>0.16273192489593963</v>
      </c>
      <c r="P17" s="198"/>
      <c r="Q17" s="198"/>
      <c r="S17" s="182"/>
    </row>
    <row r="18" spans="1:19" ht="15.6">
      <c r="A18" s="242">
        <v>25</v>
      </c>
      <c r="B18" s="246">
        <v>30</v>
      </c>
      <c r="C18" s="160">
        <v>4327912</v>
      </c>
      <c r="D18" s="30">
        <v>12306435380</v>
      </c>
      <c r="E18" s="187">
        <f t="shared" si="0"/>
        <v>28.4350406847459</v>
      </c>
      <c r="F18" s="188">
        <v>4.3279119999999997E-3</v>
      </c>
      <c r="G18" s="189">
        <v>0.12306435379999998</v>
      </c>
      <c r="H18" s="178"/>
      <c r="I18" s="124" t="str">
        <f t="shared" si="1"/>
        <v>(25, 30]</v>
      </c>
      <c r="J18" s="160">
        <v>1</v>
      </c>
      <c r="K18" s="234">
        <v>0.5629172912942777</v>
      </c>
      <c r="L18" s="188">
        <v>2.4362564999999997E-3</v>
      </c>
      <c r="M18" s="233">
        <v>2436256</v>
      </c>
      <c r="N18" s="195">
        <v>2.4362559999999999E-3</v>
      </c>
      <c r="O18" s="211">
        <v>6.9275038478456299E-2</v>
      </c>
      <c r="P18" s="198"/>
      <c r="Q18" s="198"/>
      <c r="S18" s="182"/>
    </row>
    <row r="19" spans="1:19" ht="15.6">
      <c r="A19" s="242">
        <v>30</v>
      </c>
      <c r="B19" s="246">
        <v>35</v>
      </c>
      <c r="C19" s="160">
        <v>2145347</v>
      </c>
      <c r="D19" s="30">
        <v>6990216720</v>
      </c>
      <c r="E19" s="187">
        <f t="shared" si="0"/>
        <v>32.583151909691068</v>
      </c>
      <c r="F19" s="188">
        <v>2.1453470000000001E-3</v>
      </c>
      <c r="G19" s="189">
        <v>6.9902167200000004E-2</v>
      </c>
      <c r="H19" s="178"/>
      <c r="I19" s="124" t="str">
        <f t="shared" si="1"/>
        <v>(30, 35]</v>
      </c>
      <c r="J19" s="160">
        <v>1</v>
      </c>
      <c r="K19" s="234">
        <v>0</v>
      </c>
      <c r="L19" s="188">
        <v>0</v>
      </c>
      <c r="M19" s="233">
        <v>0</v>
      </c>
      <c r="N19" s="195">
        <v>0</v>
      </c>
      <c r="O19" s="211">
        <v>0</v>
      </c>
      <c r="P19" s="198"/>
      <c r="Q19" s="198"/>
      <c r="S19" s="182"/>
    </row>
    <row r="20" spans="1:19" ht="15.6">
      <c r="A20" s="242">
        <v>35</v>
      </c>
      <c r="B20" s="246">
        <v>40</v>
      </c>
      <c r="C20" s="160">
        <v>3778148</v>
      </c>
      <c r="D20" s="30">
        <v>14458614080</v>
      </c>
      <c r="E20" s="187">
        <f t="shared" si="0"/>
        <v>38.26905160941287</v>
      </c>
      <c r="F20" s="188">
        <v>3.7781479999999998E-3</v>
      </c>
      <c r="G20" s="189">
        <v>0.14458614080000001</v>
      </c>
      <c r="H20" s="178"/>
      <c r="I20" s="214" t="str">
        <f t="shared" si="1"/>
        <v>(35, 40]</v>
      </c>
      <c r="J20" s="160">
        <v>1</v>
      </c>
      <c r="K20" s="234">
        <v>0</v>
      </c>
      <c r="L20" s="188">
        <v>0</v>
      </c>
      <c r="M20" s="233">
        <v>0</v>
      </c>
      <c r="N20" s="195">
        <v>0</v>
      </c>
      <c r="O20" s="211">
        <v>0</v>
      </c>
      <c r="P20" s="198"/>
      <c r="Q20" s="198"/>
      <c r="S20" s="182"/>
    </row>
    <row r="21" spans="1:19" ht="15.6">
      <c r="A21" s="242">
        <v>40</v>
      </c>
      <c r="B21" s="246">
        <v>45</v>
      </c>
      <c r="C21" s="160">
        <v>1647988</v>
      </c>
      <c r="D21" s="30">
        <v>7173008520</v>
      </c>
      <c r="E21" s="187">
        <f t="shared" si="0"/>
        <v>43.525854071752953</v>
      </c>
      <c r="F21" s="188">
        <v>1.647988E-3</v>
      </c>
      <c r="G21" s="189">
        <v>7.1730085200000002E-2</v>
      </c>
      <c r="H21" s="178"/>
      <c r="I21" s="124" t="str">
        <f t="shared" si="1"/>
        <v>(40, 45]</v>
      </c>
      <c r="J21" s="160">
        <v>1</v>
      </c>
      <c r="K21" s="234">
        <v>0</v>
      </c>
      <c r="L21" s="188">
        <v>0</v>
      </c>
      <c r="M21" s="233">
        <v>0</v>
      </c>
      <c r="N21" s="195">
        <v>0</v>
      </c>
      <c r="O21" s="211">
        <v>0</v>
      </c>
      <c r="P21" s="198"/>
      <c r="Q21" s="198"/>
      <c r="S21" s="182"/>
    </row>
    <row r="22" spans="1:19" ht="15.6">
      <c r="A22" s="242">
        <v>45</v>
      </c>
      <c r="B22" s="246">
        <v>50</v>
      </c>
      <c r="C22" s="160">
        <v>2034040</v>
      </c>
      <c r="D22" s="30">
        <v>9788723540</v>
      </c>
      <c r="E22" s="187">
        <f t="shared" si="0"/>
        <v>48.124538062181671</v>
      </c>
      <c r="F22" s="188">
        <v>2.03404E-3</v>
      </c>
      <c r="G22" s="189">
        <v>9.7887235400000008E-2</v>
      </c>
      <c r="H22" s="178"/>
      <c r="I22" s="124" t="str">
        <f t="shared" si="1"/>
        <v>(45, 50]</v>
      </c>
      <c r="J22" s="160">
        <v>1</v>
      </c>
      <c r="K22" s="234">
        <v>0</v>
      </c>
      <c r="L22" s="188">
        <v>0</v>
      </c>
      <c r="M22" s="233">
        <v>0</v>
      </c>
      <c r="N22" s="195">
        <v>0</v>
      </c>
      <c r="O22" s="211">
        <v>0</v>
      </c>
      <c r="P22" s="198"/>
      <c r="Q22" s="198"/>
      <c r="S22" s="182"/>
    </row>
    <row r="23" spans="1:19" ht="15.6">
      <c r="A23" s="242">
        <v>50</v>
      </c>
      <c r="B23" s="246">
        <v>60</v>
      </c>
      <c r="C23" s="160">
        <v>3238075</v>
      </c>
      <c r="D23" s="30">
        <v>18382953720</v>
      </c>
      <c r="E23" s="187">
        <f t="shared" si="0"/>
        <v>56.771241308493465</v>
      </c>
      <c r="F23" s="188">
        <v>3.238075E-3</v>
      </c>
      <c r="G23" s="189">
        <v>0.18382953719999998</v>
      </c>
      <c r="H23" s="178"/>
      <c r="I23" s="214" t="str">
        <f t="shared" si="1"/>
        <v>(50, 60]</v>
      </c>
      <c r="J23" s="160">
        <v>1</v>
      </c>
      <c r="K23" s="234">
        <v>0</v>
      </c>
      <c r="L23" s="188">
        <v>0</v>
      </c>
      <c r="M23" s="233">
        <v>0</v>
      </c>
      <c r="N23" s="195">
        <v>0</v>
      </c>
      <c r="O23" s="211">
        <v>0</v>
      </c>
      <c r="P23" s="198"/>
      <c r="Q23" s="198"/>
      <c r="S23" s="182"/>
    </row>
    <row r="24" spans="1:19" ht="15.6">
      <c r="A24" s="242">
        <v>60</v>
      </c>
      <c r="B24" s="246">
        <v>70</v>
      </c>
      <c r="C24" s="160">
        <v>1975180</v>
      </c>
      <c r="D24" s="30">
        <v>12940084160</v>
      </c>
      <c r="E24" s="187">
        <f t="shared" si="0"/>
        <v>65.513442622950819</v>
      </c>
      <c r="F24" s="188">
        <v>1.97518E-3</v>
      </c>
      <c r="G24" s="189">
        <v>0.12940084160000001</v>
      </c>
      <c r="H24" s="178"/>
      <c r="I24" s="124" t="str">
        <f t="shared" si="1"/>
        <v>(60, 70]</v>
      </c>
      <c r="J24" s="160">
        <v>1</v>
      </c>
      <c r="K24" s="234">
        <v>0</v>
      </c>
      <c r="L24" s="188">
        <v>0</v>
      </c>
      <c r="M24" s="233">
        <v>0</v>
      </c>
      <c r="N24" s="195">
        <v>0</v>
      </c>
      <c r="O24" s="211">
        <v>0</v>
      </c>
      <c r="P24" s="198"/>
      <c r="Q24" s="198"/>
      <c r="S24" s="182"/>
    </row>
    <row r="25" spans="1:19" ht="15.6">
      <c r="A25" s="242">
        <v>70</v>
      </c>
      <c r="B25" s="246">
        <v>80</v>
      </c>
      <c r="C25" s="160">
        <v>2561154</v>
      </c>
      <c r="D25" s="30">
        <v>19504057100</v>
      </c>
      <c r="E25" s="187">
        <f t="shared" si="0"/>
        <v>76.153394524499504</v>
      </c>
      <c r="F25" s="188">
        <v>2.5611539999999999E-3</v>
      </c>
      <c r="G25" s="189">
        <v>0.195040571</v>
      </c>
      <c r="H25" s="178"/>
      <c r="I25" s="214" t="str">
        <f t="shared" si="1"/>
        <v>(70, 80]</v>
      </c>
      <c r="J25" s="160">
        <v>1</v>
      </c>
      <c r="K25" s="234">
        <v>0</v>
      </c>
      <c r="L25" s="188">
        <v>0</v>
      </c>
      <c r="M25" s="233">
        <v>0</v>
      </c>
      <c r="N25" s="195">
        <v>0</v>
      </c>
      <c r="O25" s="211">
        <v>0</v>
      </c>
      <c r="P25" s="198"/>
      <c r="Q25" s="198"/>
      <c r="S25" s="182"/>
    </row>
    <row r="26" spans="1:19" ht="15.6">
      <c r="A26" s="242">
        <v>80</v>
      </c>
      <c r="B26" s="246">
        <v>90</v>
      </c>
      <c r="C26" s="160">
        <v>1688794</v>
      </c>
      <c r="D26" s="30">
        <v>14572354840</v>
      </c>
      <c r="E26" s="187">
        <f t="shared" si="0"/>
        <v>86.288528026508857</v>
      </c>
      <c r="F26" s="188">
        <v>1.688794E-3</v>
      </c>
      <c r="G26" s="189">
        <v>0.14572354839999999</v>
      </c>
      <c r="H26" s="178"/>
      <c r="I26" s="124" t="str">
        <f t="shared" si="1"/>
        <v>(80, 90]</v>
      </c>
      <c r="J26" s="160">
        <v>1</v>
      </c>
      <c r="K26" s="234">
        <v>0</v>
      </c>
      <c r="L26" s="188">
        <v>0</v>
      </c>
      <c r="M26" s="233">
        <v>0</v>
      </c>
      <c r="N26" s="195">
        <v>0</v>
      </c>
      <c r="O26" s="211">
        <v>0</v>
      </c>
      <c r="P26" s="198"/>
      <c r="Q26" s="198"/>
      <c r="S26" s="182"/>
    </row>
    <row r="27" spans="1:19" ht="15.6">
      <c r="A27" s="242">
        <v>90</v>
      </c>
      <c r="B27" s="246">
        <v>100</v>
      </c>
      <c r="C27" s="160">
        <v>1673182</v>
      </c>
      <c r="D27" s="30">
        <v>16090695940</v>
      </c>
      <c r="E27" s="187">
        <f t="shared" si="0"/>
        <v>96.168234776611271</v>
      </c>
      <c r="F27" s="188">
        <v>1.6731820000000001E-3</v>
      </c>
      <c r="G27" s="189">
        <v>0.16090695939999999</v>
      </c>
      <c r="H27" s="178"/>
      <c r="I27" s="124" t="str">
        <f t="shared" si="1"/>
        <v>(90, 100]</v>
      </c>
      <c r="J27" s="160">
        <v>1</v>
      </c>
      <c r="K27" s="234">
        <v>0</v>
      </c>
      <c r="L27" s="188">
        <v>0</v>
      </c>
      <c r="M27" s="233">
        <v>0</v>
      </c>
      <c r="N27" s="195">
        <v>0</v>
      </c>
      <c r="O27" s="211">
        <v>0</v>
      </c>
      <c r="P27" s="198"/>
      <c r="Q27" s="198"/>
      <c r="S27" s="182"/>
    </row>
    <row r="28" spans="1:19" ht="15.6">
      <c r="A28" s="242">
        <v>100</v>
      </c>
      <c r="B28" s="246">
        <v>120</v>
      </c>
      <c r="C28" s="160">
        <v>2856332</v>
      </c>
      <c r="D28" s="30">
        <v>31917444000</v>
      </c>
      <c r="E28" s="187">
        <f t="shared" si="0"/>
        <v>111.74276659716027</v>
      </c>
      <c r="F28" s="188">
        <v>2.8563320000000001E-3</v>
      </c>
      <c r="G28" s="189">
        <v>0.31917444</v>
      </c>
      <c r="H28" s="178"/>
      <c r="I28" s="124" t="str">
        <f t="shared" si="1"/>
        <v>(100, 120]</v>
      </c>
      <c r="J28" s="160">
        <v>1</v>
      </c>
      <c r="K28" s="234">
        <v>0</v>
      </c>
      <c r="L28" s="188">
        <v>0</v>
      </c>
      <c r="M28" s="233">
        <v>0</v>
      </c>
      <c r="N28" s="195">
        <v>0</v>
      </c>
      <c r="O28" s="211">
        <v>0</v>
      </c>
      <c r="P28" s="198"/>
      <c r="Q28" s="198"/>
      <c r="S28" s="182"/>
    </row>
    <row r="29" spans="1:19" ht="15.6">
      <c r="A29" s="242">
        <v>120</v>
      </c>
      <c r="B29" s="246">
        <v>140</v>
      </c>
      <c r="C29" s="160">
        <v>1970295</v>
      </c>
      <c r="D29" s="30">
        <v>25808802160</v>
      </c>
      <c r="E29" s="187">
        <f t="shared" si="0"/>
        <v>130.98953283645344</v>
      </c>
      <c r="F29" s="188">
        <v>1.9702949999999999E-3</v>
      </c>
      <c r="G29" s="189">
        <v>0.25808802159999999</v>
      </c>
      <c r="H29" s="178"/>
      <c r="I29" s="124" t="str">
        <f t="shared" si="1"/>
        <v>(120, 140]</v>
      </c>
      <c r="J29" s="160">
        <v>1</v>
      </c>
      <c r="K29" s="234">
        <v>0</v>
      </c>
      <c r="L29" s="188">
        <v>0</v>
      </c>
      <c r="M29" s="233">
        <v>0</v>
      </c>
      <c r="N29" s="195">
        <v>0</v>
      </c>
      <c r="O29" s="211">
        <v>0</v>
      </c>
      <c r="P29" s="198"/>
      <c r="Q29" s="198"/>
      <c r="S29" s="182"/>
    </row>
    <row r="30" spans="1:19" ht="15.6">
      <c r="A30" s="242">
        <v>140</v>
      </c>
      <c r="B30" s="246">
        <v>160</v>
      </c>
      <c r="C30" s="160">
        <v>1848146</v>
      </c>
      <c r="D30" s="30">
        <v>27932335060</v>
      </c>
      <c r="E30" s="187">
        <f t="shared" si="0"/>
        <v>151.13705876050921</v>
      </c>
      <c r="F30" s="188">
        <v>1.8481459999999999E-3</v>
      </c>
      <c r="G30" s="189">
        <v>0.27932335060000002</v>
      </c>
      <c r="H30" s="178"/>
      <c r="I30" s="124" t="str">
        <f t="shared" si="1"/>
        <v>(140, 160]</v>
      </c>
      <c r="J30" s="160">
        <v>1</v>
      </c>
      <c r="K30" s="234">
        <v>0</v>
      </c>
      <c r="L30" s="188">
        <v>0</v>
      </c>
      <c r="M30" s="233">
        <v>0</v>
      </c>
      <c r="N30" s="195">
        <v>0</v>
      </c>
      <c r="O30" s="211">
        <v>0</v>
      </c>
      <c r="P30" s="198"/>
      <c r="Q30" s="198"/>
      <c r="S30" s="182"/>
    </row>
    <row r="31" spans="1:19" ht="15.6">
      <c r="A31" s="242">
        <v>160</v>
      </c>
      <c r="B31" s="246">
        <v>180</v>
      </c>
      <c r="C31" s="160">
        <v>1424062</v>
      </c>
      <c r="D31" s="30">
        <v>24417907680</v>
      </c>
      <c r="E31" s="187">
        <f t="shared" si="0"/>
        <v>171.46660524611991</v>
      </c>
      <c r="F31" s="188">
        <v>1.424062E-3</v>
      </c>
      <c r="G31" s="189">
        <v>0.24417907680000001</v>
      </c>
      <c r="H31" s="178"/>
      <c r="I31" s="124" t="str">
        <f t="shared" si="1"/>
        <v>(160, 180]</v>
      </c>
      <c r="J31" s="160">
        <v>1</v>
      </c>
      <c r="K31" s="234">
        <v>0</v>
      </c>
      <c r="L31" s="188">
        <v>0</v>
      </c>
      <c r="M31" s="233">
        <v>0</v>
      </c>
      <c r="N31" s="195">
        <v>0</v>
      </c>
      <c r="O31" s="211">
        <v>0</v>
      </c>
      <c r="P31" s="198"/>
      <c r="Q31" s="198"/>
      <c r="S31" s="182"/>
    </row>
    <row r="32" spans="1:19" ht="15.6">
      <c r="A32" s="242">
        <v>180</v>
      </c>
      <c r="B32" s="246">
        <v>200</v>
      </c>
      <c r="C32" s="160">
        <v>1293811</v>
      </c>
      <c r="D32" s="30">
        <v>24853084560</v>
      </c>
      <c r="E32" s="187">
        <f t="shared" si="0"/>
        <v>192.09207960049807</v>
      </c>
      <c r="F32" s="188">
        <v>1.293811E-3</v>
      </c>
      <c r="G32" s="189">
        <v>0.24853084559999999</v>
      </c>
      <c r="H32" s="178"/>
      <c r="I32" s="124" t="str">
        <f t="shared" si="1"/>
        <v>(180, 200]</v>
      </c>
      <c r="J32" s="160">
        <v>1</v>
      </c>
      <c r="K32" s="234">
        <v>0</v>
      </c>
      <c r="L32" s="188">
        <v>0</v>
      </c>
      <c r="M32" s="233">
        <v>0</v>
      </c>
      <c r="N32" s="195">
        <v>0</v>
      </c>
      <c r="O32" s="211">
        <v>0</v>
      </c>
      <c r="P32" s="198"/>
      <c r="Q32" s="198"/>
      <c r="S32" s="182"/>
    </row>
    <row r="33" spans="1:19" ht="15.6">
      <c r="A33" s="242">
        <v>200</v>
      </c>
      <c r="B33" s="246">
        <v>250</v>
      </c>
      <c r="C33" s="160">
        <v>2503603</v>
      </c>
      <c r="D33" s="30">
        <v>56144783160</v>
      </c>
      <c r="E33" s="187">
        <f t="shared" si="0"/>
        <v>224.25593498649746</v>
      </c>
      <c r="F33" s="188">
        <v>2.5036030000000001E-3</v>
      </c>
      <c r="G33" s="189">
        <v>0.5614478316</v>
      </c>
      <c r="H33" s="178"/>
      <c r="I33" s="124" t="str">
        <f t="shared" si="1"/>
        <v>(200, 250]</v>
      </c>
      <c r="J33" s="160">
        <v>1</v>
      </c>
      <c r="K33" s="234">
        <v>0</v>
      </c>
      <c r="L33" s="188">
        <v>0</v>
      </c>
      <c r="M33" s="233">
        <v>0</v>
      </c>
      <c r="N33" s="195">
        <v>0</v>
      </c>
      <c r="O33" s="211">
        <v>0</v>
      </c>
      <c r="P33" s="198"/>
      <c r="Q33" s="198"/>
      <c r="S33" s="182"/>
    </row>
    <row r="34" spans="1:19" ht="15.6">
      <c r="A34" s="242">
        <v>250</v>
      </c>
      <c r="B34" s="246">
        <v>300</v>
      </c>
      <c r="C34" s="160">
        <v>1740187</v>
      </c>
      <c r="D34" s="30">
        <v>47899699340</v>
      </c>
      <c r="E34" s="187">
        <f t="shared" si="0"/>
        <v>275.25604627548648</v>
      </c>
      <c r="F34" s="188">
        <v>1.740187E-3</v>
      </c>
      <c r="G34" s="189">
        <v>0.47899699340000002</v>
      </c>
      <c r="H34" s="178"/>
      <c r="I34" s="124" t="str">
        <f t="shared" si="1"/>
        <v>(250, 300]</v>
      </c>
      <c r="J34" s="160">
        <v>1</v>
      </c>
      <c r="K34" s="234">
        <v>0</v>
      </c>
      <c r="L34" s="188">
        <v>0</v>
      </c>
      <c r="M34" s="233">
        <v>0</v>
      </c>
      <c r="N34" s="195">
        <v>0</v>
      </c>
      <c r="O34" s="211">
        <v>0</v>
      </c>
      <c r="P34" s="198"/>
      <c r="Q34" s="198"/>
      <c r="S34" s="182"/>
    </row>
    <row r="35" spans="1:19" ht="15.6">
      <c r="A35" s="242">
        <v>300</v>
      </c>
      <c r="B35" s="246">
        <v>350</v>
      </c>
      <c r="C35" s="160">
        <v>1196831</v>
      </c>
      <c r="D35" s="30">
        <v>38851996520</v>
      </c>
      <c r="E35" s="187">
        <f t="shared" si="0"/>
        <v>324.62391532304895</v>
      </c>
      <c r="F35" s="188">
        <v>1.196831E-3</v>
      </c>
      <c r="G35" s="189">
        <v>0.38851996519999998</v>
      </c>
      <c r="H35" s="178"/>
      <c r="I35" s="124" t="str">
        <f t="shared" si="1"/>
        <v>(300, 350]</v>
      </c>
      <c r="J35" s="160">
        <v>1</v>
      </c>
      <c r="K35" s="234">
        <v>0</v>
      </c>
      <c r="L35" s="188">
        <v>0</v>
      </c>
      <c r="M35" s="233">
        <v>0</v>
      </c>
      <c r="N35" s="195">
        <v>0</v>
      </c>
      <c r="O35" s="211">
        <v>0</v>
      </c>
      <c r="P35" s="198"/>
      <c r="Q35" s="198"/>
      <c r="S35" s="182"/>
    </row>
    <row r="36" spans="1:19" ht="15.6">
      <c r="A36" s="242">
        <v>350</v>
      </c>
      <c r="B36" s="246">
        <v>400</v>
      </c>
      <c r="C36" s="160">
        <v>1011971</v>
      </c>
      <c r="D36" s="30">
        <v>38072554780</v>
      </c>
      <c r="E36" s="187">
        <f t="shared" si="0"/>
        <v>376.22179667203903</v>
      </c>
      <c r="F36" s="188">
        <v>1.011971E-3</v>
      </c>
      <c r="G36" s="189">
        <v>0.38072554780000001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/>
      <c r="Q36" s="198"/>
      <c r="S36" s="182"/>
    </row>
    <row r="37" spans="1:19" ht="15.6">
      <c r="A37" s="242">
        <v>400</v>
      </c>
      <c r="B37" s="246">
        <v>450</v>
      </c>
      <c r="C37" s="160">
        <v>771708</v>
      </c>
      <c r="D37" s="30">
        <v>32822608040</v>
      </c>
      <c r="E37" s="187">
        <f t="shared" si="0"/>
        <v>425.32419049692368</v>
      </c>
      <c r="F37" s="188">
        <v>7.7170799999999996E-4</v>
      </c>
      <c r="G37" s="189">
        <v>0.32822608039999995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/>
      <c r="Q37" s="198"/>
      <c r="S37" s="182"/>
    </row>
    <row r="38" spans="1:19" ht="15.6">
      <c r="A38" s="242">
        <v>450</v>
      </c>
      <c r="B38" s="246">
        <v>500</v>
      </c>
      <c r="C38" s="160">
        <v>669795</v>
      </c>
      <c r="D38" s="30">
        <v>31972690140</v>
      </c>
      <c r="E38" s="187">
        <f t="shared" si="0"/>
        <v>477.35038541643337</v>
      </c>
      <c r="F38" s="188">
        <v>6.6979500000000005E-4</v>
      </c>
      <c r="G38" s="189">
        <v>0.31972690139999999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/>
      <c r="Q38" s="198"/>
      <c r="S38" s="182"/>
    </row>
    <row r="39" spans="1:19" ht="15.6">
      <c r="A39" s="242">
        <v>500</v>
      </c>
      <c r="B39" s="246">
        <v>550</v>
      </c>
      <c r="C39" s="160">
        <v>639553</v>
      </c>
      <c r="D39" s="30">
        <v>33561838540</v>
      </c>
      <c r="E39" s="187">
        <f t="shared" si="0"/>
        <v>524.77024640647448</v>
      </c>
      <c r="F39" s="188">
        <v>6.3955299999999995E-4</v>
      </c>
      <c r="G39" s="189">
        <v>0.33561838539999994</v>
      </c>
      <c r="H39" s="178"/>
      <c r="I39" s="124" t="str">
        <f t="shared" si="1"/>
        <v>(500, 550]</v>
      </c>
      <c r="J39" s="160">
        <v>1</v>
      </c>
      <c r="K39" s="234">
        <v>0</v>
      </c>
      <c r="L39" s="188">
        <v>0</v>
      </c>
      <c r="M39" s="233">
        <v>0</v>
      </c>
      <c r="N39" s="195">
        <v>0</v>
      </c>
      <c r="O39" s="211">
        <v>0</v>
      </c>
      <c r="P39" s="198"/>
      <c r="Q39" s="198"/>
      <c r="S39" s="182"/>
    </row>
    <row r="40" spans="1:19" ht="15.6">
      <c r="A40" s="242">
        <v>550</v>
      </c>
      <c r="B40" s="246">
        <v>600</v>
      </c>
      <c r="C40" s="160">
        <v>494411</v>
      </c>
      <c r="D40" s="30">
        <v>28481302480</v>
      </c>
      <c r="E40" s="187">
        <f t="shared" si="0"/>
        <v>576.06530760844726</v>
      </c>
      <c r="F40" s="188">
        <v>4.9441100000000005E-4</v>
      </c>
      <c r="G40" s="189">
        <v>0.28481302480000004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/>
      <c r="Q40" s="198"/>
      <c r="S40" s="182"/>
    </row>
    <row r="41" spans="1:19" ht="15.6">
      <c r="A41" s="242">
        <v>600</v>
      </c>
      <c r="B41" s="246">
        <v>650</v>
      </c>
      <c r="C41" s="160">
        <v>362215</v>
      </c>
      <c r="D41" s="30">
        <v>22669344380</v>
      </c>
      <c r="E41" s="187">
        <f t="shared" si="0"/>
        <v>625.85327443645349</v>
      </c>
      <c r="F41" s="188">
        <v>3.6221499999999999E-4</v>
      </c>
      <c r="G41" s="189">
        <v>0.22669344380000001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/>
      <c r="Q41" s="198"/>
      <c r="S41" s="182"/>
    </row>
    <row r="42" spans="1:19" ht="15.6">
      <c r="A42" s="242">
        <v>650</v>
      </c>
      <c r="B42" s="246">
        <v>700</v>
      </c>
      <c r="C42" s="160">
        <v>305416</v>
      </c>
      <c r="D42" s="30">
        <v>20621962840</v>
      </c>
      <c r="E42" s="187">
        <f t="shared" si="0"/>
        <v>675.20898839615472</v>
      </c>
      <c r="F42" s="188">
        <v>3.0541599999999998E-4</v>
      </c>
      <c r="G42" s="189">
        <v>0.20621962839999997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/>
      <c r="Q42" s="198"/>
      <c r="S42" s="182"/>
    </row>
    <row r="43" spans="1:19" ht="15.6">
      <c r="A43" s="242">
        <v>700</v>
      </c>
      <c r="B43" s="246">
        <v>750</v>
      </c>
      <c r="C43" s="160">
        <v>264605</v>
      </c>
      <c r="D43" s="30">
        <v>19182810820</v>
      </c>
      <c r="E43" s="187">
        <f t="shared" si="0"/>
        <v>724.96025471929852</v>
      </c>
      <c r="F43" s="188">
        <v>2.6460500000000001E-4</v>
      </c>
      <c r="G43" s="189">
        <v>0.19182810819999999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/>
      <c r="Q43" s="198"/>
      <c r="S43" s="182"/>
    </row>
    <row r="44" spans="1:19" ht="15.6">
      <c r="A44" s="242">
        <v>750</v>
      </c>
      <c r="B44" s="246">
        <v>800</v>
      </c>
      <c r="C44" s="160">
        <v>296013</v>
      </c>
      <c r="D44" s="30">
        <v>23135180720</v>
      </c>
      <c r="E44" s="187">
        <f t="shared" si="0"/>
        <v>781.55961798975045</v>
      </c>
      <c r="F44" s="188">
        <v>2.9601300000000003E-4</v>
      </c>
      <c r="G44" s="189">
        <v>0.23135180720000001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/>
      <c r="Q44" s="198"/>
      <c r="S44" s="182"/>
    </row>
    <row r="45" spans="1:19" ht="15.6">
      <c r="A45" s="242">
        <v>800</v>
      </c>
      <c r="B45" s="246">
        <v>850</v>
      </c>
      <c r="C45" s="160">
        <v>315973</v>
      </c>
      <c r="D45" s="30">
        <v>26126987440</v>
      </c>
      <c r="E45" s="187">
        <f t="shared" si="0"/>
        <v>826.8740506309083</v>
      </c>
      <c r="F45" s="188">
        <v>3.1597299999999999E-4</v>
      </c>
      <c r="G45" s="189">
        <v>0.26126987439999999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/>
      <c r="Q45" s="198"/>
      <c r="S45" s="182"/>
    </row>
    <row r="46" spans="1:19" ht="15.6">
      <c r="A46" s="242">
        <v>850</v>
      </c>
      <c r="B46" s="246">
        <v>900</v>
      </c>
      <c r="C46" s="160">
        <v>251982</v>
      </c>
      <c r="D46" s="30">
        <v>22037131900</v>
      </c>
      <c r="E46" s="187">
        <f t="shared" si="0"/>
        <v>874.55182909890391</v>
      </c>
      <c r="F46" s="188">
        <v>2.5198199999999999E-4</v>
      </c>
      <c r="G46" s="189">
        <v>0.22037131899999998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/>
      <c r="Q46" s="198"/>
      <c r="S46" s="182"/>
    </row>
    <row r="47" spans="1:19" ht="15.6">
      <c r="A47" s="242">
        <v>900</v>
      </c>
      <c r="B47" s="246">
        <v>950</v>
      </c>
      <c r="C47" s="160">
        <v>175474</v>
      </c>
      <c r="D47" s="30">
        <v>16223611180</v>
      </c>
      <c r="E47" s="187">
        <f t="shared" si="0"/>
        <v>924.55926120108973</v>
      </c>
      <c r="F47" s="188">
        <v>1.7547400000000001E-4</v>
      </c>
      <c r="G47" s="189">
        <v>0.16223611180000003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/>
      <c r="Q47" s="198"/>
      <c r="S47" s="182"/>
    </row>
    <row r="48" spans="1:19" ht="15.6">
      <c r="A48" s="242">
        <v>950</v>
      </c>
      <c r="B48" s="246">
        <v>1000</v>
      </c>
      <c r="C48" s="160">
        <v>223385</v>
      </c>
      <c r="D48" s="30">
        <v>21953588340</v>
      </c>
      <c r="E48" s="187">
        <f t="shared" si="0"/>
        <v>982.76913579694258</v>
      </c>
      <c r="F48" s="188">
        <v>2.2338499999999999E-4</v>
      </c>
      <c r="G48" s="189">
        <v>0.21953588340000002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/>
      <c r="Q48" s="198"/>
      <c r="S48" s="182"/>
    </row>
    <row r="49" spans="1:19" ht="15.6">
      <c r="A49" s="242">
        <v>1000</v>
      </c>
      <c r="B49" s="246">
        <v>2000</v>
      </c>
      <c r="C49" s="160">
        <v>2471461</v>
      </c>
      <c r="D49" s="30">
        <v>348096281480</v>
      </c>
      <c r="E49" s="187">
        <f t="shared" si="0"/>
        <v>1408.4635827957634</v>
      </c>
      <c r="F49" s="188">
        <v>2.4714609999999999E-3</v>
      </c>
      <c r="G49" s="189">
        <v>3.4809628147999998</v>
      </c>
      <c r="H49" s="178"/>
      <c r="I49" s="124" t="str">
        <f t="shared" si="1"/>
        <v>(1000, 2000]</v>
      </c>
      <c r="J49" s="160">
        <v>1</v>
      </c>
      <c r="K49" s="234">
        <v>0</v>
      </c>
      <c r="L49" s="188">
        <v>0</v>
      </c>
      <c r="M49" s="233">
        <v>0</v>
      </c>
      <c r="N49" s="195">
        <v>0</v>
      </c>
      <c r="O49" s="211">
        <v>0</v>
      </c>
      <c r="P49" s="198"/>
      <c r="Q49" s="198"/>
      <c r="S49" s="182"/>
    </row>
    <row r="50" spans="1:19" ht="15.6">
      <c r="A50" s="242">
        <v>2000</v>
      </c>
      <c r="B50" s="246">
        <v>3000</v>
      </c>
      <c r="C50" s="160">
        <v>1104277</v>
      </c>
      <c r="D50" s="30">
        <v>266081568140</v>
      </c>
      <c r="E50" s="187">
        <f t="shared" si="0"/>
        <v>2409.5545604952381</v>
      </c>
      <c r="F50" s="188">
        <v>1.1042770000000001E-3</v>
      </c>
      <c r="G50" s="189">
        <v>2.6608156814000004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/>
      <c r="Q50" s="198"/>
      <c r="S50" s="182"/>
    </row>
    <row r="51" spans="1:19" ht="15.6">
      <c r="A51" s="242">
        <v>3000</v>
      </c>
      <c r="B51" s="246">
        <v>4000</v>
      </c>
      <c r="C51" s="160">
        <v>521194</v>
      </c>
      <c r="D51" s="30">
        <v>179130021260</v>
      </c>
      <c r="E51" s="187">
        <f t="shared" si="0"/>
        <v>3436.9164123148003</v>
      </c>
      <c r="F51" s="188">
        <v>5.21194E-4</v>
      </c>
      <c r="G51" s="189">
        <v>1.7913002125999999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/>
      <c r="Q51" s="198"/>
      <c r="S51" s="182"/>
    </row>
    <row r="52" spans="1:19" ht="15.6">
      <c r="A52" s="242">
        <v>4000</v>
      </c>
      <c r="B52" s="246">
        <v>5000</v>
      </c>
      <c r="C52" s="160">
        <v>310888</v>
      </c>
      <c r="D52" s="30">
        <v>138110346000</v>
      </c>
      <c r="E52" s="187">
        <f t="shared" si="0"/>
        <v>4442.4469905560845</v>
      </c>
      <c r="F52" s="188">
        <v>3.10888E-4</v>
      </c>
      <c r="G52" s="189">
        <v>1.3811034600000001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/>
      <c r="Q52" s="198"/>
      <c r="S52" s="182"/>
    </row>
    <row r="53" spans="1:19" ht="15.6">
      <c r="A53" s="242">
        <v>5000</v>
      </c>
      <c r="B53" s="246">
        <v>6000</v>
      </c>
      <c r="C53" s="160">
        <v>150224</v>
      </c>
      <c r="D53" s="30">
        <v>81973706960</v>
      </c>
      <c r="E53" s="187">
        <f t="shared" si="0"/>
        <v>5456.7650282245186</v>
      </c>
      <c r="F53" s="188">
        <v>1.5022399999999999E-4</v>
      </c>
      <c r="G53" s="189">
        <v>0.81973706960000003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/>
      <c r="Q53" s="198"/>
      <c r="S53" s="182"/>
    </row>
    <row r="54" spans="1:19" ht="15.6">
      <c r="A54" s="242">
        <v>6000</v>
      </c>
      <c r="B54" s="246">
        <v>7000</v>
      </c>
      <c r="C54" s="160">
        <v>101847</v>
      </c>
      <c r="D54" s="30">
        <v>65655424880</v>
      </c>
      <c r="E54" s="187">
        <f t="shared" si="0"/>
        <v>6446.4760748966582</v>
      </c>
      <c r="F54" s="188">
        <v>1.01847E-4</v>
      </c>
      <c r="G54" s="189">
        <v>0.65655424880000002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/>
      <c r="Q54" s="198"/>
      <c r="S54" s="182"/>
    </row>
    <row r="55" spans="1:19" ht="15.6">
      <c r="A55" s="242">
        <v>7000</v>
      </c>
      <c r="B55" s="246">
        <v>8000</v>
      </c>
      <c r="C55" s="160">
        <v>53374</v>
      </c>
      <c r="D55" s="30">
        <v>39854551540</v>
      </c>
      <c r="E55" s="187">
        <f t="shared" si="0"/>
        <v>7467.0347997152166</v>
      </c>
      <c r="F55" s="188">
        <v>5.3374000000000001E-5</v>
      </c>
      <c r="G55" s="189">
        <v>0.39854551539999999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/>
      <c r="Q55" s="198"/>
      <c r="S55" s="182"/>
    </row>
    <row r="56" spans="1:19" ht="15.6">
      <c r="A56" s="242">
        <v>8000</v>
      </c>
      <c r="B56" s="246">
        <v>9000</v>
      </c>
      <c r="C56" s="160">
        <v>36380</v>
      </c>
      <c r="D56" s="30">
        <v>30764883500</v>
      </c>
      <c r="E56" s="187">
        <f t="shared" si="0"/>
        <v>8456.5375206157223</v>
      </c>
      <c r="F56" s="188">
        <v>3.6380000000000001E-5</v>
      </c>
      <c r="G56" s="189">
        <v>0.30764883500000001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</row>
    <row r="57" spans="1:19" ht="15.6">
      <c r="A57" s="242">
        <v>9000</v>
      </c>
      <c r="B57" s="246">
        <v>10000</v>
      </c>
      <c r="C57" s="160">
        <v>22179</v>
      </c>
      <c r="D57" s="30">
        <v>21034693900</v>
      </c>
      <c r="E57" s="187">
        <f t="shared" si="0"/>
        <v>9484.0587492673258</v>
      </c>
      <c r="F57" s="188">
        <v>2.2178999999999999E-5</v>
      </c>
      <c r="G57" s="189">
        <v>0.21034693900000001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</row>
    <row r="58" spans="1:19" ht="15.6">
      <c r="A58" s="242">
        <v>10000</v>
      </c>
      <c r="B58" s="246">
        <v>20000</v>
      </c>
      <c r="C58" s="160">
        <v>47859</v>
      </c>
      <c r="D58" s="30">
        <v>59792915140</v>
      </c>
      <c r="E58" s="187">
        <f>IFERROR((D58/$E$1)/(C58),0)</f>
        <v>12493.557144946613</v>
      </c>
      <c r="F58" s="188">
        <v>4.7858999999999997E-5</v>
      </c>
      <c r="G58" s="189">
        <v>0.59792915139999991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</row>
    <row r="59" spans="1:19" ht="15.6">
      <c r="A59" s="242">
        <v>20000</v>
      </c>
      <c r="B59" s="246">
        <v>30000</v>
      </c>
      <c r="C59" s="160">
        <v>2316</v>
      </c>
      <c r="D59" s="30">
        <v>5285570360</v>
      </c>
      <c r="E59" s="187">
        <f t="shared" si="0"/>
        <v>22821.979101899829</v>
      </c>
      <c r="F59" s="188">
        <v>2.3159999999999999E-6</v>
      </c>
      <c r="G59" s="189">
        <v>5.2855703600000005E-2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</row>
    <row r="60" spans="1:19" ht="15.6">
      <c r="A60" s="242">
        <v>30000</v>
      </c>
      <c r="B60" s="246">
        <v>100000</v>
      </c>
      <c r="C60" s="160">
        <v>193</v>
      </c>
      <c r="D60" s="30">
        <v>672510880</v>
      </c>
      <c r="E60" s="187">
        <f t="shared" si="0"/>
        <v>34845.123316062178</v>
      </c>
      <c r="F60" s="188">
        <v>1.9299999999999999E-7</v>
      </c>
      <c r="G60" s="189">
        <v>6.7251087999999999E-3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</row>
    <row r="61" spans="1:19" thickBot="1">
      <c r="A61" s="243">
        <v>100000</v>
      </c>
      <c r="B61" s="247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</row>
    <row r="62" spans="1:19" ht="16.8" thickBot="1">
      <c r="L62" s="180"/>
      <c r="O62" s="10">
        <f>SUM(O28:O55)</f>
        <v>0</v>
      </c>
    </row>
    <row r="63" spans="1:19" ht="16.8" thickBot="1">
      <c r="L63" s="180"/>
      <c r="M63" s="114"/>
      <c r="N63" s="114" t="s">
        <v>181</v>
      </c>
      <c r="O63" s="219" t="s">
        <v>180</v>
      </c>
    </row>
    <row r="64" spans="1:19">
      <c r="L64" s="180"/>
      <c r="M64" s="128" t="s">
        <v>178</v>
      </c>
      <c r="N64" s="252" t="e">
        <f>1/SUM(N35:N55)</f>
        <v>#DIV/0!</v>
      </c>
      <c r="O64" s="220" t="e" cm="1">
        <f t="array" ref="O64:O65">N66/N64:N65</f>
        <v>#DIV/0!</v>
      </c>
    </row>
    <row r="65" spans="1:20" ht="16.8" thickBot="1">
      <c r="L65" s="180"/>
      <c r="M65" s="124" t="s">
        <v>179</v>
      </c>
      <c r="N65" s="253" t="e">
        <f>1/N49</f>
        <v>#DIV/0!</v>
      </c>
      <c r="O65" s="220" t="e">
        <v>#DIV/0!</v>
      </c>
    </row>
    <row r="66" spans="1:20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20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306">
        <f>SUM(_xlfn.ANCHORARRAY(O69))</f>
        <v>0.90000000007960046</v>
      </c>
      <c r="P67" s="222"/>
    </row>
    <row r="68" spans="1:20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/>
      <c r="R68" s="216"/>
    </row>
    <row r="69" spans="1:20" ht="15.6">
      <c r="A69" s="199" cm="1">
        <f t="array" ref="A69:B126">A4:B61</f>
        <v>-1</v>
      </c>
      <c r="B69" s="200">
        <v>0</v>
      </c>
      <c r="C69" s="158" cm="1">
        <f t="array" ref="C69:D126">'Multiplier Weight'!C69:D126</f>
        <v>795217879</v>
      </c>
      <c r="D69" s="166">
        <v>0</v>
      </c>
      <c r="E69" s="187">
        <f>IFERROR((D69/$E$66)/(C69),0)</f>
        <v>0</v>
      </c>
      <c r="F69" s="185" cm="1">
        <f t="array" ref="F69:F126">C69:C126/SUM(C69:C126)</f>
        <v>0.79521787899999996</v>
      </c>
      <c r="G69" s="186" cm="1">
        <f t="array" ref="G69:G126">E69:E126*_xlfn.ANCHORARRAY(F69)</f>
        <v>0</v>
      </c>
      <c r="H69" s="232"/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17">
        <v>1.095264125091433</v>
      </c>
      <c r="L69" s="185" cm="1">
        <f t="array" ref="L69:L126">K69:K126*_xlfn.ANCHORARRAY(J69)*_xlfn.ANCHORARRAY(F69)</f>
        <v>0.87097361449999999</v>
      </c>
      <c r="M69" s="207" cm="1">
        <f t="array" ref="M69:M126">INT(_xlfn.ANCHORARRAY(L69)*$M$2)</f>
        <v>870973614</v>
      </c>
      <c r="N69" s="194" cm="1">
        <f t="array" ref="N69:N126">_xlfn.ANCHORARRAY(M69)/SUM(_xlfn.ANCHORARRAY(M69))</f>
        <v>0.87097361399999995</v>
      </c>
      <c r="O69" s="210" cm="1">
        <f t="array" ref="O69:O126">_xlfn.ANCHORARRAY(N69)*E69:E126</f>
        <v>0</v>
      </c>
      <c r="Q69" s="183"/>
      <c r="R69" s="216"/>
      <c r="S69" s="182"/>
      <c r="T69" s="213"/>
    </row>
    <row r="70" spans="1:20" ht="15.6">
      <c r="A70" s="201">
        <v>0</v>
      </c>
      <c r="B70" s="202">
        <v>1</v>
      </c>
      <c r="C70" s="160">
        <v>4452589</v>
      </c>
      <c r="D70" s="30">
        <v>356207120</v>
      </c>
      <c r="E70" s="187">
        <f t="shared" ref="E70:E126" si="2">IFERROR((D70/$E$66)/(C70),0)</f>
        <v>0.53333333333333333</v>
      </c>
      <c r="F70" s="188">
        <v>4.4525889999999999E-3</v>
      </c>
      <c r="G70" s="189">
        <v>2.3747141333333331E-3</v>
      </c>
      <c r="H70" s="232"/>
      <c r="I70" s="124" t="str">
        <f t="shared" ref="I70:I126" si="3">"("&amp;$A70&amp;", "&amp;$B70&amp;"]"</f>
        <v>(0, 1]</v>
      </c>
      <c r="J70" s="160">
        <v>1</v>
      </c>
      <c r="K70" s="205">
        <v>2.2320749792985608</v>
      </c>
      <c r="L70" s="188">
        <v>9.9385124999999998E-3</v>
      </c>
      <c r="M70" s="208">
        <v>9938512</v>
      </c>
      <c r="N70" s="195">
        <v>9.938512E-3</v>
      </c>
      <c r="O70" s="211">
        <v>5.3005397333333332E-3</v>
      </c>
      <c r="Q70" s="183"/>
      <c r="S70" s="182"/>
    </row>
    <row r="71" spans="1:20" ht="15.6">
      <c r="A71" s="201">
        <v>1</v>
      </c>
      <c r="B71" s="202">
        <v>2</v>
      </c>
      <c r="C71" s="160">
        <v>12633880</v>
      </c>
      <c r="D71" s="30">
        <v>2096846880</v>
      </c>
      <c r="E71" s="187">
        <f t="shared" si="2"/>
        <v>1.1064676251476189</v>
      </c>
      <c r="F71" s="188">
        <v>1.263388E-2</v>
      </c>
      <c r="G71" s="189">
        <v>1.39789792E-2</v>
      </c>
      <c r="H71" s="232"/>
      <c r="I71" s="214" t="str">
        <f t="shared" si="3"/>
        <v>(1, 2]</v>
      </c>
      <c r="J71" s="160">
        <v>1</v>
      </c>
      <c r="K71" s="205">
        <v>1.2764307956067336</v>
      </c>
      <c r="L71" s="188">
        <v>1.61262735E-2</v>
      </c>
      <c r="M71" s="208">
        <v>16126273</v>
      </c>
      <c r="N71" s="195">
        <v>1.6126273E-2</v>
      </c>
      <c r="O71" s="211">
        <v>1.7843198988792167E-2</v>
      </c>
      <c r="Q71" s="183"/>
    </row>
    <row r="72" spans="1:20" ht="15.6">
      <c r="A72" s="201">
        <v>2</v>
      </c>
      <c r="B72" s="202">
        <v>3</v>
      </c>
      <c r="C72" s="160">
        <v>7640731</v>
      </c>
      <c r="D72" s="30">
        <v>2135906340</v>
      </c>
      <c r="E72" s="187">
        <f t="shared" si="2"/>
        <v>1.8636143060133905</v>
      </c>
      <c r="F72" s="188">
        <v>7.6407310000000004E-3</v>
      </c>
      <c r="G72" s="189">
        <v>1.42393756E-2</v>
      </c>
      <c r="H72" s="232"/>
      <c r="I72" s="124" t="str">
        <f t="shared" si="3"/>
        <v>(2, 3]</v>
      </c>
      <c r="J72" s="160">
        <v>1</v>
      </c>
      <c r="K72" s="205">
        <v>1.4888015950306326</v>
      </c>
      <c r="L72" s="188">
        <v>1.13755325E-2</v>
      </c>
      <c r="M72" s="208">
        <v>11375532</v>
      </c>
      <c r="N72" s="195">
        <v>1.1375532000000001E-2</v>
      </c>
      <c r="O72" s="211">
        <v>2.1199604173713117E-2</v>
      </c>
      <c r="Q72" s="183"/>
    </row>
    <row r="73" spans="1:20" ht="15.6">
      <c r="A73" s="201">
        <v>3</v>
      </c>
      <c r="B73" s="202">
        <v>4</v>
      </c>
      <c r="C73" s="160">
        <v>14191574</v>
      </c>
      <c r="D73" s="30">
        <v>5179433520</v>
      </c>
      <c r="E73" s="187">
        <f t="shared" si="2"/>
        <v>2.433102684733913</v>
      </c>
      <c r="F73" s="188">
        <v>1.4191574E-2</v>
      </c>
      <c r="G73" s="189">
        <v>3.45295568E-2</v>
      </c>
      <c r="H73" s="232"/>
      <c r="I73" s="124" t="str">
        <f t="shared" si="3"/>
        <v>(3, 4]</v>
      </c>
      <c r="J73" s="160">
        <v>1</v>
      </c>
      <c r="K73" s="205">
        <v>0.87468130737295247</v>
      </c>
      <c r="L73" s="188">
        <v>1.2413104500000001E-2</v>
      </c>
      <c r="M73" s="208">
        <v>12413104</v>
      </c>
      <c r="N73" s="195">
        <v>1.2413103999999999E-2</v>
      </c>
      <c r="O73" s="211">
        <v>3.0202356668281274E-2</v>
      </c>
      <c r="Q73" s="183"/>
    </row>
    <row r="74" spans="1:20" ht="15.6">
      <c r="A74" s="201">
        <v>4</v>
      </c>
      <c r="B74" s="202">
        <v>5</v>
      </c>
      <c r="C74" s="160">
        <v>12170676</v>
      </c>
      <c r="D74" s="30">
        <v>5868412120</v>
      </c>
      <c r="E74" s="187">
        <f t="shared" si="2"/>
        <v>3.2145089941320162</v>
      </c>
      <c r="F74" s="188">
        <v>1.2170676E-2</v>
      </c>
      <c r="G74" s="189">
        <v>3.912274746666667E-2</v>
      </c>
      <c r="H74" s="232"/>
      <c r="I74" s="124" t="str">
        <f t="shared" si="3"/>
        <v>(4, 5]</v>
      </c>
      <c r="J74" s="160">
        <v>1</v>
      </c>
      <c r="K74" s="205">
        <v>0.69740066205032492</v>
      </c>
      <c r="L74" s="188">
        <v>8.4878374999999995E-3</v>
      </c>
      <c r="M74" s="208">
        <v>8487837</v>
      </c>
      <c r="N74" s="195">
        <v>8.4878369999999998E-3</v>
      </c>
      <c r="O74" s="211">
        <v>2.7284228377226508E-2</v>
      </c>
      <c r="Q74" s="183"/>
    </row>
    <row r="75" spans="1:20" ht="15.6">
      <c r="A75" s="201">
        <v>5</v>
      </c>
      <c r="B75" s="202">
        <v>6</v>
      </c>
      <c r="C75" s="160">
        <v>12650702</v>
      </c>
      <c r="D75" s="30">
        <v>7564557540</v>
      </c>
      <c r="E75" s="187">
        <f t="shared" si="2"/>
        <v>3.9863703690119334</v>
      </c>
      <c r="F75" s="188">
        <v>1.2650702E-2</v>
      </c>
      <c r="G75" s="189">
        <v>5.0430383600000003E-2</v>
      </c>
      <c r="H75" s="232"/>
      <c r="I75" s="124" t="str">
        <f t="shared" si="3"/>
        <v>(5, 6]</v>
      </c>
      <c r="J75" s="160">
        <v>1</v>
      </c>
      <c r="K75" s="205">
        <v>0.66722372402733066</v>
      </c>
      <c r="L75" s="188">
        <v>8.4408485000000005E-3</v>
      </c>
      <c r="M75" s="208">
        <v>8440848</v>
      </c>
      <c r="N75" s="195">
        <v>8.4408480000000008E-3</v>
      </c>
      <c r="O75" s="211">
        <v>3.3648346356533645E-2</v>
      </c>
      <c r="Q75" s="183"/>
    </row>
    <row r="76" spans="1:20" ht="15.6">
      <c r="A76" s="201">
        <v>6</v>
      </c>
      <c r="B76" s="202">
        <v>7</v>
      </c>
      <c r="C76" s="160">
        <v>2824698</v>
      </c>
      <c r="D76" s="30">
        <v>1830960080</v>
      </c>
      <c r="E76" s="187">
        <f t="shared" si="2"/>
        <v>4.3213117060065658</v>
      </c>
      <c r="F76" s="188">
        <v>2.8246980000000001E-3</v>
      </c>
      <c r="G76" s="189">
        <v>1.2206400533333335E-2</v>
      </c>
      <c r="H76" s="232"/>
      <c r="I76" s="124" t="str">
        <f t="shared" si="3"/>
        <v>(6, 7]</v>
      </c>
      <c r="J76" s="160">
        <v>1</v>
      </c>
      <c r="K76" s="205">
        <v>0.75270896216161864</v>
      </c>
      <c r="L76" s="188">
        <v>2.1261754999999999E-3</v>
      </c>
      <c r="M76" s="208">
        <v>2126175</v>
      </c>
      <c r="N76" s="195">
        <v>2.1261750000000001E-3</v>
      </c>
      <c r="O76" s="211">
        <v>9.1878649165185108E-3</v>
      </c>
      <c r="Q76" s="183"/>
    </row>
    <row r="77" spans="1:20" ht="15.6">
      <c r="A77" s="201">
        <v>7</v>
      </c>
      <c r="B77" s="202">
        <v>8</v>
      </c>
      <c r="C77" s="160">
        <v>14142278</v>
      </c>
      <c r="D77" s="30">
        <v>10892748240</v>
      </c>
      <c r="E77" s="187">
        <f t="shared" si="2"/>
        <v>5.1348390690665244</v>
      </c>
      <c r="F77" s="188">
        <v>1.4142277999999999E-2</v>
      </c>
      <c r="G77" s="189">
        <v>7.261832159999998E-2</v>
      </c>
      <c r="H77" s="232"/>
      <c r="I77" s="214" t="str">
        <f t="shared" si="3"/>
        <v>(7, 8]</v>
      </c>
      <c r="J77" s="160">
        <v>1</v>
      </c>
      <c r="K77" s="205">
        <v>0.62605250017005742</v>
      </c>
      <c r="L77" s="188">
        <v>8.8538084999999992E-3</v>
      </c>
      <c r="M77" s="208">
        <v>8853808</v>
      </c>
      <c r="N77" s="195">
        <v>8.8538079999999995E-3</v>
      </c>
      <c r="O77" s="211">
        <v>4.5462879228413744E-2</v>
      </c>
      <c r="Q77" s="183"/>
    </row>
    <row r="78" spans="1:20" ht="15.6">
      <c r="A78" s="201">
        <v>8</v>
      </c>
      <c r="B78" s="202">
        <v>9</v>
      </c>
      <c r="C78" s="160">
        <v>6387851</v>
      </c>
      <c r="D78" s="30">
        <v>5707091100</v>
      </c>
      <c r="E78" s="187">
        <f t="shared" si="2"/>
        <v>5.9561930921682427</v>
      </c>
      <c r="F78" s="188">
        <v>6.3878509999999999E-3</v>
      </c>
      <c r="G78" s="189">
        <v>3.8047273999999999E-2</v>
      </c>
      <c r="H78" s="232"/>
      <c r="I78" s="124" t="str">
        <f t="shared" si="3"/>
        <v>(8, 9]</v>
      </c>
      <c r="J78" s="160">
        <v>1</v>
      </c>
      <c r="K78" s="205">
        <v>0.6043961419889099</v>
      </c>
      <c r="L78" s="188">
        <v>3.8607925000000002E-3</v>
      </c>
      <c r="M78" s="208">
        <v>3860792</v>
      </c>
      <c r="N78" s="195">
        <v>3.860792E-3</v>
      </c>
      <c r="O78" s="211">
        <v>2.2995622640698415E-2</v>
      </c>
      <c r="Q78" s="183"/>
    </row>
    <row r="79" spans="1:20" ht="15.6">
      <c r="A79" s="201">
        <v>9</v>
      </c>
      <c r="B79" s="202">
        <v>10</v>
      </c>
      <c r="C79" s="160">
        <v>8534118</v>
      </c>
      <c r="D79" s="30">
        <v>8323686000</v>
      </c>
      <c r="E79" s="187">
        <f t="shared" si="2"/>
        <v>6.5022817823704804</v>
      </c>
      <c r="F79" s="188">
        <v>8.5341180000000003E-3</v>
      </c>
      <c r="G79" s="189">
        <v>5.5491240000000004E-2</v>
      </c>
      <c r="H79" s="232"/>
      <c r="I79" s="124" t="str">
        <f t="shared" si="3"/>
        <v>(9, 10]</v>
      </c>
      <c r="J79" s="160">
        <v>1</v>
      </c>
      <c r="K79" s="205">
        <v>0.56236397246909409</v>
      </c>
      <c r="L79" s="188">
        <v>4.7992805000000001E-3</v>
      </c>
      <c r="M79" s="208">
        <v>4799280</v>
      </c>
      <c r="N79" s="195">
        <v>4.7992800000000004E-3</v>
      </c>
      <c r="O79" s="211">
        <v>3.1206270912495001E-2</v>
      </c>
      <c r="Q79" s="183"/>
    </row>
    <row r="80" spans="1:20" ht="15.6">
      <c r="A80" s="201">
        <v>10</v>
      </c>
      <c r="B80" s="202">
        <v>15</v>
      </c>
      <c r="C80" s="160">
        <v>21751151</v>
      </c>
      <c r="D80" s="30">
        <v>27771926600</v>
      </c>
      <c r="E80" s="187">
        <f t="shared" si="2"/>
        <v>8.5120174713206378</v>
      </c>
      <c r="F80" s="188">
        <v>2.1751151E-2</v>
      </c>
      <c r="G80" s="189">
        <v>0.18514617733333336</v>
      </c>
      <c r="H80" s="232"/>
      <c r="I80" s="214" t="str">
        <f t="shared" si="3"/>
        <v>(10, 15]</v>
      </c>
      <c r="J80" s="160">
        <v>1</v>
      </c>
      <c r="K80" s="205">
        <v>0.33361556360856492</v>
      </c>
      <c r="L80" s="188">
        <v>7.2565225000000002E-3</v>
      </c>
      <c r="M80" s="208">
        <v>7256522</v>
      </c>
      <c r="N80" s="195">
        <v>7.2565219999999996E-3</v>
      </c>
      <c r="O80" s="211">
        <v>6.1767642045022574E-2</v>
      </c>
      <c r="Q80" s="183"/>
    </row>
    <row r="81" spans="1:17" ht="15.6">
      <c r="A81" s="201">
        <v>15</v>
      </c>
      <c r="B81" s="202">
        <v>20</v>
      </c>
      <c r="C81" s="160">
        <v>14189980</v>
      </c>
      <c r="D81" s="30">
        <v>25358300600</v>
      </c>
      <c r="E81" s="187">
        <f t="shared" si="2"/>
        <v>11.913712164029361</v>
      </c>
      <c r="F81" s="188">
        <v>1.418998E-2</v>
      </c>
      <c r="G81" s="189">
        <v>0.16905533733333336</v>
      </c>
      <c r="H81" s="232"/>
      <c r="I81" s="124" t="str">
        <f t="shared" si="3"/>
        <v>(15, 20]</v>
      </c>
      <c r="J81" s="160">
        <v>1</v>
      </c>
      <c r="K81" s="205">
        <v>1.2838590681593631</v>
      </c>
      <c r="L81" s="188">
        <v>1.8217934499999998E-2</v>
      </c>
      <c r="M81" s="208">
        <v>18217934</v>
      </c>
      <c r="N81" s="195">
        <v>1.8217934000000002E-2</v>
      </c>
      <c r="O81" s="211">
        <v>0.2170432218992841</v>
      </c>
      <c r="Q81" s="183"/>
    </row>
    <row r="82" spans="1:17" ht="15.6">
      <c r="A82" s="201">
        <v>20</v>
      </c>
      <c r="B82" s="202">
        <v>25</v>
      </c>
      <c r="C82" s="160">
        <v>7956857</v>
      </c>
      <c r="D82" s="30">
        <v>18496587000</v>
      </c>
      <c r="E82" s="187">
        <f t="shared" si="2"/>
        <v>15.497398030403211</v>
      </c>
      <c r="F82" s="188">
        <v>7.9568569999999995E-3</v>
      </c>
      <c r="G82" s="189">
        <v>0.12331057999999999</v>
      </c>
      <c r="H82" s="232"/>
      <c r="I82" s="124" t="str">
        <f t="shared" si="3"/>
        <v>(20, 25]</v>
      </c>
      <c r="J82" s="160">
        <v>1</v>
      </c>
      <c r="K82" s="205">
        <v>0.31640665403437568</v>
      </c>
      <c r="L82" s="188">
        <v>2.5176025E-3</v>
      </c>
      <c r="M82" s="208">
        <v>2517602</v>
      </c>
      <c r="N82" s="195">
        <v>2.5176019999999999E-3</v>
      </c>
      <c r="O82" s="211">
        <v>3.9016280276139181E-2</v>
      </c>
      <c r="Q82" s="183"/>
    </row>
    <row r="83" spans="1:17" ht="15.6">
      <c r="A83" s="201">
        <v>25</v>
      </c>
      <c r="B83" s="202">
        <v>30</v>
      </c>
      <c r="C83" s="160">
        <v>5541813</v>
      </c>
      <c r="D83" s="30">
        <v>15759584660</v>
      </c>
      <c r="E83" s="187">
        <f t="shared" si="2"/>
        <v>18.958398223349171</v>
      </c>
      <c r="F83" s="188">
        <v>5.5418129999999996E-3</v>
      </c>
      <c r="G83" s="189">
        <v>0.10506389773333333</v>
      </c>
      <c r="H83" s="232"/>
      <c r="I83" s="124" t="str">
        <f t="shared" si="3"/>
        <v>(25, 30]</v>
      </c>
      <c r="J83" s="160">
        <v>1</v>
      </c>
      <c r="K83" s="205">
        <v>0.31615908007000598</v>
      </c>
      <c r="L83" s="188">
        <v>1.7520945E-3</v>
      </c>
      <c r="M83" s="208">
        <v>1752094</v>
      </c>
      <c r="N83" s="195">
        <v>1.752094E-3</v>
      </c>
      <c r="O83" s="211">
        <v>3.3216895776740744E-2</v>
      </c>
      <c r="Q83" s="183"/>
    </row>
    <row r="84" spans="1:17" ht="15.6">
      <c r="A84" s="201">
        <v>30</v>
      </c>
      <c r="B84" s="202">
        <v>35</v>
      </c>
      <c r="C84" s="160">
        <v>2717980</v>
      </c>
      <c r="D84" s="30">
        <v>8855811060</v>
      </c>
      <c r="E84" s="187">
        <f t="shared" si="2"/>
        <v>21.721550710454085</v>
      </c>
      <c r="F84" s="188">
        <v>2.71798E-3</v>
      </c>
      <c r="G84" s="189">
        <v>5.9038740399999998E-2</v>
      </c>
      <c r="H84" s="232"/>
      <c r="I84" s="124" t="str">
        <f t="shared" si="3"/>
        <v>(30, 35]</v>
      </c>
      <c r="J84" s="160">
        <v>1</v>
      </c>
      <c r="K84" s="205">
        <v>3.1882837622057556</v>
      </c>
      <c r="L84" s="188">
        <v>8.6656914999999994E-3</v>
      </c>
      <c r="M84" s="208">
        <v>8665691</v>
      </c>
      <c r="N84" s="195">
        <v>8.6656909999999997E-3</v>
      </c>
      <c r="O84" s="211">
        <v>0.18823224649762557</v>
      </c>
      <c r="Q84" s="183"/>
    </row>
    <row r="85" spans="1:17" ht="15.6">
      <c r="A85" s="201">
        <v>35</v>
      </c>
      <c r="B85" s="202">
        <v>40</v>
      </c>
      <c r="C85" s="160">
        <v>4824714</v>
      </c>
      <c r="D85" s="30">
        <v>18466972780</v>
      </c>
      <c r="E85" s="187">
        <f t="shared" si="2"/>
        <v>25.517191664970536</v>
      </c>
      <c r="F85" s="188">
        <v>4.8247139999999999E-3</v>
      </c>
      <c r="G85" s="189">
        <v>0.12311315186666665</v>
      </c>
      <c r="H85" s="232"/>
      <c r="I85" s="214" t="str">
        <f t="shared" si="3"/>
        <v>(35, 40]</v>
      </c>
      <c r="J85" s="160">
        <v>1</v>
      </c>
      <c r="K85" s="205">
        <v>0.31553486900985217</v>
      </c>
      <c r="L85" s="188">
        <v>1.5223654999999999E-3</v>
      </c>
      <c r="M85" s="208">
        <v>1522365</v>
      </c>
      <c r="N85" s="195">
        <v>1.5223649999999999E-3</v>
      </c>
      <c r="O85" s="211">
        <v>3.8846479489042865E-2</v>
      </c>
      <c r="Q85" s="183"/>
    </row>
    <row r="86" spans="1:17" ht="15.6">
      <c r="A86" s="201">
        <v>40</v>
      </c>
      <c r="B86" s="202">
        <v>45</v>
      </c>
      <c r="C86" s="160">
        <v>2092535</v>
      </c>
      <c r="D86" s="30">
        <v>9109320400</v>
      </c>
      <c r="E86" s="187">
        <f t="shared" si="2"/>
        <v>29.021642489452585</v>
      </c>
      <c r="F86" s="188">
        <v>2.092535E-3</v>
      </c>
      <c r="G86" s="189">
        <v>6.0728802666666665E-2</v>
      </c>
      <c r="H86" s="232"/>
      <c r="I86" s="124" t="str">
        <f t="shared" si="3"/>
        <v>(40, 45]</v>
      </c>
      <c r="J86" s="160">
        <v>1</v>
      </c>
      <c r="K86" s="205">
        <v>1.2769284623674155</v>
      </c>
      <c r="L86" s="188">
        <v>2.6720174999999998E-3</v>
      </c>
      <c r="M86" s="208">
        <v>2672017</v>
      </c>
      <c r="N86" s="195">
        <v>2.6720170000000001E-3</v>
      </c>
      <c r="O86" s="211">
        <v>7.7546322099739634E-2</v>
      </c>
      <c r="Q86" s="183"/>
    </row>
    <row r="87" spans="1:17" ht="15.6">
      <c r="A87" s="201">
        <v>45</v>
      </c>
      <c r="B87" s="202">
        <v>50</v>
      </c>
      <c r="C87" s="160">
        <v>2589965</v>
      </c>
      <c r="D87" s="30">
        <v>12464788320</v>
      </c>
      <c r="E87" s="187">
        <f t="shared" si="2"/>
        <v>32.084830798871799</v>
      </c>
      <c r="F87" s="188">
        <v>2.5899650000000001E-3</v>
      </c>
      <c r="G87" s="189">
        <v>8.3098588799999998E-2</v>
      </c>
      <c r="H87" s="232"/>
      <c r="I87" s="124" t="str">
        <f t="shared" si="3"/>
        <v>(45, 50]</v>
      </c>
      <c r="J87" s="160">
        <v>1</v>
      </c>
      <c r="K87" s="205">
        <v>0</v>
      </c>
      <c r="L87" s="188">
        <v>0</v>
      </c>
      <c r="M87" s="208">
        <v>0</v>
      </c>
      <c r="N87" s="195">
        <v>0</v>
      </c>
      <c r="O87" s="211">
        <v>0</v>
      </c>
      <c r="Q87" s="183"/>
    </row>
    <row r="88" spans="1:17" ht="15.6">
      <c r="A88" s="201">
        <v>50</v>
      </c>
      <c r="B88" s="202">
        <v>60</v>
      </c>
      <c r="C88" s="160">
        <v>4114058</v>
      </c>
      <c r="D88" s="30">
        <v>23362224820</v>
      </c>
      <c r="E88" s="187">
        <f t="shared" si="2"/>
        <v>37.857552194613362</v>
      </c>
      <c r="F88" s="188">
        <v>4.1140580000000003E-3</v>
      </c>
      <c r="G88" s="189">
        <v>0.15574816546666667</v>
      </c>
      <c r="H88" s="232"/>
      <c r="I88" s="214" t="str">
        <f t="shared" si="3"/>
        <v>(50, 60]</v>
      </c>
      <c r="J88" s="160">
        <v>1</v>
      </c>
      <c r="K88" s="205">
        <v>0</v>
      </c>
      <c r="L88" s="188">
        <v>0</v>
      </c>
      <c r="M88" s="208">
        <v>0</v>
      </c>
      <c r="N88" s="195">
        <v>0</v>
      </c>
      <c r="O88" s="211">
        <v>0</v>
      </c>
      <c r="Q88" s="183"/>
    </row>
    <row r="89" spans="1:17" ht="15.6">
      <c r="A89" s="201">
        <v>60</v>
      </c>
      <c r="B89" s="202">
        <v>70</v>
      </c>
      <c r="C89" s="160">
        <v>2473364</v>
      </c>
      <c r="D89" s="30">
        <v>16200610080</v>
      </c>
      <c r="E89" s="187">
        <f t="shared" si="2"/>
        <v>43.666871192432659</v>
      </c>
      <c r="F89" s="188">
        <v>2.473364E-3</v>
      </c>
      <c r="G89" s="189">
        <v>0.10800406720000001</v>
      </c>
      <c r="H89" s="232"/>
      <c r="I89" s="124" t="str">
        <f t="shared" si="3"/>
        <v>(60, 70]</v>
      </c>
      <c r="J89" s="160">
        <v>1</v>
      </c>
      <c r="K89" s="205">
        <v>0</v>
      </c>
      <c r="L89" s="188">
        <v>0</v>
      </c>
      <c r="M89" s="208">
        <v>0</v>
      </c>
      <c r="N89" s="195">
        <v>0</v>
      </c>
      <c r="O89" s="211">
        <v>0</v>
      </c>
      <c r="Q89" s="183"/>
    </row>
    <row r="90" spans="1:17" ht="15.6">
      <c r="A90" s="201">
        <v>70</v>
      </c>
      <c r="B90" s="202">
        <v>80</v>
      </c>
      <c r="C90" s="160">
        <v>3216093</v>
      </c>
      <c r="D90" s="30">
        <v>24497168740</v>
      </c>
      <c r="E90" s="187">
        <f t="shared" si="2"/>
        <v>50.780390450980953</v>
      </c>
      <c r="F90" s="188">
        <v>3.2160930000000002E-3</v>
      </c>
      <c r="G90" s="189">
        <v>0.16331445826666668</v>
      </c>
      <c r="H90" s="232"/>
      <c r="I90" s="214" t="str">
        <f t="shared" si="3"/>
        <v>(70, 80]</v>
      </c>
      <c r="J90" s="160">
        <v>1</v>
      </c>
      <c r="K90" s="205">
        <v>0</v>
      </c>
      <c r="L90" s="188">
        <v>0</v>
      </c>
      <c r="M90" s="208">
        <v>0</v>
      </c>
      <c r="N90" s="195">
        <v>0</v>
      </c>
      <c r="O90" s="211">
        <v>0</v>
      </c>
      <c r="Q90" s="183"/>
    </row>
    <row r="91" spans="1:17" ht="15.6">
      <c r="A91" s="201">
        <v>80</v>
      </c>
      <c r="B91" s="202">
        <v>90</v>
      </c>
      <c r="C91" s="160">
        <v>2107490</v>
      </c>
      <c r="D91" s="30">
        <v>18191147520</v>
      </c>
      <c r="E91" s="187">
        <f t="shared" si="2"/>
        <v>57.544432856146408</v>
      </c>
      <c r="F91" s="188">
        <v>2.1074900000000001E-3</v>
      </c>
      <c r="G91" s="189">
        <v>0.12127431679999999</v>
      </c>
      <c r="H91" s="232"/>
      <c r="I91" s="124" t="str">
        <f t="shared" si="3"/>
        <v>(80, 90]</v>
      </c>
      <c r="J91" s="160">
        <v>1</v>
      </c>
      <c r="K91" s="205">
        <v>0</v>
      </c>
      <c r="L91" s="188">
        <v>0</v>
      </c>
      <c r="M91" s="208">
        <v>0</v>
      </c>
      <c r="N91" s="195">
        <v>0</v>
      </c>
      <c r="O91" s="211">
        <v>0</v>
      </c>
      <c r="Q91" s="183"/>
    </row>
    <row r="92" spans="1:17" ht="15.6">
      <c r="A92" s="201">
        <v>90</v>
      </c>
      <c r="B92" s="202">
        <v>100</v>
      </c>
      <c r="C92" s="160">
        <v>2095097</v>
      </c>
      <c r="D92" s="30">
        <v>20151879480</v>
      </c>
      <c r="E92" s="187">
        <f t="shared" si="2"/>
        <v>64.123934691329325</v>
      </c>
      <c r="F92" s="188">
        <v>2.0950970000000002E-3</v>
      </c>
      <c r="G92" s="189">
        <v>0.1343458632</v>
      </c>
      <c r="H92" s="232"/>
      <c r="I92" s="124" t="str">
        <f t="shared" si="3"/>
        <v>(90, 100]</v>
      </c>
      <c r="J92" s="160">
        <v>1</v>
      </c>
      <c r="K92" s="205">
        <v>0</v>
      </c>
      <c r="L92" s="188">
        <v>0</v>
      </c>
      <c r="M92" s="208">
        <v>0</v>
      </c>
      <c r="N92" s="195">
        <v>0</v>
      </c>
      <c r="O92" s="211">
        <v>0</v>
      </c>
      <c r="Q92" s="183"/>
    </row>
    <row r="93" spans="1:17" ht="15.6">
      <c r="A93" s="201">
        <v>100</v>
      </c>
      <c r="B93" s="202">
        <v>120</v>
      </c>
      <c r="C93" s="160">
        <v>3576814</v>
      </c>
      <c r="D93" s="30">
        <v>39980059880</v>
      </c>
      <c r="E93" s="187">
        <f t="shared" si="2"/>
        <v>74.517079315092516</v>
      </c>
      <c r="F93" s="188">
        <v>3.5768140000000002E-3</v>
      </c>
      <c r="G93" s="189">
        <v>0.26653373253333335</v>
      </c>
      <c r="H93" s="232"/>
      <c r="I93" s="124" t="str">
        <f t="shared" si="3"/>
        <v>(100, 120]</v>
      </c>
      <c r="J93" s="160">
        <v>1</v>
      </c>
      <c r="K93" s="205">
        <v>0</v>
      </c>
      <c r="L93" s="188">
        <v>0</v>
      </c>
      <c r="M93" s="208">
        <v>0</v>
      </c>
      <c r="N93" s="195">
        <v>0</v>
      </c>
      <c r="O93" s="211">
        <v>0</v>
      </c>
      <c r="Q93" s="183"/>
    </row>
    <row r="94" spans="1:17" ht="15.6">
      <c r="A94" s="201">
        <v>120</v>
      </c>
      <c r="B94" s="202">
        <v>140</v>
      </c>
      <c r="C94" s="160">
        <v>2464538</v>
      </c>
      <c r="D94" s="30">
        <v>32284132780</v>
      </c>
      <c r="E94" s="187">
        <f t="shared" si="2"/>
        <v>87.329776155476878</v>
      </c>
      <c r="F94" s="188">
        <v>2.4645380000000001E-3</v>
      </c>
      <c r="G94" s="189">
        <v>0.21522755186666667</v>
      </c>
      <c r="H94" s="232"/>
      <c r="I94" s="124" t="str">
        <f t="shared" si="3"/>
        <v>(120, 140]</v>
      </c>
      <c r="J94" s="160">
        <v>1</v>
      </c>
      <c r="K94" s="205">
        <v>0</v>
      </c>
      <c r="L94" s="188">
        <v>0</v>
      </c>
      <c r="M94" s="208">
        <v>0</v>
      </c>
      <c r="N94" s="195">
        <v>0</v>
      </c>
      <c r="O94" s="211">
        <v>0</v>
      </c>
      <c r="Q94" s="183"/>
    </row>
    <row r="95" spans="1:17" ht="15.6">
      <c r="A95" s="201">
        <v>140</v>
      </c>
      <c r="B95" s="202">
        <v>160</v>
      </c>
      <c r="C95" s="160">
        <v>2333116</v>
      </c>
      <c r="D95" s="30">
        <v>35265624880</v>
      </c>
      <c r="E95" s="187">
        <f t="shared" si="2"/>
        <v>100.76831407725406</v>
      </c>
      <c r="F95" s="188">
        <v>2.3331160000000001E-3</v>
      </c>
      <c r="G95" s="189">
        <v>0.23510416586666669</v>
      </c>
      <c r="H95" s="232"/>
      <c r="I95" s="124" t="str">
        <f t="shared" si="3"/>
        <v>(140, 160]</v>
      </c>
      <c r="J95" s="160">
        <v>1</v>
      </c>
      <c r="K95" s="205">
        <v>0</v>
      </c>
      <c r="L95" s="188">
        <v>0</v>
      </c>
      <c r="M95" s="208">
        <v>0</v>
      </c>
      <c r="N95" s="195">
        <v>0</v>
      </c>
      <c r="O95" s="211">
        <v>0</v>
      </c>
      <c r="Q95" s="183"/>
    </row>
    <row r="96" spans="1:17" ht="15.6">
      <c r="A96" s="201">
        <v>160</v>
      </c>
      <c r="B96" s="202">
        <v>180</v>
      </c>
      <c r="C96" s="160">
        <v>1791620</v>
      </c>
      <c r="D96" s="30">
        <v>30722366440</v>
      </c>
      <c r="E96" s="187">
        <f t="shared" si="2"/>
        <v>114.31875970722959</v>
      </c>
      <c r="F96" s="188">
        <v>1.7916200000000001E-3</v>
      </c>
      <c r="G96" s="189">
        <v>0.20481577626666669</v>
      </c>
      <c r="H96" s="232"/>
      <c r="I96" s="124" t="str">
        <f t="shared" si="3"/>
        <v>(160, 180]</v>
      </c>
      <c r="J96" s="160">
        <v>1</v>
      </c>
      <c r="K96" s="205">
        <v>0</v>
      </c>
      <c r="L96" s="188">
        <v>0</v>
      </c>
      <c r="M96" s="208">
        <v>0</v>
      </c>
      <c r="N96" s="195">
        <v>0</v>
      </c>
      <c r="O96" s="211">
        <v>0</v>
      </c>
      <c r="Q96" s="183"/>
    </row>
    <row r="97" spans="1:17" ht="15.6">
      <c r="A97" s="201">
        <v>180</v>
      </c>
      <c r="B97" s="202">
        <v>200</v>
      </c>
      <c r="C97" s="160">
        <v>1634196</v>
      </c>
      <c r="D97" s="30">
        <v>31397260220</v>
      </c>
      <c r="E97" s="187">
        <f t="shared" si="2"/>
        <v>128.08443303822389</v>
      </c>
      <c r="F97" s="188">
        <v>1.6341960000000001E-3</v>
      </c>
      <c r="G97" s="189">
        <v>0.20931506813333334</v>
      </c>
      <c r="H97" s="232"/>
      <c r="I97" s="124" t="str">
        <f t="shared" si="3"/>
        <v>(180, 200]</v>
      </c>
      <c r="J97" s="160">
        <v>1</v>
      </c>
      <c r="K97" s="205">
        <v>0</v>
      </c>
      <c r="L97" s="188">
        <v>0</v>
      </c>
      <c r="M97" s="208">
        <v>0</v>
      </c>
      <c r="N97" s="195">
        <v>0</v>
      </c>
      <c r="O97" s="211">
        <v>0</v>
      </c>
      <c r="Q97" s="183"/>
    </row>
    <row r="98" spans="1:17" ht="15.6">
      <c r="A98" s="201">
        <v>200</v>
      </c>
      <c r="B98" s="202">
        <v>250</v>
      </c>
      <c r="C98" s="160">
        <v>3164800</v>
      </c>
      <c r="D98" s="30">
        <v>70996941800</v>
      </c>
      <c r="E98" s="187">
        <f t="shared" si="2"/>
        <v>149.5554048702393</v>
      </c>
      <c r="F98" s="188">
        <v>3.1648000000000002E-3</v>
      </c>
      <c r="G98" s="189">
        <v>0.47331294533333335</v>
      </c>
      <c r="H98" s="232"/>
      <c r="I98" s="124" t="str">
        <f t="shared" si="3"/>
        <v>(200, 250]</v>
      </c>
      <c r="J98" s="160">
        <v>1</v>
      </c>
      <c r="K98" s="205">
        <v>0</v>
      </c>
      <c r="L98" s="188">
        <v>0</v>
      </c>
      <c r="M98" s="208">
        <v>0</v>
      </c>
      <c r="N98" s="195">
        <v>0</v>
      </c>
      <c r="O98" s="211">
        <v>0</v>
      </c>
      <c r="Q98" s="183"/>
    </row>
    <row r="99" spans="1:17" ht="15.6">
      <c r="A99" s="201">
        <v>250</v>
      </c>
      <c r="B99" s="202">
        <v>300</v>
      </c>
      <c r="C99" s="160">
        <v>2186646</v>
      </c>
      <c r="D99" s="30">
        <v>60173226980</v>
      </c>
      <c r="E99" s="187">
        <f t="shared" si="2"/>
        <v>183.45669419436587</v>
      </c>
      <c r="F99" s="188">
        <v>2.186646E-3</v>
      </c>
      <c r="G99" s="189">
        <v>0.40115484653333333</v>
      </c>
      <c r="H99" s="232"/>
      <c r="I99" s="124" t="str">
        <f t="shared" si="3"/>
        <v>(250, 300]</v>
      </c>
      <c r="J99" s="160">
        <v>1</v>
      </c>
      <c r="K99" s="205">
        <v>0</v>
      </c>
      <c r="L99" s="188">
        <v>0</v>
      </c>
      <c r="M99" s="208">
        <v>0</v>
      </c>
      <c r="N99" s="195">
        <v>0</v>
      </c>
      <c r="O99" s="211">
        <v>0</v>
      </c>
      <c r="Q99" s="183"/>
    </row>
    <row r="100" spans="1:17" ht="15.6">
      <c r="A100" s="201">
        <v>300</v>
      </c>
      <c r="B100" s="202">
        <v>350</v>
      </c>
      <c r="C100" s="160">
        <v>1532786</v>
      </c>
      <c r="D100" s="30">
        <v>49779243740</v>
      </c>
      <c r="E100" s="187">
        <f t="shared" si="2"/>
        <v>216.50877874232498</v>
      </c>
      <c r="F100" s="188">
        <v>1.532786E-3</v>
      </c>
      <c r="G100" s="189">
        <v>0.33186162493333332</v>
      </c>
      <c r="H100" s="232"/>
      <c r="I100" s="124" t="str">
        <f t="shared" si="3"/>
        <v>(300, 350]</v>
      </c>
      <c r="J100" s="160">
        <v>1</v>
      </c>
      <c r="K100" s="205">
        <v>0</v>
      </c>
      <c r="L100" s="188">
        <v>0</v>
      </c>
      <c r="M100" s="208">
        <v>0</v>
      </c>
      <c r="N100" s="195">
        <v>0</v>
      </c>
      <c r="O100" s="211">
        <v>0</v>
      </c>
      <c r="Q100" s="183"/>
    </row>
    <row r="101" spans="1:17" ht="15.6">
      <c r="A101" s="201">
        <v>350</v>
      </c>
      <c r="B101" s="202">
        <v>400</v>
      </c>
      <c r="C101" s="160">
        <v>1321982</v>
      </c>
      <c r="D101" s="30">
        <v>49728819760</v>
      </c>
      <c r="E101" s="187">
        <f t="shared" si="2"/>
        <v>250.77910672510419</v>
      </c>
      <c r="F101" s="188">
        <v>1.321982E-3</v>
      </c>
      <c r="G101" s="189">
        <v>0.33152546506666669</v>
      </c>
      <c r="H101" s="232"/>
      <c r="I101" s="124" t="str">
        <f t="shared" si="3"/>
        <v>(350, 400]</v>
      </c>
      <c r="J101" s="160">
        <v>1</v>
      </c>
      <c r="K101" s="205">
        <v>0</v>
      </c>
      <c r="L101" s="188">
        <v>0</v>
      </c>
      <c r="M101" s="208">
        <v>0</v>
      </c>
      <c r="N101" s="195">
        <v>0</v>
      </c>
      <c r="O101" s="211">
        <v>0</v>
      </c>
      <c r="Q101" s="183"/>
    </row>
    <row r="102" spans="1:17" ht="15.6">
      <c r="A102" s="201">
        <v>400</v>
      </c>
      <c r="B102" s="202">
        <v>450</v>
      </c>
      <c r="C102" s="160">
        <v>1006647</v>
      </c>
      <c r="D102" s="30">
        <v>42818989640</v>
      </c>
      <c r="E102" s="187">
        <f t="shared" si="2"/>
        <v>283.57500785611376</v>
      </c>
      <c r="F102" s="188">
        <v>1.0066470000000001E-3</v>
      </c>
      <c r="G102" s="189">
        <v>0.28545993093333338</v>
      </c>
      <c r="H102" s="232"/>
      <c r="I102" s="124" t="str">
        <f t="shared" si="3"/>
        <v>(400, 450]</v>
      </c>
      <c r="J102" s="160">
        <v>1</v>
      </c>
      <c r="K102" s="205">
        <v>0</v>
      </c>
      <c r="L102" s="188">
        <v>0</v>
      </c>
      <c r="M102" s="208">
        <v>0</v>
      </c>
      <c r="N102" s="195">
        <v>0</v>
      </c>
      <c r="O102" s="211">
        <v>0</v>
      </c>
      <c r="Q102" s="183"/>
    </row>
    <row r="103" spans="1:17" ht="15.6">
      <c r="A103" s="201">
        <v>450</v>
      </c>
      <c r="B103" s="202">
        <v>500</v>
      </c>
      <c r="C103" s="160">
        <v>866131</v>
      </c>
      <c r="D103" s="30">
        <v>41344379840</v>
      </c>
      <c r="E103" s="187">
        <f t="shared" si="2"/>
        <v>318.23038193221731</v>
      </c>
      <c r="F103" s="188">
        <v>8.6613100000000002E-4</v>
      </c>
      <c r="G103" s="189">
        <v>0.27562919893333332</v>
      </c>
      <c r="H103" s="232"/>
      <c r="I103" s="124" t="str">
        <f t="shared" si="3"/>
        <v>(450, 500]</v>
      </c>
      <c r="J103" s="160">
        <v>1</v>
      </c>
      <c r="K103" s="205">
        <v>0</v>
      </c>
      <c r="L103" s="188">
        <v>0</v>
      </c>
      <c r="M103" s="208">
        <v>0</v>
      </c>
      <c r="N103" s="195">
        <v>0</v>
      </c>
      <c r="O103" s="211">
        <v>0</v>
      </c>
      <c r="Q103" s="183"/>
    </row>
    <row r="104" spans="1:17" ht="15.6">
      <c r="A104" s="201">
        <v>500</v>
      </c>
      <c r="B104" s="202">
        <v>550</v>
      </c>
      <c r="C104" s="160">
        <v>824251</v>
      </c>
      <c r="D104" s="30">
        <v>43257771340</v>
      </c>
      <c r="E104" s="187">
        <f t="shared" si="2"/>
        <v>349.87539264940733</v>
      </c>
      <c r="F104" s="188">
        <v>8.2425100000000002E-4</v>
      </c>
      <c r="G104" s="189">
        <v>0.28838514226666667</v>
      </c>
      <c r="H104" s="232"/>
      <c r="I104" s="124" t="str">
        <f t="shared" si="3"/>
        <v>(500, 550]</v>
      </c>
      <c r="J104" s="160">
        <v>1</v>
      </c>
      <c r="K104" s="205">
        <v>0</v>
      </c>
      <c r="L104" s="188">
        <v>0</v>
      </c>
      <c r="M104" s="208">
        <v>0</v>
      </c>
      <c r="N104" s="195">
        <v>0</v>
      </c>
      <c r="O104" s="211">
        <v>0</v>
      </c>
      <c r="Q104" s="183"/>
    </row>
    <row r="105" spans="1:17" ht="15.6">
      <c r="A105" s="201">
        <v>550</v>
      </c>
      <c r="B105" s="202">
        <v>600</v>
      </c>
      <c r="C105" s="160">
        <v>641727</v>
      </c>
      <c r="D105" s="30">
        <v>36969935840</v>
      </c>
      <c r="E105" s="187">
        <f t="shared" si="2"/>
        <v>384.06711722170542</v>
      </c>
      <c r="F105" s="188">
        <v>6.4172700000000003E-4</v>
      </c>
      <c r="G105" s="189">
        <v>0.24646623893333336</v>
      </c>
      <c r="H105" s="232"/>
      <c r="I105" s="124" t="str">
        <f t="shared" si="3"/>
        <v>(550, 600]</v>
      </c>
      <c r="J105" s="160">
        <v>1</v>
      </c>
      <c r="K105" s="205">
        <v>0</v>
      </c>
      <c r="L105" s="188">
        <v>0</v>
      </c>
      <c r="M105" s="208">
        <v>0</v>
      </c>
      <c r="N105" s="195">
        <v>0</v>
      </c>
      <c r="O105" s="211">
        <v>0</v>
      </c>
      <c r="Q105" s="183"/>
    </row>
    <row r="106" spans="1:17" ht="15.6">
      <c r="A106" s="201">
        <v>600</v>
      </c>
      <c r="B106" s="202">
        <v>650</v>
      </c>
      <c r="C106" s="160">
        <v>487130</v>
      </c>
      <c r="D106" s="30">
        <v>30486413740</v>
      </c>
      <c r="E106" s="187">
        <f t="shared" si="2"/>
        <v>417.22488507516817</v>
      </c>
      <c r="F106" s="188">
        <v>4.8713000000000001E-4</v>
      </c>
      <c r="G106" s="189">
        <v>0.20324275826666668</v>
      </c>
      <c r="H106" s="232"/>
      <c r="I106" s="124" t="str">
        <f t="shared" si="3"/>
        <v>(600, 650]</v>
      </c>
      <c r="J106" s="160">
        <v>1</v>
      </c>
      <c r="K106" s="205">
        <v>0</v>
      </c>
      <c r="L106" s="188">
        <v>0</v>
      </c>
      <c r="M106" s="208">
        <v>0</v>
      </c>
      <c r="N106" s="195">
        <v>0</v>
      </c>
      <c r="O106" s="211">
        <v>0</v>
      </c>
      <c r="Q106" s="183"/>
    </row>
    <row r="107" spans="1:17" ht="15.6">
      <c r="A107" s="201">
        <v>650</v>
      </c>
      <c r="B107" s="202">
        <v>700</v>
      </c>
      <c r="C107" s="160">
        <v>398856</v>
      </c>
      <c r="D107" s="30">
        <v>26925018060</v>
      </c>
      <c r="E107" s="187">
        <f t="shared" si="2"/>
        <v>450.03740798684237</v>
      </c>
      <c r="F107" s="188">
        <v>3.98856E-4</v>
      </c>
      <c r="G107" s="189">
        <v>0.17950012039999999</v>
      </c>
      <c r="H107" s="232"/>
      <c r="I107" s="124" t="str">
        <f t="shared" si="3"/>
        <v>(650, 700]</v>
      </c>
      <c r="J107" s="160">
        <v>1</v>
      </c>
      <c r="K107" s="205">
        <v>0</v>
      </c>
      <c r="L107" s="188">
        <v>0</v>
      </c>
      <c r="M107" s="208">
        <v>0</v>
      </c>
      <c r="N107" s="195">
        <v>0</v>
      </c>
      <c r="O107" s="211">
        <v>0</v>
      </c>
      <c r="Q107" s="183"/>
    </row>
    <row r="108" spans="1:17" ht="15.6">
      <c r="A108" s="201">
        <v>700</v>
      </c>
      <c r="B108" s="202">
        <v>750</v>
      </c>
      <c r="C108" s="160">
        <v>344325</v>
      </c>
      <c r="D108" s="30">
        <v>24963717040</v>
      </c>
      <c r="E108" s="187">
        <f t="shared" si="2"/>
        <v>483.33632546770252</v>
      </c>
      <c r="F108" s="188">
        <v>3.4432499999999998E-4</v>
      </c>
      <c r="G108" s="189">
        <v>0.16642478026666666</v>
      </c>
      <c r="H108" s="232"/>
      <c r="I108" s="124" t="str">
        <f t="shared" si="3"/>
        <v>(700, 750]</v>
      </c>
      <c r="J108" s="160">
        <v>1</v>
      </c>
      <c r="K108" s="205">
        <v>0</v>
      </c>
      <c r="L108" s="188">
        <v>0</v>
      </c>
      <c r="M108" s="208">
        <v>0</v>
      </c>
      <c r="N108" s="195">
        <v>0</v>
      </c>
      <c r="O108" s="211">
        <v>0</v>
      </c>
      <c r="Q108" s="183"/>
    </row>
    <row r="109" spans="1:17" ht="15.6">
      <c r="A109" s="201">
        <v>750</v>
      </c>
      <c r="B109" s="202">
        <v>800</v>
      </c>
      <c r="C109" s="160">
        <v>392768</v>
      </c>
      <c r="D109" s="30">
        <v>30691991300</v>
      </c>
      <c r="E109" s="187">
        <f t="shared" si="2"/>
        <v>520.95200050241704</v>
      </c>
      <c r="F109" s="188">
        <v>3.9276799999999999E-4</v>
      </c>
      <c r="G109" s="189">
        <v>0.20461327533333332</v>
      </c>
      <c r="H109" s="232"/>
      <c r="I109" s="124" t="str">
        <f t="shared" si="3"/>
        <v>(750, 800]</v>
      </c>
      <c r="J109" s="160">
        <v>1</v>
      </c>
      <c r="K109" s="205">
        <v>0</v>
      </c>
      <c r="L109" s="188">
        <v>0</v>
      </c>
      <c r="M109" s="208">
        <v>0</v>
      </c>
      <c r="N109" s="195">
        <v>0</v>
      </c>
      <c r="O109" s="211">
        <v>0</v>
      </c>
      <c r="Q109" s="183"/>
    </row>
    <row r="110" spans="1:17" ht="15.6">
      <c r="A110" s="201">
        <v>800</v>
      </c>
      <c r="B110" s="202">
        <v>850</v>
      </c>
      <c r="C110" s="160">
        <v>418753</v>
      </c>
      <c r="D110" s="30">
        <v>34621708880</v>
      </c>
      <c r="E110" s="187">
        <f t="shared" si="2"/>
        <v>551.18743634871475</v>
      </c>
      <c r="F110" s="188">
        <v>4.1875300000000001E-4</v>
      </c>
      <c r="G110" s="189">
        <v>0.23081139253333335</v>
      </c>
      <c r="H110" s="232"/>
      <c r="I110" s="124" t="str">
        <f t="shared" si="3"/>
        <v>(800, 850]</v>
      </c>
      <c r="J110" s="160">
        <v>1</v>
      </c>
      <c r="K110" s="205">
        <v>0</v>
      </c>
      <c r="L110" s="188">
        <v>0</v>
      </c>
      <c r="M110" s="208">
        <v>0</v>
      </c>
      <c r="N110" s="195">
        <v>0</v>
      </c>
      <c r="O110" s="211">
        <v>0</v>
      </c>
      <c r="Q110" s="183"/>
    </row>
    <row r="111" spans="1:17" ht="15.6">
      <c r="A111" s="201">
        <v>850</v>
      </c>
      <c r="B111" s="202">
        <v>900</v>
      </c>
      <c r="C111" s="160">
        <v>346215</v>
      </c>
      <c r="D111" s="30">
        <v>30283473840</v>
      </c>
      <c r="E111" s="187">
        <f t="shared" si="2"/>
        <v>583.13425357075801</v>
      </c>
      <c r="F111" s="188">
        <v>3.4621499999999998E-4</v>
      </c>
      <c r="G111" s="189">
        <v>0.20188982559999996</v>
      </c>
      <c r="H111" s="232"/>
      <c r="I111" s="124" t="str">
        <f t="shared" si="3"/>
        <v>(850, 900]</v>
      </c>
      <c r="J111" s="160">
        <v>1</v>
      </c>
      <c r="K111" s="205">
        <v>0</v>
      </c>
      <c r="L111" s="188">
        <v>0</v>
      </c>
      <c r="M111" s="208">
        <v>0</v>
      </c>
      <c r="N111" s="195">
        <v>0</v>
      </c>
      <c r="O111" s="211">
        <v>0</v>
      </c>
      <c r="Q111" s="183"/>
    </row>
    <row r="112" spans="1:17" ht="15.6">
      <c r="A112" s="201">
        <v>900</v>
      </c>
      <c r="B112" s="202">
        <v>950</v>
      </c>
      <c r="C112" s="160">
        <v>245051</v>
      </c>
      <c r="D112" s="30">
        <v>22661715420</v>
      </c>
      <c r="E112" s="187">
        <f t="shared" si="2"/>
        <v>616.51698136306322</v>
      </c>
      <c r="F112" s="188">
        <v>2.4505099999999998E-4</v>
      </c>
      <c r="G112" s="189">
        <v>0.1510781028</v>
      </c>
      <c r="H112" s="232"/>
      <c r="I112" s="124" t="str">
        <f t="shared" si="3"/>
        <v>(900, 950]</v>
      </c>
      <c r="J112" s="160">
        <v>0</v>
      </c>
      <c r="K112" s="205">
        <v>0</v>
      </c>
      <c r="L112" s="188">
        <v>0</v>
      </c>
      <c r="M112" s="208">
        <v>0</v>
      </c>
      <c r="N112" s="195">
        <v>0</v>
      </c>
      <c r="O112" s="211">
        <v>0</v>
      </c>
      <c r="Q112" s="183"/>
    </row>
    <row r="113" spans="1:19" ht="15.6">
      <c r="A113" s="201">
        <v>950</v>
      </c>
      <c r="B113" s="202">
        <v>1000</v>
      </c>
      <c r="C113" s="160">
        <v>314926</v>
      </c>
      <c r="D113" s="30">
        <v>30927721160</v>
      </c>
      <c r="E113" s="187">
        <f t="shared" si="2"/>
        <v>654.70874978037159</v>
      </c>
      <c r="F113" s="188">
        <v>3.1492599999999999E-4</v>
      </c>
      <c r="G113" s="189">
        <v>0.20618480773333328</v>
      </c>
      <c r="H113" s="232"/>
      <c r="I113" s="124" t="str">
        <f t="shared" si="3"/>
        <v>(950, 1000]</v>
      </c>
      <c r="J113" s="160">
        <v>0</v>
      </c>
      <c r="K113" s="205">
        <v>0</v>
      </c>
      <c r="L113" s="188">
        <v>0</v>
      </c>
      <c r="M113" s="208">
        <v>0</v>
      </c>
      <c r="N113" s="195">
        <v>0</v>
      </c>
      <c r="O113" s="211">
        <v>0</v>
      </c>
      <c r="Q113" s="183"/>
    </row>
    <row r="114" spans="1:19" ht="15.6">
      <c r="A114" s="201">
        <v>1000</v>
      </c>
      <c r="B114" s="202">
        <v>2000</v>
      </c>
      <c r="C114" s="160">
        <v>3471462</v>
      </c>
      <c r="D114" s="30">
        <v>492335740020</v>
      </c>
      <c r="E114" s="187">
        <f t="shared" si="2"/>
        <v>945.49163055796089</v>
      </c>
      <c r="F114" s="188">
        <v>3.4714619999999998E-3</v>
      </c>
      <c r="G114" s="189">
        <v>3.2822382667999999</v>
      </c>
      <c r="H114" s="232"/>
      <c r="I114" s="124" t="str">
        <f t="shared" si="3"/>
        <v>(1000, 2000]</v>
      </c>
      <c r="J114" s="160">
        <v>1</v>
      </c>
      <c r="K114" s="205">
        <v>0</v>
      </c>
      <c r="L114" s="188">
        <v>0</v>
      </c>
      <c r="M114" s="208">
        <v>0</v>
      </c>
      <c r="N114" s="195">
        <v>0</v>
      </c>
      <c r="O114" s="211">
        <v>0</v>
      </c>
      <c r="Q114" s="183"/>
    </row>
    <row r="115" spans="1:19" ht="15.6">
      <c r="A115" s="201">
        <v>2000</v>
      </c>
      <c r="B115" s="202">
        <v>3000</v>
      </c>
      <c r="C115" s="160">
        <v>1625948</v>
      </c>
      <c r="D115" s="30">
        <v>393309028260</v>
      </c>
      <c r="E115" s="187">
        <f t="shared" si="2"/>
        <v>1612.6347142713053</v>
      </c>
      <c r="F115" s="188">
        <v>1.6259480000000001E-3</v>
      </c>
      <c r="G115" s="189">
        <v>2.6220601884000003</v>
      </c>
      <c r="H115" s="232"/>
      <c r="I115" s="124" t="str">
        <f t="shared" si="3"/>
        <v>(2000, 3000]</v>
      </c>
      <c r="J115" s="160">
        <v>1</v>
      </c>
      <c r="K115" s="205">
        <v>0</v>
      </c>
      <c r="L115" s="188">
        <v>0</v>
      </c>
      <c r="M115" s="208">
        <v>0</v>
      </c>
      <c r="N115" s="195">
        <v>0</v>
      </c>
      <c r="O115" s="211">
        <v>0</v>
      </c>
      <c r="Q115" s="183"/>
    </row>
    <row r="116" spans="1:19" ht="15.6">
      <c r="A116" s="201">
        <v>3000</v>
      </c>
      <c r="B116" s="202">
        <v>4000</v>
      </c>
      <c r="C116" s="160">
        <v>822190</v>
      </c>
      <c r="D116" s="30">
        <v>283434237380</v>
      </c>
      <c r="E116" s="187">
        <f t="shared" si="2"/>
        <v>2298.2055030264701</v>
      </c>
      <c r="F116" s="188">
        <v>8.2218999999999999E-4</v>
      </c>
      <c r="G116" s="189">
        <v>1.8895615825333334</v>
      </c>
      <c r="H116" s="232"/>
      <c r="I116" s="124" t="str">
        <f t="shared" si="3"/>
        <v>(3000, 4000]</v>
      </c>
      <c r="J116" s="160">
        <v>1</v>
      </c>
      <c r="K116" s="205">
        <v>0</v>
      </c>
      <c r="L116" s="188">
        <v>0</v>
      </c>
      <c r="M116" s="208">
        <v>0</v>
      </c>
      <c r="N116" s="195">
        <v>0</v>
      </c>
      <c r="O116" s="211">
        <v>0</v>
      </c>
      <c r="Q116" s="183"/>
    </row>
    <row r="117" spans="1:19" ht="15.6">
      <c r="A117" s="201">
        <v>4000</v>
      </c>
      <c r="B117" s="202">
        <v>5000</v>
      </c>
      <c r="C117" s="160">
        <v>495097</v>
      </c>
      <c r="D117" s="30">
        <v>219795593180</v>
      </c>
      <c r="E117" s="187">
        <f t="shared" si="2"/>
        <v>2959.6300412511755</v>
      </c>
      <c r="F117" s="188">
        <v>4.9509700000000001E-4</v>
      </c>
      <c r="G117" s="189">
        <v>1.4653039545333333</v>
      </c>
      <c r="H117" s="232"/>
      <c r="I117" s="124" t="str">
        <f t="shared" si="3"/>
        <v>(4000, 5000]</v>
      </c>
      <c r="J117" s="160">
        <v>1</v>
      </c>
      <c r="K117" s="205">
        <v>0</v>
      </c>
      <c r="L117" s="188">
        <v>0</v>
      </c>
      <c r="M117" s="208">
        <v>0</v>
      </c>
      <c r="N117" s="195">
        <v>0</v>
      </c>
      <c r="O117" s="211">
        <v>0</v>
      </c>
      <c r="Q117" s="183"/>
    </row>
    <row r="118" spans="1:19" ht="15.6">
      <c r="A118" s="201">
        <v>5000</v>
      </c>
      <c r="B118" s="202">
        <v>6000</v>
      </c>
      <c r="C118" s="160">
        <v>263613</v>
      </c>
      <c r="D118" s="30">
        <v>144034384720</v>
      </c>
      <c r="E118" s="187">
        <f t="shared" si="2"/>
        <v>3642.571616220242</v>
      </c>
      <c r="F118" s="188">
        <v>2.63613E-4</v>
      </c>
      <c r="G118" s="189">
        <v>0.96022923146666661</v>
      </c>
      <c r="H118" s="232"/>
      <c r="I118" s="124" t="str">
        <f t="shared" si="3"/>
        <v>(5000, 6000]</v>
      </c>
      <c r="J118" s="160">
        <v>0</v>
      </c>
      <c r="K118" s="205">
        <v>0</v>
      </c>
      <c r="L118" s="188">
        <v>0</v>
      </c>
      <c r="M118" s="208">
        <v>0</v>
      </c>
      <c r="N118" s="195">
        <v>0</v>
      </c>
      <c r="O118" s="211">
        <v>0</v>
      </c>
      <c r="Q118" s="183"/>
    </row>
    <row r="119" spans="1:19" ht="15.6">
      <c r="A119" s="201">
        <v>6000</v>
      </c>
      <c r="B119" s="202">
        <v>7000</v>
      </c>
      <c r="C119" s="160">
        <v>171410</v>
      </c>
      <c r="D119" s="30">
        <v>110646987040</v>
      </c>
      <c r="E119" s="187">
        <f t="shared" si="2"/>
        <v>4303.404587052486</v>
      </c>
      <c r="F119" s="188">
        <v>1.7140999999999999E-4</v>
      </c>
      <c r="G119" s="189">
        <v>0.73764658026666652</v>
      </c>
      <c r="H119" s="232"/>
      <c r="I119" s="124" t="str">
        <f t="shared" si="3"/>
        <v>(6000, 7000]</v>
      </c>
      <c r="J119" s="160">
        <v>0</v>
      </c>
      <c r="K119" s="205">
        <v>0</v>
      </c>
      <c r="L119" s="188">
        <v>0</v>
      </c>
      <c r="M119" s="208">
        <v>0</v>
      </c>
      <c r="N119" s="195">
        <v>0</v>
      </c>
      <c r="O119" s="211">
        <v>0</v>
      </c>
      <c r="Q119" s="183"/>
    </row>
    <row r="120" spans="1:19" thickBot="1">
      <c r="A120" s="203">
        <v>7000</v>
      </c>
      <c r="B120" s="204">
        <v>8000</v>
      </c>
      <c r="C120" s="162">
        <v>106095</v>
      </c>
      <c r="D120" s="167">
        <v>79308066020</v>
      </c>
      <c r="E120" s="190">
        <f t="shared" si="2"/>
        <v>4983.4623698886217</v>
      </c>
      <c r="F120" s="191">
        <v>1.0609500000000001E-4</v>
      </c>
      <c r="G120" s="192">
        <v>0.5287204401333333</v>
      </c>
      <c r="H120" s="232"/>
      <c r="I120" s="125" t="str">
        <f t="shared" si="3"/>
        <v>(7000, 8000]</v>
      </c>
      <c r="J120" s="162">
        <v>0</v>
      </c>
      <c r="K120" s="206">
        <v>0</v>
      </c>
      <c r="L120" s="191">
        <v>0</v>
      </c>
      <c r="M120" s="209">
        <v>0</v>
      </c>
      <c r="N120" s="196">
        <v>0</v>
      </c>
      <c r="O120" s="212">
        <v>0</v>
      </c>
      <c r="Q120" s="183"/>
    </row>
    <row r="121" spans="1:19" ht="15.6">
      <c r="A121" s="242">
        <v>8000</v>
      </c>
      <c r="B121" s="246">
        <v>9000</v>
      </c>
      <c r="C121" s="160">
        <v>70205</v>
      </c>
      <c r="D121" s="30">
        <v>59386972540</v>
      </c>
      <c r="E121" s="187">
        <f t="shared" si="2"/>
        <v>5639.3867996106637</v>
      </c>
      <c r="F121" s="188">
        <v>7.0204999999999996E-5</v>
      </c>
      <c r="G121" s="189">
        <v>0.39591315026666662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249">
        <v>0</v>
      </c>
      <c r="O121" s="235">
        <v>0</v>
      </c>
      <c r="P121" s="198"/>
      <c r="Q121" s="198"/>
      <c r="S121" s="182"/>
    </row>
    <row r="122" spans="1:19" ht="15.6">
      <c r="A122" s="242">
        <v>9000</v>
      </c>
      <c r="B122" s="246">
        <v>10000</v>
      </c>
      <c r="C122" s="160">
        <v>43227</v>
      </c>
      <c r="D122" s="30">
        <v>40922277040</v>
      </c>
      <c r="E122" s="187">
        <f t="shared" si="2"/>
        <v>6311.2216963163455</v>
      </c>
      <c r="F122" s="188">
        <v>4.3226999999999998E-5</v>
      </c>
      <c r="G122" s="189">
        <v>0.27281518026666668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249">
        <v>0</v>
      </c>
      <c r="O122" s="235">
        <v>0</v>
      </c>
      <c r="P122" s="198"/>
      <c r="Q122" s="198"/>
      <c r="S122" s="182"/>
    </row>
    <row r="123" spans="1:19" ht="15.6">
      <c r="A123" s="242">
        <v>10000</v>
      </c>
      <c r="B123" s="246">
        <v>20000</v>
      </c>
      <c r="C123" s="160">
        <v>111376</v>
      </c>
      <c r="D123" s="30">
        <v>141282726820</v>
      </c>
      <c r="E123" s="187">
        <f t="shared" si="2"/>
        <v>8456.8025918210988</v>
      </c>
      <c r="F123" s="188">
        <v>1.11376E-4</v>
      </c>
      <c r="G123" s="189">
        <v>0.94188484546666673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249">
        <v>0</v>
      </c>
      <c r="O123" s="235">
        <v>0</v>
      </c>
      <c r="P123" s="198"/>
      <c r="Q123" s="198"/>
      <c r="S123" s="182"/>
    </row>
    <row r="124" spans="1:19" ht="15.6">
      <c r="A124" s="242">
        <v>20000</v>
      </c>
      <c r="B124" s="246">
        <v>30000</v>
      </c>
      <c r="C124" s="160">
        <v>7220</v>
      </c>
      <c r="D124" s="30">
        <v>16717845320</v>
      </c>
      <c r="E124" s="187">
        <f t="shared" si="2"/>
        <v>15436.606943674979</v>
      </c>
      <c r="F124" s="188">
        <v>7.2200000000000003E-6</v>
      </c>
      <c r="G124" s="189">
        <v>0.11145230213333335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249">
        <v>0</v>
      </c>
      <c r="O124" s="235">
        <v>0</v>
      </c>
      <c r="P124" s="198"/>
      <c r="Q124" s="198"/>
      <c r="S124" s="182"/>
    </row>
    <row r="125" spans="1:19" ht="15.6">
      <c r="A125" s="242">
        <v>30000</v>
      </c>
      <c r="B125" s="246">
        <v>100000</v>
      </c>
      <c r="C125" s="160">
        <v>806</v>
      </c>
      <c r="D125" s="30">
        <v>2823396900</v>
      </c>
      <c r="E125" s="187">
        <f t="shared" si="2"/>
        <v>23353.158808933003</v>
      </c>
      <c r="F125" s="188">
        <v>8.0599999999999999E-7</v>
      </c>
      <c r="G125" s="189">
        <v>1.8822646000000002E-2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249">
        <v>0</v>
      </c>
      <c r="O125" s="235">
        <v>0</v>
      </c>
      <c r="P125" s="198"/>
      <c r="Q125" s="198"/>
      <c r="S125" s="182"/>
    </row>
    <row r="126" spans="1:19" thickBot="1">
      <c r="A126" s="243">
        <v>100000</v>
      </c>
      <c r="B126" s="247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251">
        <v>0</v>
      </c>
      <c r="O126" s="235">
        <v>0</v>
      </c>
      <c r="P126" s="198"/>
      <c r="Q126" s="198"/>
      <c r="S126" s="182"/>
    </row>
    <row r="127" spans="1:19" ht="16.8" thickBot="1">
      <c r="O127" s="10">
        <f>SUM(O96:O120)</f>
        <v>0</v>
      </c>
    </row>
    <row r="128" spans="1:19" ht="16.8" thickBot="1">
      <c r="M128" s="114"/>
      <c r="N128" s="164" t="s">
        <v>181</v>
      </c>
      <c r="O128" s="219" t="s">
        <v>180</v>
      </c>
    </row>
    <row r="129" spans="1:65">
      <c r="M129" s="128" t="s">
        <v>178</v>
      </c>
      <c r="N129" s="218" t="e">
        <f>1/SUM(N103:N120)</f>
        <v>#DIV/0!</v>
      </c>
      <c r="O129" s="220" t="e" cm="1">
        <f t="array" ref="O129:O130">N131/N129:N130</f>
        <v>#DIV/0!</v>
      </c>
    </row>
    <row r="130" spans="1:65" ht="16.8" thickBot="1">
      <c r="M130" s="124" t="s">
        <v>179</v>
      </c>
      <c r="N130" s="218" t="e">
        <f>1/SUM(N115:N120)</f>
        <v>#DIV/0!</v>
      </c>
      <c r="O130" s="220" t="e">
        <v>#DIV/0!</v>
      </c>
    </row>
    <row r="131" spans="1:6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6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307">
        <f>SUM(_xlfn.ANCHORARRAY(O134))</f>
        <v>0.9000000001103956</v>
      </c>
    </row>
    <row r="133" spans="1:6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</row>
    <row r="134" spans="1:65" ht="15.6">
      <c r="A134" s="199" cm="1">
        <f t="array" ref="A134:B191">_xlfn.ANCHORARRAY(A69)</f>
        <v>-1</v>
      </c>
      <c r="B134" s="200">
        <v>0</v>
      </c>
      <c r="C134" s="158" cm="1">
        <f t="array" ref="C134:D191">'Multiplier Weight'!C134:D191</f>
        <v>795198269</v>
      </c>
      <c r="D134" s="166">
        <v>0</v>
      </c>
      <c r="E134" s="187">
        <f>IFERROR((D134/$E$131)/(C134),0)</f>
        <v>0</v>
      </c>
      <c r="F134" s="185" cm="1">
        <f t="array" ref="F134:F191">C134:C191/SUM(C134:C191)</f>
        <v>0.79519826900000001</v>
      </c>
      <c r="G134" s="186" cm="1">
        <f t="array" ref="G134:G191">E134:E191*_xlfn.ANCHORARRAY(F134)</f>
        <v>0</v>
      </c>
      <c r="H134" s="93"/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17">
        <v>1.1003764867350334</v>
      </c>
      <c r="L134" s="185" cm="1">
        <f t="array" ref="L134:L191">K134:K191*_xlfn.ANCHORARRAY(J134)*_xlfn.ANCHORARRAY(F134)</f>
        <v>0.87501747750000003</v>
      </c>
      <c r="M134" s="207" cm="1">
        <f t="array" ref="M134:M191">INT(_xlfn.ANCHORARRAY(L134)*$M$2)</f>
        <v>875017477</v>
      </c>
      <c r="N134" s="194" cm="1">
        <f t="array" ref="N134:N191">_xlfn.ANCHORARRAY(M134)/SUM(_xlfn.ANCHORARRAY(M134))</f>
        <v>0.87501747699999999</v>
      </c>
      <c r="O134" s="210" cm="1">
        <f t="array" ref="O134:O191">_xlfn.ANCHORARRAY(N134)*E134:E191</f>
        <v>0</v>
      </c>
      <c r="P134" s="178"/>
      <c r="AX134" s="182"/>
      <c r="BK134" s="198"/>
      <c r="BM134" s="20"/>
    </row>
    <row r="135" spans="1:65" ht="15.6">
      <c r="A135" s="201">
        <v>0</v>
      </c>
      <c r="B135" s="202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93"/>
      <c r="I135" s="124" t="str">
        <f t="shared" ref="I135:I191" si="5">"("&amp;$A135&amp;", "&amp;$B135&amp;"]"</f>
        <v>(0, 1]</v>
      </c>
      <c r="J135" s="160">
        <v>0</v>
      </c>
      <c r="K135" s="205">
        <v>0</v>
      </c>
      <c r="L135" s="188">
        <v>0</v>
      </c>
      <c r="M135" s="208">
        <v>0</v>
      </c>
      <c r="N135" s="195">
        <v>0</v>
      </c>
      <c r="O135" s="211">
        <v>0</v>
      </c>
      <c r="P135" s="178"/>
      <c r="AX135" s="182"/>
      <c r="BK135" s="198"/>
      <c r="BM135" s="20"/>
    </row>
    <row r="136" spans="1:65" ht="15.6">
      <c r="A136" s="201">
        <v>1</v>
      </c>
      <c r="B136" s="202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93"/>
      <c r="I136" s="214" t="str">
        <f t="shared" si="5"/>
        <v>(1, 2]</v>
      </c>
      <c r="J136" s="160">
        <v>0</v>
      </c>
      <c r="K136" s="205">
        <v>0</v>
      </c>
      <c r="L136" s="188">
        <v>0</v>
      </c>
      <c r="M136" s="208">
        <v>0</v>
      </c>
      <c r="N136" s="195">
        <v>0</v>
      </c>
      <c r="O136" s="211">
        <v>0</v>
      </c>
      <c r="P136" s="178"/>
      <c r="AX136" s="182"/>
      <c r="BK136" s="198"/>
      <c r="BM136" s="20"/>
    </row>
    <row r="137" spans="1:65" ht="15.6">
      <c r="A137" s="201">
        <v>2</v>
      </c>
      <c r="B137" s="202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93"/>
      <c r="I137" s="124" t="str">
        <f t="shared" si="5"/>
        <v>(2, 3]</v>
      </c>
      <c r="J137" s="160">
        <v>0</v>
      </c>
      <c r="K137" s="205">
        <v>0</v>
      </c>
      <c r="L137" s="188">
        <v>0</v>
      </c>
      <c r="M137" s="208">
        <v>0</v>
      </c>
      <c r="N137" s="195">
        <v>0</v>
      </c>
      <c r="O137" s="211">
        <v>0</v>
      </c>
      <c r="P137" s="178"/>
      <c r="AX137" s="182"/>
      <c r="BK137" s="198"/>
      <c r="BM137" s="20"/>
    </row>
    <row r="138" spans="1:65" ht="15.6">
      <c r="A138" s="201">
        <v>3</v>
      </c>
      <c r="B138" s="202">
        <v>4</v>
      </c>
      <c r="C138" s="160">
        <v>1537010</v>
      </c>
      <c r="D138" s="30">
        <v>614804000</v>
      </c>
      <c r="E138" s="187">
        <f t="shared" si="4"/>
        <v>0.5</v>
      </c>
      <c r="F138" s="188">
        <v>1.5370099999999999E-3</v>
      </c>
      <c r="G138" s="189">
        <v>7.6850499999999995E-4</v>
      </c>
      <c r="H138" s="93"/>
      <c r="I138" s="124" t="str">
        <f t="shared" si="5"/>
        <v>(3, 4]</v>
      </c>
      <c r="J138" s="160">
        <v>1</v>
      </c>
      <c r="K138" s="205">
        <v>0</v>
      </c>
      <c r="L138" s="188">
        <v>0</v>
      </c>
      <c r="M138" s="208">
        <v>0</v>
      </c>
      <c r="N138" s="195">
        <v>0</v>
      </c>
      <c r="O138" s="211">
        <v>0</v>
      </c>
      <c r="P138" s="178"/>
      <c r="AX138" s="182"/>
      <c r="BK138" s="198"/>
      <c r="BM138" s="20"/>
    </row>
    <row r="139" spans="1:65" ht="15.6">
      <c r="A139" s="201">
        <v>4</v>
      </c>
      <c r="B139" s="202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93"/>
      <c r="I139" s="124" t="str">
        <f t="shared" si="5"/>
        <v>(4, 5]</v>
      </c>
      <c r="J139" s="160">
        <v>0</v>
      </c>
      <c r="K139" s="205">
        <v>0</v>
      </c>
      <c r="L139" s="188">
        <v>0</v>
      </c>
      <c r="M139" s="208">
        <v>0</v>
      </c>
      <c r="N139" s="195">
        <v>0</v>
      </c>
      <c r="O139" s="211">
        <v>0</v>
      </c>
      <c r="P139" s="178"/>
      <c r="AX139" s="182"/>
      <c r="BK139" s="198"/>
      <c r="BM139" s="20"/>
    </row>
    <row r="140" spans="1:65" ht="15.6">
      <c r="A140" s="201">
        <v>5</v>
      </c>
      <c r="B140" s="202">
        <v>6</v>
      </c>
      <c r="C140" s="160">
        <v>1535472</v>
      </c>
      <c r="D140" s="30">
        <v>921283200</v>
      </c>
      <c r="E140" s="187">
        <f t="shared" si="4"/>
        <v>0.75</v>
      </c>
      <c r="F140" s="188">
        <v>1.535472E-3</v>
      </c>
      <c r="G140" s="189">
        <v>1.1516040000000001E-3</v>
      </c>
      <c r="H140" s="93"/>
      <c r="I140" s="124" t="str">
        <f t="shared" si="5"/>
        <v>(5, 6]</v>
      </c>
      <c r="J140" s="160">
        <v>1</v>
      </c>
      <c r="K140" s="205">
        <v>0</v>
      </c>
      <c r="L140" s="188">
        <v>0</v>
      </c>
      <c r="M140" s="208">
        <v>0</v>
      </c>
      <c r="N140" s="195">
        <v>0</v>
      </c>
      <c r="O140" s="211">
        <v>0</v>
      </c>
      <c r="P140" s="178"/>
      <c r="AX140" s="182"/>
      <c r="BK140" s="198"/>
      <c r="BM140" s="20"/>
    </row>
    <row r="141" spans="1:65" ht="15.6">
      <c r="A141" s="201">
        <v>6</v>
      </c>
      <c r="B141" s="202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93"/>
      <c r="I141" s="124" t="str">
        <f t="shared" si="5"/>
        <v>(6, 7]</v>
      </c>
      <c r="J141" s="160">
        <v>0</v>
      </c>
      <c r="K141" s="205">
        <v>0</v>
      </c>
      <c r="L141" s="188">
        <v>0</v>
      </c>
      <c r="M141" s="208">
        <v>0</v>
      </c>
      <c r="N141" s="195">
        <v>0</v>
      </c>
      <c r="O141" s="211">
        <v>0</v>
      </c>
      <c r="P141" s="178"/>
      <c r="AX141" s="182"/>
      <c r="BK141" s="198"/>
      <c r="BM141" s="20"/>
    </row>
    <row r="142" spans="1:65" ht="15.6">
      <c r="A142" s="201">
        <v>7</v>
      </c>
      <c r="B142" s="202">
        <v>8</v>
      </c>
      <c r="C142" s="160">
        <v>2173876</v>
      </c>
      <c r="D142" s="30">
        <v>1739100800</v>
      </c>
      <c r="E142" s="187">
        <f t="shared" si="4"/>
        <v>1</v>
      </c>
      <c r="F142" s="188">
        <v>2.1738759999999999E-3</v>
      </c>
      <c r="G142" s="189">
        <v>2.1738759999999999E-3</v>
      </c>
      <c r="H142" s="93"/>
      <c r="I142" s="214" t="str">
        <f t="shared" si="5"/>
        <v>(7, 8]</v>
      </c>
      <c r="J142" s="160">
        <v>1</v>
      </c>
      <c r="K142" s="205">
        <v>14.7804844894557</v>
      </c>
      <c r="L142" s="188">
        <v>3.2130940499999996E-2</v>
      </c>
      <c r="M142" s="208">
        <v>32130940</v>
      </c>
      <c r="N142" s="195">
        <v>3.2130939999999997E-2</v>
      </c>
      <c r="O142" s="211">
        <v>3.2130939999999997E-2</v>
      </c>
      <c r="P142" s="178"/>
      <c r="AX142" s="182"/>
      <c r="BK142" s="198"/>
      <c r="BM142" s="20"/>
    </row>
    <row r="143" spans="1:65" ht="15.6">
      <c r="A143" s="201">
        <v>8</v>
      </c>
      <c r="B143" s="202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93"/>
      <c r="I143" s="124" t="str">
        <f t="shared" si="5"/>
        <v>(8, 9]</v>
      </c>
      <c r="J143" s="160">
        <v>0</v>
      </c>
      <c r="K143" s="205">
        <v>0</v>
      </c>
      <c r="L143" s="188">
        <v>0</v>
      </c>
      <c r="M143" s="208">
        <v>0</v>
      </c>
      <c r="N143" s="195">
        <v>0</v>
      </c>
      <c r="O143" s="211">
        <v>0</v>
      </c>
      <c r="P143" s="178"/>
      <c r="AX143" s="182"/>
      <c r="BK143" s="198"/>
      <c r="BM143" s="20"/>
    </row>
    <row r="144" spans="1:65" ht="15.6">
      <c r="A144" s="201">
        <v>9</v>
      </c>
      <c r="B144" s="202">
        <v>10</v>
      </c>
      <c r="C144" s="160">
        <v>3268307</v>
      </c>
      <c r="D144" s="30">
        <v>3268307000</v>
      </c>
      <c r="E144" s="187">
        <f t="shared" si="4"/>
        <v>1.25</v>
      </c>
      <c r="F144" s="188">
        <v>3.2683069999999998E-3</v>
      </c>
      <c r="G144" s="189">
        <v>4.0853837499999993E-3</v>
      </c>
      <c r="H144" s="93"/>
      <c r="I144" s="124" t="str">
        <f t="shared" si="5"/>
        <v>(9, 10]</v>
      </c>
      <c r="J144" s="160">
        <v>1</v>
      </c>
      <c r="K144" s="205">
        <v>1.4820904217382271</v>
      </c>
      <c r="L144" s="188">
        <v>4.8439264999999999E-3</v>
      </c>
      <c r="M144" s="208">
        <v>4843926</v>
      </c>
      <c r="N144" s="195">
        <v>4.8439260000000001E-3</v>
      </c>
      <c r="O144" s="211">
        <v>6.0549074999999997E-3</v>
      </c>
      <c r="P144" s="178"/>
      <c r="AV144" s="197"/>
      <c r="AW144" s="180"/>
      <c r="AX144" s="182"/>
      <c r="BK144" s="198"/>
      <c r="BM144" s="20"/>
    </row>
    <row r="145" spans="1:65" ht="15.6">
      <c r="A145" s="201">
        <v>10</v>
      </c>
      <c r="B145" s="202">
        <v>15</v>
      </c>
      <c r="C145" s="160">
        <v>2634762</v>
      </c>
      <c r="D145" s="30">
        <v>3682764300</v>
      </c>
      <c r="E145" s="187">
        <f t="shared" si="4"/>
        <v>1.7471996996313139</v>
      </c>
      <c r="F145" s="188">
        <v>2.6347620000000001E-3</v>
      </c>
      <c r="G145" s="189">
        <v>4.603455375E-3</v>
      </c>
      <c r="H145" s="93"/>
      <c r="I145" s="214" t="str">
        <f t="shared" si="5"/>
        <v>(10, 15]</v>
      </c>
      <c r="J145" s="160">
        <v>1</v>
      </c>
      <c r="K145" s="205">
        <v>1.4678428260313454</v>
      </c>
      <c r="L145" s="188">
        <v>3.8674165E-3</v>
      </c>
      <c r="M145" s="208">
        <v>3867416</v>
      </c>
      <c r="N145" s="195">
        <v>3.8674159999999998E-3</v>
      </c>
      <c r="O145" s="211">
        <v>6.7571480735493369E-3</v>
      </c>
      <c r="P145" s="178"/>
      <c r="AV145" s="197"/>
      <c r="AW145" s="180"/>
      <c r="AX145" s="182"/>
      <c r="BK145" s="198"/>
      <c r="BM145" s="20"/>
    </row>
    <row r="146" spans="1:65" ht="15.6">
      <c r="A146" s="201">
        <v>15</v>
      </c>
      <c r="B146" s="202">
        <v>20</v>
      </c>
      <c r="C146" s="160">
        <v>9016244</v>
      </c>
      <c r="D146" s="30">
        <v>16921585600</v>
      </c>
      <c r="E146" s="187">
        <f t="shared" si="4"/>
        <v>2.3459859781966861</v>
      </c>
      <c r="F146" s="188">
        <v>9.0162439999999996E-3</v>
      </c>
      <c r="G146" s="189">
        <v>2.1151982E-2</v>
      </c>
      <c r="H146" s="93"/>
      <c r="I146" s="124" t="str">
        <f t="shared" si="5"/>
        <v>(15, 20]</v>
      </c>
      <c r="J146" s="160">
        <v>1</v>
      </c>
      <c r="K146" s="205">
        <v>1.4740241612804623</v>
      </c>
      <c r="L146" s="188">
        <v>1.32901615E-2</v>
      </c>
      <c r="M146" s="208">
        <v>13290161</v>
      </c>
      <c r="N146" s="195">
        <v>1.3290161E-2</v>
      </c>
      <c r="O146" s="211">
        <v>3.1178531353976448E-2</v>
      </c>
      <c r="P146" s="178"/>
      <c r="AV146" s="197"/>
      <c r="AW146" s="180"/>
      <c r="AX146" s="182"/>
      <c r="BK146" s="198"/>
      <c r="BM146" s="20"/>
    </row>
    <row r="147" spans="1:65" ht="15.6">
      <c r="A147" s="201">
        <v>20</v>
      </c>
      <c r="B147" s="202">
        <v>25</v>
      </c>
      <c r="C147" s="160">
        <v>5676427</v>
      </c>
      <c r="D147" s="30">
        <v>13793512000</v>
      </c>
      <c r="E147" s="187">
        <f t="shared" si="4"/>
        <v>3.0374547228388562</v>
      </c>
      <c r="F147" s="188">
        <v>5.6764270000000004E-3</v>
      </c>
      <c r="G147" s="189">
        <v>1.7241890000000003E-2</v>
      </c>
      <c r="H147" s="93"/>
      <c r="I147" s="124" t="str">
        <f t="shared" si="5"/>
        <v>(20, 25]</v>
      </c>
      <c r="J147" s="160">
        <v>1</v>
      </c>
      <c r="K147" s="205">
        <v>1.4753668989313171</v>
      </c>
      <c r="L147" s="188">
        <v>8.3748125000000003E-3</v>
      </c>
      <c r="M147" s="208">
        <v>8374812</v>
      </c>
      <c r="N147" s="195">
        <v>8.3748120000000006E-3</v>
      </c>
      <c r="O147" s="211">
        <v>2.5438112262287527E-2</v>
      </c>
      <c r="P147" s="178"/>
      <c r="AV147" s="197"/>
      <c r="AW147" s="180"/>
      <c r="AX147" s="182"/>
      <c r="BK147" s="198"/>
      <c r="BM147" s="20"/>
    </row>
    <row r="148" spans="1:65" ht="15.6">
      <c r="A148" s="201">
        <v>25</v>
      </c>
      <c r="B148" s="202">
        <v>30</v>
      </c>
      <c r="C148" s="160">
        <v>4496806</v>
      </c>
      <c r="D148" s="30">
        <v>13439030300</v>
      </c>
      <c r="E148" s="187">
        <f t="shared" si="4"/>
        <v>3.7357155000682707</v>
      </c>
      <c r="F148" s="188">
        <v>4.4968059999999999E-3</v>
      </c>
      <c r="G148" s="189">
        <v>1.6798787874999999E-2</v>
      </c>
      <c r="H148" s="93"/>
      <c r="I148" s="124" t="str">
        <f t="shared" si="5"/>
        <v>(25, 30]</v>
      </c>
      <c r="J148" s="160">
        <v>1</v>
      </c>
      <c r="K148" s="205">
        <v>1.4777271912553043</v>
      </c>
      <c r="L148" s="188">
        <v>6.6450525E-3</v>
      </c>
      <c r="M148" s="208">
        <v>6645052</v>
      </c>
      <c r="N148" s="195">
        <v>6.6450520000000003E-3</v>
      </c>
      <c r="O148" s="211">
        <v>2.4824023755159665E-2</v>
      </c>
      <c r="P148" s="178"/>
      <c r="AV148" s="197"/>
      <c r="AW148" s="180"/>
      <c r="AX148" s="182"/>
      <c r="BK148" s="198"/>
      <c r="BM148" s="20"/>
    </row>
    <row r="149" spans="1:65" ht="15.6">
      <c r="A149" s="201">
        <v>30</v>
      </c>
      <c r="B149" s="202">
        <v>35</v>
      </c>
      <c r="C149" s="160">
        <v>3013307</v>
      </c>
      <c r="D149" s="30">
        <v>9688028000</v>
      </c>
      <c r="E149" s="187">
        <f t="shared" si="4"/>
        <v>4.0188520452778294</v>
      </c>
      <c r="F149" s="188">
        <v>3.0133069999999998E-3</v>
      </c>
      <c r="G149" s="189">
        <v>1.2110035E-2</v>
      </c>
      <c r="H149" s="93"/>
      <c r="I149" s="124" t="str">
        <f t="shared" si="5"/>
        <v>(30, 35]</v>
      </c>
      <c r="J149" s="160">
        <v>1</v>
      </c>
      <c r="K149" s="205">
        <v>1.4761351896769894</v>
      </c>
      <c r="L149" s="188">
        <v>4.4480484999999993E-3</v>
      </c>
      <c r="M149" s="208">
        <v>4448048</v>
      </c>
      <c r="N149" s="195">
        <v>4.4480479999999996E-3</v>
      </c>
      <c r="O149" s="211">
        <v>1.7876046802293957E-2</v>
      </c>
      <c r="P149" s="178"/>
      <c r="AV149" s="197"/>
      <c r="AW149" s="180"/>
      <c r="AX149" s="182"/>
      <c r="BK149" s="198"/>
      <c r="BM149" s="20"/>
    </row>
    <row r="150" spans="1:65" ht="15.6">
      <c r="A150" s="201">
        <v>35</v>
      </c>
      <c r="B150" s="202">
        <v>40</v>
      </c>
      <c r="C150" s="160">
        <v>10566689</v>
      </c>
      <c r="D150" s="30">
        <v>41532351200</v>
      </c>
      <c r="E150" s="187">
        <f t="shared" si="4"/>
        <v>4.913122644188733</v>
      </c>
      <c r="F150" s="188">
        <v>1.0566689000000001E-2</v>
      </c>
      <c r="G150" s="189">
        <v>5.1915439000000001E-2</v>
      </c>
      <c r="H150" s="93"/>
      <c r="I150" s="214" t="str">
        <f t="shared" si="5"/>
        <v>(35, 40]</v>
      </c>
      <c r="J150" s="160">
        <v>1</v>
      </c>
      <c r="K150" s="205">
        <v>0.29514737303236616</v>
      </c>
      <c r="L150" s="188">
        <v>3.1187305000000003E-3</v>
      </c>
      <c r="M150" s="208">
        <v>3118730</v>
      </c>
      <c r="N150" s="195">
        <v>3.1187300000000001E-3</v>
      </c>
      <c r="O150" s="211">
        <v>1.5322702984110727E-2</v>
      </c>
      <c r="P150" s="178"/>
      <c r="AV150" s="197"/>
      <c r="AW150" s="180"/>
      <c r="AX150" s="182"/>
      <c r="BK150" s="198"/>
      <c r="BM150" s="20"/>
    </row>
    <row r="151" spans="1:65" ht="15.6">
      <c r="A151" s="201">
        <v>40</v>
      </c>
      <c r="B151" s="202">
        <v>45</v>
      </c>
      <c r="C151" s="160">
        <v>2254117</v>
      </c>
      <c r="D151" s="30">
        <v>10061161100</v>
      </c>
      <c r="E151" s="187">
        <f t="shared" si="4"/>
        <v>5.5793250195087474</v>
      </c>
      <c r="F151" s="188">
        <v>2.2541169999999999E-3</v>
      </c>
      <c r="G151" s="189">
        <v>1.2576451374999999E-2</v>
      </c>
      <c r="H151" s="93"/>
      <c r="I151" s="124" t="str">
        <f t="shared" si="5"/>
        <v>(40, 45]</v>
      </c>
      <c r="J151" s="160">
        <v>1</v>
      </c>
      <c r="K151" s="205">
        <v>1.4697939370494078</v>
      </c>
      <c r="L151" s="188">
        <v>3.3130874999999999E-3</v>
      </c>
      <c r="M151" s="208">
        <v>3313087</v>
      </c>
      <c r="N151" s="195">
        <v>3.3130870000000001E-3</v>
      </c>
      <c r="O151" s="211">
        <v>1.8484789190909179E-2</v>
      </c>
      <c r="P151" s="178"/>
      <c r="AV151" s="197"/>
      <c r="AW151" s="180"/>
      <c r="AX151" s="182"/>
      <c r="BK151" s="198"/>
      <c r="BM151" s="20"/>
    </row>
    <row r="152" spans="1:65" ht="15.6">
      <c r="A152" s="201">
        <v>45</v>
      </c>
      <c r="B152" s="202">
        <v>50</v>
      </c>
      <c r="C152" s="160">
        <v>7651966</v>
      </c>
      <c r="D152" s="30">
        <v>37555374200</v>
      </c>
      <c r="E152" s="187">
        <f t="shared" si="4"/>
        <v>6.1349224173238612</v>
      </c>
      <c r="F152" s="188">
        <v>7.6519659999999996E-3</v>
      </c>
      <c r="G152" s="189">
        <v>4.6944217749999996E-2</v>
      </c>
      <c r="H152" s="93"/>
      <c r="I152" s="124" t="str">
        <f t="shared" si="5"/>
        <v>(45, 50]</v>
      </c>
      <c r="J152" s="160">
        <v>1</v>
      </c>
      <c r="K152" s="205">
        <v>0.29527267894290171</v>
      </c>
      <c r="L152" s="188">
        <v>2.2594164999999999E-3</v>
      </c>
      <c r="M152" s="208">
        <v>2259416</v>
      </c>
      <c r="N152" s="195">
        <v>2.2594160000000002E-3</v>
      </c>
      <c r="O152" s="211">
        <v>1.3861341868460211E-2</v>
      </c>
      <c r="P152" s="178"/>
      <c r="AV152" s="197"/>
      <c r="AW152" s="180"/>
      <c r="AX152" s="182"/>
      <c r="BK152" s="198"/>
      <c r="BM152" s="20"/>
    </row>
    <row r="153" spans="1:65" ht="15.6">
      <c r="A153" s="201">
        <v>50</v>
      </c>
      <c r="B153" s="202">
        <v>60</v>
      </c>
      <c r="C153" s="160">
        <v>7953155</v>
      </c>
      <c r="D153" s="30">
        <v>47114923000</v>
      </c>
      <c r="E153" s="187">
        <f t="shared" si="4"/>
        <v>7.4050680201756407</v>
      </c>
      <c r="F153" s="188">
        <v>7.9531549999999999E-3</v>
      </c>
      <c r="G153" s="189">
        <v>5.8893653749999997E-2</v>
      </c>
      <c r="H153" s="93"/>
      <c r="I153" s="214" t="str">
        <f t="shared" si="5"/>
        <v>(50, 60]</v>
      </c>
      <c r="J153" s="160">
        <v>1</v>
      </c>
      <c r="K153" s="205">
        <v>0.29503102856665059</v>
      </c>
      <c r="L153" s="188">
        <v>2.3464275000000001E-3</v>
      </c>
      <c r="M153" s="208">
        <v>2346427</v>
      </c>
      <c r="N153" s="195">
        <v>2.3464269999999999E-3</v>
      </c>
      <c r="O153" s="211">
        <v>1.7375451539376668E-2</v>
      </c>
      <c r="P153" s="178"/>
      <c r="AV153" s="197"/>
      <c r="AW153" s="180"/>
      <c r="AX153" s="182"/>
      <c r="BK153" s="198"/>
      <c r="BM153" s="20"/>
    </row>
    <row r="154" spans="1:65" ht="15.6">
      <c r="A154" s="201">
        <v>60</v>
      </c>
      <c r="B154" s="202">
        <v>70</v>
      </c>
      <c r="C154" s="160">
        <v>2181495</v>
      </c>
      <c r="D154" s="30">
        <v>14354464700</v>
      </c>
      <c r="E154" s="187">
        <f t="shared" si="4"/>
        <v>8.225130415151078</v>
      </c>
      <c r="F154" s="188">
        <v>2.1814949999999999E-3</v>
      </c>
      <c r="G154" s="189">
        <v>1.7943080875E-2</v>
      </c>
      <c r="H154" s="93"/>
      <c r="I154" s="124" t="str">
        <f t="shared" si="5"/>
        <v>(60, 70]</v>
      </c>
      <c r="J154" s="160">
        <v>1</v>
      </c>
      <c r="K154" s="205">
        <v>0.29447259792023361</v>
      </c>
      <c r="L154" s="188">
        <v>6.4239050000000002E-4</v>
      </c>
      <c r="M154" s="208">
        <v>642390</v>
      </c>
      <c r="N154" s="195">
        <v>6.4238999999999995E-4</v>
      </c>
      <c r="O154" s="211">
        <v>5.2837415273889006E-3</v>
      </c>
      <c r="P154" s="178"/>
      <c r="AV154" s="197"/>
      <c r="AW154" s="180"/>
      <c r="AX154" s="182"/>
      <c r="BK154" s="198"/>
      <c r="BM154" s="20"/>
    </row>
    <row r="155" spans="1:65" ht="15.6">
      <c r="A155" s="201">
        <v>70</v>
      </c>
      <c r="B155" s="202">
        <v>80</v>
      </c>
      <c r="C155" s="160">
        <v>10192453</v>
      </c>
      <c r="D155" s="30">
        <v>79324067200</v>
      </c>
      <c r="E155" s="187">
        <f t="shared" si="4"/>
        <v>9.7282846435494967</v>
      </c>
      <c r="F155" s="188">
        <v>1.0192453000000001E-2</v>
      </c>
      <c r="G155" s="189">
        <v>9.9155084000000004E-2</v>
      </c>
      <c r="H155" s="93"/>
      <c r="I155" s="214" t="str">
        <f t="shared" si="5"/>
        <v>(70, 80]</v>
      </c>
      <c r="J155" s="160">
        <v>1</v>
      </c>
      <c r="K155" s="205">
        <v>0.29440935366589377</v>
      </c>
      <c r="L155" s="188">
        <v>3.0007535000000003E-3</v>
      </c>
      <c r="M155" s="208">
        <v>3000753</v>
      </c>
      <c r="N155" s="195">
        <v>3.0007530000000001E-3</v>
      </c>
      <c r="O155" s="211">
        <v>2.9192179328985084E-2</v>
      </c>
      <c r="P155" s="178"/>
      <c r="AV155" s="197"/>
      <c r="AW155" s="180"/>
      <c r="AX155" s="182"/>
      <c r="BK155" s="198"/>
      <c r="BM155" s="20"/>
    </row>
    <row r="156" spans="1:65" ht="15.6">
      <c r="A156" s="201">
        <v>80</v>
      </c>
      <c r="B156" s="202">
        <v>90</v>
      </c>
      <c r="C156" s="160">
        <v>2391271</v>
      </c>
      <c r="D156" s="30">
        <v>21008215200</v>
      </c>
      <c r="E156" s="187">
        <f t="shared" si="4"/>
        <v>10.981720181443258</v>
      </c>
      <c r="F156" s="188">
        <v>2.3912709999999999E-3</v>
      </c>
      <c r="G156" s="189">
        <v>2.6260268999999999E-2</v>
      </c>
      <c r="H156" s="93"/>
      <c r="I156" s="124" t="str">
        <f t="shared" si="5"/>
        <v>(80, 90]</v>
      </c>
      <c r="J156" s="160">
        <v>1</v>
      </c>
      <c r="K156" s="205">
        <v>5.896290090081802</v>
      </c>
      <c r="L156" s="188">
        <v>1.40996275E-2</v>
      </c>
      <c r="M156" s="208">
        <v>14099627</v>
      </c>
      <c r="N156" s="195">
        <v>1.4099627E-2</v>
      </c>
      <c r="O156" s="211">
        <v>0.15483815837672227</v>
      </c>
      <c r="P156" s="178"/>
      <c r="AV156" s="197"/>
      <c r="AW156" s="180"/>
      <c r="AX156" s="182"/>
      <c r="BK156" s="198"/>
      <c r="BM156" s="20"/>
    </row>
    <row r="157" spans="1:65" ht="15.6">
      <c r="A157" s="201">
        <v>90</v>
      </c>
      <c r="B157" s="202">
        <v>100</v>
      </c>
      <c r="C157" s="160">
        <v>8276896</v>
      </c>
      <c r="D157" s="30">
        <v>82033451100</v>
      </c>
      <c r="E157" s="187">
        <f t="shared" si="4"/>
        <v>12.388921387317177</v>
      </c>
      <c r="F157" s="188">
        <v>8.2768960000000006E-3</v>
      </c>
      <c r="G157" s="189">
        <v>0.102541813875</v>
      </c>
      <c r="H157" s="93"/>
      <c r="I157" s="124" t="str">
        <f t="shared" si="5"/>
        <v>(90, 100]</v>
      </c>
      <c r="J157" s="160">
        <v>1</v>
      </c>
      <c r="K157" s="205">
        <v>0.294212407646538</v>
      </c>
      <c r="L157" s="188">
        <v>2.4351655000000002E-3</v>
      </c>
      <c r="M157" s="208">
        <v>2435165</v>
      </c>
      <c r="N157" s="195">
        <v>2.435165E-3</v>
      </c>
      <c r="O157" s="211">
        <v>3.0169067750146234E-2</v>
      </c>
      <c r="P157" s="178"/>
      <c r="AV157" s="197"/>
      <c r="AW157" s="180"/>
      <c r="AX157" s="182"/>
      <c r="BK157" s="198"/>
      <c r="BM157" s="20"/>
    </row>
    <row r="158" spans="1:65" ht="15.6">
      <c r="A158" s="201">
        <v>100</v>
      </c>
      <c r="B158" s="202">
        <v>120</v>
      </c>
      <c r="C158" s="160">
        <v>6630816</v>
      </c>
      <c r="D158" s="30">
        <v>77449465800</v>
      </c>
      <c r="E158" s="187">
        <f t="shared" si="4"/>
        <v>14.600289353527529</v>
      </c>
      <c r="F158" s="188">
        <v>6.6308160000000003E-3</v>
      </c>
      <c r="G158" s="189">
        <v>9.6811832250000007E-2</v>
      </c>
      <c r="H158" s="93"/>
      <c r="I158" s="124" t="str">
        <f t="shared" si="5"/>
        <v>(100, 120]</v>
      </c>
      <c r="J158" s="160">
        <v>1</v>
      </c>
      <c r="K158" s="205">
        <v>0.29439521470660623</v>
      </c>
      <c r="L158" s="188">
        <v>1.9520805000000001E-3</v>
      </c>
      <c r="M158" s="208">
        <v>1952080</v>
      </c>
      <c r="N158" s="195">
        <v>1.9520799999999999E-3</v>
      </c>
      <c r="O158" s="211">
        <v>2.8500932841234016E-2</v>
      </c>
      <c r="P158" s="178"/>
      <c r="AV158" s="197"/>
      <c r="AW158" s="180"/>
      <c r="AX158" s="182"/>
      <c r="BK158" s="198"/>
      <c r="BM158" s="20"/>
    </row>
    <row r="159" spans="1:65" ht="15.6">
      <c r="A159" s="201">
        <v>120</v>
      </c>
      <c r="B159" s="202">
        <v>140</v>
      </c>
      <c r="C159" s="160">
        <v>2395438</v>
      </c>
      <c r="D159" s="30">
        <v>31722982300</v>
      </c>
      <c r="E159" s="187">
        <f t="shared" si="4"/>
        <v>16.553852729646938</v>
      </c>
      <c r="F159" s="188">
        <v>2.3954380000000002E-3</v>
      </c>
      <c r="G159" s="189">
        <v>3.9653727875000003E-2</v>
      </c>
      <c r="H159" s="93"/>
      <c r="I159" s="124" t="str">
        <f t="shared" si="5"/>
        <v>(120, 140]</v>
      </c>
      <c r="J159" s="160">
        <v>1</v>
      </c>
      <c r="K159" s="205">
        <v>0.29464861958439331</v>
      </c>
      <c r="L159" s="188">
        <v>7.0581249999999995E-4</v>
      </c>
      <c r="M159" s="208">
        <v>705812</v>
      </c>
      <c r="N159" s="195">
        <v>7.05812E-4</v>
      </c>
      <c r="O159" s="211">
        <v>1.1683907902817564E-2</v>
      </c>
      <c r="P159" s="178"/>
      <c r="AV159" s="197"/>
      <c r="AW159" s="180"/>
      <c r="AX159" s="182"/>
      <c r="BK159" s="198"/>
      <c r="BM159" s="20"/>
    </row>
    <row r="160" spans="1:65" ht="15.6">
      <c r="A160" s="201">
        <v>140</v>
      </c>
      <c r="B160" s="202">
        <v>160</v>
      </c>
      <c r="C160" s="160">
        <v>7805986</v>
      </c>
      <c r="D160" s="30">
        <v>120765802000</v>
      </c>
      <c r="E160" s="187">
        <f t="shared" si="4"/>
        <v>19.338652733940339</v>
      </c>
      <c r="F160" s="188">
        <v>7.805986E-3</v>
      </c>
      <c r="G160" s="189">
        <v>0.15095725250000003</v>
      </c>
      <c r="H160" s="93"/>
      <c r="I160" s="124" t="str">
        <f t="shared" si="5"/>
        <v>(140, 160]</v>
      </c>
      <c r="J160" s="160">
        <v>1</v>
      </c>
      <c r="K160" s="205">
        <v>0.29478793582258539</v>
      </c>
      <c r="L160" s="188">
        <v>2.3011105E-3</v>
      </c>
      <c r="M160" s="208">
        <v>2301110</v>
      </c>
      <c r="N160" s="195">
        <v>2.3011099999999999E-3</v>
      </c>
      <c r="O160" s="211">
        <v>4.4500367192597451E-2</v>
      </c>
      <c r="P160" s="178"/>
      <c r="AV160" s="197"/>
      <c r="AW160" s="180"/>
      <c r="AX160" s="182"/>
      <c r="BK160" s="198"/>
      <c r="BM160" s="20"/>
    </row>
    <row r="161" spans="1:65" ht="15.6">
      <c r="A161" s="201">
        <v>160</v>
      </c>
      <c r="B161" s="202">
        <v>180</v>
      </c>
      <c r="C161" s="160">
        <v>2193558</v>
      </c>
      <c r="D161" s="30">
        <v>38317143000</v>
      </c>
      <c r="E161" s="187">
        <f t="shared" si="4"/>
        <v>21.835040947173496</v>
      </c>
      <c r="F161" s="188">
        <v>2.193558E-3</v>
      </c>
      <c r="G161" s="189">
        <v>4.7896428749999997E-2</v>
      </c>
      <c r="H161" s="93"/>
      <c r="I161" s="124" t="str">
        <f t="shared" si="5"/>
        <v>(160, 180]</v>
      </c>
      <c r="J161" s="160">
        <v>1</v>
      </c>
      <c r="K161" s="205">
        <v>2.9441298110193577</v>
      </c>
      <c r="L161" s="188">
        <v>6.4581194999999997E-3</v>
      </c>
      <c r="M161" s="208">
        <v>6458119</v>
      </c>
      <c r="N161" s="195">
        <v>6.458119E-3</v>
      </c>
      <c r="O161" s="211">
        <v>0.14101329280671915</v>
      </c>
      <c r="P161" s="178"/>
      <c r="AV161" s="197"/>
      <c r="AW161" s="180"/>
      <c r="AX161" s="182"/>
      <c r="BK161" s="198"/>
      <c r="BM161" s="20"/>
    </row>
    <row r="162" spans="1:65" ht="15.6">
      <c r="A162" s="201">
        <v>180</v>
      </c>
      <c r="B162" s="202">
        <v>200</v>
      </c>
      <c r="C162" s="160">
        <v>7872162</v>
      </c>
      <c r="D162" s="30">
        <v>156525461500</v>
      </c>
      <c r="E162" s="187">
        <f t="shared" si="4"/>
        <v>24.854268354106534</v>
      </c>
      <c r="F162" s="188">
        <v>7.8721620000000003E-3</v>
      </c>
      <c r="G162" s="189">
        <v>0.195656826875</v>
      </c>
      <c r="H162" s="93"/>
      <c r="I162" s="124" t="str">
        <f t="shared" si="5"/>
        <v>(180, 200]</v>
      </c>
      <c r="J162" s="160">
        <v>1</v>
      </c>
      <c r="K162" s="205">
        <v>0.29403440884473669</v>
      </c>
      <c r="L162" s="188">
        <v>2.3146865E-3</v>
      </c>
      <c r="M162" s="208">
        <v>2314686</v>
      </c>
      <c r="N162" s="195">
        <v>2.3146859999999998E-3</v>
      </c>
      <c r="O162" s="211">
        <v>5.7529826999493432E-2</v>
      </c>
      <c r="P162" s="178"/>
      <c r="AV162" s="197"/>
      <c r="AW162" s="180"/>
      <c r="AX162" s="182"/>
      <c r="BK162" s="198"/>
      <c r="BM162" s="20"/>
    </row>
    <row r="163" spans="1:65" ht="15.6">
      <c r="A163" s="201">
        <v>200</v>
      </c>
      <c r="B163" s="202">
        <v>250</v>
      </c>
      <c r="C163" s="160">
        <v>6377502</v>
      </c>
      <c r="D163" s="30">
        <v>149049300800</v>
      </c>
      <c r="E163" s="187">
        <f t="shared" si="4"/>
        <v>29.213887506424928</v>
      </c>
      <c r="F163" s="188">
        <v>6.3775020000000002E-3</v>
      </c>
      <c r="G163" s="189">
        <v>0.18631162600000001</v>
      </c>
      <c r="H163" s="93"/>
      <c r="I163" s="124" t="str">
        <f t="shared" si="5"/>
        <v>(200, 250]</v>
      </c>
      <c r="J163" s="160">
        <v>1</v>
      </c>
      <c r="K163" s="205">
        <v>1.0089791426172818</v>
      </c>
      <c r="L163" s="188">
        <v>6.4347665000000004E-3</v>
      </c>
      <c r="M163" s="208">
        <v>6434766</v>
      </c>
      <c r="N163" s="195">
        <v>6.4347659999999997E-3</v>
      </c>
      <c r="O163" s="211">
        <v>0.1879845300541679</v>
      </c>
      <c r="P163" s="178"/>
      <c r="AV163" s="197"/>
      <c r="AW163" s="180"/>
      <c r="AX163" s="182"/>
      <c r="BK163" s="198"/>
      <c r="BM163" s="20"/>
    </row>
    <row r="164" spans="1:65" ht="15.6">
      <c r="A164" s="201">
        <v>250</v>
      </c>
      <c r="B164" s="202">
        <v>300</v>
      </c>
      <c r="C164" s="160">
        <v>6273332</v>
      </c>
      <c r="D164" s="30">
        <v>180153699500</v>
      </c>
      <c r="E164" s="187">
        <f t="shared" si="4"/>
        <v>35.896733087775367</v>
      </c>
      <c r="F164" s="188">
        <v>6.2733320000000004E-3</v>
      </c>
      <c r="G164" s="189">
        <v>0.22519212437500002</v>
      </c>
      <c r="H164" s="93"/>
      <c r="I164" s="124" t="str">
        <f t="shared" si="5"/>
        <v>(250, 300]</v>
      </c>
      <c r="J164" s="160">
        <v>1</v>
      </c>
      <c r="K164" s="205">
        <v>0</v>
      </c>
      <c r="L164" s="188">
        <v>0</v>
      </c>
      <c r="M164" s="208">
        <v>0</v>
      </c>
      <c r="N164" s="195">
        <v>0</v>
      </c>
      <c r="O164" s="211">
        <v>0</v>
      </c>
      <c r="P164" s="178"/>
      <c r="AV164" s="197"/>
      <c r="AW164" s="180"/>
      <c r="AX164" s="182"/>
      <c r="BK164" s="198"/>
      <c r="BM164" s="20"/>
    </row>
    <row r="165" spans="1:65" ht="15.6">
      <c r="A165" s="201">
        <v>300</v>
      </c>
      <c r="B165" s="202">
        <v>350</v>
      </c>
      <c r="C165" s="160">
        <v>3639555</v>
      </c>
      <c r="D165" s="30">
        <v>118724005300</v>
      </c>
      <c r="E165" s="187">
        <f t="shared" si="4"/>
        <v>40.775591143697511</v>
      </c>
      <c r="F165" s="188">
        <v>3.639555E-3</v>
      </c>
      <c r="G165" s="189">
        <v>0.148405006625</v>
      </c>
      <c r="H165" s="93"/>
      <c r="I165" s="124" t="str">
        <f t="shared" si="5"/>
        <v>(300, 350]</v>
      </c>
      <c r="J165" s="160">
        <v>1</v>
      </c>
      <c r="K165" s="205">
        <v>0</v>
      </c>
      <c r="L165" s="188">
        <v>0</v>
      </c>
      <c r="M165" s="208">
        <v>0</v>
      </c>
      <c r="N165" s="195">
        <v>0</v>
      </c>
      <c r="O165" s="211">
        <v>0</v>
      </c>
      <c r="P165" s="178"/>
      <c r="AV165" s="197"/>
      <c r="AW165" s="180"/>
      <c r="AX165" s="182"/>
      <c r="BK165" s="198"/>
      <c r="BM165" s="20"/>
    </row>
    <row r="166" spans="1:65" ht="15.6">
      <c r="A166" s="201">
        <v>350</v>
      </c>
      <c r="B166" s="202">
        <v>400</v>
      </c>
      <c r="C166" s="160">
        <v>6060287</v>
      </c>
      <c r="D166" s="30">
        <v>236200276700</v>
      </c>
      <c r="E166" s="187">
        <f t="shared" si="4"/>
        <v>48.718871874384824</v>
      </c>
      <c r="F166" s="188">
        <v>6.0602870000000001E-3</v>
      </c>
      <c r="G166" s="189">
        <v>0.29525034587499999</v>
      </c>
      <c r="H166" s="93"/>
      <c r="I166" s="124" t="str">
        <f t="shared" si="5"/>
        <v>(350, 400]</v>
      </c>
      <c r="J166" s="160">
        <v>1</v>
      </c>
      <c r="K166" s="205">
        <v>0</v>
      </c>
      <c r="L166" s="188">
        <v>0</v>
      </c>
      <c r="M166" s="208">
        <v>0</v>
      </c>
      <c r="N166" s="195">
        <v>0</v>
      </c>
      <c r="O166" s="211">
        <v>0</v>
      </c>
      <c r="P166" s="178"/>
      <c r="AV166" s="197"/>
      <c r="AW166" s="180"/>
      <c r="AX166" s="182"/>
      <c r="BK166" s="198"/>
      <c r="BM166" s="20"/>
    </row>
    <row r="167" spans="1:65" ht="15.6">
      <c r="A167" s="201">
        <v>400</v>
      </c>
      <c r="B167" s="202">
        <v>450</v>
      </c>
      <c r="C167" s="160">
        <v>2438675</v>
      </c>
      <c r="D167" s="30">
        <v>105176842800</v>
      </c>
      <c r="E167" s="187">
        <f t="shared" si="4"/>
        <v>53.910854664930753</v>
      </c>
      <c r="F167" s="188">
        <v>2.438675E-3</v>
      </c>
      <c r="G167" s="189">
        <v>0.13147105349999999</v>
      </c>
      <c r="H167" s="93"/>
      <c r="I167" s="124" t="str">
        <f t="shared" si="5"/>
        <v>(400, 450]</v>
      </c>
      <c r="J167" s="160">
        <v>1</v>
      </c>
      <c r="K167" s="205">
        <v>0</v>
      </c>
      <c r="L167" s="188">
        <v>0</v>
      </c>
      <c r="M167" s="208">
        <v>0</v>
      </c>
      <c r="N167" s="195">
        <v>0</v>
      </c>
      <c r="O167" s="211">
        <v>0</v>
      </c>
      <c r="P167" s="178"/>
      <c r="AV167" s="197"/>
      <c r="AW167" s="180"/>
      <c r="AX167" s="182"/>
      <c r="BK167" s="198"/>
      <c r="BM167" s="20"/>
    </row>
    <row r="168" spans="1:65" ht="15.6">
      <c r="A168" s="201">
        <v>450</v>
      </c>
      <c r="B168" s="202">
        <v>500</v>
      </c>
      <c r="C168" s="160">
        <v>4943761</v>
      </c>
      <c r="D168" s="30">
        <v>240787337900</v>
      </c>
      <c r="E168" s="187">
        <f t="shared" si="4"/>
        <v>60.881618746335029</v>
      </c>
      <c r="F168" s="188">
        <v>4.9437609999999996E-3</v>
      </c>
      <c r="G168" s="189">
        <v>0.30098417237499997</v>
      </c>
      <c r="H168" s="93"/>
      <c r="I168" s="124" t="str">
        <f t="shared" si="5"/>
        <v>(450, 500]</v>
      </c>
      <c r="J168" s="160">
        <v>1</v>
      </c>
      <c r="K168" s="205">
        <v>0</v>
      </c>
      <c r="L168" s="188">
        <v>0</v>
      </c>
      <c r="M168" s="208">
        <v>0</v>
      </c>
      <c r="N168" s="195">
        <v>0</v>
      </c>
      <c r="O168" s="211">
        <v>0</v>
      </c>
      <c r="P168" s="178"/>
      <c r="AV168" s="197"/>
      <c r="AW168" s="180"/>
      <c r="AX168" s="182"/>
      <c r="BM168" s="20"/>
    </row>
    <row r="169" spans="1:65" ht="15.6">
      <c r="A169" s="201">
        <v>500</v>
      </c>
      <c r="B169" s="202">
        <v>550</v>
      </c>
      <c r="C169" s="160">
        <v>1805371</v>
      </c>
      <c r="D169" s="30">
        <v>95003605200</v>
      </c>
      <c r="E169" s="187">
        <f t="shared" si="4"/>
        <v>65.778450246514424</v>
      </c>
      <c r="F169" s="188">
        <v>1.8053710000000001E-3</v>
      </c>
      <c r="G169" s="189">
        <v>0.1187545065</v>
      </c>
      <c r="H169" s="93"/>
      <c r="I169" s="124" t="str">
        <f t="shared" si="5"/>
        <v>(500, 550]</v>
      </c>
      <c r="J169" s="160">
        <v>1</v>
      </c>
      <c r="K169" s="205">
        <v>0</v>
      </c>
      <c r="L169" s="188">
        <v>0</v>
      </c>
      <c r="M169" s="208">
        <v>0</v>
      </c>
      <c r="N169" s="195">
        <v>0</v>
      </c>
      <c r="O169" s="211">
        <v>0</v>
      </c>
      <c r="P169" s="178"/>
      <c r="AV169" s="197"/>
      <c r="AW169" s="180"/>
      <c r="AX169" s="182"/>
      <c r="BM169" s="20"/>
    </row>
    <row r="170" spans="1:65" ht="15.6">
      <c r="A170" s="201">
        <v>550</v>
      </c>
      <c r="B170" s="202">
        <v>600</v>
      </c>
      <c r="C170" s="160">
        <v>3484162</v>
      </c>
      <c r="D170" s="30">
        <v>203829811900</v>
      </c>
      <c r="E170" s="187">
        <f t="shared" si="4"/>
        <v>73.127272748798703</v>
      </c>
      <c r="F170" s="188">
        <v>3.4841619999999998E-3</v>
      </c>
      <c r="G170" s="189">
        <v>0.25478726487499997</v>
      </c>
      <c r="H170" s="93"/>
      <c r="I170" s="124" t="str">
        <f t="shared" si="5"/>
        <v>(550, 600]</v>
      </c>
      <c r="J170" s="160">
        <v>1</v>
      </c>
      <c r="K170" s="205">
        <v>0</v>
      </c>
      <c r="L170" s="188">
        <v>0</v>
      </c>
      <c r="M170" s="208">
        <v>0</v>
      </c>
      <c r="N170" s="195">
        <v>0</v>
      </c>
      <c r="O170" s="211">
        <v>0</v>
      </c>
      <c r="P170" s="178"/>
      <c r="AV170" s="197"/>
      <c r="AW170" s="180"/>
      <c r="AX170" s="182"/>
      <c r="BM170" s="20"/>
    </row>
    <row r="171" spans="1:65" ht="15.6">
      <c r="A171" s="201">
        <v>600</v>
      </c>
      <c r="B171" s="202">
        <v>650</v>
      </c>
      <c r="C171" s="160">
        <v>1806937</v>
      </c>
      <c r="D171" s="30">
        <v>113897184400</v>
      </c>
      <c r="E171" s="187">
        <f t="shared" si="4"/>
        <v>78.791612823247291</v>
      </c>
      <c r="F171" s="188">
        <v>1.806937E-3</v>
      </c>
      <c r="G171" s="189">
        <v>0.14237148049999998</v>
      </c>
      <c r="H171" s="93"/>
      <c r="I171" s="124" t="str">
        <f t="shared" si="5"/>
        <v>(600, 650]</v>
      </c>
      <c r="J171" s="160">
        <v>1</v>
      </c>
      <c r="K171" s="205">
        <v>0</v>
      </c>
      <c r="L171" s="188">
        <v>0</v>
      </c>
      <c r="M171" s="208">
        <v>0</v>
      </c>
      <c r="N171" s="195">
        <v>0</v>
      </c>
      <c r="O171" s="211">
        <v>0</v>
      </c>
      <c r="P171" s="178"/>
      <c r="AV171" s="197"/>
      <c r="AW171" s="180"/>
      <c r="AX171" s="182"/>
      <c r="BM171" s="20"/>
    </row>
    <row r="172" spans="1:65" ht="15.6">
      <c r="A172" s="201">
        <v>650</v>
      </c>
      <c r="B172" s="202">
        <v>700</v>
      </c>
      <c r="C172" s="160">
        <v>1739433</v>
      </c>
      <c r="D172" s="30">
        <v>118149569000</v>
      </c>
      <c r="E172" s="187">
        <f t="shared" si="4"/>
        <v>84.905231331129173</v>
      </c>
      <c r="F172" s="188">
        <v>1.7394330000000001E-3</v>
      </c>
      <c r="G172" s="189">
        <v>0.14768696125000003</v>
      </c>
      <c r="H172" s="93"/>
      <c r="I172" s="124" t="str">
        <f t="shared" si="5"/>
        <v>(650, 700]</v>
      </c>
      <c r="J172" s="160">
        <v>1</v>
      </c>
      <c r="K172" s="205">
        <v>0</v>
      </c>
      <c r="L172" s="188">
        <v>0</v>
      </c>
      <c r="M172" s="208">
        <v>0</v>
      </c>
      <c r="N172" s="195">
        <v>0</v>
      </c>
      <c r="O172" s="211">
        <v>0</v>
      </c>
      <c r="P172" s="178"/>
      <c r="AV172" s="197"/>
      <c r="AW172" s="180"/>
      <c r="AX172" s="182"/>
      <c r="BM172" s="20"/>
    </row>
    <row r="173" spans="1:65" ht="15.6">
      <c r="A173" s="201">
        <v>700</v>
      </c>
      <c r="B173" s="202">
        <v>750</v>
      </c>
      <c r="C173" s="160">
        <v>1613476</v>
      </c>
      <c r="D173" s="30">
        <v>117206766500</v>
      </c>
      <c r="E173" s="187">
        <f t="shared" si="4"/>
        <v>90.802998076822959</v>
      </c>
      <c r="F173" s="188">
        <v>1.613476E-3</v>
      </c>
      <c r="G173" s="189">
        <v>0.14650845812499999</v>
      </c>
      <c r="H173" s="93"/>
      <c r="I173" s="124" t="str">
        <f t="shared" si="5"/>
        <v>(700, 750]</v>
      </c>
      <c r="J173" s="160">
        <v>1</v>
      </c>
      <c r="K173" s="205">
        <v>0</v>
      </c>
      <c r="L173" s="188">
        <v>0</v>
      </c>
      <c r="M173" s="208">
        <v>0</v>
      </c>
      <c r="N173" s="195">
        <v>0</v>
      </c>
      <c r="O173" s="211">
        <v>0</v>
      </c>
      <c r="P173" s="178"/>
      <c r="AV173" s="197"/>
      <c r="AW173" s="180"/>
      <c r="AX173" s="182"/>
      <c r="BM173" s="20"/>
    </row>
    <row r="174" spans="1:65" ht="15.6">
      <c r="A174" s="201">
        <v>750</v>
      </c>
      <c r="B174" s="202">
        <v>800</v>
      </c>
      <c r="C174" s="160">
        <v>4037756</v>
      </c>
      <c r="D174" s="30">
        <v>319977787400</v>
      </c>
      <c r="E174" s="187">
        <f t="shared" si="4"/>
        <v>99.058049632023327</v>
      </c>
      <c r="F174" s="188">
        <v>4.037756E-3</v>
      </c>
      <c r="G174" s="189">
        <v>0.39997223425</v>
      </c>
      <c r="H174" s="93"/>
      <c r="I174" s="124" t="str">
        <f t="shared" si="5"/>
        <v>(750, 800]</v>
      </c>
      <c r="J174" s="160">
        <v>1</v>
      </c>
      <c r="K174" s="205">
        <v>0</v>
      </c>
      <c r="L174" s="188">
        <v>0</v>
      </c>
      <c r="M174" s="208">
        <v>0</v>
      </c>
      <c r="N174" s="195">
        <v>0</v>
      </c>
      <c r="O174" s="211">
        <v>0</v>
      </c>
      <c r="P174" s="178"/>
      <c r="AV174" s="197"/>
      <c r="AW174" s="180"/>
      <c r="AX174" s="182"/>
      <c r="BM174" s="20"/>
    </row>
    <row r="175" spans="1:65" ht="15.6">
      <c r="A175" s="201">
        <v>800</v>
      </c>
      <c r="B175" s="202">
        <v>850</v>
      </c>
      <c r="C175" s="160">
        <v>1073590</v>
      </c>
      <c r="D175" s="30">
        <v>88882963800</v>
      </c>
      <c r="E175" s="187">
        <f t="shared" si="4"/>
        <v>103.4880212651012</v>
      </c>
      <c r="F175" s="188">
        <v>1.0735899999999999E-3</v>
      </c>
      <c r="G175" s="189">
        <v>0.11110370474999999</v>
      </c>
      <c r="H175" s="93"/>
      <c r="I175" s="124" t="str">
        <f t="shared" si="5"/>
        <v>(800, 850]</v>
      </c>
      <c r="J175" s="160">
        <v>1</v>
      </c>
      <c r="K175" s="205">
        <v>0</v>
      </c>
      <c r="L175" s="188">
        <v>0</v>
      </c>
      <c r="M175" s="208">
        <v>0</v>
      </c>
      <c r="N175" s="195">
        <v>0</v>
      </c>
      <c r="O175" s="211">
        <v>0</v>
      </c>
      <c r="P175" s="178"/>
      <c r="AV175" s="197"/>
      <c r="AW175" s="180"/>
      <c r="AX175" s="182"/>
      <c r="BM175" s="20"/>
    </row>
    <row r="176" spans="1:65" ht="15.6">
      <c r="A176" s="201">
        <v>850</v>
      </c>
      <c r="B176" s="202">
        <v>900</v>
      </c>
      <c r="C176" s="160">
        <v>1404569</v>
      </c>
      <c r="D176" s="30">
        <v>123880308000</v>
      </c>
      <c r="E176" s="187">
        <f t="shared" si="4"/>
        <v>110.24761688461015</v>
      </c>
      <c r="F176" s="188">
        <v>1.404569E-3</v>
      </c>
      <c r="G176" s="189">
        <v>0.15485038500000001</v>
      </c>
      <c r="H176" s="93"/>
      <c r="I176" s="124" t="str">
        <f t="shared" si="5"/>
        <v>(850, 900]</v>
      </c>
      <c r="J176" s="160">
        <v>1</v>
      </c>
      <c r="K176" s="205">
        <v>0</v>
      </c>
      <c r="L176" s="188">
        <v>0</v>
      </c>
      <c r="M176" s="208">
        <v>0</v>
      </c>
      <c r="N176" s="195">
        <v>0</v>
      </c>
      <c r="O176" s="211">
        <v>0</v>
      </c>
      <c r="P176" s="178"/>
      <c r="AV176" s="197"/>
      <c r="AW176" s="180"/>
      <c r="AX176" s="182"/>
      <c r="BM176" s="20"/>
    </row>
    <row r="177" spans="1:65" ht="15.6">
      <c r="A177" s="201">
        <v>900</v>
      </c>
      <c r="B177" s="202">
        <v>950</v>
      </c>
      <c r="C177" s="160">
        <v>932958</v>
      </c>
      <c r="D177" s="30">
        <v>86554923000</v>
      </c>
      <c r="E177" s="187">
        <f t="shared" si="4"/>
        <v>115.9684077418276</v>
      </c>
      <c r="F177" s="188">
        <v>9.3295800000000001E-4</v>
      </c>
      <c r="G177" s="189">
        <v>0.10819365374999999</v>
      </c>
      <c r="H177" s="93"/>
      <c r="I177" s="124" t="str">
        <f t="shared" si="5"/>
        <v>(900, 950]</v>
      </c>
      <c r="J177" s="160">
        <v>1</v>
      </c>
      <c r="K177" s="205">
        <v>0</v>
      </c>
      <c r="L177" s="188">
        <v>0</v>
      </c>
      <c r="M177" s="208">
        <v>0</v>
      </c>
      <c r="N177" s="195">
        <v>0</v>
      </c>
      <c r="O177" s="211">
        <v>0</v>
      </c>
      <c r="P177" s="178"/>
      <c r="AV177" s="197"/>
      <c r="AW177" s="180"/>
      <c r="AX177" s="182"/>
      <c r="BM177" s="20"/>
    </row>
    <row r="178" spans="1:65" ht="15.6">
      <c r="A178" s="201">
        <v>950</v>
      </c>
      <c r="B178" s="202">
        <v>1000</v>
      </c>
      <c r="C178" s="160">
        <v>3382931</v>
      </c>
      <c r="D178" s="30">
        <v>335662253800</v>
      </c>
      <c r="E178" s="187">
        <f t="shared" si="4"/>
        <v>124.02789688882216</v>
      </c>
      <c r="F178" s="188">
        <v>3.382931E-3</v>
      </c>
      <c r="G178" s="189">
        <v>0.41957781725000004</v>
      </c>
      <c r="H178" s="93"/>
      <c r="I178" s="124" t="str">
        <f t="shared" si="5"/>
        <v>(950, 1000]</v>
      </c>
      <c r="J178" s="160">
        <v>1</v>
      </c>
      <c r="K178" s="205">
        <v>0</v>
      </c>
      <c r="L178" s="188">
        <v>0</v>
      </c>
      <c r="M178" s="208">
        <v>0</v>
      </c>
      <c r="N178" s="195">
        <v>0</v>
      </c>
      <c r="O178" s="211">
        <v>0</v>
      </c>
      <c r="P178" s="178"/>
      <c r="AV178" s="197"/>
      <c r="AW178" s="180"/>
      <c r="AX178" s="182"/>
      <c r="BM178" s="20"/>
    </row>
    <row r="179" spans="1:65" ht="15.6">
      <c r="A179" s="201">
        <v>1000</v>
      </c>
      <c r="B179" s="202">
        <v>2000</v>
      </c>
      <c r="C179" s="160">
        <v>19711760</v>
      </c>
      <c r="D179" s="30">
        <v>2928553346700</v>
      </c>
      <c r="E179" s="187">
        <f t="shared" si="4"/>
        <v>185.71105184798313</v>
      </c>
      <c r="F179" s="188">
        <v>1.9711759999999998E-2</v>
      </c>
      <c r="G179" s="189">
        <v>3.6606916833749996</v>
      </c>
      <c r="H179" s="93"/>
      <c r="I179" s="124" t="str">
        <f t="shared" si="5"/>
        <v>(1000, 2000]</v>
      </c>
      <c r="J179" s="160">
        <v>1</v>
      </c>
      <c r="K179" s="205">
        <v>0</v>
      </c>
      <c r="L179" s="188">
        <v>0</v>
      </c>
      <c r="M179" s="208">
        <v>0</v>
      </c>
      <c r="N179" s="195">
        <v>0</v>
      </c>
      <c r="O179" s="211">
        <v>0</v>
      </c>
      <c r="P179" s="178"/>
      <c r="AV179" s="197"/>
      <c r="AW179" s="180"/>
      <c r="AX179" s="182"/>
      <c r="BM179" s="20"/>
    </row>
    <row r="180" spans="1:65" ht="15.6">
      <c r="A180" s="201">
        <v>2000</v>
      </c>
      <c r="B180" s="202">
        <v>3000</v>
      </c>
      <c r="C180" s="160">
        <v>8484953</v>
      </c>
      <c r="D180" s="30">
        <v>2130326733300</v>
      </c>
      <c r="E180" s="187">
        <f t="shared" si="4"/>
        <v>313.83891185077869</v>
      </c>
      <c r="F180" s="188">
        <v>8.4849529999999999E-3</v>
      </c>
      <c r="G180" s="189">
        <v>2.6629084166250001</v>
      </c>
      <c r="H180" s="93"/>
      <c r="I180" s="124" t="str">
        <f t="shared" si="5"/>
        <v>(2000, 3000]</v>
      </c>
      <c r="J180" s="160">
        <v>1</v>
      </c>
      <c r="K180" s="205">
        <v>0</v>
      </c>
      <c r="L180" s="188">
        <v>0</v>
      </c>
      <c r="M180" s="208">
        <v>0</v>
      </c>
      <c r="N180" s="195">
        <v>0</v>
      </c>
      <c r="O180" s="211">
        <v>0</v>
      </c>
      <c r="P180" s="178"/>
      <c r="AV180" s="197"/>
      <c r="AW180" s="180"/>
      <c r="AX180" s="182"/>
      <c r="BM180" s="20"/>
    </row>
    <row r="181" spans="1:65" ht="15.6">
      <c r="A181" s="201">
        <v>3000</v>
      </c>
      <c r="B181" s="202">
        <v>4000</v>
      </c>
      <c r="C181" s="160">
        <v>4565674</v>
      </c>
      <c r="D181" s="30">
        <v>1614756926700</v>
      </c>
      <c r="E181" s="187">
        <f t="shared" si="4"/>
        <v>442.091607586306</v>
      </c>
      <c r="F181" s="188">
        <v>4.5656739999999996E-3</v>
      </c>
      <c r="G181" s="189">
        <v>2.0184461583749997</v>
      </c>
      <c r="H181" s="93"/>
      <c r="I181" s="124" t="str">
        <f t="shared" si="5"/>
        <v>(3000, 4000]</v>
      </c>
      <c r="J181" s="160">
        <v>1</v>
      </c>
      <c r="K181" s="205">
        <v>0</v>
      </c>
      <c r="L181" s="188">
        <v>0</v>
      </c>
      <c r="M181" s="208">
        <v>0</v>
      </c>
      <c r="N181" s="195">
        <v>0</v>
      </c>
      <c r="O181" s="211">
        <v>0</v>
      </c>
      <c r="P181" s="178"/>
      <c r="AV181" s="197"/>
      <c r="AW181" s="180"/>
      <c r="AX181" s="182"/>
      <c r="BM181" s="20"/>
    </row>
    <row r="182" spans="1:65" ht="15.6">
      <c r="A182" s="201">
        <v>4000</v>
      </c>
      <c r="B182" s="202">
        <v>5000</v>
      </c>
      <c r="C182" s="160">
        <v>2661686</v>
      </c>
      <c r="D182" s="30">
        <v>1200209255000</v>
      </c>
      <c r="E182" s="187">
        <f t="shared" si="4"/>
        <v>563.65084715101636</v>
      </c>
      <c r="F182" s="188">
        <v>2.6616859999999999E-3</v>
      </c>
      <c r="G182" s="189">
        <v>1.5002615687500001</v>
      </c>
      <c r="H182" s="93"/>
      <c r="I182" s="124" t="str">
        <f t="shared" si="5"/>
        <v>(4000, 5000]</v>
      </c>
      <c r="J182" s="160">
        <v>1</v>
      </c>
      <c r="K182" s="205">
        <v>0</v>
      </c>
      <c r="L182" s="188">
        <v>0</v>
      </c>
      <c r="M182" s="208">
        <v>0</v>
      </c>
      <c r="N182" s="195">
        <v>0</v>
      </c>
      <c r="O182" s="211">
        <v>0</v>
      </c>
      <c r="P182" s="178"/>
      <c r="AV182" s="197"/>
      <c r="AW182" s="180"/>
      <c r="AX182" s="182"/>
      <c r="BM182" s="20"/>
    </row>
    <row r="183" spans="1:65" ht="15.6">
      <c r="A183" s="201">
        <v>5000</v>
      </c>
      <c r="B183" s="202">
        <v>6000</v>
      </c>
      <c r="C183" s="160">
        <v>1769466</v>
      </c>
      <c r="D183" s="30">
        <v>979407619600</v>
      </c>
      <c r="E183" s="187">
        <f t="shared" si="4"/>
        <v>691.88078465480544</v>
      </c>
      <c r="F183" s="188">
        <v>1.7694659999999999E-3</v>
      </c>
      <c r="G183" s="189">
        <v>1.2242595244999999</v>
      </c>
      <c r="H183" s="93"/>
      <c r="I183" s="124" t="str">
        <f t="shared" si="5"/>
        <v>(5000, 6000]</v>
      </c>
      <c r="J183" s="160">
        <v>1</v>
      </c>
      <c r="K183" s="205">
        <v>0</v>
      </c>
      <c r="L183" s="188">
        <v>0</v>
      </c>
      <c r="M183" s="208">
        <v>0</v>
      </c>
      <c r="N183" s="195">
        <v>0</v>
      </c>
      <c r="O183" s="211">
        <v>0</v>
      </c>
      <c r="P183" s="178"/>
      <c r="AV183" s="197"/>
      <c r="AW183" s="180"/>
      <c r="AX183" s="182"/>
      <c r="BM183" s="20"/>
    </row>
    <row r="184" spans="1:65" ht="15.6">
      <c r="A184" s="201">
        <v>6000</v>
      </c>
      <c r="B184" s="202">
        <v>7000</v>
      </c>
      <c r="C184" s="160">
        <v>1108896</v>
      </c>
      <c r="D184" s="30">
        <v>718738961300</v>
      </c>
      <c r="E184" s="187">
        <f t="shared" si="4"/>
        <v>810.19653928321497</v>
      </c>
      <c r="F184" s="188">
        <v>1.1088960000000001E-3</v>
      </c>
      <c r="G184" s="189">
        <v>0.89842370162499996</v>
      </c>
      <c r="H184" s="93"/>
      <c r="I184" s="124" t="str">
        <f t="shared" si="5"/>
        <v>(6000, 7000]</v>
      </c>
      <c r="J184" s="160">
        <v>1</v>
      </c>
      <c r="K184" s="205">
        <v>0</v>
      </c>
      <c r="L184" s="188">
        <v>0</v>
      </c>
      <c r="M184" s="208">
        <v>0</v>
      </c>
      <c r="N184" s="195">
        <v>0</v>
      </c>
      <c r="O184" s="211">
        <v>0</v>
      </c>
      <c r="P184" s="178"/>
      <c r="AV184" s="197"/>
      <c r="AW184" s="180"/>
      <c r="AX184" s="182"/>
      <c r="BM184" s="20"/>
    </row>
    <row r="185" spans="1:65" thickBot="1">
      <c r="A185" s="203">
        <v>7000</v>
      </c>
      <c r="B185" s="204">
        <v>8000</v>
      </c>
      <c r="C185" s="162">
        <v>807723</v>
      </c>
      <c r="D185" s="167">
        <v>606952896100</v>
      </c>
      <c r="E185" s="190">
        <f t="shared" si="4"/>
        <v>939.29616975745398</v>
      </c>
      <c r="F185" s="191">
        <v>8.0772299999999999E-4</v>
      </c>
      <c r="G185" s="192">
        <v>0.75869112012499995</v>
      </c>
      <c r="H185" s="93"/>
      <c r="I185" s="125" t="str">
        <f t="shared" si="5"/>
        <v>(7000, 8000]</v>
      </c>
      <c r="J185" s="162">
        <v>1</v>
      </c>
      <c r="K185" s="206">
        <v>0</v>
      </c>
      <c r="L185" s="191">
        <v>0</v>
      </c>
      <c r="M185" s="209">
        <v>0</v>
      </c>
      <c r="N185" s="196">
        <v>0</v>
      </c>
      <c r="O185" s="212">
        <v>0</v>
      </c>
      <c r="P185" s="178"/>
      <c r="AV185" s="197"/>
      <c r="AW185" s="180"/>
      <c r="AX185" s="182"/>
      <c r="BM185" s="20"/>
    </row>
    <row r="186" spans="1:65" ht="15.6">
      <c r="A186" s="242">
        <v>8000</v>
      </c>
      <c r="B186" s="246">
        <v>9000</v>
      </c>
      <c r="C186" s="160">
        <v>576360</v>
      </c>
      <c r="D186" s="30">
        <v>489372414400</v>
      </c>
      <c r="E186" s="187">
        <f t="shared" si="4"/>
        <v>1061.3427684086334</v>
      </c>
      <c r="F186" s="188">
        <v>5.7636000000000005E-4</v>
      </c>
      <c r="G186" s="189">
        <v>0.61171551800000001</v>
      </c>
      <c r="H186" s="178"/>
      <c r="I186" s="124" t="str">
        <f t="shared" si="5"/>
        <v>(8000, 9000]</v>
      </c>
      <c r="J186" s="160">
        <v>1</v>
      </c>
      <c r="K186" s="234">
        <v>0</v>
      </c>
      <c r="L186" s="188">
        <v>0</v>
      </c>
      <c r="M186" s="233">
        <v>0</v>
      </c>
      <c r="N186" s="249">
        <v>0</v>
      </c>
      <c r="O186" s="235">
        <v>0</v>
      </c>
      <c r="P186" s="266"/>
      <c r="Q186" s="198"/>
      <c r="S186" s="182"/>
      <c r="AV186" s="197"/>
      <c r="AW186" s="180"/>
    </row>
    <row r="187" spans="1:65" ht="15.6">
      <c r="A187" s="242">
        <v>9000</v>
      </c>
      <c r="B187" s="246">
        <v>10000</v>
      </c>
      <c r="C187" s="160">
        <v>462675</v>
      </c>
      <c r="D187" s="30">
        <v>439780988800</v>
      </c>
      <c r="E187" s="187">
        <f t="shared" si="4"/>
        <v>1188.1476976279246</v>
      </c>
      <c r="F187" s="188">
        <v>4.6267500000000001E-4</v>
      </c>
      <c r="G187" s="189">
        <v>0.54972623600000003</v>
      </c>
      <c r="H187" s="178"/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249">
        <v>0</v>
      </c>
      <c r="O187" s="235">
        <v>0</v>
      </c>
      <c r="P187" s="266"/>
      <c r="Q187" s="198"/>
      <c r="S187" s="182"/>
      <c r="AV187" s="197"/>
      <c r="AW187" s="180"/>
    </row>
    <row r="188" spans="1:65" ht="15.6">
      <c r="A188" s="242">
        <v>10000</v>
      </c>
      <c r="B188" s="246">
        <v>20000</v>
      </c>
      <c r="C188" s="160">
        <v>1545607</v>
      </c>
      <c r="D188" s="30">
        <v>2078648749800</v>
      </c>
      <c r="E188" s="187">
        <f t="shared" si="4"/>
        <v>1681.0941832238079</v>
      </c>
      <c r="F188" s="188">
        <v>1.5456070000000001E-3</v>
      </c>
      <c r="G188" s="189">
        <v>2.5983109372500004</v>
      </c>
      <c r="H188" s="178"/>
      <c r="I188" s="124" t="str">
        <f t="shared" si="5"/>
        <v>(10000, 20000]</v>
      </c>
      <c r="J188" s="160">
        <v>1</v>
      </c>
      <c r="K188" s="234">
        <v>0</v>
      </c>
      <c r="L188" s="188">
        <v>0</v>
      </c>
      <c r="M188" s="233">
        <v>0</v>
      </c>
      <c r="N188" s="249">
        <v>0</v>
      </c>
      <c r="O188" s="235">
        <v>0</v>
      </c>
      <c r="P188" s="266"/>
      <c r="Q188" s="198"/>
      <c r="S188" s="182"/>
      <c r="AV188" s="197"/>
      <c r="AW188" s="180"/>
    </row>
    <row r="189" spans="1:65" ht="15.6">
      <c r="A189" s="242">
        <v>20000</v>
      </c>
      <c r="B189" s="246">
        <v>30000</v>
      </c>
      <c r="C189" s="160">
        <v>280887</v>
      </c>
      <c r="D189" s="30">
        <v>668925003000</v>
      </c>
      <c r="E189" s="187">
        <f t="shared" si="4"/>
        <v>2976.8421242350128</v>
      </c>
      <c r="F189" s="188">
        <v>2.8088700000000001E-4</v>
      </c>
      <c r="G189" s="189">
        <v>0.83615625375000002</v>
      </c>
      <c r="H189" s="178"/>
      <c r="I189" s="124" t="str">
        <f t="shared" si="5"/>
        <v>(20000, 30000]</v>
      </c>
      <c r="J189" s="160">
        <v>0</v>
      </c>
      <c r="K189" s="234">
        <v>0</v>
      </c>
      <c r="L189" s="188">
        <v>0</v>
      </c>
      <c r="M189" s="233">
        <v>0</v>
      </c>
      <c r="N189" s="249">
        <v>0</v>
      </c>
      <c r="O189" s="235">
        <v>0</v>
      </c>
      <c r="P189" s="266"/>
      <c r="Q189" s="198"/>
      <c r="S189" s="182"/>
      <c r="AV189" s="197"/>
      <c r="AW189" s="180"/>
    </row>
    <row r="190" spans="1:65" ht="15.6">
      <c r="A190" s="242">
        <v>30000</v>
      </c>
      <c r="B190" s="246">
        <v>100000</v>
      </c>
      <c r="C190" s="160">
        <v>93523</v>
      </c>
      <c r="D190" s="30">
        <v>354341167100</v>
      </c>
      <c r="E190" s="187">
        <f t="shared" si="4"/>
        <v>4736.0163689680612</v>
      </c>
      <c r="F190" s="188">
        <v>9.3523000000000006E-5</v>
      </c>
      <c r="G190" s="189">
        <v>0.44292645887500004</v>
      </c>
      <c r="H190" s="178"/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249">
        <v>0</v>
      </c>
      <c r="O190" s="235">
        <v>0</v>
      </c>
      <c r="P190" s="266"/>
      <c r="Q190" s="198"/>
      <c r="S190" s="182"/>
      <c r="AV190" s="197"/>
      <c r="AW190" s="180"/>
    </row>
    <row r="191" spans="1:65" thickBot="1">
      <c r="A191" s="243">
        <v>100000</v>
      </c>
      <c r="B191" s="247">
        <v>999999</v>
      </c>
      <c r="C191" s="162">
        <v>13</v>
      </c>
      <c r="D191" s="167">
        <v>136044800</v>
      </c>
      <c r="E191" s="190">
        <f t="shared" si="4"/>
        <v>13081.23076923077</v>
      </c>
      <c r="F191" s="191">
        <v>1.3000000000000001E-8</v>
      </c>
      <c r="G191" s="192">
        <v>1.70056E-4</v>
      </c>
      <c r="H191" s="178"/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251">
        <v>0</v>
      </c>
      <c r="O191" s="235">
        <v>0</v>
      </c>
      <c r="P191" s="266"/>
      <c r="Q191" s="198"/>
      <c r="S191" s="182"/>
      <c r="AV191" s="197"/>
      <c r="AW191" s="180"/>
    </row>
    <row r="192" spans="1:65" ht="16.8" thickBot="1">
      <c r="O192" s="10">
        <f>SUM(O175:O185)</f>
        <v>0</v>
      </c>
    </row>
    <row r="193" spans="1:15" ht="16.8" thickBot="1">
      <c r="M193" s="114"/>
      <c r="N193" s="164" t="s">
        <v>181</v>
      </c>
      <c r="O193" s="219" t="s">
        <v>180</v>
      </c>
    </row>
    <row r="194" spans="1:15">
      <c r="M194" s="128" t="s">
        <v>178</v>
      </c>
      <c r="N194" s="218" t="e">
        <f>1/SUM(N181:N185)</f>
        <v>#DIV/0!</v>
      </c>
      <c r="O194" s="220" t="e" cm="1">
        <f t="array" ref="O194:O195">N196/N194:N195</f>
        <v>#DIV/0!</v>
      </c>
    </row>
    <row r="195" spans="1:15" ht="16.8" thickBot="1">
      <c r="M195" s="124" t="s">
        <v>179</v>
      </c>
      <c r="N195" s="218" t="e">
        <f>1/SUM(N192)</f>
        <v>#DIV/0!</v>
      </c>
      <c r="O195" s="220" t="e">
        <v>#DIV/0!</v>
      </c>
    </row>
    <row r="196" spans="1:15" ht="16.8" thickBot="1">
      <c r="D196" s="1" t="s">
        <v>183</v>
      </c>
      <c r="E196" s="1">
        <v>250</v>
      </c>
      <c r="M196" s="128" t="s">
        <v>177</v>
      </c>
      <c r="N196" s="166">
        <f>N131</f>
        <v>3500000</v>
      </c>
      <c r="O196" s="165"/>
    </row>
    <row r="197" spans="1:15" ht="16.8" thickBot="1">
      <c r="A197" s="229" t="s">
        <v>129</v>
      </c>
      <c r="B197" s="317"/>
      <c r="C197" s="317"/>
      <c r="D197" s="317"/>
      <c r="E197" s="317"/>
      <c r="F197" s="318"/>
      <c r="G197" s="317"/>
      <c r="H197" s="317"/>
      <c r="I197" s="317"/>
      <c r="J197" s="229">
        <v>3000</v>
      </c>
      <c r="K197" s="317"/>
      <c r="L197" s="317"/>
      <c r="M197" s="317"/>
      <c r="N197" s="317"/>
      <c r="O197" s="308">
        <f>SUM(_xlfn.ANCHORARRAY(O199))</f>
        <v>0.89999999998969349</v>
      </c>
    </row>
    <row r="198" spans="1:15" thickBot="1">
      <c r="A198" s="164" t="str" cm="1">
        <f t="array" ref="A198:G198">A133:G133</f>
        <v>Lower</v>
      </c>
      <c r="B198" s="163" t="str">
        <v>Upper</v>
      </c>
      <c r="C198" s="314" t="str">
        <v>Count</v>
      </c>
      <c r="D198" s="315" t="str">
        <v>Pay</v>
      </c>
      <c r="E198" s="315" t="str">
        <v>Multi.</v>
      </c>
      <c r="F198" s="315" t="str">
        <v>Prob.</v>
      </c>
      <c r="G198" s="316" t="str">
        <v>RTP</v>
      </c>
      <c r="I198" s="125" t="s">
        <v>159</v>
      </c>
      <c r="J198" s="164" t="s">
        <v>173</v>
      </c>
      <c r="K198" s="167" t="s">
        <v>161</v>
      </c>
      <c r="L198" s="167" t="s">
        <v>163</v>
      </c>
      <c r="M198" s="167" t="s">
        <v>162</v>
      </c>
      <c r="N198" s="167" t="s">
        <v>164</v>
      </c>
      <c r="O198" s="114" t="s">
        <v>165</v>
      </c>
    </row>
    <row r="199" spans="1:15" ht="15.6">
      <c r="A199" s="255" cm="1">
        <f t="array" ref="A199:B256">_xlfn.ANCHORARRAY(A134)</f>
        <v>-1</v>
      </c>
      <c r="B199" s="256">
        <v>0</v>
      </c>
      <c r="C199" s="158" cm="1">
        <f t="array" ref="C199:D256">'Multiplier Weight'!C199:D256</f>
        <v>15110792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1.5110792E-2</v>
      </c>
      <c r="G199" s="186" cm="1">
        <f t="array" ref="G199:G256">E199:E256*_xlfn.ANCHORARRAY(F199)</f>
        <v>0</v>
      </c>
      <c r="H199" s="232"/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</row>
    <row r="200" spans="1:15" ht="15.6">
      <c r="A200" s="257">
        <v>0</v>
      </c>
      <c r="B200" s="258">
        <v>1</v>
      </c>
      <c r="C200" s="160">
        <v>402891</v>
      </c>
      <c r="D200" s="30">
        <v>322312.8</v>
      </c>
      <c r="E200" s="187">
        <f t="shared" ref="E200:E256" si="6">IFERROR((D200/$E$196)/(C200),0)</f>
        <v>3.1999999999999997E-3</v>
      </c>
      <c r="F200" s="188">
        <v>4.02891E-4</v>
      </c>
      <c r="G200" s="189">
        <v>1.2892511999999999E-6</v>
      </c>
      <c r="H200" s="232"/>
      <c r="I200" s="274" t="str">
        <f t="shared" ref="I200:I256" si="7">"("&amp;$A200&amp;", "&amp;$B200&amp;"]"</f>
        <v>(0, 1]</v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</row>
    <row r="201" spans="1:15" ht="15.6">
      <c r="A201" s="257">
        <v>1</v>
      </c>
      <c r="B201" s="258">
        <v>2</v>
      </c>
      <c r="C201" s="160">
        <v>1666895</v>
      </c>
      <c r="D201" s="30">
        <v>2885989.2</v>
      </c>
      <c r="E201" s="187">
        <f t="shared" si="6"/>
        <v>6.925425296734347E-3</v>
      </c>
      <c r="F201" s="188">
        <v>1.6668950000000001E-3</v>
      </c>
      <c r="G201" s="189">
        <v>1.1543956799999999E-5</v>
      </c>
      <c r="H201" s="232"/>
      <c r="I201" s="274" t="str">
        <f t="shared" si="7"/>
        <v>(1, 2]</v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</row>
    <row r="202" spans="1:15" ht="15.6">
      <c r="A202" s="257">
        <v>2</v>
      </c>
      <c r="B202" s="258">
        <v>3</v>
      </c>
      <c r="C202" s="160">
        <v>811562</v>
      </c>
      <c r="D202" s="30">
        <v>2276998.6</v>
      </c>
      <c r="E202" s="187">
        <f t="shared" si="6"/>
        <v>1.1222795547351895E-2</v>
      </c>
      <c r="F202" s="188">
        <v>8.1156200000000005E-4</v>
      </c>
      <c r="G202" s="189">
        <v>9.1079943999999999E-6</v>
      </c>
      <c r="H202" s="232"/>
      <c r="I202" s="274" t="str">
        <f t="shared" si="7"/>
        <v>(2, 3]</v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</row>
    <row r="203" spans="1:15" ht="15.6">
      <c r="A203" s="257">
        <v>3</v>
      </c>
      <c r="B203" s="258">
        <v>4</v>
      </c>
      <c r="C203" s="160">
        <v>1927195</v>
      </c>
      <c r="D203" s="30">
        <v>7238136.7999999998</v>
      </c>
      <c r="E203" s="187">
        <f t="shared" si="6"/>
        <v>1.5023153962105547E-2</v>
      </c>
      <c r="F203" s="188">
        <v>1.927195E-3</v>
      </c>
      <c r="G203" s="189">
        <v>2.8952547199999999E-5</v>
      </c>
      <c r="H203" s="232"/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</row>
    <row r="204" spans="1:15" ht="15.6">
      <c r="A204" s="257">
        <v>4</v>
      </c>
      <c r="B204" s="258">
        <v>5</v>
      </c>
      <c r="C204" s="160">
        <v>1832630</v>
      </c>
      <c r="D204" s="30">
        <v>8902385</v>
      </c>
      <c r="E204" s="187">
        <f t="shared" si="6"/>
        <v>1.9430839831280727E-2</v>
      </c>
      <c r="F204" s="188">
        <v>1.83263E-3</v>
      </c>
      <c r="G204" s="189">
        <v>3.5609540000000001E-5</v>
      </c>
      <c r="H204" s="232"/>
      <c r="I204" s="274" t="str">
        <f t="shared" si="7"/>
        <v>(4, 5]</v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</row>
    <row r="205" spans="1:15" ht="15.6">
      <c r="A205" s="257">
        <v>5</v>
      </c>
      <c r="B205" s="258">
        <v>6</v>
      </c>
      <c r="C205" s="160">
        <v>2016840</v>
      </c>
      <c r="D205" s="30">
        <v>11978441.6</v>
      </c>
      <c r="E205" s="187">
        <f t="shared" si="6"/>
        <v>2.3756850518633108E-2</v>
      </c>
      <c r="F205" s="188">
        <v>2.0168400000000002E-3</v>
      </c>
      <c r="G205" s="189">
        <v>4.7913766400000002E-5</v>
      </c>
      <c r="H205" s="232"/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</row>
    <row r="206" spans="1:15" ht="15.6">
      <c r="A206" s="257">
        <v>6</v>
      </c>
      <c r="B206" s="258">
        <v>7</v>
      </c>
      <c r="C206" s="160">
        <v>467346</v>
      </c>
      <c r="D206" s="30">
        <v>3080156.4</v>
      </c>
      <c r="E206" s="187">
        <f t="shared" si="6"/>
        <v>2.6362963628660564E-2</v>
      </c>
      <c r="F206" s="188">
        <v>4.6734599999999999E-4</v>
      </c>
      <c r="G206" s="189">
        <v>1.23206256E-5</v>
      </c>
      <c r="H206" s="232"/>
      <c r="I206" s="274" t="str">
        <f t="shared" si="7"/>
        <v>(6, 7]</v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</row>
    <row r="207" spans="1:15" ht="15.6">
      <c r="A207" s="257">
        <v>7</v>
      </c>
      <c r="B207" s="258">
        <v>8</v>
      </c>
      <c r="C207" s="160">
        <v>3003508</v>
      </c>
      <c r="D207" s="30">
        <v>23382478.800000001</v>
      </c>
      <c r="E207" s="187">
        <f t="shared" si="6"/>
        <v>3.1140225096786826E-2</v>
      </c>
      <c r="F207" s="188">
        <v>3.0035079999999998E-3</v>
      </c>
      <c r="G207" s="189">
        <v>9.3529915200000005E-5</v>
      </c>
      <c r="H207" s="232"/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</row>
    <row r="208" spans="1:15" ht="15.6">
      <c r="A208" s="257">
        <v>8</v>
      </c>
      <c r="B208" s="258">
        <v>9</v>
      </c>
      <c r="C208" s="160">
        <v>1150951</v>
      </c>
      <c r="D208" s="30">
        <v>10171967.4</v>
      </c>
      <c r="E208" s="187">
        <f t="shared" si="6"/>
        <v>3.5351522002239885E-2</v>
      </c>
      <c r="F208" s="188">
        <v>1.1509510000000001E-3</v>
      </c>
      <c r="G208" s="189">
        <v>4.0687869599999999E-5</v>
      </c>
      <c r="H208" s="232"/>
      <c r="I208" s="274" t="str">
        <f t="shared" si="7"/>
        <v>(8, 9]</v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</row>
    <row r="209" spans="1:15" ht="15.6">
      <c r="A209" s="257">
        <v>9</v>
      </c>
      <c r="B209" s="258">
        <v>10</v>
      </c>
      <c r="C209" s="160">
        <v>2601490</v>
      </c>
      <c r="D209" s="30">
        <v>25658936.199999999</v>
      </c>
      <c r="E209" s="187">
        <f t="shared" si="6"/>
        <v>3.9452677042771646E-2</v>
      </c>
      <c r="F209" s="188">
        <v>2.6014900000000001E-3</v>
      </c>
      <c r="G209" s="189">
        <v>1.0263574480000002E-4</v>
      </c>
      <c r="H209" s="232"/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</row>
    <row r="210" spans="1:15" ht="15.6">
      <c r="A210" s="257">
        <v>10</v>
      </c>
      <c r="B210" s="258">
        <v>15</v>
      </c>
      <c r="C210" s="160">
        <v>7604578</v>
      </c>
      <c r="D210" s="30">
        <v>98941832.799999997</v>
      </c>
      <c r="E210" s="187">
        <f t="shared" si="6"/>
        <v>5.20432996018977E-2</v>
      </c>
      <c r="F210" s="188">
        <v>7.6045779999999999E-3</v>
      </c>
      <c r="G210" s="189">
        <v>3.9576733119999998E-4</v>
      </c>
      <c r="H210" s="232"/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</row>
    <row r="211" spans="1:15" ht="15.6">
      <c r="A211" s="257">
        <v>15</v>
      </c>
      <c r="B211" s="258">
        <v>20</v>
      </c>
      <c r="C211" s="160">
        <v>8546802</v>
      </c>
      <c r="D211" s="30">
        <v>154823080.59999999</v>
      </c>
      <c r="E211" s="187">
        <f t="shared" si="6"/>
        <v>7.2458952763852488E-2</v>
      </c>
      <c r="F211" s="188">
        <v>8.5468019999999992E-3</v>
      </c>
      <c r="G211" s="189">
        <v>6.1929232239999995E-4</v>
      </c>
      <c r="H211" s="232"/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</row>
    <row r="212" spans="1:15" ht="15.6">
      <c r="A212" s="257">
        <v>20</v>
      </c>
      <c r="B212" s="258">
        <v>25</v>
      </c>
      <c r="C212" s="160">
        <v>6920327</v>
      </c>
      <c r="D212" s="30">
        <v>159811398.80000001</v>
      </c>
      <c r="E212" s="187">
        <f t="shared" si="6"/>
        <v>9.2372166112959703E-2</v>
      </c>
      <c r="F212" s="188">
        <v>6.9203270000000004E-3</v>
      </c>
      <c r="G212" s="189">
        <v>6.3924559520000016E-4</v>
      </c>
      <c r="H212" s="232"/>
      <c r="I212" s="274" t="str">
        <f t="shared" si="7"/>
        <v>(20, 25]</v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</row>
    <row r="213" spans="1:15" ht="15.6">
      <c r="A213" s="257">
        <v>25</v>
      </c>
      <c r="B213" s="258">
        <v>30</v>
      </c>
      <c r="C213" s="160">
        <v>7078934</v>
      </c>
      <c r="D213" s="30">
        <v>199820858.59999999</v>
      </c>
      <c r="E213" s="187">
        <f t="shared" si="6"/>
        <v>0.112910140764132</v>
      </c>
      <c r="F213" s="188">
        <v>7.0789340000000003E-3</v>
      </c>
      <c r="G213" s="189">
        <v>7.9928343440000005E-4</v>
      </c>
      <c r="H213" s="232"/>
      <c r="I213" s="274" t="str">
        <f t="shared" si="7"/>
        <v>(25, 30]</v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</row>
    <row r="214" spans="1:15" ht="15.6">
      <c r="A214" s="257">
        <v>30</v>
      </c>
      <c r="B214" s="258">
        <v>35</v>
      </c>
      <c r="C214" s="160">
        <v>5885108</v>
      </c>
      <c r="D214" s="30">
        <v>192666090.19999999</v>
      </c>
      <c r="E214" s="187">
        <f t="shared" si="6"/>
        <v>0.13095160884048346</v>
      </c>
      <c r="F214" s="188">
        <v>5.885108E-3</v>
      </c>
      <c r="G214" s="189">
        <v>7.7066436079999991E-4</v>
      </c>
      <c r="H214" s="232"/>
      <c r="I214" s="274" t="str">
        <f t="shared" si="7"/>
        <v>(30, 35]</v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</row>
    <row r="215" spans="1:15" ht="15.6">
      <c r="A215" s="257">
        <v>35</v>
      </c>
      <c r="B215" s="258">
        <v>40</v>
      </c>
      <c r="C215" s="160">
        <v>7787029</v>
      </c>
      <c r="D215" s="30">
        <v>297088533.60000002</v>
      </c>
      <c r="E215" s="187">
        <f t="shared" si="6"/>
        <v>0.15260687155524913</v>
      </c>
      <c r="F215" s="188">
        <v>7.787029E-3</v>
      </c>
      <c r="G215" s="189">
        <v>1.1883541344E-3</v>
      </c>
      <c r="H215" s="232"/>
      <c r="I215" s="274" t="str">
        <f t="shared" si="7"/>
        <v>(35, 40]</v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</row>
    <row r="216" spans="1:15" ht="15.6">
      <c r="A216" s="257">
        <v>40</v>
      </c>
      <c r="B216" s="258">
        <v>45</v>
      </c>
      <c r="C216" s="160">
        <v>5819120</v>
      </c>
      <c r="D216" s="30">
        <v>250840203</v>
      </c>
      <c r="E216" s="187">
        <f t="shared" si="6"/>
        <v>0.17242483605768572</v>
      </c>
      <c r="F216" s="188">
        <v>5.8191199999999997E-3</v>
      </c>
      <c r="G216" s="189">
        <v>1.003360812E-3</v>
      </c>
      <c r="H216" s="232"/>
      <c r="I216" s="274" t="str">
        <f t="shared" si="7"/>
        <v>(40, 45]</v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</row>
    <row r="217" spans="1:15" ht="15.6">
      <c r="A217" s="257">
        <v>45</v>
      </c>
      <c r="B217" s="258">
        <v>50</v>
      </c>
      <c r="C217" s="160">
        <v>6609475</v>
      </c>
      <c r="D217" s="30">
        <v>317388480</v>
      </c>
      <c r="E217" s="187">
        <f t="shared" si="6"/>
        <v>0.19208090203836159</v>
      </c>
      <c r="F217" s="188">
        <v>6.6094750000000001E-3</v>
      </c>
      <c r="G217" s="189">
        <v>1.2695539199999999E-3</v>
      </c>
      <c r="H217" s="232"/>
      <c r="I217" s="274" t="str">
        <f t="shared" si="7"/>
        <v>(45, 50]</v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</row>
    <row r="218" spans="1:15" ht="15.6">
      <c r="A218" s="257">
        <v>50</v>
      </c>
      <c r="B218" s="258">
        <v>60</v>
      </c>
      <c r="C218" s="160">
        <v>12595243</v>
      </c>
      <c r="D218" s="30">
        <v>704780394.79999995</v>
      </c>
      <c r="E218" s="187">
        <f t="shared" si="6"/>
        <v>0.22382431043212109</v>
      </c>
      <c r="F218" s="188">
        <v>1.2595243000000001E-2</v>
      </c>
      <c r="G218" s="189">
        <v>2.8191215792000004E-3</v>
      </c>
      <c r="H218" s="232"/>
      <c r="I218" s="274" t="str">
        <f t="shared" si="7"/>
        <v>(50, 60]</v>
      </c>
      <c r="J218" s="160">
        <v>1</v>
      </c>
      <c r="K218" s="234">
        <v>7.2070957662349189</v>
      </c>
      <c r="L218" s="188">
        <v>9.0775122499999999E-2</v>
      </c>
      <c r="M218" s="233">
        <v>90775122</v>
      </c>
      <c r="N218" s="195">
        <v>9.0775122E-2</v>
      </c>
      <c r="O218" s="211">
        <v>2.0317679086041665E-2</v>
      </c>
    </row>
    <row r="219" spans="1:15" ht="15.6">
      <c r="A219" s="257">
        <v>60</v>
      </c>
      <c r="B219" s="258">
        <v>70</v>
      </c>
      <c r="C219" s="160">
        <v>11076442</v>
      </c>
      <c r="D219" s="30">
        <v>725550381.39999998</v>
      </c>
      <c r="E219" s="187">
        <f t="shared" si="6"/>
        <v>0.26201568388115964</v>
      </c>
      <c r="F219" s="188">
        <v>1.1076442000000001E-2</v>
      </c>
      <c r="G219" s="189">
        <v>2.9022015255999998E-3</v>
      </c>
      <c r="H219" s="232"/>
      <c r="I219" s="274" t="str">
        <f t="shared" si="7"/>
        <v>(60, 70]</v>
      </c>
      <c r="J219" s="160">
        <v>1</v>
      </c>
      <c r="K219" s="234">
        <v>6.4194805064658853</v>
      </c>
      <c r="L219" s="188">
        <v>7.1105003500000014E-2</v>
      </c>
      <c r="M219" s="233">
        <v>71105003</v>
      </c>
      <c r="N219" s="195">
        <v>7.1105003E-2</v>
      </c>
      <c r="O219" s="211">
        <v>1.8630625988416909E-2</v>
      </c>
    </row>
    <row r="220" spans="1:15" ht="15.6">
      <c r="A220" s="257">
        <v>70</v>
      </c>
      <c r="B220" s="258">
        <v>80</v>
      </c>
      <c r="C220" s="160">
        <v>12242682</v>
      </c>
      <c r="D220" s="30">
        <v>927266696.20000005</v>
      </c>
      <c r="E220" s="187">
        <f t="shared" si="6"/>
        <v>0.30296194778235686</v>
      </c>
      <c r="F220" s="188">
        <v>1.2242682E-2</v>
      </c>
      <c r="G220" s="189">
        <v>3.7090667848000002E-3</v>
      </c>
      <c r="H220" s="232"/>
      <c r="I220" s="274" t="str">
        <f t="shared" si="7"/>
        <v>(70, 80]</v>
      </c>
      <c r="J220" s="160">
        <v>1</v>
      </c>
      <c r="K220" s="234">
        <v>4.9983602857609144</v>
      </c>
      <c r="L220" s="188">
        <v>6.1193335500000001E-2</v>
      </c>
      <c r="M220" s="233">
        <v>61193335</v>
      </c>
      <c r="N220" s="195">
        <v>6.1193335000000001E-2</v>
      </c>
      <c r="O220" s="211">
        <v>1.8539251962898271E-2</v>
      </c>
    </row>
    <row r="221" spans="1:15" ht="15.6">
      <c r="A221" s="257">
        <v>80</v>
      </c>
      <c r="B221" s="258">
        <v>90</v>
      </c>
      <c r="C221" s="160">
        <v>10865580</v>
      </c>
      <c r="D221" s="30">
        <v>930938257.39999998</v>
      </c>
      <c r="E221" s="187">
        <f t="shared" si="6"/>
        <v>0.34271093025867005</v>
      </c>
      <c r="F221" s="188">
        <v>1.086558E-2</v>
      </c>
      <c r="G221" s="189">
        <v>3.7237530296000002E-3</v>
      </c>
      <c r="H221" s="232"/>
      <c r="I221" s="274" t="str">
        <f t="shared" si="7"/>
        <v>(80, 90]</v>
      </c>
      <c r="J221" s="160">
        <v>1</v>
      </c>
      <c r="K221" s="276">
        <v>6.8134223391664319</v>
      </c>
      <c r="L221" s="188">
        <v>7.4031785500000002E-2</v>
      </c>
      <c r="M221" s="233">
        <v>74031785</v>
      </c>
      <c r="N221" s="195">
        <v>7.4031785000000003E-2</v>
      </c>
      <c r="O221" s="211">
        <v>2.5371501906059857E-2</v>
      </c>
    </row>
    <row r="222" spans="1:15" ht="15.6">
      <c r="A222" s="257">
        <v>90</v>
      </c>
      <c r="B222" s="258">
        <v>100</v>
      </c>
      <c r="C222" s="160">
        <v>11239365</v>
      </c>
      <c r="D222" s="30">
        <v>1075784281.4000001</v>
      </c>
      <c r="E222" s="187">
        <f t="shared" si="6"/>
        <v>0.38286301099750747</v>
      </c>
      <c r="F222" s="188">
        <v>1.1239364999999999E-2</v>
      </c>
      <c r="G222" s="189">
        <v>4.3031371256000003E-3</v>
      </c>
      <c r="H222" s="232"/>
      <c r="I222" s="274" t="str">
        <f t="shared" si="7"/>
        <v>(90, 100]</v>
      </c>
      <c r="J222" s="160">
        <v>1</v>
      </c>
      <c r="K222" s="276">
        <v>12.140675785509234</v>
      </c>
      <c r="L222" s="188">
        <v>0.1364534865</v>
      </c>
      <c r="M222" s="233">
        <v>136453486</v>
      </c>
      <c r="N222" s="195">
        <v>0.13645348600000001</v>
      </c>
      <c r="O222" s="211">
        <v>5.2242992511066233E-2</v>
      </c>
    </row>
    <row r="223" spans="1:15" ht="15.6">
      <c r="A223" s="257">
        <v>100</v>
      </c>
      <c r="B223" s="258">
        <v>120</v>
      </c>
      <c r="C223" s="160">
        <v>21487497</v>
      </c>
      <c r="D223" s="30">
        <v>2379865576.4000001</v>
      </c>
      <c r="E223" s="187">
        <f t="shared" si="6"/>
        <v>0.44302332214868956</v>
      </c>
      <c r="F223" s="188">
        <v>2.1487497000000001E-2</v>
      </c>
      <c r="G223" s="189">
        <v>9.5194623056000013E-3</v>
      </c>
      <c r="H223" s="232"/>
      <c r="I223" s="274" t="str">
        <f t="shared" si="7"/>
        <v>(100, 120]</v>
      </c>
      <c r="J223" s="160">
        <v>1</v>
      </c>
      <c r="K223" s="276">
        <v>6.9970365324541985</v>
      </c>
      <c r="L223" s="188">
        <v>0.15034880149999999</v>
      </c>
      <c r="M223" s="233">
        <v>150348801</v>
      </c>
      <c r="N223" s="195">
        <v>0.150348801</v>
      </c>
      <c r="O223" s="211">
        <v>6.6608025300092216E-2</v>
      </c>
    </row>
    <row r="224" spans="1:15" ht="15.6">
      <c r="A224" s="257">
        <v>120</v>
      </c>
      <c r="B224" s="258">
        <v>140</v>
      </c>
      <c r="C224" s="160">
        <v>20319575</v>
      </c>
      <c r="D224" s="30">
        <v>2653516966</v>
      </c>
      <c r="E224" s="187">
        <f t="shared" si="6"/>
        <v>0.52235678472605851</v>
      </c>
      <c r="F224" s="188">
        <v>2.0319574999999999E-2</v>
      </c>
      <c r="G224" s="189">
        <v>1.0614067864E-2</v>
      </c>
      <c r="H224" s="232"/>
      <c r="I224" s="274" t="str">
        <f t="shared" si="7"/>
        <v>(120, 140]</v>
      </c>
      <c r="J224" s="160">
        <v>1</v>
      </c>
      <c r="K224" s="276">
        <v>3.8844496747594377</v>
      </c>
      <c r="L224" s="188">
        <v>7.8930366500000002E-2</v>
      </c>
      <c r="M224" s="233">
        <v>78930366</v>
      </c>
      <c r="N224" s="195">
        <v>7.8930366000000002E-2</v>
      </c>
      <c r="O224" s="211">
        <v>4.1229812201011011E-2</v>
      </c>
    </row>
    <row r="225" spans="1:15" ht="15.6">
      <c r="A225" s="257">
        <v>140</v>
      </c>
      <c r="B225" s="258">
        <v>160</v>
      </c>
      <c r="C225" s="160">
        <v>20082979</v>
      </c>
      <c r="D225" s="30">
        <v>3024516101</v>
      </c>
      <c r="E225" s="187">
        <f t="shared" si="6"/>
        <v>0.6024038766360309</v>
      </c>
      <c r="F225" s="188">
        <v>2.0082979000000001E-2</v>
      </c>
      <c r="G225" s="189">
        <v>1.2098064404000001E-2</v>
      </c>
      <c r="H225" s="232"/>
      <c r="I225" s="124" t="str">
        <f t="shared" si="7"/>
        <v>(140, 160]</v>
      </c>
      <c r="J225" s="160">
        <v>1</v>
      </c>
      <c r="K225" s="276">
        <v>1.7871693487305842</v>
      </c>
      <c r="L225" s="188">
        <v>3.58916845E-2</v>
      </c>
      <c r="M225" s="233">
        <v>35891684</v>
      </c>
      <c r="N225" s="195">
        <v>3.5891684E-2</v>
      </c>
      <c r="O225" s="211">
        <v>2.1621289580595403E-2</v>
      </c>
    </row>
    <row r="226" spans="1:15" ht="15.6">
      <c r="A226" s="257">
        <v>160</v>
      </c>
      <c r="B226" s="258">
        <v>180</v>
      </c>
      <c r="C226" s="160">
        <v>19271714</v>
      </c>
      <c r="D226" s="30">
        <v>3287359850.1999998</v>
      </c>
      <c r="E226" s="187">
        <f t="shared" si="6"/>
        <v>0.68231810625666189</v>
      </c>
      <c r="F226" s="188">
        <v>1.9271713999999999E-2</v>
      </c>
      <c r="G226" s="189">
        <v>1.3149439400799998E-2</v>
      </c>
      <c r="H226" s="232"/>
      <c r="I226" s="124" t="str">
        <f t="shared" si="7"/>
        <v>(160, 180]</v>
      </c>
      <c r="J226" s="160">
        <v>1</v>
      </c>
      <c r="K226" s="276">
        <v>1.0591895199357981</v>
      </c>
      <c r="L226" s="188">
        <v>2.0412397499999999E-2</v>
      </c>
      <c r="M226" s="233">
        <v>20412397</v>
      </c>
      <c r="N226" s="195">
        <v>2.0412396999999999E-2</v>
      </c>
      <c r="O226" s="211">
        <v>1.3927748065199166E-2</v>
      </c>
    </row>
    <row r="227" spans="1:15" ht="15.6">
      <c r="A227" s="257">
        <v>180</v>
      </c>
      <c r="B227" s="258">
        <v>200</v>
      </c>
      <c r="C227" s="160">
        <v>18790619</v>
      </c>
      <c r="D227" s="30">
        <v>3582627649.8000002</v>
      </c>
      <c r="E227" s="187">
        <f t="shared" si="6"/>
        <v>0.76264175220624719</v>
      </c>
      <c r="F227" s="188">
        <v>1.8790619000000001E-2</v>
      </c>
      <c r="G227" s="189">
        <v>1.4330510599200002E-2</v>
      </c>
      <c r="H227" s="232"/>
      <c r="I227" s="124" t="str">
        <f t="shared" si="7"/>
        <v>(180, 200]</v>
      </c>
      <c r="J227" s="160">
        <v>1</v>
      </c>
      <c r="K227" s="276">
        <v>1.5897969885930847</v>
      </c>
      <c r="L227" s="188">
        <v>2.9873269500000004E-2</v>
      </c>
      <c r="M227" s="233">
        <v>29873269</v>
      </c>
      <c r="N227" s="195">
        <v>2.9873269000000001E-2</v>
      </c>
      <c r="O227" s="211">
        <v>2.2782602214288565E-2</v>
      </c>
    </row>
    <row r="228" spans="1:15" ht="15.6">
      <c r="A228" s="257">
        <v>200</v>
      </c>
      <c r="B228" s="258">
        <v>250</v>
      </c>
      <c r="C228" s="160">
        <v>44299128</v>
      </c>
      <c r="D228" s="30">
        <v>9977298221.6000004</v>
      </c>
      <c r="E228" s="187">
        <f t="shared" si="6"/>
        <v>0.90090244860801771</v>
      </c>
      <c r="F228" s="188">
        <v>4.4299128E-2</v>
      </c>
      <c r="G228" s="189">
        <v>3.9909192886399998E-2</v>
      </c>
      <c r="H228" s="232"/>
      <c r="I228" s="124" t="str">
        <f t="shared" si="7"/>
        <v>(200, 250]</v>
      </c>
      <c r="J228" s="160">
        <v>1</v>
      </c>
      <c r="K228" s="276">
        <v>0.28478198261600091</v>
      </c>
      <c r="L228" s="188">
        <v>1.2615593499999999E-2</v>
      </c>
      <c r="M228" s="233">
        <v>12615593</v>
      </c>
      <c r="N228" s="195">
        <v>1.2615593E-2</v>
      </c>
      <c r="O228" s="211">
        <v>1.1365418624342167E-2</v>
      </c>
    </row>
    <row r="229" spans="1:15" ht="15.6">
      <c r="A229" s="257">
        <v>250</v>
      </c>
      <c r="B229" s="258">
        <v>300</v>
      </c>
      <c r="C229" s="160">
        <v>41452331</v>
      </c>
      <c r="D229" s="30">
        <v>11406990263.200001</v>
      </c>
      <c r="E229" s="187">
        <f t="shared" si="6"/>
        <v>1.1007332989983121</v>
      </c>
      <c r="F229" s="188">
        <v>4.1452331000000002E-2</v>
      </c>
      <c r="G229" s="189">
        <v>4.5627961052800002E-2</v>
      </c>
      <c r="H229" s="232"/>
      <c r="I229" s="275" t="str">
        <f t="shared" si="7"/>
        <v>(250, 300]</v>
      </c>
      <c r="J229" s="160">
        <v>1</v>
      </c>
      <c r="K229" s="276">
        <v>1.7580124384319906</v>
      </c>
      <c r="L229" s="188">
        <v>7.2873713500000006E-2</v>
      </c>
      <c r="M229" s="233">
        <v>72873713</v>
      </c>
      <c r="N229" s="195">
        <v>7.2873713000000007E-2</v>
      </c>
      <c r="O229" s="211">
        <v>8.0214522520746193E-2</v>
      </c>
    </row>
    <row r="230" spans="1:15" ht="15.6">
      <c r="A230" s="257">
        <v>300</v>
      </c>
      <c r="B230" s="258">
        <v>350</v>
      </c>
      <c r="C230" s="160">
        <v>38417261</v>
      </c>
      <c r="D230" s="30">
        <v>12489682119.799999</v>
      </c>
      <c r="E230" s="187">
        <f t="shared" si="6"/>
        <v>1.3004240067817432</v>
      </c>
      <c r="F230" s="188">
        <v>3.8417261000000001E-2</v>
      </c>
      <c r="G230" s="189">
        <v>4.99587284792E-2</v>
      </c>
      <c r="H230" s="232"/>
      <c r="I230" s="124" t="str">
        <f t="shared" si="7"/>
        <v>(300, 350]</v>
      </c>
      <c r="J230" s="160">
        <v>1</v>
      </c>
      <c r="K230" s="276">
        <v>0.28404808713458257</v>
      </c>
      <c r="L230" s="188">
        <v>1.0912349500000001E-2</v>
      </c>
      <c r="M230" s="233">
        <v>10912349</v>
      </c>
      <c r="N230" s="195">
        <v>1.0912349E-2</v>
      </c>
      <c r="O230" s="211">
        <v>1.4190680609980749E-2</v>
      </c>
    </row>
    <row r="231" spans="1:15" ht="15.6">
      <c r="A231" s="257">
        <v>350</v>
      </c>
      <c r="B231" s="258">
        <v>400</v>
      </c>
      <c r="C231" s="160">
        <v>36097070</v>
      </c>
      <c r="D231" s="30">
        <v>13542176268.200001</v>
      </c>
      <c r="E231" s="187">
        <f t="shared" si="6"/>
        <v>1.5006399431532809</v>
      </c>
      <c r="F231" s="188">
        <v>3.6097070000000002E-2</v>
      </c>
      <c r="G231" s="189">
        <v>5.41687050728E-2</v>
      </c>
      <c r="H231" s="232"/>
      <c r="I231" s="124" t="str">
        <f t="shared" si="7"/>
        <v>(350, 400]</v>
      </c>
      <c r="J231" s="160">
        <v>1</v>
      </c>
      <c r="K231" s="276">
        <v>0.34519204744318582</v>
      </c>
      <c r="L231" s="188">
        <v>1.2460421500000001E-2</v>
      </c>
      <c r="M231" s="233">
        <v>12460421</v>
      </c>
      <c r="N231" s="195">
        <v>1.2460420999999999E-2</v>
      </c>
      <c r="O231" s="211">
        <v>1.8698605461105945E-2</v>
      </c>
    </row>
    <row r="232" spans="1:15" ht="15.6">
      <c r="A232" s="257">
        <v>400</v>
      </c>
      <c r="B232" s="258">
        <v>450</v>
      </c>
      <c r="C232" s="160">
        <v>33574935</v>
      </c>
      <c r="D232" s="30">
        <v>14273155322</v>
      </c>
      <c r="E232" s="187">
        <f t="shared" si="6"/>
        <v>1.7004536654501343</v>
      </c>
      <c r="F232" s="188">
        <v>3.3574935E-2</v>
      </c>
      <c r="G232" s="189">
        <v>5.7092621288000009E-2</v>
      </c>
      <c r="H232" s="232"/>
      <c r="I232" s="124" t="str">
        <f t="shared" si="7"/>
        <v>(400, 450]</v>
      </c>
      <c r="J232" s="160">
        <v>1</v>
      </c>
      <c r="K232" s="276">
        <v>0.28830177928862705</v>
      </c>
      <c r="L232" s="188">
        <v>9.6797134999999992E-3</v>
      </c>
      <c r="M232" s="233">
        <v>9679713</v>
      </c>
      <c r="N232" s="195">
        <v>9.6797129999999995E-3</v>
      </c>
      <c r="O232" s="211">
        <v>1.6459903451355316E-2</v>
      </c>
    </row>
    <row r="233" spans="1:15" ht="15.6">
      <c r="A233" s="257">
        <v>450</v>
      </c>
      <c r="B233" s="258">
        <v>500</v>
      </c>
      <c r="C233" s="160">
        <v>31501058</v>
      </c>
      <c r="D233" s="30">
        <v>14967072917</v>
      </c>
      <c r="E233" s="187">
        <f t="shared" si="6"/>
        <v>1.9005168546402473</v>
      </c>
      <c r="F233" s="188">
        <v>3.1501057999999998E-2</v>
      </c>
      <c r="G233" s="189">
        <v>5.9868291668E-2</v>
      </c>
      <c r="H233" s="232"/>
      <c r="I233" s="124" t="str">
        <f t="shared" si="7"/>
        <v>(450, 500]</v>
      </c>
      <c r="J233" s="160">
        <v>1</v>
      </c>
      <c r="K233" s="276">
        <v>0.38135358818741899</v>
      </c>
      <c r="L233" s="188">
        <v>1.20130415E-2</v>
      </c>
      <c r="M233" s="233">
        <v>12013041</v>
      </c>
      <c r="N233" s="195">
        <v>1.2013041E-2</v>
      </c>
      <c r="O233" s="211">
        <v>2.2830986895984333E-2</v>
      </c>
    </row>
    <row r="234" spans="1:15" ht="15.6">
      <c r="A234" s="257">
        <v>500</v>
      </c>
      <c r="B234" s="258">
        <v>550</v>
      </c>
      <c r="C234" s="160">
        <v>29413304</v>
      </c>
      <c r="D234" s="30">
        <v>15442781243.799999</v>
      </c>
      <c r="E234" s="187">
        <f t="shared" si="6"/>
        <v>2.1001083378868284</v>
      </c>
      <c r="F234" s="188">
        <v>2.9413304000000001E-2</v>
      </c>
      <c r="G234" s="189">
        <v>6.1771124975200001E-2</v>
      </c>
      <c r="H234" s="232"/>
      <c r="I234" s="275" t="str">
        <f t="shared" si="7"/>
        <v>(500, 550]</v>
      </c>
      <c r="J234" s="160">
        <v>1</v>
      </c>
      <c r="K234" s="276">
        <v>1.1748384846530673</v>
      </c>
      <c r="L234" s="188">
        <v>3.4555881500000003E-2</v>
      </c>
      <c r="M234" s="233">
        <v>34555881</v>
      </c>
      <c r="N234" s="195">
        <v>3.4555880999999997E-2</v>
      </c>
      <c r="O234" s="211">
        <v>7.2571093811125031E-2</v>
      </c>
    </row>
    <row r="235" spans="1:15" ht="15.6">
      <c r="A235" s="257">
        <v>550</v>
      </c>
      <c r="B235" s="258">
        <v>600</v>
      </c>
      <c r="C235" s="160">
        <v>27695602</v>
      </c>
      <c r="D235" s="30">
        <v>15927312930</v>
      </c>
      <c r="E235" s="187">
        <f t="shared" si="6"/>
        <v>2.3003382168764555</v>
      </c>
      <c r="F235" s="188">
        <v>2.7695602E-2</v>
      </c>
      <c r="G235" s="189">
        <v>6.3709251719999999E-2</v>
      </c>
      <c r="H235" s="232"/>
      <c r="I235" s="124" t="str">
        <f t="shared" si="7"/>
        <v>(550, 600]</v>
      </c>
      <c r="J235" s="160">
        <v>1</v>
      </c>
      <c r="K235" s="276">
        <v>0.65582194241526148</v>
      </c>
      <c r="L235" s="188">
        <v>1.8163383500000001E-2</v>
      </c>
      <c r="M235" s="233">
        <v>18163383</v>
      </c>
      <c r="N235" s="195">
        <v>1.8163383000000002E-2</v>
      </c>
      <c r="O235" s="211">
        <v>4.1781924062664129E-2</v>
      </c>
    </row>
    <row r="236" spans="1:15" ht="15.6">
      <c r="A236" s="257">
        <v>600</v>
      </c>
      <c r="B236" s="258">
        <v>650</v>
      </c>
      <c r="C236" s="160">
        <v>25856019</v>
      </c>
      <c r="D236" s="30">
        <v>16161953803.200001</v>
      </c>
      <c r="E236" s="187">
        <f t="shared" si="6"/>
        <v>2.5003004218398819</v>
      </c>
      <c r="F236" s="188">
        <v>2.5856019000000001E-2</v>
      </c>
      <c r="G236" s="189">
        <v>6.4647815212799997E-2</v>
      </c>
      <c r="H236" s="232"/>
      <c r="I236" s="124" t="str">
        <f t="shared" si="7"/>
        <v>(600, 650]</v>
      </c>
      <c r="J236" s="160">
        <v>1</v>
      </c>
      <c r="K236" s="276">
        <v>0.46323884972392693</v>
      </c>
      <c r="L236" s="188">
        <v>1.1977512499999999E-2</v>
      </c>
      <c r="M236" s="233">
        <v>11977512</v>
      </c>
      <c r="N236" s="195">
        <v>1.1977511999999999E-2</v>
      </c>
      <c r="O236" s="211">
        <v>2.9947378306192245E-2</v>
      </c>
    </row>
    <row r="237" spans="1:15" ht="15.6">
      <c r="A237" s="257">
        <v>650</v>
      </c>
      <c r="B237" s="258">
        <v>700</v>
      </c>
      <c r="C237" s="160">
        <v>24290959</v>
      </c>
      <c r="D237" s="30">
        <v>16397447364.4</v>
      </c>
      <c r="E237" s="187">
        <f t="shared" si="6"/>
        <v>2.7001729103243721</v>
      </c>
      <c r="F237" s="188">
        <v>2.4290959000000001E-2</v>
      </c>
      <c r="G237" s="189">
        <v>6.5589789457600009E-2</v>
      </c>
      <c r="H237" s="232"/>
      <c r="I237" s="124" t="str">
        <f t="shared" si="7"/>
        <v>(650, 700]</v>
      </c>
      <c r="J237" s="160">
        <v>1</v>
      </c>
      <c r="K237" s="276">
        <v>0.23179992605479266</v>
      </c>
      <c r="L237" s="188">
        <v>5.6306425000000005E-3</v>
      </c>
      <c r="M237" s="233">
        <v>5630642</v>
      </c>
      <c r="N237" s="195">
        <v>5.6306419999999999E-3</v>
      </c>
      <c r="O237" s="211">
        <v>1.5203706996134643E-2</v>
      </c>
    </row>
    <row r="238" spans="1:15" ht="15.6">
      <c r="A238" s="257">
        <v>700</v>
      </c>
      <c r="B238" s="258">
        <v>750</v>
      </c>
      <c r="C238" s="160">
        <v>22772654</v>
      </c>
      <c r="D238" s="30">
        <v>16510470569.4</v>
      </c>
      <c r="E238" s="187">
        <f t="shared" si="6"/>
        <v>2.9000520658505593</v>
      </c>
      <c r="F238" s="188">
        <v>2.2772654E-2</v>
      </c>
      <c r="G238" s="189">
        <v>6.6041882277600009E-2</v>
      </c>
      <c r="H238" s="232"/>
      <c r="I238" s="124" t="str">
        <f t="shared" si="7"/>
        <v>(700, 750]</v>
      </c>
      <c r="J238" s="160">
        <v>1</v>
      </c>
      <c r="K238" s="276">
        <v>0.2088161748736006</v>
      </c>
      <c r="L238" s="188">
        <v>4.7552985000000004E-3</v>
      </c>
      <c r="M238" s="233">
        <v>4755298</v>
      </c>
      <c r="N238" s="195">
        <v>4.7552979999999998E-3</v>
      </c>
      <c r="O238" s="211">
        <v>1.3790611788635032E-2</v>
      </c>
    </row>
    <row r="239" spans="1:15" ht="15.6">
      <c r="A239" s="257">
        <v>750</v>
      </c>
      <c r="B239" s="258">
        <v>800</v>
      </c>
      <c r="C239" s="160">
        <v>21478091</v>
      </c>
      <c r="D239" s="30">
        <v>16647691716.799999</v>
      </c>
      <c r="E239" s="187">
        <f t="shared" si="6"/>
        <v>3.1004043547073152</v>
      </c>
      <c r="F239" s="188">
        <v>2.1478091000000001E-2</v>
      </c>
      <c r="G239" s="189">
        <v>6.6590766867200002E-2</v>
      </c>
      <c r="H239" s="232"/>
      <c r="I239" s="124" t="str">
        <f t="shared" si="7"/>
        <v>(750, 800]</v>
      </c>
      <c r="J239" s="160">
        <v>1</v>
      </c>
      <c r="K239" s="276">
        <v>0.36363825351145035</v>
      </c>
      <c r="L239" s="188">
        <v>7.8102555000000009E-3</v>
      </c>
      <c r="M239" s="233">
        <v>7810255</v>
      </c>
      <c r="N239" s="195">
        <v>7.8102550000000003E-3</v>
      </c>
      <c r="O239" s="211">
        <v>2.4214948613374584E-2</v>
      </c>
    </row>
    <row r="240" spans="1:15" ht="15.6">
      <c r="A240" s="257">
        <v>800</v>
      </c>
      <c r="B240" s="258">
        <v>850</v>
      </c>
      <c r="C240" s="160">
        <v>20101606</v>
      </c>
      <c r="D240" s="30">
        <v>16584103182.4</v>
      </c>
      <c r="E240" s="187">
        <f t="shared" si="6"/>
        <v>3.300055365208133</v>
      </c>
      <c r="F240" s="188">
        <v>2.0101606000000001E-2</v>
      </c>
      <c r="G240" s="189">
        <v>6.6336412729600003E-2</v>
      </c>
      <c r="H240" s="232"/>
      <c r="I240" s="124" t="str">
        <f t="shared" si="7"/>
        <v>(800, 850]</v>
      </c>
      <c r="J240" s="160">
        <v>1</v>
      </c>
      <c r="K240" s="276">
        <v>0.2176965114130682</v>
      </c>
      <c r="L240" s="188">
        <v>4.3760495000000005E-3</v>
      </c>
      <c r="M240" s="233">
        <v>4376049</v>
      </c>
      <c r="N240" s="195">
        <v>4.3760489999999999E-3</v>
      </c>
      <c r="O240" s="211">
        <v>1.4441203980863685E-2</v>
      </c>
    </row>
    <row r="241" spans="1:15" ht="15.6">
      <c r="A241" s="257">
        <v>850</v>
      </c>
      <c r="B241" s="258">
        <v>900</v>
      </c>
      <c r="C241" s="160">
        <v>18942867</v>
      </c>
      <c r="D241" s="30">
        <v>16575648170.200001</v>
      </c>
      <c r="E241" s="187">
        <f t="shared" si="6"/>
        <v>3.5001350471816122</v>
      </c>
      <c r="F241" s="188">
        <v>1.8942866999999999E-2</v>
      </c>
      <c r="G241" s="189">
        <v>6.6302592680799993E-2</v>
      </c>
      <c r="H241" s="232"/>
      <c r="I241" s="124" t="str">
        <f t="shared" si="7"/>
        <v>(850, 900]</v>
      </c>
      <c r="J241" s="160">
        <v>1</v>
      </c>
      <c r="K241" s="276">
        <v>0.22425974378640784</v>
      </c>
      <c r="L241" s="188">
        <v>4.2481224999999997E-3</v>
      </c>
      <c r="M241" s="233">
        <v>4248122</v>
      </c>
      <c r="N241" s="195">
        <v>4.248122E-3</v>
      </c>
      <c r="O241" s="211">
        <v>1.4869000696903245E-2</v>
      </c>
    </row>
    <row r="242" spans="1:15" ht="15.6">
      <c r="A242" s="257">
        <v>900</v>
      </c>
      <c r="B242" s="258">
        <v>950</v>
      </c>
      <c r="C242" s="160">
        <v>17747649</v>
      </c>
      <c r="D242" s="30">
        <v>16416620302.6</v>
      </c>
      <c r="E242" s="187">
        <f t="shared" si="6"/>
        <v>3.7000101371398544</v>
      </c>
      <c r="F242" s="188">
        <v>1.7747649000000001E-2</v>
      </c>
      <c r="G242" s="189">
        <v>6.5666481210400002E-2</v>
      </c>
      <c r="H242" s="232"/>
      <c r="I242" s="124" t="str">
        <f t="shared" si="7"/>
        <v>(900, 950]</v>
      </c>
      <c r="J242" s="160">
        <v>1</v>
      </c>
      <c r="K242" s="276">
        <v>0.18372357375334614</v>
      </c>
      <c r="L242" s="188">
        <v>3.2606614999999999E-3</v>
      </c>
      <c r="M242" s="233">
        <v>3260661</v>
      </c>
      <c r="N242" s="195">
        <v>3.2606610000000002E-3</v>
      </c>
      <c r="O242" s="211">
        <v>1.2064478753776576E-2</v>
      </c>
    </row>
    <row r="243" spans="1:15" ht="15.6">
      <c r="A243" s="257">
        <v>950</v>
      </c>
      <c r="B243" s="258">
        <v>1000</v>
      </c>
      <c r="C243" s="160">
        <v>16769457</v>
      </c>
      <c r="D243" s="30">
        <v>16351530875.200001</v>
      </c>
      <c r="E243" s="187">
        <f t="shared" si="6"/>
        <v>3.900312544455077</v>
      </c>
      <c r="F243" s="188">
        <v>1.6769457000000002E-2</v>
      </c>
      <c r="G243" s="189">
        <v>6.5406123500800009E-2</v>
      </c>
      <c r="H243" s="232"/>
      <c r="I243" s="124" t="str">
        <f t="shared" si="7"/>
        <v>(950, 1000]</v>
      </c>
      <c r="J243" s="160">
        <v>1</v>
      </c>
      <c r="K243" s="276">
        <v>0.35457054453224091</v>
      </c>
      <c r="L243" s="188">
        <v>5.9459554999999999E-3</v>
      </c>
      <c r="M243" s="233">
        <v>5945955</v>
      </c>
      <c r="N243" s="195">
        <v>5.9459550000000002E-3</v>
      </c>
      <c r="O243" s="211">
        <v>2.319108287526539E-2</v>
      </c>
    </row>
    <row r="244" spans="1:15" ht="15.6">
      <c r="A244" s="257">
        <v>1000</v>
      </c>
      <c r="B244" s="258">
        <v>2000</v>
      </c>
      <c r="C244" s="160">
        <v>190682659</v>
      </c>
      <c r="D244" s="30">
        <v>268034574372.39999</v>
      </c>
      <c r="E244" s="187">
        <f t="shared" si="6"/>
        <v>5.6226313557416878</v>
      </c>
      <c r="F244" s="188">
        <v>0.190682659</v>
      </c>
      <c r="G244" s="189">
        <v>1.0721382974895999</v>
      </c>
      <c r="H244" s="232"/>
      <c r="I244" s="275" t="str">
        <f t="shared" si="7"/>
        <v>(1000, 2000]</v>
      </c>
      <c r="J244" s="160">
        <v>1</v>
      </c>
      <c r="K244" s="276">
        <v>7.6948850917796352E-2</v>
      </c>
      <c r="L244" s="188">
        <v>1.4672811499999999E-2</v>
      </c>
      <c r="M244" s="233">
        <v>14672811</v>
      </c>
      <c r="N244" s="195">
        <v>1.4672810999999999E-2</v>
      </c>
      <c r="O244" s="211">
        <v>8.2499807205471551E-2</v>
      </c>
    </row>
    <row r="245" spans="1:15" ht="15.6">
      <c r="A245" s="257">
        <v>2000</v>
      </c>
      <c r="B245" s="258">
        <v>3000</v>
      </c>
      <c r="C245" s="160">
        <v>63337089</v>
      </c>
      <c r="D245" s="30">
        <v>152985868823.79999</v>
      </c>
      <c r="E245" s="187">
        <f t="shared" si="6"/>
        <v>9.6616924610349546</v>
      </c>
      <c r="F245" s="188">
        <v>6.3337088999999999E-2</v>
      </c>
      <c r="G245" s="189">
        <v>0.61194347529519999</v>
      </c>
      <c r="H245" s="232"/>
      <c r="I245" s="124" t="str">
        <f t="shared" si="7"/>
        <v>(2000, 3000]</v>
      </c>
      <c r="J245" s="160">
        <v>1</v>
      </c>
      <c r="K245" s="276">
        <v>2.3766114353629356E-2</v>
      </c>
      <c r="L245" s="188">
        <v>1.5052765E-3</v>
      </c>
      <c r="M245" s="233">
        <v>1505276</v>
      </c>
      <c r="N245" s="195">
        <v>1.5052760000000001E-3</v>
      </c>
      <c r="O245" s="211">
        <v>1.4543513780976854E-2</v>
      </c>
    </row>
    <row r="246" spans="1:15" ht="15.6">
      <c r="A246" s="257">
        <v>3000</v>
      </c>
      <c r="B246" s="258">
        <v>4000</v>
      </c>
      <c r="C246" s="160">
        <v>23980137</v>
      </c>
      <c r="D246" s="30">
        <v>82158975145.399994</v>
      </c>
      <c r="E246" s="187">
        <f t="shared" si="6"/>
        <v>13.70450471494804</v>
      </c>
      <c r="F246" s="188">
        <v>2.3980136999999999E-2</v>
      </c>
      <c r="G246" s="189">
        <v>0.32863590058159992</v>
      </c>
      <c r="H246" s="232"/>
      <c r="I246" s="124" t="str">
        <f t="shared" si="7"/>
        <v>(3000, 4000]</v>
      </c>
      <c r="J246" s="160">
        <v>1</v>
      </c>
      <c r="K246" s="276">
        <v>5.039764785330459E-2</v>
      </c>
      <c r="L246" s="188">
        <v>1.2085424999999999E-3</v>
      </c>
      <c r="M246" s="233">
        <v>1208542</v>
      </c>
      <c r="N246" s="195">
        <v>1.2085419999999999E-3</v>
      </c>
      <c r="O246" s="211">
        <v>1.6562469537212732E-2</v>
      </c>
    </row>
    <row r="247" spans="1:15" ht="15.6">
      <c r="A247" s="257">
        <v>4000</v>
      </c>
      <c r="B247" s="258">
        <v>5000</v>
      </c>
      <c r="C247" s="160">
        <v>10483743</v>
      </c>
      <c r="D247" s="30">
        <v>46525247928.199997</v>
      </c>
      <c r="E247" s="187">
        <f t="shared" si="6"/>
        <v>17.751388193396195</v>
      </c>
      <c r="F247" s="188">
        <v>1.0483743E-2</v>
      </c>
      <c r="G247" s="189">
        <v>0.18610099171280001</v>
      </c>
      <c r="H247" s="232"/>
      <c r="I247" s="124" t="str">
        <f t="shared" si="7"/>
        <v>(4000, 5000]</v>
      </c>
      <c r="J247" s="160">
        <v>1</v>
      </c>
      <c r="K247" s="276">
        <v>9.1161477346401953E-2</v>
      </c>
      <c r="L247" s="188">
        <v>9.5571350000000002E-4</v>
      </c>
      <c r="M247" s="233">
        <v>955713</v>
      </c>
      <c r="N247" s="195">
        <v>9.5571299999999996E-4</v>
      </c>
      <c r="O247" s="211">
        <v>1.6965232464475257E-2</v>
      </c>
    </row>
    <row r="248" spans="1:15" ht="15.6">
      <c r="A248" s="257">
        <v>5000</v>
      </c>
      <c r="B248" s="258">
        <v>6000</v>
      </c>
      <c r="C248" s="160">
        <v>5307516</v>
      </c>
      <c r="D248" s="30">
        <v>28923266193</v>
      </c>
      <c r="E248" s="187">
        <f t="shared" si="6"/>
        <v>21.797968159116241</v>
      </c>
      <c r="F248" s="188">
        <v>5.307516E-3</v>
      </c>
      <c r="G248" s="189">
        <v>0.11569306477199999</v>
      </c>
      <c r="H248" s="232"/>
      <c r="I248" s="124" t="str">
        <f t="shared" si="7"/>
        <v>(5000, 6000]</v>
      </c>
      <c r="J248" s="160">
        <v>1</v>
      </c>
      <c r="K248" s="276">
        <v>5.949383854895586E-2</v>
      </c>
      <c r="L248" s="188">
        <v>3.1576450000000002E-4</v>
      </c>
      <c r="M248" s="233">
        <v>315764</v>
      </c>
      <c r="N248" s="195">
        <v>3.1576400000000001E-4</v>
      </c>
      <c r="O248" s="211">
        <v>6.8830136177951808E-3</v>
      </c>
    </row>
    <row r="249" spans="1:15" ht="15.6">
      <c r="A249" s="257">
        <v>6000</v>
      </c>
      <c r="B249" s="258">
        <v>7000</v>
      </c>
      <c r="C249" s="160">
        <v>3110842</v>
      </c>
      <c r="D249" s="30">
        <v>20096818659.599998</v>
      </c>
      <c r="E249" s="187">
        <f t="shared" si="6"/>
        <v>25.841002094738332</v>
      </c>
      <c r="F249" s="188">
        <v>3.1108419999999999E-3</v>
      </c>
      <c r="G249" s="189">
        <v>8.038727463839998E-2</v>
      </c>
      <c r="H249" s="232"/>
      <c r="I249" s="124" t="str">
        <f t="shared" si="7"/>
        <v>(6000, 7000]</v>
      </c>
      <c r="J249" s="160">
        <v>1</v>
      </c>
      <c r="K249" s="276">
        <v>9.559292950268769E-2</v>
      </c>
      <c r="L249" s="188">
        <v>2.973745E-4</v>
      </c>
      <c r="M249" s="233">
        <v>297374</v>
      </c>
      <c r="N249" s="195">
        <v>2.9737399999999999E-4</v>
      </c>
      <c r="O249" s="211">
        <v>7.6844421569207165E-3</v>
      </c>
    </row>
    <row r="250" spans="1:15" ht="15.6">
      <c r="A250" s="257">
        <v>7000</v>
      </c>
      <c r="B250" s="258">
        <v>8000</v>
      </c>
      <c r="C250" s="160">
        <v>2027752</v>
      </c>
      <c r="D250" s="30">
        <v>15143669069</v>
      </c>
      <c r="E250" s="187">
        <f t="shared" si="6"/>
        <v>29.872822848158947</v>
      </c>
      <c r="F250" s="188">
        <v>2.0277519999999999E-3</v>
      </c>
      <c r="G250" s="189">
        <v>6.0574676275999995E-2</v>
      </c>
      <c r="H250" s="232"/>
      <c r="I250" s="124" t="str">
        <f t="shared" si="7"/>
        <v>(7000, 8000]</v>
      </c>
      <c r="J250" s="160">
        <v>1</v>
      </c>
      <c r="K250" s="276">
        <v>0.1362910750427074</v>
      </c>
      <c r="L250" s="188">
        <v>2.7636449999999998E-4</v>
      </c>
      <c r="M250" s="233">
        <v>276364</v>
      </c>
      <c r="N250" s="195">
        <v>2.7636400000000003E-4</v>
      </c>
      <c r="O250" s="211">
        <v>8.2557728136086004E-3</v>
      </c>
    </row>
    <row r="251" spans="1:15" ht="15.6">
      <c r="A251" s="257">
        <v>8000</v>
      </c>
      <c r="B251" s="258">
        <v>9000</v>
      </c>
      <c r="C251" s="160">
        <v>1429878</v>
      </c>
      <c r="D251" s="30">
        <v>12114614288</v>
      </c>
      <c r="E251" s="187">
        <f t="shared" si="6"/>
        <v>33.889924281652</v>
      </c>
      <c r="F251" s="188">
        <v>1.4298780000000001E-3</v>
      </c>
      <c r="G251" s="189">
        <v>4.8458457151999999E-2</v>
      </c>
      <c r="H251" s="232"/>
      <c r="I251" s="124" t="str">
        <f t="shared" si="7"/>
        <v>(8000, 9000]</v>
      </c>
      <c r="J251" s="160">
        <v>1</v>
      </c>
      <c r="K251" s="276">
        <v>0.15527933152338871</v>
      </c>
      <c r="L251" s="188">
        <v>2.2203050000000002E-4</v>
      </c>
      <c r="M251" s="233">
        <v>222030</v>
      </c>
      <c r="N251" s="195">
        <v>2.2202999999999999E-4</v>
      </c>
      <c r="O251" s="211">
        <v>7.5245798882551933E-3</v>
      </c>
    </row>
    <row r="252" spans="1:15" ht="15.6">
      <c r="A252" s="257">
        <v>9000</v>
      </c>
      <c r="B252" s="258">
        <v>10000</v>
      </c>
      <c r="C252" s="160">
        <v>1042499</v>
      </c>
      <c r="D252" s="30">
        <v>9877166657.3999996</v>
      </c>
      <c r="E252" s="187">
        <f t="shared" si="6"/>
        <v>37.898037916199435</v>
      </c>
      <c r="F252" s="188">
        <v>1.0424989999999999E-3</v>
      </c>
      <c r="G252" s="189">
        <v>3.9508666629599988E-2</v>
      </c>
      <c r="H252" s="232"/>
      <c r="I252" s="124" t="str">
        <f t="shared" si="7"/>
        <v>(9000, 10000]</v>
      </c>
      <c r="J252" s="160">
        <v>1</v>
      </c>
      <c r="K252" s="276">
        <v>6.721301411320299E-2</v>
      </c>
      <c r="L252" s="188">
        <v>7.0069500000000004E-5</v>
      </c>
      <c r="M252" s="233">
        <v>70069</v>
      </c>
      <c r="N252" s="195">
        <v>7.0068999999999996E-5</v>
      </c>
      <c r="O252" s="211">
        <v>2.6554776187501781E-3</v>
      </c>
    </row>
    <row r="253" spans="1:15" ht="15.6">
      <c r="A253" s="257">
        <v>10000</v>
      </c>
      <c r="B253" s="258">
        <v>20000</v>
      </c>
      <c r="C253" s="160">
        <v>2854249</v>
      </c>
      <c r="D253" s="30">
        <v>36490918340.400002</v>
      </c>
      <c r="E253" s="187">
        <f t="shared" si="6"/>
        <v>51.139081895658023</v>
      </c>
      <c r="F253" s="188">
        <v>2.8542490000000001E-3</v>
      </c>
      <c r="G253" s="189">
        <v>0.14596367336160002</v>
      </c>
      <c r="H253" s="232"/>
      <c r="I253" s="275" t="str">
        <f t="shared" si="7"/>
        <v>(10000, 20000]</v>
      </c>
      <c r="J253" s="160">
        <v>1</v>
      </c>
      <c r="K253" s="276">
        <v>6.3842187559669805E-2</v>
      </c>
      <c r="L253" s="188">
        <v>1.822215E-4</v>
      </c>
      <c r="M253" s="233">
        <v>182221</v>
      </c>
      <c r="N253" s="195">
        <v>1.8222099999999999E-4</v>
      </c>
      <c r="O253" s="211">
        <v>9.3186146421087006E-3</v>
      </c>
    </row>
    <row r="254" spans="1:15" ht="15.6">
      <c r="A254" s="257">
        <v>20000</v>
      </c>
      <c r="B254" s="258">
        <v>30000</v>
      </c>
      <c r="C254" s="160">
        <v>113860</v>
      </c>
      <c r="D254" s="30">
        <v>2572864813</v>
      </c>
      <c r="E254" s="187">
        <f t="shared" si="6"/>
        <v>90.386959880555068</v>
      </c>
      <c r="F254" s="188">
        <v>1.1386E-4</v>
      </c>
      <c r="G254" s="189">
        <v>1.0291459252E-2</v>
      </c>
      <c r="H254" s="232"/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</row>
    <row r="255" spans="1:15" ht="15.6">
      <c r="A255" s="257">
        <v>30000</v>
      </c>
      <c r="B255" s="258">
        <v>100000</v>
      </c>
      <c r="C255" s="160">
        <v>4616</v>
      </c>
      <c r="D255" s="30">
        <v>154809664</v>
      </c>
      <c r="E255" s="187">
        <f t="shared" si="6"/>
        <v>134.15048873483533</v>
      </c>
      <c r="F255" s="188">
        <v>4.6160000000000004E-6</v>
      </c>
      <c r="G255" s="189">
        <v>6.1923865599999991E-4</v>
      </c>
      <c r="H255" s="232"/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</row>
    <row r="256" spans="1:15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/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</row>
    <row r="257" spans="13:15" ht="16.8" thickBot="1">
      <c r="N257" s="1">
        <f>1/N251</f>
        <v>4503.8958699274872</v>
      </c>
      <c r="O257" s="10">
        <f>SUM(O240:O250)</f>
        <v>0.21796001788326977</v>
      </c>
    </row>
    <row r="258" spans="13:15" ht="16.8" thickBot="1">
      <c r="M258" s="114"/>
      <c r="N258" s="164" t="s">
        <v>181</v>
      </c>
      <c r="O258" s="219" t="s">
        <v>180</v>
      </c>
    </row>
  </sheetData>
  <phoneticPr fontId="2" type="noConversion"/>
  <conditionalFormatting sqref="J4:O61 C4:G61">
    <cfRule type="cellIs" dxfId="88" priority="25" operator="equal">
      <formula>0</formula>
    </cfRule>
  </conditionalFormatting>
  <conditionalFormatting sqref="J135:O185 J134:L134 N134:O134 C135:G185 D134:G134">
    <cfRule type="cellIs" dxfId="87" priority="23" operator="equal">
      <formula>0</formula>
    </cfRule>
  </conditionalFormatting>
  <conditionalFormatting sqref="C70:D120 J70:O120 K69:L69 N69:O69 F69:G120 D69">
    <cfRule type="cellIs" dxfId="86" priority="24" operator="equal">
      <formula>0</formula>
    </cfRule>
  </conditionalFormatting>
  <conditionalFormatting sqref="M134">
    <cfRule type="cellIs" dxfId="85" priority="21" operator="equal">
      <formula>0</formula>
    </cfRule>
  </conditionalFormatting>
  <conditionalFormatting sqref="E69:E120">
    <cfRule type="cellIs" dxfId="84" priority="19" operator="equal">
      <formula>0</formula>
    </cfRule>
  </conditionalFormatting>
  <conditionalFormatting sqref="M69">
    <cfRule type="cellIs" dxfId="83" priority="18" operator="equal">
      <formula>0</formula>
    </cfRule>
  </conditionalFormatting>
  <conditionalFormatting sqref="J69">
    <cfRule type="cellIs" dxfId="82" priority="17" operator="equal">
      <formula>0</formula>
    </cfRule>
  </conditionalFormatting>
  <conditionalFormatting sqref="O4:O61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{A7A74CA0-94C2-44A8-AC9F-53914ECB0C35}</x14:id>
        </ext>
      </extLst>
    </cfRule>
  </conditionalFormatting>
  <conditionalFormatting sqref="N5:N61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{38825009-D0D9-4A94-ABA8-8DFE012C85DD}</x14:id>
        </ext>
      </extLst>
    </cfRule>
  </conditionalFormatting>
  <conditionalFormatting sqref="C121:G126 J121:O126">
    <cfRule type="cellIs" dxfId="81" priority="14" operator="equal">
      <formula>0</formula>
    </cfRule>
  </conditionalFormatting>
  <conditionalFormatting sqref="O121:O12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{BC6BDF2C-F4F6-40A2-BD93-5A8B63ACE947}</x14:id>
        </ext>
      </extLst>
    </cfRule>
  </conditionalFormatting>
  <conditionalFormatting sqref="N121:N12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{0963A22E-2DD7-4689-8813-8565F68158B0}</x14:id>
        </ext>
      </extLst>
    </cfRule>
  </conditionalFormatting>
  <conditionalFormatting sqref="C186:G191 J186:O191">
    <cfRule type="cellIs" dxfId="80" priority="11" operator="equal">
      <formula>0</formula>
    </cfRule>
  </conditionalFormatting>
  <conditionalFormatting sqref="O186:O191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{1ECE9398-28C8-42FC-8619-703C513905CF}</x14:id>
        </ext>
      </extLst>
    </cfRule>
  </conditionalFormatting>
  <conditionalFormatting sqref="N186:N19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{5F14076B-7E4C-42B1-BCEE-184799FDC42E}</x14:id>
        </ext>
      </extLst>
    </cfRule>
  </conditionalFormatting>
  <conditionalFormatting sqref="O69:O120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{27FC3201-0D31-4ADF-A745-6E45EC2069F9}</x14:id>
        </ext>
      </extLst>
    </cfRule>
  </conditionalFormatting>
  <conditionalFormatting sqref="N70:N120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{0457603F-0885-40F7-A7A4-C60723C89AD3}</x14:id>
        </ext>
      </extLst>
    </cfRule>
  </conditionalFormatting>
  <conditionalFormatting sqref="O134:O185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{455CA5DB-AE22-4E61-9F5D-F1730FFE3218}</x14:id>
        </ext>
      </extLst>
    </cfRule>
  </conditionalFormatting>
  <conditionalFormatting sqref="N135:N18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{3C13D65B-409F-4222-AC15-72B1BD32430B}</x14:id>
        </ext>
      </extLst>
    </cfRule>
  </conditionalFormatting>
  <conditionalFormatting sqref="AX134:AX18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{D0D1CDD6-C18D-4AF6-AA7E-3BEB64DA0430}</x14:id>
        </ext>
      </extLst>
    </cfRule>
  </conditionalFormatting>
  <conditionalFormatting sqref="BM135:BM18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{92410C22-32B7-434D-ABE7-5C59B30B6190}</x14:id>
        </ext>
      </extLst>
    </cfRule>
  </conditionalFormatting>
  <conditionalFormatting sqref="C69">
    <cfRule type="cellIs" dxfId="79" priority="7" operator="equal">
      <formula>0</formula>
    </cfRule>
  </conditionalFormatting>
  <conditionalFormatting sqref="C134">
    <cfRule type="cellIs" dxfId="78" priority="6" operator="equal">
      <formula>0</formula>
    </cfRule>
  </conditionalFormatting>
  <conditionalFormatting sqref="C199:G256 J199:O256">
    <cfRule type="cellIs" dxfId="77" priority="2" operator="equal">
      <formula>0</formula>
    </cfRule>
  </conditionalFormatting>
  <conditionalFormatting sqref="O199:O25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{68FF3A99-BF9B-4605-8004-A089E87FD183}</x14:id>
        </ext>
      </extLst>
    </cfRule>
  </conditionalFormatting>
  <conditionalFormatting sqref="N200:N25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{2D20773C-9AD4-4AC7-85BD-AC4004C63419}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{F0BB97AC-37D6-4D79-9DBD-9B13B1BED80E}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A74CA0-94C2-44A8-AC9F-53914ECB0C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38825009-D0D9-4A94-ABA8-8DFE012C85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BC6BDF2C-F4F6-40A2-BD93-5A8B63ACE9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O121:O126</xm:sqref>
        </x14:conditionalFormatting>
        <x14:conditionalFormatting xmlns:xm="http://schemas.microsoft.com/office/excel/2006/main">
          <x14:cfRule type="dataBar" id="{0963A22E-2DD7-4689-8813-8565F68158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N121:N126</xm:sqref>
        </x14:conditionalFormatting>
        <x14:conditionalFormatting xmlns:xm="http://schemas.microsoft.com/office/excel/2006/main">
          <x14:cfRule type="dataBar" id="{1ECE9398-28C8-42FC-8619-703C513905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O186:O191</xm:sqref>
        </x14:conditionalFormatting>
        <x14:conditionalFormatting xmlns:xm="http://schemas.microsoft.com/office/excel/2006/main">
          <x14:cfRule type="dataBar" id="{5F14076B-7E4C-42B1-BCEE-184799FDC4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N186:N191</xm:sqref>
        </x14:conditionalFormatting>
        <x14:conditionalFormatting xmlns:xm="http://schemas.microsoft.com/office/excel/2006/main">
          <x14:cfRule type="dataBar" id="{27FC3201-0D31-4ADF-A745-6E45EC2069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O69:O120</xm:sqref>
        </x14:conditionalFormatting>
        <x14:conditionalFormatting xmlns:xm="http://schemas.microsoft.com/office/excel/2006/main">
          <x14:cfRule type="dataBar" id="{0457603F-0885-40F7-A7A4-C60723C89A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N70:N120</xm:sqref>
        </x14:conditionalFormatting>
        <x14:conditionalFormatting xmlns:xm="http://schemas.microsoft.com/office/excel/2006/main">
          <x14:cfRule type="dataBar" id="{455CA5DB-AE22-4E61-9F5D-F1730FFE32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O134:O185</xm:sqref>
        </x14:conditionalFormatting>
        <x14:conditionalFormatting xmlns:xm="http://schemas.microsoft.com/office/excel/2006/main">
          <x14:cfRule type="dataBar" id="{3C13D65B-409F-4222-AC15-72B1BD324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N135:N185</xm:sqref>
        </x14:conditionalFormatting>
        <x14:conditionalFormatting xmlns:xm="http://schemas.microsoft.com/office/excel/2006/main">
          <x14:cfRule type="dataBar" id="{D0D1CDD6-C18D-4AF6-AA7E-3BEB64DA04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92410C22-32B7-434D-ABE7-5C59B30B61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BM135:BM185</xm:sqref>
        </x14:conditionalFormatting>
        <x14:conditionalFormatting xmlns:xm="http://schemas.microsoft.com/office/excel/2006/main">
          <x14:cfRule type="dataBar" id="{68FF3A99-BF9B-4605-8004-A089E87FD1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2D20773C-9AD4-4AC7-85BD-AC4004C634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F0BB97AC-37D6-4D79-9DBD-9B13B1BED8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75A41-3982-4CF1-A606-378799B05F65}">
  <sheetPr>
    <tabColor theme="0" tint="-0.14999847407452621"/>
  </sheetPr>
  <dimension ref="A1:BC262"/>
  <sheetViews>
    <sheetView topLeftCell="A196" zoomScale="55" zoomScaleNormal="5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100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0.91999568089489026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'[2]Raw Data'!$S$1:$T$58</f>
        <v>31805001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0.31805000999999999</v>
      </c>
      <c r="G199" s="186" cm="1">
        <f t="array" ref="G199:G256">E199:E256*_xlfn.ANCHORARRAY(F199)</f>
        <v>0</v>
      </c>
      <c r="H199" s="232" cm="1">
        <f t="array" ref="H199:H256">A199:A256/E196</f>
        <v>-0.01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cm="1">
        <f t="array" ref="R199:R256">IFERROR(Q199:Q256/_xlfn.ANCHORARRAY(J199)/_xlfn.ANCHORARRAY(F199),0)</f>
        <v>0</v>
      </c>
    </row>
    <row r="200" spans="1:18" ht="15.6">
      <c r="A200" s="257">
        <v>0</v>
      </c>
      <c r="B200" s="258">
        <v>1</v>
      </c>
      <c r="C200" s="160">
        <v>84168</v>
      </c>
      <c r="D200" s="30">
        <v>67334.400000006543</v>
      </c>
      <c r="E200" s="187">
        <f t="shared" ref="E200:E256" si="6">IFERROR((D200/$E$196)/(C200),0)</f>
        <v>8.0000000000007773E-3</v>
      </c>
      <c r="F200" s="188">
        <v>8.4168000000000003E-4</v>
      </c>
      <c r="G200" s="189">
        <v>6.7334400000006548E-6</v>
      </c>
      <c r="H200" s="232">
        <v>0</v>
      </c>
      <c r="I200" s="274" t="str">
        <f t="shared" ref="I200:I256" si="7">"("&amp;$A200&amp;", "&amp;$B200&amp;"]"</f>
        <v>(0, 1]</v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>
        <v>0</v>
      </c>
    </row>
    <row r="201" spans="1:18" ht="15.6">
      <c r="A201" s="257">
        <v>1</v>
      </c>
      <c r="B201" s="258">
        <v>2</v>
      </c>
      <c r="C201" s="160">
        <v>396676</v>
      </c>
      <c r="D201" s="30">
        <v>711428.79999993904</v>
      </c>
      <c r="E201" s="187">
        <f t="shared" si="6"/>
        <v>1.7934757837629173E-2</v>
      </c>
      <c r="F201" s="188">
        <v>3.9667599999999997E-3</v>
      </c>
      <c r="G201" s="189">
        <v>7.1142879999993899E-5</v>
      </c>
      <c r="H201" s="232">
        <v>0.01</v>
      </c>
      <c r="I201" s="274" t="str">
        <f t="shared" si="7"/>
        <v>(1, 2]</v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18" ht="15.6">
      <c r="A202" s="257">
        <v>2</v>
      </c>
      <c r="B202" s="258">
        <v>3</v>
      </c>
      <c r="C202" s="160">
        <v>145229</v>
      </c>
      <c r="D202" s="30">
        <v>405893.60000001686</v>
      </c>
      <c r="E202" s="187">
        <f t="shared" si="6"/>
        <v>2.7948522677978697E-2</v>
      </c>
      <c r="F202" s="188">
        <v>1.45229E-3</v>
      </c>
      <c r="G202" s="189">
        <v>4.0589360000001679E-5</v>
      </c>
      <c r="H202" s="232">
        <v>0.02</v>
      </c>
      <c r="I202" s="274" t="str">
        <f t="shared" si="7"/>
        <v>(2, 3]</v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18" ht="15.6">
      <c r="A203" s="257">
        <v>3</v>
      </c>
      <c r="B203" s="258">
        <v>4</v>
      </c>
      <c r="C203" s="160">
        <v>502630</v>
      </c>
      <c r="D203" s="30">
        <v>1916349.1999998137</v>
      </c>
      <c r="E203" s="187">
        <f t="shared" si="6"/>
        <v>3.8126438931218067E-2</v>
      </c>
      <c r="F203" s="188">
        <v>5.0263E-3</v>
      </c>
      <c r="G203" s="189">
        <v>1.9163491999998138E-4</v>
      </c>
      <c r="H203" s="232">
        <v>0.03</v>
      </c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18" ht="15.6">
      <c r="A204" s="257">
        <v>4</v>
      </c>
      <c r="B204" s="258">
        <v>5</v>
      </c>
      <c r="C204" s="160">
        <v>407217</v>
      </c>
      <c r="D204" s="30">
        <v>1995205.0000004047</v>
      </c>
      <c r="E204" s="187">
        <f t="shared" si="6"/>
        <v>4.899611263774363E-2</v>
      </c>
      <c r="F204" s="188">
        <v>4.07217E-3</v>
      </c>
      <c r="G204" s="189">
        <v>1.9952050000004046E-4</v>
      </c>
      <c r="H204" s="232">
        <v>0.04</v>
      </c>
      <c r="I204" s="274" t="str">
        <f t="shared" si="7"/>
        <v>(4, 5]</v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18" ht="15.6">
      <c r="A205" s="257">
        <v>5</v>
      </c>
      <c r="B205" s="258">
        <v>6</v>
      </c>
      <c r="C205" s="160">
        <v>441275</v>
      </c>
      <c r="D205" s="30">
        <v>2642845.8000000217</v>
      </c>
      <c r="E205" s="187">
        <f t="shared" si="6"/>
        <v>5.9891129114498252E-2</v>
      </c>
      <c r="F205" s="188">
        <v>4.41275E-3</v>
      </c>
      <c r="G205" s="189">
        <v>2.6428458000000217E-4</v>
      </c>
      <c r="H205" s="232">
        <v>0.05</v>
      </c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18" ht="15.6">
      <c r="A206" s="257">
        <v>6</v>
      </c>
      <c r="B206" s="258">
        <v>7</v>
      </c>
      <c r="C206" s="160">
        <v>58600</v>
      </c>
      <c r="D206" s="30">
        <v>378748.20000000711</v>
      </c>
      <c r="E206" s="187">
        <f t="shared" si="6"/>
        <v>6.4632798634813499E-2</v>
      </c>
      <c r="F206" s="188">
        <v>5.8600000000000004E-4</v>
      </c>
      <c r="G206" s="189">
        <v>3.7874820000000712E-5</v>
      </c>
      <c r="H206" s="232">
        <v>0.06</v>
      </c>
      <c r="I206" s="274" t="str">
        <f t="shared" si="7"/>
        <v>(6, 7]</v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18" ht="15.6">
      <c r="A207" s="257">
        <v>7</v>
      </c>
      <c r="B207" s="258">
        <v>8</v>
      </c>
      <c r="C207" s="160">
        <v>725764</v>
      </c>
      <c r="D207" s="30">
        <v>5724436.0000006286</v>
      </c>
      <c r="E207" s="187">
        <f t="shared" si="6"/>
        <v>7.8874620400028503E-2</v>
      </c>
      <c r="F207" s="188">
        <v>7.2576400000000001E-3</v>
      </c>
      <c r="G207" s="189">
        <v>5.7244360000006283E-4</v>
      </c>
      <c r="H207" s="232">
        <v>7.0000000000000007E-2</v>
      </c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18" ht="15.6">
      <c r="A208" s="257">
        <v>8</v>
      </c>
      <c r="B208" s="258">
        <v>9</v>
      </c>
      <c r="C208" s="160">
        <v>127536</v>
      </c>
      <c r="D208" s="30">
        <v>1137202.0000000217</v>
      </c>
      <c r="E208" s="187">
        <f t="shared" si="6"/>
        <v>8.9167137122069196E-2</v>
      </c>
      <c r="F208" s="188">
        <v>1.2753599999999999E-3</v>
      </c>
      <c r="G208" s="189">
        <v>1.1372020000000216E-4</v>
      </c>
      <c r="H208" s="232">
        <v>0.08</v>
      </c>
      <c r="I208" s="274" t="str">
        <f t="shared" si="7"/>
        <v>(8, 9]</v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3" ht="15.6">
      <c r="A209" s="257">
        <v>9</v>
      </c>
      <c r="B209" s="258">
        <v>10</v>
      </c>
      <c r="C209" s="160">
        <v>652584</v>
      </c>
      <c r="D209" s="30">
        <v>6478663.1999995802</v>
      </c>
      <c r="E209" s="187">
        <f t="shared" si="6"/>
        <v>9.9277076973992309E-2</v>
      </c>
      <c r="F209" s="188">
        <v>6.5258399999999998E-3</v>
      </c>
      <c r="G209" s="189">
        <v>6.4786631999995794E-4</v>
      </c>
      <c r="H209" s="232">
        <v>0.09</v>
      </c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3" ht="15.6">
      <c r="A210" s="257">
        <v>10</v>
      </c>
      <c r="B210" s="258">
        <v>15</v>
      </c>
      <c r="C210" s="160">
        <v>1210418</v>
      </c>
      <c r="D210" s="30">
        <v>16126844.000000538</v>
      </c>
      <c r="E210" s="187">
        <f t="shared" si="6"/>
        <v>0.13323367630025776</v>
      </c>
      <c r="F210" s="188">
        <v>1.2104180000000001E-2</v>
      </c>
      <c r="G210" s="189">
        <v>1.612684400000054E-3</v>
      </c>
      <c r="H210" s="232">
        <v>0.1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1737086</v>
      </c>
      <c r="D211" s="30">
        <v>31914382.799996909</v>
      </c>
      <c r="E211" s="187">
        <f t="shared" si="6"/>
        <v>0.18372367746903093</v>
      </c>
      <c r="F211" s="188">
        <v>1.7370859999999998E-2</v>
      </c>
      <c r="G211" s="189">
        <v>3.1914382799996901E-3</v>
      </c>
      <c r="H211" s="232">
        <v>0.15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1064096</v>
      </c>
      <c r="D212" s="30">
        <v>25128416.399998203</v>
      </c>
      <c r="E212" s="187">
        <f t="shared" si="6"/>
        <v>0.23614802047933836</v>
      </c>
      <c r="F212" s="188">
        <v>1.064096E-2</v>
      </c>
      <c r="G212" s="189">
        <v>2.5128416399998201E-3</v>
      </c>
      <c r="H212" s="232">
        <v>0.2</v>
      </c>
      <c r="I212" s="274" t="str">
        <f t="shared" si="7"/>
        <v>(20, 25]</v>
      </c>
      <c r="J212" s="160">
        <v>1</v>
      </c>
      <c r="K212" s="234">
        <v>5.6224900062525096</v>
      </c>
      <c r="L212" s="188">
        <v>5.9828691256932701E-2</v>
      </c>
      <c r="M212" s="233">
        <v>59828691</v>
      </c>
      <c r="N212" s="195">
        <v>5.9403852055428231E-2</v>
      </c>
      <c r="O212" s="211">
        <v>1.4028102071736851E-2</v>
      </c>
      <c r="Q212" s="1">
        <v>5.9828691256932701E-2</v>
      </c>
      <c r="R212" s="1">
        <v>5.6224900062525096</v>
      </c>
    </row>
    <row r="213" spans="1:23" ht="15.6">
      <c r="A213" s="257">
        <v>25</v>
      </c>
      <c r="B213" s="258">
        <v>30</v>
      </c>
      <c r="C213" s="160">
        <v>1058825</v>
      </c>
      <c r="D213" s="30">
        <v>30673693.599996794</v>
      </c>
      <c r="E213" s="187">
        <f t="shared" si="6"/>
        <v>0.28969559275609086</v>
      </c>
      <c r="F213" s="188">
        <v>1.058825E-2</v>
      </c>
      <c r="G213" s="189">
        <v>3.0673693599996793E-3</v>
      </c>
      <c r="H213" s="232">
        <v>0.25</v>
      </c>
      <c r="I213" s="274" t="str">
        <f t="shared" si="7"/>
        <v>(25, 30]</v>
      </c>
      <c r="J213" s="160">
        <v>1</v>
      </c>
      <c r="K213" s="234">
        <v>5.4529804239118294</v>
      </c>
      <c r="L213" s="188">
        <v>5.7737519973484433E-2</v>
      </c>
      <c r="M213" s="233">
        <v>57737519</v>
      </c>
      <c r="N213" s="195">
        <v>5.7327529307359848E-2</v>
      </c>
      <c r="O213" s="211">
        <v>1.6607532583937781E-2</v>
      </c>
      <c r="Q213" s="1">
        <v>5.7737519973484426E-2</v>
      </c>
      <c r="R213" s="1">
        <v>5.4529804239118294</v>
      </c>
    </row>
    <row r="214" spans="1:23" ht="15.6">
      <c r="A214" s="257">
        <v>30</v>
      </c>
      <c r="B214" s="258">
        <v>35</v>
      </c>
      <c r="C214" s="160">
        <v>779587</v>
      </c>
      <c r="D214" s="30">
        <v>25340226.199997462</v>
      </c>
      <c r="E214" s="187">
        <f t="shared" si="6"/>
        <v>0.32504680298667704</v>
      </c>
      <c r="F214" s="188">
        <v>7.7958699999999999E-3</v>
      </c>
      <c r="G214" s="189">
        <v>2.5340226199997459E-3</v>
      </c>
      <c r="H214" s="232">
        <v>0.3</v>
      </c>
      <c r="I214" s="274" t="str">
        <f t="shared" si="7"/>
        <v>(30, 35]</v>
      </c>
      <c r="J214" s="160">
        <v>1</v>
      </c>
      <c r="K214" s="234">
        <v>5.0912654591498612</v>
      </c>
      <c r="L214" s="188">
        <v>3.969084365502263E-2</v>
      </c>
      <c r="M214" s="233">
        <v>39690843</v>
      </c>
      <c r="N214" s="195">
        <v>3.9409001369045987E-2</v>
      </c>
      <c r="O214" s="211">
        <v>1.2809769903905976E-2</v>
      </c>
      <c r="Q214" s="1">
        <v>3.969084365502263E-2</v>
      </c>
      <c r="R214" s="1">
        <v>5.0912654591498612</v>
      </c>
    </row>
    <row r="215" spans="1:23" ht="15.6">
      <c r="A215" s="257">
        <v>35</v>
      </c>
      <c r="B215" s="258">
        <v>40</v>
      </c>
      <c r="C215" s="160">
        <v>1527695</v>
      </c>
      <c r="D215" s="30">
        <v>59168774.000002421</v>
      </c>
      <c r="E215" s="187">
        <f t="shared" si="6"/>
        <v>0.38730750575214568</v>
      </c>
      <c r="F215" s="188">
        <v>1.5276949999999999E-2</v>
      </c>
      <c r="G215" s="189">
        <v>5.9168774000002413E-3</v>
      </c>
      <c r="H215" s="232">
        <v>0.35</v>
      </c>
      <c r="I215" s="274" t="str">
        <f t="shared" si="7"/>
        <v>(35, 40]</v>
      </c>
      <c r="J215" s="160">
        <v>1</v>
      </c>
      <c r="K215" s="234">
        <v>9.5428549341442679</v>
      </c>
      <c r="L215" s="188">
        <v>0.14578571768617526</v>
      </c>
      <c r="M215" s="233">
        <v>145785717</v>
      </c>
      <c r="N215" s="195">
        <v>0.14475050380865809</v>
      </c>
      <c r="O215" s="211">
        <v>5.6062956586497827E-2</v>
      </c>
      <c r="Q215" s="1">
        <v>0.14578571768617526</v>
      </c>
      <c r="R215" s="1">
        <v>9.5428549341442679</v>
      </c>
    </row>
    <row r="216" spans="1:23" ht="15.6">
      <c r="A216" s="257">
        <v>40</v>
      </c>
      <c r="B216" s="258">
        <v>45</v>
      </c>
      <c r="C216" s="160">
        <v>664789</v>
      </c>
      <c r="D216" s="30">
        <v>29096432.999999017</v>
      </c>
      <c r="E216" s="187">
        <f t="shared" si="6"/>
        <v>0.43767921851894387</v>
      </c>
      <c r="F216" s="188">
        <v>6.64789E-3</v>
      </c>
      <c r="G216" s="189">
        <v>2.9096432999999016E-3</v>
      </c>
      <c r="H216" s="232">
        <v>0.4</v>
      </c>
      <c r="I216" s="274" t="str">
        <f t="shared" si="7"/>
        <v>(40, 45]</v>
      </c>
      <c r="J216" s="160">
        <v>1</v>
      </c>
      <c r="K216" s="234">
        <v>7.3786599184861714</v>
      </c>
      <c r="L216" s="188">
        <v>4.9052519485505035E-2</v>
      </c>
      <c r="M216" s="233">
        <v>49052519</v>
      </c>
      <c r="N216" s="195">
        <v>4.8704200826023128E-2</v>
      </c>
      <c r="O216" s="211">
        <v>2.1316816556123504E-2</v>
      </c>
      <c r="Q216" s="1">
        <v>4.9052519485505035E-2</v>
      </c>
      <c r="R216" s="1">
        <v>7.3786599184861714</v>
      </c>
    </row>
    <row r="217" spans="1:23" ht="15.6">
      <c r="A217" s="257">
        <v>45</v>
      </c>
      <c r="B217" s="258">
        <v>50</v>
      </c>
      <c r="C217" s="160">
        <v>1009516</v>
      </c>
      <c r="D217" s="30">
        <v>48812932.000001483</v>
      </c>
      <c r="E217" s="187">
        <f t="shared" si="6"/>
        <v>0.48352806691524935</v>
      </c>
      <c r="F217" s="188">
        <v>1.0095160000000001E-2</v>
      </c>
      <c r="G217" s="189">
        <v>4.8812932000001493E-3</v>
      </c>
      <c r="H217" s="232">
        <v>0.45</v>
      </c>
      <c r="I217" s="274" t="str">
        <f t="shared" si="7"/>
        <v>(45, 50]</v>
      </c>
      <c r="J217" s="160">
        <v>1</v>
      </c>
      <c r="K217" s="234">
        <v>9.6607367513813021</v>
      </c>
      <c r="L217" s="188">
        <v>9.7526683223074465E-2</v>
      </c>
      <c r="M217" s="233">
        <v>97526683</v>
      </c>
      <c r="N217" s="195">
        <v>9.6834153506528284E-2</v>
      </c>
      <c r="O217" s="211">
        <v>4.6822031056386139E-2</v>
      </c>
      <c r="Q217" s="1">
        <v>9.7526683223074465E-2</v>
      </c>
      <c r="R217" s="1">
        <v>9.6607367513813021</v>
      </c>
    </row>
    <row r="218" spans="1:23" ht="15.6">
      <c r="A218" s="257">
        <v>50</v>
      </c>
      <c r="B218" s="258">
        <v>60</v>
      </c>
      <c r="C218" s="160">
        <v>1602942</v>
      </c>
      <c r="D218" s="30">
        <v>91943706.80000557</v>
      </c>
      <c r="E218" s="187">
        <f t="shared" si="6"/>
        <v>0.57359347250247095</v>
      </c>
      <c r="F218" s="188">
        <v>1.6029419999999999E-2</v>
      </c>
      <c r="G218" s="189">
        <v>9.1943706800005579E-3</v>
      </c>
      <c r="H218" s="232">
        <v>0.5</v>
      </c>
      <c r="I218" s="274" t="str">
        <f t="shared" si="7"/>
        <v>(50, 60]</v>
      </c>
      <c r="J218" s="160">
        <v>1</v>
      </c>
      <c r="K218" s="234">
        <v>6.9843089637437457</v>
      </c>
      <c r="L218" s="188">
        <v>0.11195442178961326</v>
      </c>
      <c r="M218" s="233">
        <v>111954421</v>
      </c>
      <c r="N218" s="195">
        <v>0.11115944124592543</v>
      </c>
      <c r="O218" s="211">
        <v>6.3760329905684768E-2</v>
      </c>
      <c r="Q218" s="1">
        <v>0.11195442178961326</v>
      </c>
      <c r="R218" s="1">
        <v>6.9843089637437457</v>
      </c>
    </row>
    <row r="219" spans="1:23" ht="15.6">
      <c r="A219" s="257">
        <v>60</v>
      </c>
      <c r="B219" s="258">
        <v>70</v>
      </c>
      <c r="C219" s="160">
        <v>1059650</v>
      </c>
      <c r="D219" s="30">
        <v>69529277.399997041</v>
      </c>
      <c r="E219" s="187">
        <f t="shared" si="6"/>
        <v>0.6561532336148449</v>
      </c>
      <c r="F219" s="188">
        <v>1.05965E-2</v>
      </c>
      <c r="G219" s="189">
        <v>6.9529277399997041E-3</v>
      </c>
      <c r="H219" s="232">
        <v>0.6</v>
      </c>
      <c r="I219" s="274" t="str">
        <f t="shared" si="7"/>
        <v>(60, 70]</v>
      </c>
      <c r="J219" s="160">
        <v>1</v>
      </c>
      <c r="K219" s="234">
        <v>3.9778091474695345</v>
      </c>
      <c r="L219" s="188">
        <v>4.2150854631160924E-2</v>
      </c>
      <c r="M219" s="233">
        <v>42150854</v>
      </c>
      <c r="N219" s="195">
        <v>4.1851544019673691E-2</v>
      </c>
      <c r="O219" s="211">
        <v>2.7461025940282918E-2</v>
      </c>
      <c r="Q219" s="1">
        <v>4.2150854631160924E-2</v>
      </c>
      <c r="R219" s="1">
        <v>3.9778091474695345</v>
      </c>
    </row>
    <row r="220" spans="1:23" ht="15.6">
      <c r="A220" s="257">
        <v>70</v>
      </c>
      <c r="B220" s="258">
        <v>80</v>
      </c>
      <c r="C220" s="160">
        <v>1686944</v>
      </c>
      <c r="D220" s="30">
        <v>129439414.40000792</v>
      </c>
      <c r="E220" s="187">
        <f t="shared" si="6"/>
        <v>0.76730119316354262</v>
      </c>
      <c r="F220" s="188">
        <v>1.6869439999999999E-2</v>
      </c>
      <c r="G220" s="189">
        <v>1.2943941440000791E-2</v>
      </c>
      <c r="H220" s="232">
        <v>0.7</v>
      </c>
      <c r="I220" s="274" t="str">
        <f t="shared" si="7"/>
        <v>(70, 80]</v>
      </c>
      <c r="J220" s="160">
        <v>1</v>
      </c>
      <c r="K220" s="234">
        <v>2.1569085987464347</v>
      </c>
      <c r="L220" s="188">
        <v>3.6385840192037056E-2</v>
      </c>
      <c r="M220" s="233">
        <v>36385840</v>
      </c>
      <c r="N220" s="195">
        <v>3.6127466941780199E-2</v>
      </c>
      <c r="O220" s="211">
        <v>2.7720648490404388E-2</v>
      </c>
      <c r="Q220" s="1">
        <v>3.6385840192037056E-2</v>
      </c>
      <c r="R220" s="1">
        <v>2.1569085987464347</v>
      </c>
    </row>
    <row r="221" spans="1:23" ht="15.6">
      <c r="A221" s="257">
        <v>80</v>
      </c>
      <c r="B221" s="258">
        <v>90</v>
      </c>
      <c r="C221" s="160">
        <v>1039808</v>
      </c>
      <c r="D221" s="30">
        <v>89901307.799996778</v>
      </c>
      <c r="E221" s="187">
        <f t="shared" si="6"/>
        <v>0.86459526951126331</v>
      </c>
      <c r="F221" s="188">
        <v>1.0398080000000001E-2</v>
      </c>
      <c r="G221" s="189">
        <v>8.9901307799996766E-3</v>
      </c>
      <c r="H221" s="232">
        <v>0.8</v>
      </c>
      <c r="I221" s="274" t="str">
        <f t="shared" si="7"/>
        <v>(80, 90]</v>
      </c>
      <c r="J221" s="160">
        <v>1</v>
      </c>
      <c r="K221" s="276">
        <v>4.2443956439084376</v>
      </c>
      <c r="L221" s="188">
        <v>4.4133565457011449E-2</v>
      </c>
      <c r="M221" s="233">
        <v>44133565</v>
      </c>
      <c r="N221" s="195">
        <v>4.382017594098165E-2</v>
      </c>
      <c r="O221" s="211">
        <v>3.7886716827724008E-2</v>
      </c>
      <c r="Q221" s="1">
        <v>4.4133565457011449E-2</v>
      </c>
      <c r="R221" s="1">
        <v>4.2443956439084376</v>
      </c>
    </row>
    <row r="222" spans="1:23" ht="15.6">
      <c r="A222" s="257">
        <v>90</v>
      </c>
      <c r="B222" s="258">
        <v>100</v>
      </c>
      <c r="C222" s="160">
        <v>1335870</v>
      </c>
      <c r="D222" s="30">
        <v>129396569.80000414</v>
      </c>
      <c r="E222" s="187">
        <f t="shared" si="6"/>
        <v>0.96863145216229218</v>
      </c>
      <c r="F222" s="188">
        <v>1.3358699999999999E-2</v>
      </c>
      <c r="G222" s="189">
        <v>1.2939656980000411E-2</v>
      </c>
      <c r="H222" s="232">
        <v>0.9</v>
      </c>
      <c r="I222" s="274" t="str">
        <f t="shared" si="7"/>
        <v>(90, 100]</v>
      </c>
      <c r="J222" s="160">
        <v>1</v>
      </c>
      <c r="K222" s="276">
        <v>6.1035032435370846</v>
      </c>
      <c r="L222" s="188">
        <v>8.1534868779438843E-2</v>
      </c>
      <c r="M222" s="233">
        <v>81534868</v>
      </c>
      <c r="N222" s="195">
        <v>8.0955895157907923E-2</v>
      </c>
      <c r="O222" s="211">
        <v>7.841642628790263E-2</v>
      </c>
      <c r="Q222" s="1">
        <v>8.1534868779438843E-2</v>
      </c>
      <c r="R222" s="1">
        <v>6.1035032435370846</v>
      </c>
      <c r="T222" s="10">
        <f>O197</f>
        <v>0.91999568089489026</v>
      </c>
    </row>
    <row r="223" spans="1:23" ht="15.6">
      <c r="A223" s="257">
        <v>100</v>
      </c>
      <c r="B223" s="258">
        <v>120</v>
      </c>
      <c r="C223" s="160">
        <v>2141147</v>
      </c>
      <c r="D223" s="30">
        <v>240423675.80000943</v>
      </c>
      <c r="E223" s="187">
        <f t="shared" si="6"/>
        <v>1.1228732814702094</v>
      </c>
      <c r="F223" s="188">
        <v>2.1411469999999998E-2</v>
      </c>
      <c r="G223" s="189">
        <v>2.4042367580000942E-2</v>
      </c>
      <c r="H223" s="232">
        <v>1</v>
      </c>
      <c r="I223" s="274" t="str">
        <f t="shared" si="7"/>
        <v>(100, 120]</v>
      </c>
      <c r="J223" s="160">
        <v>1</v>
      </c>
      <c r="K223" s="276">
        <v>4.2086311591468322</v>
      </c>
      <c r="L223" s="188">
        <v>9.0112979805137619E-2</v>
      </c>
      <c r="M223" s="233">
        <v>90112979</v>
      </c>
      <c r="N223" s="195">
        <v>8.947309364983283E-2</v>
      </c>
      <c r="O223" s="211">
        <v>0.10046694626987915</v>
      </c>
      <c r="P223" s="1" cm="1">
        <f t="array" ref="P223:P224">1.1*K223:K224</f>
        <v>4.629494275061516</v>
      </c>
      <c r="Q223" s="1">
        <v>9.0112979805137619E-2</v>
      </c>
      <c r="R223" s="1">
        <v>4.2086311591468322</v>
      </c>
      <c r="T223" s="1" t="s">
        <v>270</v>
      </c>
      <c r="U223" s="180">
        <f>SUM(N199:N222)</f>
        <v>0.76034376417931238</v>
      </c>
      <c r="V223" s="1" cm="1">
        <f t="array" ref="V223:V228">1/U223:U228</f>
        <v>1.3151945831756298</v>
      </c>
    </row>
    <row r="224" spans="1:23" ht="15.6">
      <c r="A224" s="257">
        <v>120</v>
      </c>
      <c r="B224" s="258">
        <v>140</v>
      </c>
      <c r="C224" s="160">
        <v>1679049</v>
      </c>
      <c r="D224" s="30">
        <v>220371616.19999605</v>
      </c>
      <c r="E224" s="187">
        <f t="shared" si="6"/>
        <v>1.3124787674451195</v>
      </c>
      <c r="F224" s="188">
        <v>1.6790490000000002E-2</v>
      </c>
      <c r="G224" s="189">
        <v>2.2037161619999607E-2</v>
      </c>
      <c r="H224" s="232">
        <v>1.2</v>
      </c>
      <c r="I224" s="274" t="str">
        <f t="shared" si="7"/>
        <v>(120, 140]</v>
      </c>
      <c r="J224" s="160">
        <v>1</v>
      </c>
      <c r="K224" s="276">
        <v>2.8272707388392075</v>
      </c>
      <c r="L224" s="188">
        <v>4.747126106777233E-2</v>
      </c>
      <c r="M224" s="233">
        <v>47471261</v>
      </c>
      <c r="N224" s="195">
        <v>4.7134171217762727E-2</v>
      </c>
      <c r="O224" s="211">
        <v>6.186259894443645E-2</v>
      </c>
      <c r="P224" s="1">
        <v>3.1099978127231287</v>
      </c>
      <c r="Q224" s="1">
        <v>4.747126106777233E-2</v>
      </c>
      <c r="R224" s="272">
        <v>2.8272707388392075</v>
      </c>
      <c r="T224" s="1" t="s">
        <v>274</v>
      </c>
      <c r="U224" s="180">
        <f>SUM(N223:N256)</f>
        <v>0.23965623582068746</v>
      </c>
      <c r="V224" s="1">
        <v>4.1726433554944391</v>
      </c>
      <c r="W224" s="1">
        <v>250</v>
      </c>
    </row>
    <row r="225" spans="1:23" ht="15.6">
      <c r="A225" s="257">
        <v>140</v>
      </c>
      <c r="B225" s="258">
        <v>160</v>
      </c>
      <c r="C225" s="160">
        <v>2020579</v>
      </c>
      <c r="D225" s="30">
        <v>307294025.80002034</v>
      </c>
      <c r="E225" s="187">
        <f t="shared" si="6"/>
        <v>1.5208216347889409</v>
      </c>
      <c r="F225" s="188">
        <v>2.0205790000000001E-2</v>
      </c>
      <c r="G225" s="189">
        <v>3.0729402580002035E-2</v>
      </c>
      <c r="H225" s="232">
        <v>1.4</v>
      </c>
      <c r="I225" s="124" t="str">
        <f t="shared" si="7"/>
        <v>(140, 160]</v>
      </c>
      <c r="J225" s="160">
        <v>1</v>
      </c>
      <c r="K225" s="276">
        <v>1.0715251300330295</v>
      </c>
      <c r="L225" s="188">
        <v>2.1651011757170088E-2</v>
      </c>
      <c r="M225" s="233">
        <v>21651011</v>
      </c>
      <c r="N225" s="195">
        <v>2.1497268832013208E-2</v>
      </c>
      <c r="O225" s="211">
        <v>3.2693511528599672E-2</v>
      </c>
      <c r="Q225" s="1">
        <v>2.1651011757170088E-2</v>
      </c>
      <c r="R225" s="272">
        <v>1.0715251300330295</v>
      </c>
      <c r="T225" s="1" t="s">
        <v>271</v>
      </c>
      <c r="U225" s="180">
        <f>SUM(N228:N256)</f>
        <v>5.1312533792885688E-2</v>
      </c>
      <c r="V225" s="1">
        <v>19.488415910941562</v>
      </c>
      <c r="W225" s="1">
        <v>500</v>
      </c>
    </row>
    <row r="226" spans="1:23" ht="15.6">
      <c r="A226" s="257">
        <v>160</v>
      </c>
      <c r="B226" s="258">
        <v>180</v>
      </c>
      <c r="C226" s="160">
        <v>1556263</v>
      </c>
      <c r="D226" s="30">
        <v>267107440.19998348</v>
      </c>
      <c r="E226" s="187">
        <f t="shared" si="6"/>
        <v>1.7163386921104176</v>
      </c>
      <c r="F226" s="188">
        <v>1.5562629999999999E-2</v>
      </c>
      <c r="G226" s="189">
        <v>2.6710744019998345E-2</v>
      </c>
      <c r="H226" s="232">
        <v>1.6</v>
      </c>
      <c r="I226" s="124" t="str">
        <f t="shared" si="7"/>
        <v>(160, 180]</v>
      </c>
      <c r="J226" s="160">
        <v>1</v>
      </c>
      <c r="K226" s="276">
        <v>0.79328528406593968</v>
      </c>
      <c r="L226" s="188">
        <v>1.2345605360363113E-2</v>
      </c>
      <c r="M226" s="233">
        <v>12345605</v>
      </c>
      <c r="N226" s="195">
        <v>1.2257939806083256E-2</v>
      </c>
      <c r="O226" s="211">
        <v>2.103877637474116E-2</v>
      </c>
      <c r="Q226" s="1">
        <v>1.2345605360363113E-2</v>
      </c>
      <c r="R226" s="272">
        <v>0.79328528406593968</v>
      </c>
      <c r="T226" s="1" t="s">
        <v>286</v>
      </c>
      <c r="U226" s="180">
        <f>SUM(N234:N256)</f>
        <v>1.9943792837159937E-2</v>
      </c>
      <c r="V226" s="1">
        <v>50.14091392569857</v>
      </c>
      <c r="W226" s="1">
        <v>1000</v>
      </c>
    </row>
    <row r="227" spans="1:23" ht="15.6">
      <c r="A227" s="257">
        <v>180</v>
      </c>
      <c r="B227" s="258">
        <v>200</v>
      </c>
      <c r="C227" s="160">
        <v>1801884</v>
      </c>
      <c r="D227" s="30">
        <v>348181615.99999112</v>
      </c>
      <c r="E227" s="187">
        <f t="shared" si="6"/>
        <v>1.932319816369928</v>
      </c>
      <c r="F227" s="188">
        <v>1.8018840000000001E-2</v>
      </c>
      <c r="G227" s="189">
        <v>3.4818161599999113E-2</v>
      </c>
      <c r="H227" s="232">
        <v>1.8</v>
      </c>
      <c r="I227" s="124" t="str">
        <f t="shared" si="7"/>
        <v>(180, 200]</v>
      </c>
      <c r="J227" s="160">
        <v>1</v>
      </c>
      <c r="K227" s="276">
        <v>1.0050494635621394</v>
      </c>
      <c r="L227" s="188">
        <v>1.8109825476012021E-2</v>
      </c>
      <c r="M227" s="233">
        <v>18109825</v>
      </c>
      <c r="N227" s="195">
        <v>1.7981228522109826E-2</v>
      </c>
      <c r="O227" s="211">
        <v>3.4745484195948972E-2</v>
      </c>
      <c r="Q227" s="1">
        <v>1.8109825476012021E-2</v>
      </c>
      <c r="R227" s="272">
        <v>1.0050494635621394</v>
      </c>
      <c r="T227" s="1" t="s">
        <v>287</v>
      </c>
      <c r="U227" s="180">
        <f>SUM(N244:N256)</f>
        <v>3.1363795325424593E-3</v>
      </c>
      <c r="V227" s="1">
        <v>318.83896372368076</v>
      </c>
    </row>
    <row r="228" spans="1:23" ht="15.6">
      <c r="A228" s="257">
        <v>200</v>
      </c>
      <c r="B228" s="258">
        <v>250</v>
      </c>
      <c r="C228" s="160">
        <v>3381969</v>
      </c>
      <c r="D228" s="30">
        <v>764943761.80003738</v>
      </c>
      <c r="E228" s="187">
        <f t="shared" si="6"/>
        <v>2.2618296081366727</v>
      </c>
      <c r="F228" s="188">
        <v>3.3819689999999999E-2</v>
      </c>
      <c r="G228" s="189">
        <v>7.6494376180003751E-2</v>
      </c>
      <c r="H228" s="232">
        <v>2</v>
      </c>
      <c r="I228" s="124" t="str">
        <f t="shared" si="7"/>
        <v>(200, 250]</v>
      </c>
      <c r="J228" s="160">
        <v>1</v>
      </c>
      <c r="K228" s="276">
        <v>0.4</v>
      </c>
      <c r="L228" s="188">
        <v>1.3527876000000001E-2</v>
      </c>
      <c r="M228" s="233">
        <v>13527876</v>
      </c>
      <c r="N228" s="195">
        <v>1.343181559041929E-2</v>
      </c>
      <c r="O228" s="211">
        <v>3.0380478193442112E-2</v>
      </c>
      <c r="Q228" s="1">
        <v>7.674595432961279E-3</v>
      </c>
      <c r="R228" s="272">
        <v>0.22692684152223982</v>
      </c>
      <c r="T228" s="1" t="s">
        <v>288</v>
      </c>
      <c r="U228" s="180">
        <f>SUM(N253)</f>
        <v>2.9946829053033616E-5</v>
      </c>
      <c r="V228" s="1">
        <v>33392.51705845297</v>
      </c>
      <c r="W228" s="1">
        <v>10000</v>
      </c>
    </row>
    <row r="229" spans="1:23" ht="15.6">
      <c r="A229" s="257">
        <v>250</v>
      </c>
      <c r="B229" s="258">
        <v>300</v>
      </c>
      <c r="C229" s="160">
        <v>2990391</v>
      </c>
      <c r="D229" s="30">
        <v>827572643.0000149</v>
      </c>
      <c r="E229" s="187">
        <f t="shared" si="6"/>
        <v>2.7674395856595839</v>
      </c>
      <c r="F229" s="188">
        <v>2.9903909999999999E-2</v>
      </c>
      <c r="G229" s="189">
        <v>8.2757264300001479E-2</v>
      </c>
      <c r="H229" s="232">
        <v>2.5</v>
      </c>
      <c r="I229" s="275" t="str">
        <f t="shared" si="7"/>
        <v>(250, 300]</v>
      </c>
      <c r="J229" s="160">
        <v>1</v>
      </c>
      <c r="K229" s="276">
        <v>0.37218090383497654</v>
      </c>
      <c r="L229" s="188">
        <v>1.1129664251999793E-2</v>
      </c>
      <c r="M229" s="233">
        <v>11129664</v>
      </c>
      <c r="N229" s="195">
        <v>1.1050633109833969E-2</v>
      </c>
      <c r="O229" s="211">
        <v>3.0581959514754998E-2</v>
      </c>
      <c r="Q229" s="1">
        <v>1.1129664251999793E-2</v>
      </c>
      <c r="R229" s="272">
        <v>0.37218090383497654</v>
      </c>
    </row>
    <row r="230" spans="1:23" ht="15.6">
      <c r="A230" s="257">
        <v>300</v>
      </c>
      <c r="B230" s="258">
        <v>350</v>
      </c>
      <c r="C230" s="160">
        <v>2384532</v>
      </c>
      <c r="D230" s="30">
        <v>775147881.40000689</v>
      </c>
      <c r="E230" s="187">
        <f t="shared" si="6"/>
        <v>3.2507338186277512</v>
      </c>
      <c r="F230" s="188">
        <v>2.384532E-2</v>
      </c>
      <c r="G230" s="189">
        <v>7.7514788140000693E-2</v>
      </c>
      <c r="H230" s="232">
        <v>3</v>
      </c>
      <c r="I230" s="124" t="str">
        <f t="shared" si="7"/>
        <v>(300, 350]</v>
      </c>
      <c r="J230" s="160">
        <v>1</v>
      </c>
      <c r="K230" s="276">
        <v>7.0136428057954808E-2</v>
      </c>
      <c r="L230" s="188">
        <v>1.6724255706989108E-3</v>
      </c>
      <c r="M230" s="233">
        <v>1672425</v>
      </c>
      <c r="N230" s="195">
        <v>1.6605492383879761E-3</v>
      </c>
      <c r="O230" s="211">
        <v>5.3980035667243499E-3</v>
      </c>
      <c r="Q230" s="1">
        <v>1.6724255706989108E-3</v>
      </c>
      <c r="R230" s="272">
        <v>7.0136428057954808E-2</v>
      </c>
    </row>
    <row r="231" spans="1:23" ht="15.6">
      <c r="A231" s="257">
        <v>350</v>
      </c>
      <c r="B231" s="258">
        <v>400</v>
      </c>
      <c r="C231" s="160">
        <v>2381036</v>
      </c>
      <c r="D231" s="30">
        <v>899270817.59998333</v>
      </c>
      <c r="E231" s="187">
        <f t="shared" si="6"/>
        <v>3.7768047925356161</v>
      </c>
      <c r="F231" s="188">
        <v>2.3810359999999999E-2</v>
      </c>
      <c r="G231" s="189">
        <v>8.9927081759998334E-2</v>
      </c>
      <c r="H231" s="232">
        <v>3.5</v>
      </c>
      <c r="I231" s="124" t="str">
        <f t="shared" si="7"/>
        <v>(350, 400]</v>
      </c>
      <c r="J231" s="160">
        <v>1</v>
      </c>
      <c r="K231" s="276">
        <v>8.0444988046270066E-2</v>
      </c>
      <c r="L231" s="188">
        <v>1.9154241255773868E-3</v>
      </c>
      <c r="M231" s="233">
        <v>1915424</v>
      </c>
      <c r="N231" s="195">
        <v>1.9018227211325175E-3</v>
      </c>
      <c r="O231" s="211">
        <v>7.1828131677264184E-3</v>
      </c>
      <c r="Q231" s="1">
        <v>1.915424125577387E-3</v>
      </c>
      <c r="R231" s="272">
        <v>8.0444988046270066E-2</v>
      </c>
    </row>
    <row r="232" spans="1:23" ht="15.6">
      <c r="A232" s="257">
        <v>400</v>
      </c>
      <c r="B232" s="258">
        <v>450</v>
      </c>
      <c r="C232" s="160">
        <v>1829729</v>
      </c>
      <c r="D232" s="30">
        <v>779255256.99999332</v>
      </c>
      <c r="E232" s="187">
        <f t="shared" si="6"/>
        <v>4.258856131153812</v>
      </c>
      <c r="F232" s="188">
        <v>1.8297290000000001E-2</v>
      </c>
      <c r="G232" s="189">
        <v>7.7925525699999332E-2</v>
      </c>
      <c r="H232" s="232">
        <v>4</v>
      </c>
      <c r="I232" s="124" t="str">
        <f t="shared" si="7"/>
        <v>(400, 450]</v>
      </c>
      <c r="J232" s="160">
        <v>1</v>
      </c>
      <c r="K232" s="276">
        <v>8.1535296333970914E-2</v>
      </c>
      <c r="L232" s="188">
        <v>1.4918749622586027E-3</v>
      </c>
      <c r="M232" s="233">
        <v>1491874</v>
      </c>
      <c r="N232" s="195">
        <v>1.4812803171866142E-3</v>
      </c>
      <c r="O232" s="211">
        <v>6.3085597608076756E-3</v>
      </c>
      <c r="Q232" s="1">
        <v>1.4918749622586027E-3</v>
      </c>
      <c r="R232" s="272">
        <v>8.1535296333970914E-2</v>
      </c>
    </row>
    <row r="233" spans="1:23" ht="15.6">
      <c r="A233" s="257">
        <v>450</v>
      </c>
      <c r="B233" s="258">
        <v>500</v>
      </c>
      <c r="C233" s="160">
        <v>1851531</v>
      </c>
      <c r="D233" s="30">
        <v>884348199.60000253</v>
      </c>
      <c r="E233" s="187">
        <f t="shared" si="6"/>
        <v>4.7763078209330683</v>
      </c>
      <c r="F233" s="188">
        <v>1.851531E-2</v>
      </c>
      <c r="G233" s="189">
        <v>8.8434819960000244E-2</v>
      </c>
      <c r="H233" s="232">
        <v>4.5</v>
      </c>
      <c r="I233" s="124" t="str">
        <f t="shared" si="7"/>
        <v>(450, 500]</v>
      </c>
      <c r="J233" s="160">
        <v>1</v>
      </c>
      <c r="K233" s="276">
        <v>0.10023156691986911</v>
      </c>
      <c r="L233" s="188">
        <v>1.8558185333071217E-3</v>
      </c>
      <c r="M233" s="233">
        <v>1855818</v>
      </c>
      <c r="N233" s="195">
        <v>1.8426399787653837E-3</v>
      </c>
      <c r="O233" s="211">
        <v>8.8010157417410459E-3</v>
      </c>
      <c r="Q233" s="1">
        <v>1.8558185333071217E-3</v>
      </c>
      <c r="R233" s="272">
        <v>0.10023156691986911</v>
      </c>
    </row>
    <row r="234" spans="1:23" ht="15.6">
      <c r="A234" s="257">
        <v>500</v>
      </c>
      <c r="B234" s="258">
        <v>550</v>
      </c>
      <c r="C234" s="160">
        <v>1471355</v>
      </c>
      <c r="D234" s="30">
        <v>773043325.99999547</v>
      </c>
      <c r="E234" s="187">
        <f t="shared" si="6"/>
        <v>5.2539552045563136</v>
      </c>
      <c r="F234" s="188">
        <v>1.4713550000000001E-2</v>
      </c>
      <c r="G234" s="189">
        <v>7.7304332599999553E-2</v>
      </c>
      <c r="H234" s="232">
        <v>5</v>
      </c>
      <c r="I234" s="275" t="str">
        <f t="shared" si="7"/>
        <v>(500, 550]</v>
      </c>
      <c r="J234" s="160">
        <v>1</v>
      </c>
      <c r="K234" s="276">
        <v>0.45</v>
      </c>
      <c r="L234" s="188">
        <v>6.6210975E-3</v>
      </c>
      <c r="M234" s="233">
        <v>6621097</v>
      </c>
      <c r="N234" s="195">
        <v>6.5740810981914964E-3</v>
      </c>
      <c r="O234" s="211">
        <v>3.4539927601018497E-2</v>
      </c>
      <c r="Q234" s="1">
        <v>5.3495038293716922E-3</v>
      </c>
      <c r="R234" s="272">
        <v>0.36357669151032157</v>
      </c>
    </row>
    <row r="235" spans="1:23" ht="15.6">
      <c r="A235" s="257">
        <v>550</v>
      </c>
      <c r="B235" s="258">
        <v>600</v>
      </c>
      <c r="C235" s="160">
        <v>1494540</v>
      </c>
      <c r="D235" s="30">
        <v>862285364.79999816</v>
      </c>
      <c r="E235" s="187">
        <f t="shared" si="6"/>
        <v>5.7695703346849072</v>
      </c>
      <c r="F235" s="188">
        <v>1.4945399999999999E-2</v>
      </c>
      <c r="G235" s="189">
        <v>8.6228536479999812E-2</v>
      </c>
      <c r="H235" s="232">
        <v>5.5</v>
      </c>
      <c r="I235" s="124" t="str">
        <f t="shared" si="7"/>
        <v>(550, 600]</v>
      </c>
      <c r="J235" s="160">
        <v>1</v>
      </c>
      <c r="K235" s="276">
        <v>0.188499274751361</v>
      </c>
      <c r="L235" s="188">
        <v>2.8171970608689904E-3</v>
      </c>
      <c r="M235" s="233">
        <v>2817197</v>
      </c>
      <c r="N235" s="195">
        <v>2.7971923002459848E-3</v>
      </c>
      <c r="O235" s="211">
        <v>1.6138597715908271E-2</v>
      </c>
      <c r="Q235" s="1">
        <v>2.8171970608689904E-3</v>
      </c>
      <c r="R235" s="272">
        <v>0.188499274751361</v>
      </c>
    </row>
    <row r="236" spans="1:23" ht="15.6">
      <c r="A236" s="257">
        <v>600</v>
      </c>
      <c r="B236" s="258">
        <v>650</v>
      </c>
      <c r="C236" s="160">
        <v>1183078</v>
      </c>
      <c r="D236" s="30">
        <v>740608058.99999905</v>
      </c>
      <c r="E236" s="187">
        <f t="shared" si="6"/>
        <v>6.260010405062042</v>
      </c>
      <c r="F236" s="188">
        <v>1.1830780000000001E-2</v>
      </c>
      <c r="G236" s="189">
        <v>7.4060805899999915E-2</v>
      </c>
      <c r="H236" s="232">
        <v>6</v>
      </c>
      <c r="I236" s="124" t="str">
        <f t="shared" si="7"/>
        <v>(600, 650]</v>
      </c>
      <c r="J236" s="160">
        <v>1</v>
      </c>
      <c r="K236" s="276">
        <v>0.15730133789689846</v>
      </c>
      <c r="L236" s="188">
        <v>1.8609975223638684E-3</v>
      </c>
      <c r="M236" s="233">
        <v>1860997</v>
      </c>
      <c r="N236" s="195">
        <v>1.8477822030837307E-3</v>
      </c>
      <c r="O236" s="211">
        <v>1.1567135817592618E-2</v>
      </c>
      <c r="Q236" s="1">
        <v>1.8609975223638686E-3</v>
      </c>
      <c r="R236" s="272">
        <v>0.15730133789689846</v>
      </c>
    </row>
    <row r="237" spans="1:23" ht="15.6">
      <c r="A237" s="257">
        <v>650</v>
      </c>
      <c r="B237" s="258">
        <v>700</v>
      </c>
      <c r="C237" s="160">
        <v>1085039</v>
      </c>
      <c r="D237" s="30">
        <v>732927133.39999652</v>
      </c>
      <c r="E237" s="187">
        <f t="shared" si="6"/>
        <v>6.7548459861811097</v>
      </c>
      <c r="F237" s="188">
        <v>1.085039E-2</v>
      </c>
      <c r="G237" s="189">
        <v>7.3292713339999649E-2</v>
      </c>
      <c r="H237" s="232">
        <v>6.5</v>
      </c>
      <c r="I237" s="124" t="str">
        <f t="shared" si="7"/>
        <v>(650, 700]</v>
      </c>
      <c r="J237" s="160">
        <v>1</v>
      </c>
      <c r="K237" s="276">
        <v>8.0759173853019006E-2</v>
      </c>
      <c r="L237" s="188">
        <v>8.762685323830589E-4</v>
      </c>
      <c r="M237" s="233">
        <v>876268</v>
      </c>
      <c r="N237" s="195">
        <v>8.7004568816165446E-4</v>
      </c>
      <c r="O237" s="211">
        <v>5.8770246244729332E-3</v>
      </c>
      <c r="Q237" s="1">
        <v>8.762685323830589E-4</v>
      </c>
      <c r="R237" s="272">
        <v>8.0759173853019006E-2</v>
      </c>
    </row>
    <row r="238" spans="1:23" ht="15.6">
      <c r="A238" s="257">
        <v>700</v>
      </c>
      <c r="B238" s="258">
        <v>750</v>
      </c>
      <c r="C238" s="160">
        <v>985790</v>
      </c>
      <c r="D238" s="30">
        <v>714764715.99999452</v>
      </c>
      <c r="E238" s="187">
        <f t="shared" si="6"/>
        <v>7.2506793130382183</v>
      </c>
      <c r="F238" s="188">
        <v>9.8578999999999993E-3</v>
      </c>
      <c r="G238" s="189">
        <v>7.1476471599999453E-2</v>
      </c>
      <c r="H238" s="232">
        <v>7</v>
      </c>
      <c r="I238" s="124" t="str">
        <f t="shared" si="7"/>
        <v>(700, 750]</v>
      </c>
      <c r="J238" s="160">
        <v>1</v>
      </c>
      <c r="K238" s="276">
        <v>7.5183503742911856E-2</v>
      </c>
      <c r="L238" s="188">
        <v>7.4115146154725073E-4</v>
      </c>
      <c r="M238" s="233">
        <v>741151</v>
      </c>
      <c r="N238" s="195">
        <v>7.358881436121123E-4</v>
      </c>
      <c r="O238" s="211">
        <v>5.3356889395984397E-3</v>
      </c>
      <c r="Q238" s="1">
        <v>7.4115146154725073E-4</v>
      </c>
      <c r="R238" s="272">
        <v>7.5183503742911856E-2</v>
      </c>
    </row>
    <row r="239" spans="1:23" ht="15.6">
      <c r="A239" s="257">
        <v>750</v>
      </c>
      <c r="B239" s="258">
        <v>800</v>
      </c>
      <c r="C239" s="160">
        <v>1096660</v>
      </c>
      <c r="D239" s="30">
        <v>855622137.40000165</v>
      </c>
      <c r="E239" s="187">
        <f t="shared" si="6"/>
        <v>7.8020729980121608</v>
      </c>
      <c r="F239" s="188">
        <v>1.09666E-2</v>
      </c>
      <c r="G239" s="189">
        <v>8.5562213740000156E-2</v>
      </c>
      <c r="H239" s="232">
        <v>7.5</v>
      </c>
      <c r="I239" s="124" t="str">
        <f t="shared" si="7"/>
        <v>(750, 800]</v>
      </c>
      <c r="J239" s="160">
        <v>1</v>
      </c>
      <c r="K239" s="276">
        <v>0.11115538143061701</v>
      </c>
      <c r="L239" s="188">
        <v>1.2189966059970045E-3</v>
      </c>
      <c r="M239" s="233">
        <v>1218996</v>
      </c>
      <c r="N239" s="195">
        <v>1.210340002928675E-3</v>
      </c>
      <c r="O239" s="211">
        <v>9.4431610552637747E-3</v>
      </c>
      <c r="Q239" s="1">
        <v>1.2189966059970045E-3</v>
      </c>
      <c r="R239" s="272">
        <v>0.11115538143061701</v>
      </c>
    </row>
    <row r="240" spans="1:23" ht="15.6">
      <c r="A240" s="257">
        <v>800</v>
      </c>
      <c r="B240" s="258">
        <v>850</v>
      </c>
      <c r="C240" s="160">
        <v>808383</v>
      </c>
      <c r="D240" s="30">
        <v>667579848.99999547</v>
      </c>
      <c r="E240" s="187">
        <f t="shared" si="6"/>
        <v>8.258212369631666</v>
      </c>
      <c r="F240" s="188">
        <v>8.0838300000000002E-3</v>
      </c>
      <c r="G240" s="189">
        <v>6.6757984899999553E-2</v>
      </c>
      <c r="H240" s="232">
        <v>8</v>
      </c>
      <c r="I240" s="124" t="str">
        <f t="shared" si="7"/>
        <v>(800, 850]</v>
      </c>
      <c r="J240" s="160">
        <v>1</v>
      </c>
      <c r="K240" s="276">
        <v>8.4599969478952097E-2</v>
      </c>
      <c r="L240" s="188">
        <v>6.8389177127303735E-4</v>
      </c>
      <c r="M240" s="233">
        <v>683891</v>
      </c>
      <c r="N240" s="195">
        <v>6.7903474247896993E-4</v>
      </c>
      <c r="O240" s="211">
        <v>5.6076131097494821E-3</v>
      </c>
      <c r="Q240" s="1">
        <v>6.8389177127303735E-4</v>
      </c>
      <c r="R240" s="272">
        <v>8.4599969478952097E-2</v>
      </c>
    </row>
    <row r="241" spans="1:19" ht="15.6">
      <c r="A241" s="257">
        <v>850</v>
      </c>
      <c r="B241" s="258">
        <v>900</v>
      </c>
      <c r="C241" s="160">
        <v>795580</v>
      </c>
      <c r="D241" s="30">
        <v>697056033.59999371</v>
      </c>
      <c r="E241" s="187">
        <f t="shared" si="6"/>
        <v>8.761608305889963</v>
      </c>
      <c r="F241" s="188">
        <v>7.9558000000000007E-3</v>
      </c>
      <c r="G241" s="189">
        <v>6.9705603359999369E-2</v>
      </c>
      <c r="H241" s="232">
        <v>8.5</v>
      </c>
      <c r="I241" s="124" t="str">
        <f t="shared" si="7"/>
        <v>(850, 900]</v>
      </c>
      <c r="J241" s="160">
        <v>1</v>
      </c>
      <c r="K241" s="276">
        <v>8.35515536253289E-2</v>
      </c>
      <c r="L241" s="188">
        <v>6.6471945033239174E-4</v>
      </c>
      <c r="M241" s="233">
        <v>664719</v>
      </c>
      <c r="N241" s="195">
        <v>6.5999888138004216E-4</v>
      </c>
      <c r="O241" s="211">
        <v>5.7826516809774617E-3</v>
      </c>
      <c r="Q241" s="1">
        <v>6.6471945033239174E-4</v>
      </c>
      <c r="R241" s="272">
        <v>8.35515536253289E-2</v>
      </c>
    </row>
    <row r="242" spans="1:19" ht="15.6">
      <c r="A242" s="257">
        <v>900</v>
      </c>
      <c r="B242" s="258">
        <v>950</v>
      </c>
      <c r="C242" s="160">
        <v>695344</v>
      </c>
      <c r="D242" s="30">
        <v>643340256.79999733</v>
      </c>
      <c r="E242" s="187">
        <f t="shared" si="6"/>
        <v>9.2521148783910885</v>
      </c>
      <c r="F242" s="188">
        <v>6.95344E-3</v>
      </c>
      <c r="G242" s="189">
        <v>6.4334025679999726E-2</v>
      </c>
      <c r="H242" s="232">
        <v>9</v>
      </c>
      <c r="I242" s="124" t="str">
        <f t="shared" si="7"/>
        <v>(900, 950]</v>
      </c>
      <c r="J242" s="160">
        <v>1</v>
      </c>
      <c r="K242" s="276">
        <v>7.346027655748695E-2</v>
      </c>
      <c r="L242" s="188">
        <v>5.1080162542589203E-4</v>
      </c>
      <c r="M242" s="233">
        <v>510801</v>
      </c>
      <c r="N242" s="195">
        <v>5.0717384128903635E-4</v>
      </c>
      <c r="O242" s="211">
        <v>4.6924306429210541E-3</v>
      </c>
      <c r="Q242" s="1">
        <v>5.1080162542589203E-4</v>
      </c>
      <c r="R242" s="272">
        <v>7.346027655748695E-2</v>
      </c>
    </row>
    <row r="243" spans="1:19" ht="15.6">
      <c r="A243" s="257">
        <v>950</v>
      </c>
      <c r="B243" s="258">
        <v>1000</v>
      </c>
      <c r="C243" s="160">
        <v>828194</v>
      </c>
      <c r="D243" s="30">
        <v>812122229.39999259</v>
      </c>
      <c r="E243" s="187">
        <f t="shared" si="6"/>
        <v>9.8059419580435581</v>
      </c>
      <c r="F243" s="188">
        <v>8.2819399999999998E-3</v>
      </c>
      <c r="G243" s="189">
        <v>8.121222293999926E-2</v>
      </c>
      <c r="H243" s="232">
        <v>9.5</v>
      </c>
      <c r="I243" s="124" t="str">
        <f t="shared" si="7"/>
        <v>(950, 1000]</v>
      </c>
      <c r="J243" s="160">
        <v>1</v>
      </c>
      <c r="K243" s="276">
        <v>0.11259423410161855</v>
      </c>
      <c r="L243" s="188">
        <v>9.3249869117555866E-4</v>
      </c>
      <c r="M243" s="233">
        <v>932498</v>
      </c>
      <c r="N243" s="195">
        <v>9.2587640324577234E-4</v>
      </c>
      <c r="O243" s="211">
        <v>9.0790902705501757E-3</v>
      </c>
      <c r="Q243" s="1">
        <v>9.3249869117555866E-4</v>
      </c>
      <c r="R243" s="272">
        <v>0.11259423410161855</v>
      </c>
    </row>
    <row r="244" spans="1:19" ht="15.6">
      <c r="A244" s="257">
        <v>1000</v>
      </c>
      <c r="B244" s="258">
        <v>2000</v>
      </c>
      <c r="C244" s="160">
        <v>7610917</v>
      </c>
      <c r="D244" s="30">
        <v>10775924884.199627</v>
      </c>
      <c r="E244" s="187">
        <f t="shared" si="6"/>
        <v>14.158510576583121</v>
      </c>
      <c r="F244" s="188">
        <v>7.6109170000000004E-2</v>
      </c>
      <c r="G244" s="189">
        <v>1.0775924884199628</v>
      </c>
      <c r="H244" s="232">
        <v>10</v>
      </c>
      <c r="I244" s="275" t="str">
        <f t="shared" si="7"/>
        <v>(1000, 2000]</v>
      </c>
      <c r="J244" s="160">
        <v>1</v>
      </c>
      <c r="K244" s="276">
        <v>3.082E-2</v>
      </c>
      <c r="L244" s="188">
        <v>2.3456846194000003E-3</v>
      </c>
      <c r="M244" s="233">
        <v>2345684</v>
      </c>
      <c r="N244" s="195">
        <v>2.32902747788323E-3</v>
      </c>
      <c r="O244" s="211">
        <v>3.2975560178762423E-2</v>
      </c>
      <c r="Q244" s="1">
        <v>2.3188292455711568E-3</v>
      </c>
      <c r="R244" s="272">
        <v>3.0467146673274149E-2</v>
      </c>
    </row>
    <row r="245" spans="1:19" ht="15.6">
      <c r="A245" s="257">
        <v>2000</v>
      </c>
      <c r="B245" s="258">
        <v>3000</v>
      </c>
      <c r="C245" s="160">
        <v>2895228</v>
      </c>
      <c r="D245" s="30">
        <v>7086401382.9996033</v>
      </c>
      <c r="E245" s="187">
        <f t="shared" si="6"/>
        <v>24.476142752831912</v>
      </c>
      <c r="F245" s="188">
        <v>2.895228E-2</v>
      </c>
      <c r="G245" s="189">
        <v>0.70864013829996031</v>
      </c>
      <c r="H245" s="232">
        <v>20</v>
      </c>
      <c r="I245" s="124" t="str">
        <f t="shared" si="7"/>
        <v>(2000, 3000]</v>
      </c>
      <c r="J245" s="160">
        <v>1</v>
      </c>
      <c r="K245" s="276">
        <v>8.3103073653960947E-3</v>
      </c>
      <c r="L245" s="188">
        <v>2.4060234572901006E-4</v>
      </c>
      <c r="M245" s="233">
        <v>240602</v>
      </c>
      <c r="N245" s="195">
        <v>2.3889350365763714E-4</v>
      </c>
      <c r="O245" s="211">
        <v>5.8471914982484987E-3</v>
      </c>
      <c r="P245" s="1" cm="1">
        <f t="array" ref="P245:P251">K245:K251*0.5</f>
        <v>4.1551536826980474E-3</v>
      </c>
      <c r="Q245" s="1">
        <v>2.4060234572901006E-4</v>
      </c>
      <c r="R245" s="272">
        <v>8.3103073653960947E-3</v>
      </c>
    </row>
    <row r="246" spans="1:19" ht="15.6">
      <c r="A246" s="257">
        <v>3000</v>
      </c>
      <c r="B246" s="258">
        <v>4000</v>
      </c>
      <c r="C246" s="160">
        <v>1448535</v>
      </c>
      <c r="D246" s="30">
        <v>5023439206.5999565</v>
      </c>
      <c r="E246" s="187">
        <f t="shared" si="6"/>
        <v>34.679446520794848</v>
      </c>
      <c r="F246" s="188">
        <v>1.4485349999999999E-2</v>
      </c>
      <c r="G246" s="189">
        <v>0.50234392065999567</v>
      </c>
      <c r="H246" s="232">
        <v>30</v>
      </c>
      <c r="I246" s="124" t="str">
        <f t="shared" si="7"/>
        <v>(3000, 4000]</v>
      </c>
      <c r="J246" s="160">
        <v>1</v>
      </c>
      <c r="K246" s="276">
        <v>1.3433774372394394E-2</v>
      </c>
      <c r="L246" s="188">
        <v>1.9459292360516313E-4</v>
      </c>
      <c r="M246" s="233">
        <v>194592</v>
      </c>
      <c r="N246" s="195">
        <v>1.9321021713762532E-4</v>
      </c>
      <c r="O246" s="211">
        <v>6.7004233924954377E-3</v>
      </c>
      <c r="P246" s="1">
        <v>6.7168871861971969E-3</v>
      </c>
      <c r="Q246" s="1">
        <v>1.9459292360516313E-4</v>
      </c>
      <c r="R246" s="272">
        <v>1.3433774372394394E-2</v>
      </c>
    </row>
    <row r="247" spans="1:19" ht="15.6">
      <c r="A247" s="257">
        <v>4000</v>
      </c>
      <c r="B247" s="258">
        <v>5000</v>
      </c>
      <c r="C247" s="160">
        <v>855237</v>
      </c>
      <c r="D247" s="30">
        <v>3822090573.5999732</v>
      </c>
      <c r="E247" s="187">
        <f t="shared" si="6"/>
        <v>44.690425853885806</v>
      </c>
      <c r="F247" s="188">
        <v>8.5523700000000001E-3</v>
      </c>
      <c r="G247" s="189">
        <v>0.38220905735999733</v>
      </c>
      <c r="H247" s="232">
        <v>40</v>
      </c>
      <c r="I247" s="124" t="str">
        <f t="shared" si="7"/>
        <v>(4000, 5000]</v>
      </c>
      <c r="J247" s="160">
        <v>1</v>
      </c>
      <c r="K247" s="276">
        <v>1.8091005674199006E-2</v>
      </c>
      <c r="L247" s="188">
        <v>1.5472097419784935E-4</v>
      </c>
      <c r="M247" s="233">
        <v>154720</v>
      </c>
      <c r="N247" s="195">
        <v>1.5362134515053749E-4</v>
      </c>
      <c r="O247" s="211">
        <v>6.8654033350242956E-3</v>
      </c>
      <c r="P247" s="1">
        <v>9.045502837099503E-3</v>
      </c>
      <c r="Q247" s="1">
        <v>1.5472097419784935E-4</v>
      </c>
      <c r="R247" s="272">
        <v>1.8091005674199006E-2</v>
      </c>
    </row>
    <row r="248" spans="1:19" ht="15.6">
      <c r="A248" s="257">
        <v>5000</v>
      </c>
      <c r="B248" s="258">
        <v>6000</v>
      </c>
      <c r="C248" s="160">
        <v>534676</v>
      </c>
      <c r="D248" s="30">
        <v>2927966696.0000076</v>
      </c>
      <c r="E248" s="187">
        <f t="shared" si="6"/>
        <v>54.761513439915156</v>
      </c>
      <c r="F248" s="188">
        <v>5.3467599999999999E-3</v>
      </c>
      <c r="G248" s="189">
        <v>0.29279666960000073</v>
      </c>
      <c r="H248" s="232">
        <v>50</v>
      </c>
      <c r="I248" s="124" t="str">
        <f t="shared" si="7"/>
        <v>(5000, 6000]</v>
      </c>
      <c r="J248" s="160">
        <v>1</v>
      </c>
      <c r="K248" s="276">
        <v>9.6020344903559665E-3</v>
      </c>
      <c r="L248" s="188">
        <v>5.1339773931655664E-5</v>
      </c>
      <c r="M248" s="233">
        <v>51339</v>
      </c>
      <c r="N248" s="195">
        <v>5.097444569986714E-5</v>
      </c>
      <c r="O248" s="211">
        <v>2.7914377932854997E-3</v>
      </c>
      <c r="P248" s="1">
        <v>4.8010172451779833E-3</v>
      </c>
      <c r="Q248" s="1">
        <v>5.1339773931655664E-5</v>
      </c>
      <c r="R248" s="272">
        <v>9.6020344903559665E-3</v>
      </c>
    </row>
    <row r="249" spans="1:19" ht="15.6">
      <c r="A249" s="257">
        <v>6000</v>
      </c>
      <c r="B249" s="258">
        <v>7000</v>
      </c>
      <c r="C249" s="160">
        <v>340919</v>
      </c>
      <c r="D249" s="30">
        <v>2205589030.0000081</v>
      </c>
      <c r="E249" s="187">
        <f t="shared" si="6"/>
        <v>64.695397733772779</v>
      </c>
      <c r="F249" s="188">
        <v>3.4091899999999999E-3</v>
      </c>
      <c r="G249" s="189">
        <v>0.22055890300000081</v>
      </c>
      <c r="H249" s="232">
        <v>60</v>
      </c>
      <c r="I249" s="124" t="str">
        <f t="shared" si="7"/>
        <v>(6000, 7000]</v>
      </c>
      <c r="J249" s="160">
        <v>1</v>
      </c>
      <c r="K249" s="276">
        <v>1.4232874477650153E-2</v>
      </c>
      <c r="L249" s="188">
        <v>4.8522573340460124E-5</v>
      </c>
      <c r="M249" s="233">
        <v>48522</v>
      </c>
      <c r="N249" s="195">
        <v>4.8177449000739268E-5</v>
      </c>
      <c r="O249" s="211">
        <v>3.116859224901381E-3</v>
      </c>
      <c r="P249" s="1">
        <v>7.1164372388250767E-3</v>
      </c>
      <c r="Q249" s="1">
        <v>4.8522573340460124E-5</v>
      </c>
      <c r="R249" s="272">
        <v>1.4232874477650153E-2</v>
      </c>
    </row>
    <row r="250" spans="1:19" ht="15.6">
      <c r="A250" s="257">
        <v>7000</v>
      </c>
      <c r="B250" s="258">
        <v>8000</v>
      </c>
      <c r="C250" s="160">
        <v>226180</v>
      </c>
      <c r="D250" s="30">
        <v>1690376895.6000068</v>
      </c>
      <c r="E250" s="187">
        <f t="shared" si="6"/>
        <v>74.735913679370711</v>
      </c>
      <c r="F250" s="188">
        <v>2.2618E-3</v>
      </c>
      <c r="G250" s="189">
        <v>0.16903768956000068</v>
      </c>
      <c r="H250" s="232">
        <v>70</v>
      </c>
      <c r="I250" s="124" t="str">
        <f t="shared" si="7"/>
        <v>(7000, 8000]</v>
      </c>
      <c r="J250" s="160">
        <v>1</v>
      </c>
      <c r="K250" s="276">
        <v>1.9997782791752142E-2</v>
      </c>
      <c r="L250" s="188">
        <v>4.5230985118384998E-5</v>
      </c>
      <c r="M250" s="233">
        <v>45230</v>
      </c>
      <c r="N250" s="195">
        <v>4.4908825240168116E-5</v>
      </c>
      <c r="O250" s="211">
        <v>3.356302086591149E-3</v>
      </c>
      <c r="P250" s="1">
        <v>9.9988913958760708E-3</v>
      </c>
      <c r="Q250" s="1">
        <v>4.5230985118384998E-5</v>
      </c>
      <c r="R250" s="272">
        <v>1.9997782791752142E-2</v>
      </c>
    </row>
    <row r="251" spans="1:19" ht="15.6">
      <c r="A251" s="257">
        <v>8000</v>
      </c>
      <c r="B251" s="258">
        <v>9000</v>
      </c>
      <c r="C251" s="160">
        <v>151410</v>
      </c>
      <c r="D251" s="30">
        <v>1282597163.0000005</v>
      </c>
      <c r="E251" s="187">
        <f t="shared" si="6"/>
        <v>84.710201637936763</v>
      </c>
      <c r="F251" s="188">
        <v>1.5141E-3</v>
      </c>
      <c r="G251" s="189">
        <v>0.12825971630000005</v>
      </c>
      <c r="H251" s="232">
        <v>80</v>
      </c>
      <c r="I251" s="124" t="str">
        <f t="shared" si="7"/>
        <v>(8000, 9000]</v>
      </c>
      <c r="J251" s="160">
        <v>1</v>
      </c>
      <c r="K251" s="276">
        <v>2.4063916852023335E-2</v>
      </c>
      <c r="L251" s="188">
        <v>3.6435176505648529E-5</v>
      </c>
      <c r="M251" s="233">
        <v>36435</v>
      </c>
      <c r="N251" s="195">
        <v>3.6176277860391888E-5</v>
      </c>
      <c r="O251" s="211">
        <v>3.0644997920638243E-3</v>
      </c>
      <c r="P251" s="198">
        <v>1.2031958426011667E-2</v>
      </c>
      <c r="Q251" s="198">
        <v>3.6435176505648529E-5</v>
      </c>
      <c r="R251" s="272">
        <v>2.4063916852023335E-2</v>
      </c>
      <c r="S251" s="182"/>
    </row>
    <row r="252" spans="1:19" ht="15.6">
      <c r="A252" s="257">
        <v>9000</v>
      </c>
      <c r="B252" s="258">
        <v>10000</v>
      </c>
      <c r="C252" s="160">
        <v>104546</v>
      </c>
      <c r="D252" s="30">
        <v>990573401.60000002</v>
      </c>
      <c r="E252" s="187">
        <f t="shared" si="6"/>
        <v>94.750004935626436</v>
      </c>
      <c r="F252" s="188">
        <v>1.04546E-3</v>
      </c>
      <c r="G252" s="189">
        <v>9.9057340160000021E-2</v>
      </c>
      <c r="H252" s="232">
        <v>90</v>
      </c>
      <c r="I252" s="124" t="str">
        <f t="shared" si="7"/>
        <v>(9000, 10000]</v>
      </c>
      <c r="J252" s="160">
        <v>1</v>
      </c>
      <c r="K252" s="276">
        <v>1.1024461597465507E-2</v>
      </c>
      <c r="L252" s="188">
        <v>1.1525633621686288E-5</v>
      </c>
      <c r="M252" s="233">
        <v>11525</v>
      </c>
      <c r="N252" s="195">
        <v>1.1443161859229218E-5</v>
      </c>
      <c r="O252" s="211">
        <v>1.0842396426411405E-3</v>
      </c>
      <c r="P252" s="198"/>
      <c r="Q252" s="198">
        <v>1.1525633621686288E-5</v>
      </c>
      <c r="R252" s="272">
        <v>1.1024461597465507E-2</v>
      </c>
      <c r="S252" s="182"/>
    </row>
    <row r="253" spans="1:19" ht="15.6">
      <c r="A253" s="257">
        <v>10000</v>
      </c>
      <c r="B253" s="258">
        <v>20000</v>
      </c>
      <c r="C253" s="160">
        <v>233343</v>
      </c>
      <c r="D253" s="30">
        <v>2943736126.4000006</v>
      </c>
      <c r="E253" s="187">
        <f t="shared" si="6"/>
        <v>126.15489328584961</v>
      </c>
      <c r="F253" s="188">
        <v>2.3334300000000001E-3</v>
      </c>
      <c r="G253" s="189">
        <v>0.29437361264000006</v>
      </c>
      <c r="H253" s="232">
        <v>100</v>
      </c>
      <c r="I253" s="275" t="str">
        <f t="shared" si="7"/>
        <v>(10000, 20000]</v>
      </c>
      <c r="J253" s="160">
        <v>1</v>
      </c>
      <c r="K253" s="276">
        <v>1.2925755186962417E-2</v>
      </c>
      <c r="L253" s="188">
        <v>3.0161344925913713E-5</v>
      </c>
      <c r="M253" s="233">
        <v>30161</v>
      </c>
      <c r="N253" s="195">
        <v>2.9946829053033616E-5</v>
      </c>
      <c r="O253" s="211">
        <v>3.7779390234350366E-3</v>
      </c>
      <c r="P253" s="198"/>
      <c r="Q253" s="198">
        <v>3.0161344925913713E-5</v>
      </c>
      <c r="R253" s="272">
        <v>1.2925755186962417E-2</v>
      </c>
      <c r="S253" s="182"/>
    </row>
    <row r="254" spans="1:19" ht="15.6">
      <c r="A254" s="257">
        <v>20000</v>
      </c>
      <c r="B254" s="258">
        <v>30000</v>
      </c>
      <c r="C254" s="160">
        <v>11660</v>
      </c>
      <c r="D254" s="30">
        <v>269563303.19999993</v>
      </c>
      <c r="E254" s="187">
        <f t="shared" si="6"/>
        <v>231.18636638078894</v>
      </c>
      <c r="F254" s="188">
        <v>1.166E-4</v>
      </c>
      <c r="G254" s="189">
        <v>2.6956330319999992E-2</v>
      </c>
      <c r="H254" s="232">
        <v>200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1370</v>
      </c>
      <c r="D255" s="30">
        <v>48443232.600000001</v>
      </c>
      <c r="E255" s="187">
        <f t="shared" si="6"/>
        <v>353.60023795620435</v>
      </c>
      <c r="F255" s="188">
        <v>1.3699999999999999E-5</v>
      </c>
      <c r="G255" s="189">
        <v>4.8443232599999992E-3</v>
      </c>
      <c r="H255" s="232">
        <v>300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1000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>
        <v>0</v>
      </c>
      <c r="S256" s="182"/>
    </row>
    <row r="257" spans="13:17" ht="16.8" thickBot="1">
      <c r="N257" s="1">
        <f>1/N251</f>
        <v>27642.423686016195</v>
      </c>
      <c r="O257" s="10">
        <f>SUM(O240:O250)</f>
        <v>8.6814963213506832E-2</v>
      </c>
      <c r="Q257" s="1">
        <v>0</v>
      </c>
    </row>
    <row r="258" spans="13:17" ht="16.8" thickBot="1">
      <c r="M258" s="114"/>
      <c r="N258" s="164" t="s">
        <v>181</v>
      </c>
      <c r="O258" s="219" t="s">
        <v>180</v>
      </c>
      <c r="Q258" s="1">
        <v>0</v>
      </c>
    </row>
    <row r="259" spans="13:17">
      <c r="M259" s="128" t="s">
        <v>178</v>
      </c>
      <c r="N259" s="218">
        <f>1/SUM(N244:N253)</f>
        <v>318.83896372368076</v>
      </c>
      <c r="O259" s="220" cm="1">
        <f t="array" ref="O259:O260">N261/N259:N260</f>
        <v>43.909313455594429</v>
      </c>
      <c r="Q259" s="1">
        <v>0</v>
      </c>
    </row>
    <row r="260" spans="13:17" ht="16.8" thickBot="1">
      <c r="M260" s="124" t="s">
        <v>179</v>
      </c>
      <c r="N260" s="218">
        <f>1/SUM(N257)</f>
        <v>3.6176277860391888E-5</v>
      </c>
      <c r="O260" s="220">
        <v>386993931.60422671</v>
      </c>
      <c r="Q260" s="1">
        <v>0</v>
      </c>
    </row>
    <row r="261" spans="13:17" ht="16.8" thickBot="1">
      <c r="M261" s="114" t="s">
        <v>177</v>
      </c>
      <c r="N261" s="184">
        <f>N196/250</f>
        <v>14000</v>
      </c>
      <c r="O261" s="165"/>
      <c r="Q261" s="1">
        <v>0</v>
      </c>
    </row>
    <row r="262" spans="13:17">
      <c r="Q262" s="1">
        <v>0</v>
      </c>
    </row>
  </sheetData>
  <phoneticPr fontId="2" type="noConversion"/>
  <conditionalFormatting sqref="J4:O61 C4:G61">
    <cfRule type="cellIs" dxfId="76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{1021B4AC-D816-45AF-B123-831D0C8FB1AD}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{B25F304A-C6E6-4AEE-B20A-B0582AAE5475}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{5AD71CCE-C4A9-4263-9FAC-DB45DED0D6B5}</x14:id>
        </ext>
      </extLst>
    </cfRule>
  </conditionalFormatting>
  <conditionalFormatting sqref="J69:O126 C69:G126">
    <cfRule type="cellIs" dxfId="75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{C46A32CF-AFE0-4AD2-B6FD-56DA94A6509E}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{58808378-2988-4606-811A-A1943E91E188}</x14:id>
        </ext>
      </extLst>
    </cfRule>
  </conditionalFormatting>
  <conditionalFormatting sqref="J134:O191 C134:G191">
    <cfRule type="cellIs" dxfId="74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{1A8EA803-6D0B-42ED-945F-EA5054CA353A}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{3346F05B-66C4-4572-B6C0-A199363CBE76}</x14:id>
        </ext>
      </extLst>
    </cfRule>
  </conditionalFormatting>
  <conditionalFormatting sqref="C199:G256 J199:O256">
    <cfRule type="cellIs" dxfId="73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{66F12CC0-0F65-4F42-9ECA-B0D69CCDB4E5}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{A4CD4C22-DEBF-4CF4-A829-EA2A4428D5A2}</x14:id>
        </ext>
      </extLst>
    </cfRule>
  </conditionalFormatting>
  <conditionalFormatting sqref="R134:R191">
    <cfRule type="cellIs" dxfId="72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{033A5C7B-2494-4D07-9326-EF7980737793}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{A14CE2F7-27E2-4220-87C6-FC2DF5B596D3}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{F56F0537-0914-4127-A1D9-B743C049E945}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{1D8F5545-E7C0-47C3-BC41-2FA355F60AFA}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21B4AC-D816-45AF-B123-831D0C8FB1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B25F304A-C6E6-4AEE-B20A-B0582AAE5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5AD71CCE-C4A9-4263-9FAC-DB45DED0D6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C46A32CF-AFE0-4AD2-B6FD-56DA94A650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58808378-2988-4606-811A-A1943E91E1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1A8EA803-6D0B-42ED-945F-EA5054CA35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3346F05B-66C4-4572-B6C0-A199363CBE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66F12CC0-0F65-4F42-9ECA-B0D69CCDB4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A4CD4C22-DEBF-4CF4-A829-EA2A4428D5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033A5C7B-2494-4D07-9326-EF79807377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A14CE2F7-27E2-4220-87C6-FC2DF5B596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F56F0537-0914-4127-A1D9-B743C049E9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1D8F5545-E7C0-47C3-BC41-2FA355F60A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C398-6C43-4DE2-8287-34E3B80444B3}">
  <sheetPr>
    <tabColor theme="0" tint="-0.14999847407452621"/>
  </sheetPr>
  <dimension ref="A1:BC262"/>
  <sheetViews>
    <sheetView zoomScale="85" zoomScaleNormal="8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0.91999636854734979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'[3]Raw Data'!$S$1:$T$58</f>
        <v>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</v>
      </c>
      <c r="G199" s="186" cm="1">
        <f t="array" ref="G199:G256">E199:E256*_xlfn.ANCHORARRAY(F199)</f>
        <v>0</v>
      </c>
      <c r="H199" s="232" cm="1">
        <f t="array" ref="H199:H256">A199:A256/E196</f>
        <v>-4.0000000000000001E-3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0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t="e" cm="1">
        <f t="array" ref="R199:R256">Q199:Q256/_xlfn.ANCHORARRAY(J199)/_xlfn.ANCHORARRAY(F199)</f>
        <v>#DIV/0!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 t="e">
        <v>#DIV/0!</v>
      </c>
    </row>
    <row r="201" spans="1:18" ht="15.6">
      <c r="A201" s="257">
        <v>1</v>
      </c>
      <c r="B201" s="258">
        <v>2</v>
      </c>
      <c r="C201" s="160">
        <v>22</v>
      </c>
      <c r="D201" s="30">
        <v>40.600000000000009</v>
      </c>
      <c r="E201" s="187">
        <f t="shared" si="6"/>
        <v>7.3818181818181838E-3</v>
      </c>
      <c r="F201" s="188">
        <v>2.2000000000000001E-7</v>
      </c>
      <c r="G201" s="189">
        <v>1.6240000000000006E-9</v>
      </c>
      <c r="H201" s="232">
        <v>4.0000000000000001E-3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 t="e">
        <v>#DIV/0!</v>
      </c>
    </row>
    <row r="202" spans="1:18" ht="15.6">
      <c r="A202" s="257">
        <v>2</v>
      </c>
      <c r="B202" s="258">
        <v>3</v>
      </c>
      <c r="C202" s="160">
        <v>184</v>
      </c>
      <c r="D202" s="30">
        <v>496.79999999999995</v>
      </c>
      <c r="E202" s="187">
        <f t="shared" si="6"/>
        <v>1.0799999999999999E-2</v>
      </c>
      <c r="F202" s="188">
        <v>1.84E-6</v>
      </c>
      <c r="G202" s="189">
        <v>1.9871999999999998E-8</v>
      </c>
      <c r="H202" s="232">
        <v>8.0000000000000002E-3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 t="e">
        <v>#DIV/0!</v>
      </c>
    </row>
    <row r="203" spans="1:18" ht="15.6">
      <c r="A203" s="257">
        <v>3</v>
      </c>
      <c r="B203" s="258">
        <v>4</v>
      </c>
      <c r="C203" s="160">
        <v>897</v>
      </c>
      <c r="D203" s="30">
        <v>3300.6</v>
      </c>
      <c r="E203" s="187">
        <f t="shared" si="6"/>
        <v>1.471839464882943E-2</v>
      </c>
      <c r="F203" s="188">
        <v>8.9700000000000005E-6</v>
      </c>
      <c r="G203" s="189">
        <v>1.3202399999999999E-7</v>
      </c>
      <c r="H203" s="232">
        <v>1.2E-2</v>
      </c>
      <c r="I203" s="274" t="str">
        <f t="shared" si="7"/>
        <v>(3, 4]</v>
      </c>
      <c r="J203" s="160">
        <v>0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 t="e">
        <v>#DIV/0!</v>
      </c>
    </row>
    <row r="204" spans="1:18" ht="15.6">
      <c r="A204" s="257">
        <v>4</v>
      </c>
      <c r="B204" s="258">
        <v>5</v>
      </c>
      <c r="C204" s="160">
        <v>1641</v>
      </c>
      <c r="D204" s="30">
        <v>7600.6</v>
      </c>
      <c r="E204" s="187">
        <f t="shared" si="6"/>
        <v>1.8526751980499696E-2</v>
      </c>
      <c r="F204" s="188">
        <v>1.641E-5</v>
      </c>
      <c r="G204" s="189">
        <v>3.0402400000000005E-7</v>
      </c>
      <c r="H204" s="232">
        <v>1.6E-2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 t="e">
        <v>#DIV/0!</v>
      </c>
    </row>
    <row r="205" spans="1:18" ht="15.6">
      <c r="A205" s="257">
        <v>5</v>
      </c>
      <c r="B205" s="258">
        <v>6</v>
      </c>
      <c r="C205" s="160">
        <v>3222</v>
      </c>
      <c r="D205" s="30">
        <v>18107.200000000008</v>
      </c>
      <c r="E205" s="187">
        <f t="shared" si="6"/>
        <v>2.2479453755431422E-2</v>
      </c>
      <c r="F205" s="188">
        <v>3.222E-5</v>
      </c>
      <c r="G205" s="189">
        <v>7.242880000000004E-7</v>
      </c>
      <c r="H205" s="232">
        <v>0.02</v>
      </c>
      <c r="I205" s="274" t="str">
        <f t="shared" si="7"/>
        <v>(5, 6]</v>
      </c>
      <c r="J205" s="160">
        <v>0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 t="e">
        <v>#DIV/0!</v>
      </c>
    </row>
    <row r="206" spans="1:18" ht="15.6">
      <c r="A206" s="257">
        <v>6</v>
      </c>
      <c r="B206" s="258">
        <v>7</v>
      </c>
      <c r="C206" s="160">
        <v>4791</v>
      </c>
      <c r="D206" s="30">
        <v>31637.800000000017</v>
      </c>
      <c r="E206" s="187">
        <f t="shared" si="6"/>
        <v>2.6414360258818631E-2</v>
      </c>
      <c r="F206" s="188">
        <v>4.791E-5</v>
      </c>
      <c r="G206" s="189">
        <v>1.2655120000000005E-6</v>
      </c>
      <c r="H206" s="232">
        <v>2.4E-2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 t="e">
        <v>#DIV/0!</v>
      </c>
    </row>
    <row r="207" spans="1:18" ht="15.6">
      <c r="A207" s="257">
        <v>7</v>
      </c>
      <c r="B207" s="258">
        <v>8</v>
      </c>
      <c r="C207" s="160">
        <v>8320</v>
      </c>
      <c r="D207" s="30">
        <v>63414.199999999895</v>
      </c>
      <c r="E207" s="187">
        <f t="shared" si="6"/>
        <v>3.0487596153846105E-2</v>
      </c>
      <c r="F207" s="188">
        <v>8.3200000000000003E-5</v>
      </c>
      <c r="G207" s="189">
        <v>2.5365679999999961E-6</v>
      </c>
      <c r="H207" s="232">
        <v>2.8000000000000001E-2</v>
      </c>
      <c r="I207" s="274" t="str">
        <f t="shared" si="7"/>
        <v>(7, 8]</v>
      </c>
      <c r="J207" s="160">
        <v>0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 t="e">
        <v>#DIV/0!</v>
      </c>
    </row>
    <row r="208" spans="1:18" ht="15.6">
      <c r="A208" s="257">
        <v>8</v>
      </c>
      <c r="B208" s="258">
        <v>9</v>
      </c>
      <c r="C208" s="160">
        <v>10242</v>
      </c>
      <c r="D208" s="30">
        <v>88382.199999999983</v>
      </c>
      <c r="E208" s="187">
        <f t="shared" si="6"/>
        <v>3.4517555165006826E-2</v>
      </c>
      <c r="F208" s="188">
        <v>1.0242E-4</v>
      </c>
      <c r="G208" s="189">
        <v>3.5352879999999991E-6</v>
      </c>
      <c r="H208" s="232">
        <v>3.2000000000000001E-2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 t="e">
        <v>#DIV/0!</v>
      </c>
    </row>
    <row r="209" spans="1:23" ht="15.6">
      <c r="A209" s="257">
        <v>9</v>
      </c>
      <c r="B209" s="258">
        <v>10</v>
      </c>
      <c r="C209" s="160">
        <v>14414</v>
      </c>
      <c r="D209" s="30">
        <v>138978.00000000006</v>
      </c>
      <c r="E209" s="187">
        <f t="shared" si="6"/>
        <v>3.8567503815734719E-2</v>
      </c>
      <c r="F209" s="188">
        <v>1.4414000000000001E-4</v>
      </c>
      <c r="G209" s="189">
        <v>5.5591200000000029E-6</v>
      </c>
      <c r="H209" s="232">
        <v>3.5999999999999997E-2</v>
      </c>
      <c r="I209" s="274" t="str">
        <f t="shared" si="7"/>
        <v>(9, 10]</v>
      </c>
      <c r="J209" s="160">
        <v>0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 t="e">
        <v>#DIV/0!</v>
      </c>
    </row>
    <row r="210" spans="1:23" ht="15.6">
      <c r="A210" s="257">
        <v>10</v>
      </c>
      <c r="B210" s="258">
        <v>15</v>
      </c>
      <c r="C210" s="160">
        <v>129904</v>
      </c>
      <c r="D210" s="30">
        <v>1686330.3999999918</v>
      </c>
      <c r="E210" s="187">
        <f t="shared" si="6"/>
        <v>5.1925434166769056E-2</v>
      </c>
      <c r="F210" s="188">
        <v>1.29904E-3</v>
      </c>
      <c r="G210" s="189">
        <v>6.7453215999999672E-5</v>
      </c>
      <c r="H210" s="232">
        <v>0.04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237486</v>
      </c>
      <c r="D211" s="30">
        <v>4238019.6000000285</v>
      </c>
      <c r="E211" s="187">
        <f t="shared" si="6"/>
        <v>7.1381379955029411E-2</v>
      </c>
      <c r="F211" s="188">
        <v>2.3748599999999999E-3</v>
      </c>
      <c r="G211" s="189">
        <v>1.6952078400000114E-4</v>
      </c>
      <c r="H211" s="232">
        <v>0.06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317054</v>
      </c>
      <c r="D212" s="30">
        <v>7223858.8000000985</v>
      </c>
      <c r="E212" s="187">
        <f t="shared" si="6"/>
        <v>9.1137267468634348E-2</v>
      </c>
      <c r="F212" s="188">
        <v>3.1705399999999999E-3</v>
      </c>
      <c r="G212" s="189">
        <v>2.8895435200000392E-4</v>
      </c>
      <c r="H212" s="232">
        <v>0.08</v>
      </c>
      <c r="I212" s="274" t="str">
        <f t="shared" si="7"/>
        <v>(20, 25]</v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0</v>
      </c>
      <c r="R212" s="1">
        <v>0</v>
      </c>
    </row>
    <row r="213" spans="1:23" ht="15.6">
      <c r="A213" s="257">
        <v>25</v>
      </c>
      <c r="B213" s="258">
        <v>30</v>
      </c>
      <c r="C213" s="160">
        <v>413768</v>
      </c>
      <c r="D213" s="30">
        <v>11494519.599999987</v>
      </c>
      <c r="E213" s="187">
        <f t="shared" si="6"/>
        <v>0.11112043077280009</v>
      </c>
      <c r="F213" s="188">
        <v>4.1376800000000004E-3</v>
      </c>
      <c r="G213" s="189">
        <v>4.5978078399999954E-4</v>
      </c>
      <c r="H213" s="232">
        <v>0.1</v>
      </c>
      <c r="I213" s="274" t="str">
        <f t="shared" si="7"/>
        <v>(25, 30]</v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0</v>
      </c>
      <c r="R213" s="1">
        <v>0</v>
      </c>
    </row>
    <row r="214" spans="1:23" ht="15.6">
      <c r="A214" s="257">
        <v>30</v>
      </c>
      <c r="B214" s="258">
        <v>35</v>
      </c>
      <c r="C214" s="160">
        <v>464963</v>
      </c>
      <c r="D214" s="30">
        <v>15232671.00000024</v>
      </c>
      <c r="E214" s="187">
        <f t="shared" si="6"/>
        <v>0.13104415620167834</v>
      </c>
      <c r="F214" s="188">
        <v>4.6496300000000001E-3</v>
      </c>
      <c r="G214" s="189">
        <v>6.0930684000000965E-4</v>
      </c>
      <c r="H214" s="232">
        <v>0.12</v>
      </c>
      <c r="I214" s="274" t="str">
        <f t="shared" si="7"/>
        <v>(30, 35]</v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0</v>
      </c>
      <c r="R214" s="1">
        <v>0</v>
      </c>
    </row>
    <row r="215" spans="1:23" ht="15.6">
      <c r="A215" s="257">
        <v>35</v>
      </c>
      <c r="B215" s="258">
        <v>40</v>
      </c>
      <c r="C215" s="160">
        <v>520506</v>
      </c>
      <c r="D215" s="30">
        <v>19649505.799999509</v>
      </c>
      <c r="E215" s="187">
        <f t="shared" si="6"/>
        <v>0.15100310697666891</v>
      </c>
      <c r="F215" s="188">
        <v>5.2050600000000001E-3</v>
      </c>
      <c r="G215" s="189">
        <v>7.8598023199998024E-4</v>
      </c>
      <c r="H215" s="232">
        <v>0.14000000000000001</v>
      </c>
      <c r="I215" s="274" t="str">
        <f t="shared" si="7"/>
        <v>(35, 40]</v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</v>
      </c>
      <c r="R215" s="1">
        <v>0</v>
      </c>
    </row>
    <row r="216" spans="1:23" ht="15.6">
      <c r="A216" s="257">
        <v>40</v>
      </c>
      <c r="B216" s="258">
        <v>45</v>
      </c>
      <c r="C216" s="160">
        <v>540765</v>
      </c>
      <c r="D216" s="30">
        <v>23135048.199999567</v>
      </c>
      <c r="E216" s="187">
        <f t="shared" si="6"/>
        <v>0.17112829565522597</v>
      </c>
      <c r="F216" s="188">
        <v>5.40765E-3</v>
      </c>
      <c r="G216" s="189">
        <v>9.254019279999827E-4</v>
      </c>
      <c r="H216" s="232">
        <v>0.16</v>
      </c>
      <c r="I216" s="274" t="str">
        <f t="shared" si="7"/>
        <v>(40, 45]</v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0</v>
      </c>
      <c r="R216" s="1">
        <v>0</v>
      </c>
    </row>
    <row r="217" spans="1:23" ht="15.6">
      <c r="A217" s="257">
        <v>45</v>
      </c>
      <c r="B217" s="258">
        <v>50</v>
      </c>
      <c r="C217" s="160">
        <v>614539</v>
      </c>
      <c r="D217" s="30">
        <v>29374836.599998981</v>
      </c>
      <c r="E217" s="187">
        <f t="shared" si="6"/>
        <v>0.19119916945872584</v>
      </c>
      <c r="F217" s="188">
        <v>6.1453899999999997E-3</v>
      </c>
      <c r="G217" s="189">
        <v>1.1749934639999592E-3</v>
      </c>
      <c r="H217" s="232">
        <v>0.18</v>
      </c>
      <c r="I217" s="274" t="str">
        <f t="shared" si="7"/>
        <v>(45, 50]</v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0</v>
      </c>
      <c r="R217" s="1">
        <v>0</v>
      </c>
    </row>
    <row r="218" spans="1:23" ht="15.6">
      <c r="A218" s="257">
        <v>50</v>
      </c>
      <c r="B218" s="258">
        <v>60</v>
      </c>
      <c r="C218" s="160">
        <v>1334223</v>
      </c>
      <c r="D218" s="30">
        <v>73935739.600002438</v>
      </c>
      <c r="E218" s="187">
        <f t="shared" si="6"/>
        <v>0.22165931662099195</v>
      </c>
      <c r="F218" s="188">
        <v>1.334223E-2</v>
      </c>
      <c r="G218" s="189">
        <v>2.9574295840000975E-3</v>
      </c>
      <c r="H218" s="232">
        <v>0.2</v>
      </c>
      <c r="I218" s="274" t="str">
        <f t="shared" si="7"/>
        <v>(50, 60]</v>
      </c>
      <c r="J218" s="160">
        <v>1</v>
      </c>
      <c r="K218" s="234">
        <v>0</v>
      </c>
      <c r="L218" s="188">
        <v>0</v>
      </c>
      <c r="M218" s="233">
        <v>0</v>
      </c>
      <c r="N218" s="195">
        <v>0</v>
      </c>
      <c r="O218" s="211">
        <v>0</v>
      </c>
      <c r="Q218" s="1">
        <v>0</v>
      </c>
      <c r="R218" s="1">
        <v>0</v>
      </c>
    </row>
    <row r="219" spans="1:23" ht="15.6">
      <c r="A219" s="257">
        <v>60</v>
      </c>
      <c r="B219" s="258">
        <v>70</v>
      </c>
      <c r="C219" s="160">
        <v>1421367</v>
      </c>
      <c r="D219" s="30">
        <v>92977691.20000495</v>
      </c>
      <c r="E219" s="187">
        <f t="shared" si="6"/>
        <v>0.26165709827231093</v>
      </c>
      <c r="F219" s="188">
        <v>1.4213669999999999E-2</v>
      </c>
      <c r="G219" s="189">
        <v>3.7191076480001975E-3</v>
      </c>
      <c r="H219" s="232">
        <v>0.24</v>
      </c>
      <c r="I219" s="274" t="str">
        <f t="shared" si="7"/>
        <v>(60, 70]</v>
      </c>
      <c r="J219" s="160">
        <v>1</v>
      </c>
      <c r="K219" s="234">
        <v>0</v>
      </c>
      <c r="L219" s="188">
        <v>0</v>
      </c>
      <c r="M219" s="233">
        <v>0</v>
      </c>
      <c r="N219" s="195">
        <v>0</v>
      </c>
      <c r="O219" s="211">
        <v>0</v>
      </c>
      <c r="Q219" s="1">
        <v>0</v>
      </c>
      <c r="R219" s="1">
        <v>0</v>
      </c>
    </row>
    <row r="220" spans="1:23" ht="15.6">
      <c r="A220" s="257">
        <v>70</v>
      </c>
      <c r="B220" s="258">
        <v>80</v>
      </c>
      <c r="C220" s="160">
        <v>1435011</v>
      </c>
      <c r="D220" s="30">
        <v>108160057.4000074</v>
      </c>
      <c r="E220" s="187">
        <f t="shared" si="6"/>
        <v>0.30148913813206279</v>
      </c>
      <c r="F220" s="188">
        <v>1.4350109999999999E-2</v>
      </c>
      <c r="G220" s="189">
        <v>4.3264022960002955E-3</v>
      </c>
      <c r="H220" s="232">
        <v>0.28000000000000003</v>
      </c>
      <c r="I220" s="274" t="str">
        <f t="shared" si="7"/>
        <v>(70, 80]</v>
      </c>
      <c r="J220" s="160">
        <v>1</v>
      </c>
      <c r="K220" s="234">
        <v>0</v>
      </c>
      <c r="L220" s="188">
        <v>0</v>
      </c>
      <c r="M220" s="233">
        <v>0</v>
      </c>
      <c r="N220" s="195">
        <v>0</v>
      </c>
      <c r="O220" s="211">
        <v>0</v>
      </c>
      <c r="Q220" s="1">
        <v>0</v>
      </c>
      <c r="R220" s="1">
        <v>0</v>
      </c>
    </row>
    <row r="221" spans="1:23" ht="15.6">
      <c r="A221" s="257">
        <v>80</v>
      </c>
      <c r="B221" s="258">
        <v>90</v>
      </c>
      <c r="C221" s="160">
        <v>1448118</v>
      </c>
      <c r="D221" s="30">
        <v>123800947.60000768</v>
      </c>
      <c r="E221" s="187">
        <f t="shared" si="6"/>
        <v>0.34196370074816468</v>
      </c>
      <c r="F221" s="188">
        <v>1.448118E-2</v>
      </c>
      <c r="G221" s="189">
        <v>4.9520379040003072E-3</v>
      </c>
      <c r="H221" s="232">
        <v>0.32</v>
      </c>
      <c r="I221" s="274" t="str">
        <f t="shared" si="7"/>
        <v>(80, 90]</v>
      </c>
      <c r="J221" s="160">
        <v>1</v>
      </c>
      <c r="K221" s="276">
        <v>2.3232000000000004</v>
      </c>
      <c r="L221" s="188">
        <v>3.3642677376000005E-2</v>
      </c>
      <c r="M221" s="233">
        <v>33642677</v>
      </c>
      <c r="N221" s="195">
        <v>7.9402315335495924E-2</v>
      </c>
      <c r="O221" s="211">
        <v>2.7152709600098936E-2</v>
      </c>
      <c r="P221" s="1" cm="1">
        <f t="array" ref="P221:P228">K221:K228*1.1</f>
        <v>2.5555200000000005</v>
      </c>
      <c r="Q221" s="1">
        <v>0</v>
      </c>
      <c r="R221" s="1">
        <v>0</v>
      </c>
    </row>
    <row r="222" spans="1:23" ht="15.6">
      <c r="A222" s="257">
        <v>90</v>
      </c>
      <c r="B222" s="258">
        <v>100</v>
      </c>
      <c r="C222" s="160">
        <v>1470195</v>
      </c>
      <c r="D222" s="30">
        <v>140300791.60000756</v>
      </c>
      <c r="E222" s="187">
        <f t="shared" si="6"/>
        <v>0.38172022514022308</v>
      </c>
      <c r="F222" s="188">
        <v>1.470195E-2</v>
      </c>
      <c r="G222" s="189">
        <v>5.6120316640003026E-3</v>
      </c>
      <c r="H222" s="232">
        <v>0.36</v>
      </c>
      <c r="I222" s="274" t="str">
        <f t="shared" si="7"/>
        <v>(90, 100]</v>
      </c>
      <c r="J222" s="160">
        <v>1</v>
      </c>
      <c r="K222" s="276">
        <v>2.3232000000000004</v>
      </c>
      <c r="L222" s="188">
        <v>3.4155570240000009E-2</v>
      </c>
      <c r="M222" s="233">
        <v>34155570</v>
      </c>
      <c r="N222" s="195">
        <v>8.0612828152872754E-2</v>
      </c>
      <c r="O222" s="211">
        <v>3.0771546911704702E-2</v>
      </c>
      <c r="P222" s="1">
        <v>2.5555200000000005</v>
      </c>
      <c r="Q222" s="1">
        <v>0</v>
      </c>
      <c r="R222" s="1">
        <v>0</v>
      </c>
      <c r="T222" s="10">
        <f>O197</f>
        <v>0.91999636854734979</v>
      </c>
    </row>
    <row r="223" spans="1:23" ht="15.6">
      <c r="A223" s="257">
        <v>100</v>
      </c>
      <c r="B223" s="258">
        <v>120</v>
      </c>
      <c r="C223" s="160">
        <v>2990890</v>
      </c>
      <c r="D223" s="30">
        <v>330540433.39997119</v>
      </c>
      <c r="E223" s="187">
        <f t="shared" si="6"/>
        <v>0.44206297576971559</v>
      </c>
      <c r="F223" s="188">
        <v>2.9908899999999999E-2</v>
      </c>
      <c r="G223" s="189">
        <v>1.3221617335998847E-2</v>
      </c>
      <c r="H223" s="232">
        <v>0.4</v>
      </c>
      <c r="I223" s="274" t="str">
        <f t="shared" si="7"/>
        <v>(100, 120]</v>
      </c>
      <c r="J223" s="160">
        <v>1</v>
      </c>
      <c r="K223" s="276">
        <v>3.6300000000000008</v>
      </c>
      <c r="L223" s="188">
        <v>0.10856930700000002</v>
      </c>
      <c r="M223" s="233">
        <v>108569307</v>
      </c>
      <c r="N223" s="195">
        <v>0.25624162875535339</v>
      </c>
      <c r="O223" s="211">
        <v>0.11327493692367024</v>
      </c>
      <c r="P223" s="1">
        <v>3.9930000000000012</v>
      </c>
      <c r="Q223" s="1">
        <v>7.7400253083603543E-2</v>
      </c>
      <c r="R223" s="1">
        <v>2.5878669253500979</v>
      </c>
      <c r="T223" s="1" t="s">
        <v>270</v>
      </c>
      <c r="U223" s="180">
        <f>SUM(N221:N228)</f>
        <v>0.80114184708065661</v>
      </c>
      <c r="V223" s="1" cm="1">
        <f t="array" ref="V223:V227">1/U223:U227</f>
        <v>1.2482184068201883</v>
      </c>
    </row>
    <row r="224" spans="1:23" ht="15.6">
      <c r="A224" s="257">
        <v>120</v>
      </c>
      <c r="B224" s="258">
        <v>140</v>
      </c>
      <c r="C224" s="160">
        <v>2903800</v>
      </c>
      <c r="D224" s="30">
        <v>378727885.79996288</v>
      </c>
      <c r="E224" s="187">
        <f t="shared" si="6"/>
        <v>0.52169968427572544</v>
      </c>
      <c r="F224" s="188">
        <v>2.9038000000000001E-2</v>
      </c>
      <c r="G224" s="189">
        <v>1.5149115431998516E-2</v>
      </c>
      <c r="H224" s="232">
        <v>0.48</v>
      </c>
      <c r="I224" s="274" t="str">
        <f t="shared" si="7"/>
        <v>(120, 140]</v>
      </c>
      <c r="J224" s="160">
        <v>1</v>
      </c>
      <c r="K224" s="276">
        <v>2.0570000000000004</v>
      </c>
      <c r="L224" s="188">
        <v>5.9731166000000016E-2</v>
      </c>
      <c r="M224" s="233">
        <v>59731166</v>
      </c>
      <c r="N224" s="195">
        <v>0.14097549009220797</v>
      </c>
      <c r="O224" s="211">
        <v>7.3546868671720556E-2</v>
      </c>
      <c r="P224" s="1">
        <v>2.2627000000000006</v>
      </c>
      <c r="Q224" s="1">
        <v>6.8688952961645344E-2</v>
      </c>
      <c r="R224" s="272">
        <v>2.3654849838709739</v>
      </c>
      <c r="T224" s="1" t="s">
        <v>274</v>
      </c>
      <c r="U224" s="180">
        <f>SUM(N229:N256)</f>
        <v>0.19885815291934347</v>
      </c>
      <c r="V224" s="1">
        <v>5.028710089676828</v>
      </c>
      <c r="W224" s="1">
        <v>250</v>
      </c>
    </row>
    <row r="225" spans="1:23" ht="15.6">
      <c r="A225" s="257">
        <v>140</v>
      </c>
      <c r="B225" s="258">
        <v>160</v>
      </c>
      <c r="C225" s="160">
        <v>2657282</v>
      </c>
      <c r="D225" s="30">
        <v>399704934.59996569</v>
      </c>
      <c r="E225" s="187">
        <f t="shared" si="6"/>
        <v>0.60167484610209332</v>
      </c>
      <c r="F225" s="188">
        <v>2.657282E-2</v>
      </c>
      <c r="G225" s="189">
        <v>1.5988197383998627E-2</v>
      </c>
      <c r="H225" s="232">
        <v>0.56000000000000005</v>
      </c>
      <c r="I225" s="124" t="str">
        <f t="shared" si="7"/>
        <v>(140, 160]</v>
      </c>
      <c r="J225" s="160">
        <v>1</v>
      </c>
      <c r="K225" s="276">
        <v>1.4520000000000002</v>
      </c>
      <c r="L225" s="188">
        <v>3.8583734640000006E-2</v>
      </c>
      <c r="M225" s="233">
        <v>38583734</v>
      </c>
      <c r="N225" s="195">
        <v>9.1064031970134116E-2</v>
      </c>
      <c r="O225" s="211">
        <v>5.4790937421066548E-2</v>
      </c>
      <c r="P225" s="1">
        <v>1.5972000000000004</v>
      </c>
      <c r="Q225" s="1">
        <v>6.0347248844861485E-2</v>
      </c>
      <c r="R225" s="272">
        <v>2.2710140980468569</v>
      </c>
      <c r="T225" s="1" t="s">
        <v>271</v>
      </c>
      <c r="U225" s="180">
        <f>SUM(N234:N256)</f>
        <v>0.1267434814600033</v>
      </c>
      <c r="V225" s="1">
        <v>7.8899521180943104</v>
      </c>
      <c r="W225" s="1">
        <v>500</v>
      </c>
    </row>
    <row r="226" spans="1:23" ht="15.6">
      <c r="A226" s="257">
        <v>160</v>
      </c>
      <c r="B226" s="258">
        <v>180</v>
      </c>
      <c r="C226" s="160">
        <v>2548205</v>
      </c>
      <c r="D226" s="30">
        <v>434619709.99996561</v>
      </c>
      <c r="E226" s="187">
        <f t="shared" si="6"/>
        <v>0.68223664893517688</v>
      </c>
      <c r="F226" s="188">
        <v>2.5482049999999999E-2</v>
      </c>
      <c r="G226" s="189">
        <v>1.7384788399998623E-2</v>
      </c>
      <c r="H226" s="232">
        <v>0.64</v>
      </c>
      <c r="I226" s="124" t="str">
        <f t="shared" si="7"/>
        <v>(160, 180]</v>
      </c>
      <c r="J226" s="160">
        <v>1</v>
      </c>
      <c r="K226" s="276">
        <v>1.1676500000000003</v>
      </c>
      <c r="L226" s="188">
        <v>2.9754115682500006E-2</v>
      </c>
      <c r="M226" s="233">
        <v>29754115</v>
      </c>
      <c r="N226" s="195">
        <v>7.0224662019571435E-2</v>
      </c>
      <c r="O226" s="211">
        <v>4.7909838088837808E-2</v>
      </c>
      <c r="P226" s="1">
        <v>1.2844150000000005</v>
      </c>
      <c r="Q226" s="1">
        <v>5.3861375754059262E-2</v>
      </c>
      <c r="R226" s="272">
        <v>2.1136986919835441</v>
      </c>
      <c r="T226" s="1" t="s">
        <v>273</v>
      </c>
      <c r="U226" s="180">
        <f>SUM(N244:N256)</f>
        <v>2.4158696152703635E-2</v>
      </c>
      <c r="V226" s="1">
        <v>41.39296233866034</v>
      </c>
      <c r="W226" s="1">
        <v>1000</v>
      </c>
    </row>
    <row r="227" spans="1:23" ht="15.6">
      <c r="A227" s="257">
        <v>180</v>
      </c>
      <c r="B227" s="258">
        <v>200</v>
      </c>
      <c r="C227" s="160">
        <v>2356410</v>
      </c>
      <c r="D227" s="30">
        <v>448785128.39996862</v>
      </c>
      <c r="E227" s="187">
        <f t="shared" si="6"/>
        <v>0.7618116175028431</v>
      </c>
      <c r="F227" s="188">
        <v>2.3564100000000001E-2</v>
      </c>
      <c r="G227" s="189">
        <v>1.7951405135998747E-2</v>
      </c>
      <c r="H227" s="232">
        <v>0.72</v>
      </c>
      <c r="I227" s="124" t="str">
        <f t="shared" si="7"/>
        <v>(180, 200]</v>
      </c>
      <c r="J227" s="160">
        <v>1</v>
      </c>
      <c r="K227" s="276">
        <v>0.79328451840000047</v>
      </c>
      <c r="L227" s="188">
        <v>1.8693035720029453E-2</v>
      </c>
      <c r="M227" s="233">
        <v>18693035</v>
      </c>
      <c r="N227" s="195">
        <v>4.4118672828784171E-2</v>
      </c>
      <c r="O227" s="211">
        <v>3.3610117509774801E-2</v>
      </c>
      <c r="P227" s="1">
        <v>0.87261297024000062</v>
      </c>
      <c r="Q227" s="1">
        <v>4.8085852673201937E-2</v>
      </c>
      <c r="R227" s="272">
        <v>2.0406403246125224</v>
      </c>
      <c r="T227" s="1" t="s">
        <v>272</v>
      </c>
      <c r="U227" s="180">
        <f>SUM(N253)</f>
        <v>2.8690654601634571E-4</v>
      </c>
      <c r="V227" s="1">
        <v>3485.455504187164</v>
      </c>
      <c r="W227" s="1">
        <v>10000</v>
      </c>
    </row>
    <row r="228" spans="1:23" ht="15.6">
      <c r="A228" s="257">
        <v>200</v>
      </c>
      <c r="B228" s="258">
        <v>250</v>
      </c>
      <c r="C228" s="160">
        <v>5943613</v>
      </c>
      <c r="D228" s="30">
        <v>1339832595.6001682</v>
      </c>
      <c r="E228" s="187">
        <f t="shared" si="6"/>
        <v>0.90169571646079127</v>
      </c>
      <c r="F228" s="188">
        <v>5.9436129999999997E-2</v>
      </c>
      <c r="G228" s="189">
        <v>5.3593303824006726E-2</v>
      </c>
      <c r="H228" s="232">
        <v>0.8</v>
      </c>
      <c r="I228" s="124" t="str">
        <f t="shared" si="7"/>
        <v>(200, 250]</v>
      </c>
      <c r="J228" s="160">
        <v>1</v>
      </c>
      <c r="K228" s="276">
        <v>0.27446857236480016</v>
      </c>
      <c r="L228" s="188">
        <v>1.6313349747988669E-2</v>
      </c>
      <c r="M228" s="233">
        <v>16313349</v>
      </c>
      <c r="N228" s="195">
        <v>3.8502217926236877E-2</v>
      </c>
      <c r="O228" s="211">
        <v>3.4717284978327684E-2</v>
      </c>
      <c r="P228" s="1">
        <v>0.30191542960128021</v>
      </c>
      <c r="Q228" s="1">
        <v>9.0912996272781946E-2</v>
      </c>
      <c r="R228" s="272">
        <v>1.5295914500621415</v>
      </c>
    </row>
    <row r="229" spans="1:23" ht="15.6">
      <c r="A229" s="257">
        <v>250</v>
      </c>
      <c r="B229" s="258">
        <v>300</v>
      </c>
      <c r="C229" s="160">
        <v>5214129</v>
      </c>
      <c r="D229" s="30">
        <v>1432925348.4001791</v>
      </c>
      <c r="E229" s="187">
        <f t="shared" si="6"/>
        <v>1.099263442389077</v>
      </c>
      <c r="F229" s="188">
        <v>5.214129E-2</v>
      </c>
      <c r="G229" s="189">
        <v>5.7317013936007161E-2</v>
      </c>
      <c r="H229" s="232">
        <v>1</v>
      </c>
      <c r="I229" s="275" t="str">
        <f t="shared" si="7"/>
        <v>(250, 300]</v>
      </c>
      <c r="J229" s="160">
        <v>1</v>
      </c>
      <c r="K229" s="276">
        <v>0.3496350339</v>
      </c>
      <c r="L229" s="188">
        <v>1.8230421696739732E-2</v>
      </c>
      <c r="M229" s="233">
        <v>18230421</v>
      </c>
      <c r="N229" s="195">
        <v>4.30268268170469E-2</v>
      </c>
      <c r="O229" s="211">
        <v>4.7297817761985626E-2</v>
      </c>
      <c r="P229" s="1" cm="1">
        <f t="array" ref="P229:P252">0.9*K229:K252</f>
        <v>0.31467153051000002</v>
      </c>
      <c r="Q229" s="1">
        <v>7.2908085020713193E-2</v>
      </c>
      <c r="R229" s="272">
        <v>1.3982792719687831</v>
      </c>
    </row>
    <row r="230" spans="1:23" ht="15.6">
      <c r="A230" s="257">
        <v>300</v>
      </c>
      <c r="B230" s="258">
        <v>350</v>
      </c>
      <c r="C230" s="160">
        <v>4499909</v>
      </c>
      <c r="D230" s="30">
        <v>1463424390.4001491</v>
      </c>
      <c r="E230" s="187">
        <f t="shared" si="6"/>
        <v>1.3008479863927462</v>
      </c>
      <c r="F230" s="188">
        <v>4.4999089999999999E-2</v>
      </c>
      <c r="G230" s="189">
        <v>5.853697561600596E-2</v>
      </c>
      <c r="H230" s="232">
        <v>1.2</v>
      </c>
      <c r="I230" s="124" t="str">
        <f t="shared" si="7"/>
        <v>(300, 350]</v>
      </c>
      <c r="J230" s="160">
        <v>1</v>
      </c>
      <c r="K230" s="276">
        <v>7.712537512500002E-2</v>
      </c>
      <c r="L230" s="188">
        <v>3.4705716965336372E-3</v>
      </c>
      <c r="M230" s="233">
        <v>3470571</v>
      </c>
      <c r="N230" s="195">
        <v>8.1911250087568065E-3</v>
      </c>
      <c r="O230" s="211">
        <v>1.0655408473932558E-2</v>
      </c>
      <c r="P230" s="1">
        <v>6.9412837612500014E-2</v>
      </c>
      <c r="Q230" s="1">
        <v>6.2709612877934584E-2</v>
      </c>
      <c r="R230" s="272">
        <v>1.3935751340290345</v>
      </c>
    </row>
    <row r="231" spans="1:23" ht="15.6">
      <c r="A231" s="257">
        <v>350</v>
      </c>
      <c r="B231" s="258">
        <v>400</v>
      </c>
      <c r="C231" s="160">
        <v>3799753</v>
      </c>
      <c r="D231" s="30">
        <v>1424846352.4001126</v>
      </c>
      <c r="E231" s="187">
        <f t="shared" si="6"/>
        <v>1.4999357615088271</v>
      </c>
      <c r="F231" s="188">
        <v>3.7997530000000002E-2</v>
      </c>
      <c r="G231" s="189">
        <v>5.6993854096004506E-2</v>
      </c>
      <c r="H231" s="232">
        <v>1.4</v>
      </c>
      <c r="I231" s="124" t="str">
        <f t="shared" si="7"/>
        <v>(350, 400]</v>
      </c>
      <c r="J231" s="160">
        <v>1</v>
      </c>
      <c r="K231" s="276">
        <v>7.2641341687500027E-2</v>
      </c>
      <c r="L231" s="188">
        <v>2.7601915600110332E-3</v>
      </c>
      <c r="M231" s="233">
        <v>2760191</v>
      </c>
      <c r="N231" s="195">
        <v>6.514510012630619E-3</v>
      </c>
      <c r="O231" s="211">
        <v>9.7713465366519869E-3</v>
      </c>
      <c r="P231" s="1">
        <v>6.5377207518750022E-2</v>
      </c>
      <c r="Q231" s="1">
        <v>5.5398397775577569E-2</v>
      </c>
      <c r="R231" s="272">
        <v>1.4579473396185902</v>
      </c>
    </row>
    <row r="232" spans="1:23" ht="15.6">
      <c r="A232" s="257">
        <v>400</v>
      </c>
      <c r="B232" s="258">
        <v>450</v>
      </c>
      <c r="C232" s="160">
        <v>3690137</v>
      </c>
      <c r="D232" s="30">
        <v>1570504670.8001425</v>
      </c>
      <c r="E232" s="187">
        <f t="shared" si="6"/>
        <v>1.7023808826611504</v>
      </c>
      <c r="F232" s="188">
        <v>3.6901370000000003E-2</v>
      </c>
      <c r="G232" s="189">
        <v>6.2820186832005701E-2</v>
      </c>
      <c r="H232" s="232">
        <v>1.6</v>
      </c>
      <c r="I232" s="124" t="str">
        <f t="shared" si="7"/>
        <v>(400, 450]</v>
      </c>
      <c r="J232" s="160">
        <v>1</v>
      </c>
      <c r="K232" s="276">
        <v>8.8604500725000007E-2</v>
      </c>
      <c r="L232" s="188">
        <v>3.2696274649184937E-3</v>
      </c>
      <c r="M232" s="233">
        <v>3269627</v>
      </c>
      <c r="N232" s="195">
        <v>7.7168637348166902E-3</v>
      </c>
      <c r="O232" s="211">
        <v>1.3137041296253059E-2</v>
      </c>
      <c r="P232" s="1">
        <v>7.9744050652500009E-2</v>
      </c>
      <c r="Q232" s="1">
        <v>6.2123649869731096E-2</v>
      </c>
      <c r="R232" s="272">
        <v>1.6835052430229851</v>
      </c>
    </row>
    <row r="233" spans="1:23" ht="15.6">
      <c r="A233" s="257">
        <v>450</v>
      </c>
      <c r="B233" s="258">
        <v>500</v>
      </c>
      <c r="C233" s="160">
        <v>3262151</v>
      </c>
      <c r="D233" s="30">
        <v>1550400047.6001179</v>
      </c>
      <c r="E233" s="187">
        <f t="shared" si="6"/>
        <v>1.9010769858294334</v>
      </c>
      <c r="F233" s="188">
        <v>3.2621509999999999E-2</v>
      </c>
      <c r="G233" s="189">
        <v>6.2016001904004719E-2</v>
      </c>
      <c r="H233" s="232">
        <v>1.8</v>
      </c>
      <c r="I233" s="124" t="str">
        <f t="shared" si="7"/>
        <v>(450, 500]</v>
      </c>
      <c r="J233" s="160">
        <v>1</v>
      </c>
      <c r="K233" s="276">
        <v>8.6571738899999987E-2</v>
      </c>
      <c r="L233" s="188">
        <v>2.8241008462437387E-3</v>
      </c>
      <c r="M233" s="233">
        <v>2824100</v>
      </c>
      <c r="N233" s="195">
        <v>6.6653458860890897E-3</v>
      </c>
      <c r="O233" s="211">
        <v>1.2671335666636861E-2</v>
      </c>
      <c r="P233" s="1">
        <v>7.7914565009999992E-2</v>
      </c>
      <c r="Q233" s="1">
        <v>5.5602830778439631E-2</v>
      </c>
      <c r="R233" s="272">
        <v>1.7044836605797717</v>
      </c>
    </row>
    <row r="234" spans="1:23" ht="15.6">
      <c r="A234" s="257">
        <v>500</v>
      </c>
      <c r="B234" s="258">
        <v>550</v>
      </c>
      <c r="C234" s="160">
        <v>3119199</v>
      </c>
      <c r="D234" s="30">
        <v>1638926160.200129</v>
      </c>
      <c r="E234" s="187">
        <f t="shared" si="6"/>
        <v>2.1017269628518465</v>
      </c>
      <c r="F234" s="188">
        <v>3.1191989999999999E-2</v>
      </c>
      <c r="G234" s="189">
        <v>6.5557046408005165E-2</v>
      </c>
      <c r="H234" s="232">
        <v>2</v>
      </c>
      <c r="I234" s="275" t="str">
        <f t="shared" si="7"/>
        <v>(500, 550]</v>
      </c>
      <c r="J234" s="160">
        <v>1</v>
      </c>
      <c r="K234" s="276">
        <v>0.94969999999999999</v>
      </c>
      <c r="L234" s="188">
        <v>2.9623032902999998E-2</v>
      </c>
      <c r="M234" s="233">
        <v>29623032</v>
      </c>
      <c r="N234" s="195">
        <v>6.9915284329409536E-2</v>
      </c>
      <c r="O234" s="211">
        <v>0.14694283819057319</v>
      </c>
      <c r="P234" s="1">
        <v>0.85472999999999999</v>
      </c>
      <c r="Q234" s="1">
        <v>5.0676305709468281E-2</v>
      </c>
      <c r="R234" s="272">
        <v>1.624657667223806</v>
      </c>
    </row>
    <row r="235" spans="1:23" ht="15.6">
      <c r="A235" s="257">
        <v>550</v>
      </c>
      <c r="B235" s="258">
        <v>600</v>
      </c>
      <c r="C235" s="160">
        <v>2672258</v>
      </c>
      <c r="D235" s="30">
        <v>1537262495.8000941</v>
      </c>
      <c r="E235" s="187">
        <f t="shared" si="6"/>
        <v>2.3010689773219415</v>
      </c>
      <c r="F235" s="188">
        <v>2.6722579999999999E-2</v>
      </c>
      <c r="G235" s="189">
        <v>6.1490499832003769E-2</v>
      </c>
      <c r="H235" s="232">
        <v>2.2000000000000002</v>
      </c>
      <c r="I235" s="124" t="str">
        <f t="shared" si="7"/>
        <v>(550, 600]</v>
      </c>
      <c r="J235" s="160">
        <v>1</v>
      </c>
      <c r="K235" s="276">
        <v>0.12693712500000001</v>
      </c>
      <c r="L235" s="188">
        <v>3.3920874777825004E-3</v>
      </c>
      <c r="M235" s="233">
        <v>3392087</v>
      </c>
      <c r="N235" s="195">
        <v>8.0058897102461956E-3</v>
      </c>
      <c r="O235" s="211">
        <v>1.8422104448108469E-2</v>
      </c>
      <c r="P235" s="1">
        <v>0.11424341250000002</v>
      </c>
      <c r="Q235" s="1">
        <v>4.5621503638701051E-2</v>
      </c>
      <c r="R235" s="272">
        <v>1.707226758744891</v>
      </c>
    </row>
    <row r="236" spans="1:23" ht="15.6">
      <c r="A236" s="257">
        <v>600</v>
      </c>
      <c r="B236" s="258">
        <v>650</v>
      </c>
      <c r="C236" s="160">
        <v>2416788</v>
      </c>
      <c r="D236" s="30">
        <v>1511188058.6000791</v>
      </c>
      <c r="E236" s="187">
        <f t="shared" si="6"/>
        <v>2.5011512116082653</v>
      </c>
      <c r="F236" s="188">
        <v>2.4167879999999999E-2</v>
      </c>
      <c r="G236" s="189">
        <v>6.0447522344003163E-2</v>
      </c>
      <c r="H236" s="232">
        <v>2.4</v>
      </c>
      <c r="I236" s="124" t="str">
        <f t="shared" si="7"/>
        <v>(600, 650]</v>
      </c>
      <c r="J236" s="160">
        <v>1</v>
      </c>
      <c r="K236" s="276">
        <v>0.1272105</v>
      </c>
      <c r="L236" s="188">
        <v>3.0744080987399999E-3</v>
      </c>
      <c r="M236" s="233">
        <v>3074408</v>
      </c>
      <c r="N236" s="195">
        <v>7.2561144134270696E-3</v>
      </c>
      <c r="O236" s="211">
        <v>1.8148639356711311E-2</v>
      </c>
      <c r="P236" s="1">
        <v>0.11448945000000001</v>
      </c>
      <c r="Q236" s="1">
        <v>4.2541585595582201E-2</v>
      </c>
      <c r="R236" s="272">
        <v>1.7602530960755434</v>
      </c>
    </row>
    <row r="237" spans="1:23" ht="15.6">
      <c r="A237" s="257">
        <v>650</v>
      </c>
      <c r="B237" s="258">
        <v>700</v>
      </c>
      <c r="C237" s="160">
        <v>2061566</v>
      </c>
      <c r="D237" s="30">
        <v>1392311336.2000575</v>
      </c>
      <c r="E237" s="187">
        <f t="shared" si="6"/>
        <v>2.7014635208381543</v>
      </c>
      <c r="F237" s="188">
        <v>2.0615660000000001E-2</v>
      </c>
      <c r="G237" s="189">
        <v>5.5692453448002305E-2</v>
      </c>
      <c r="H237" s="232">
        <v>2.6</v>
      </c>
      <c r="I237" s="124" t="str">
        <f t="shared" si="7"/>
        <v>(650, 700]</v>
      </c>
      <c r="J237" s="160">
        <v>1</v>
      </c>
      <c r="K237" s="276">
        <v>6.6338999999999995E-2</v>
      </c>
      <c r="L237" s="188">
        <v>1.3676222687400001E-3</v>
      </c>
      <c r="M237" s="233">
        <v>1367622</v>
      </c>
      <c r="N237" s="195">
        <v>3.2278154709199157E-3</v>
      </c>
      <c r="O237" s="211">
        <v>8.7198257466871813E-3</v>
      </c>
      <c r="P237" s="1">
        <v>5.9705099999999997E-2</v>
      </c>
      <c r="Q237" s="1">
        <v>2.0562628287876795E-2</v>
      </c>
      <c r="R237" s="272">
        <v>0.99742760056562796</v>
      </c>
    </row>
    <row r="238" spans="1:23" ht="15.6">
      <c r="A238" s="257">
        <v>700</v>
      </c>
      <c r="B238" s="258">
        <v>750</v>
      </c>
      <c r="C238" s="160">
        <v>1827607</v>
      </c>
      <c r="D238" s="30">
        <v>1325625002.4000428</v>
      </c>
      <c r="E238" s="187">
        <f t="shared" si="6"/>
        <v>2.9013349202537366</v>
      </c>
      <c r="F238" s="188">
        <v>1.8276069999999998E-2</v>
      </c>
      <c r="G238" s="189">
        <v>5.3025000096001702E-2</v>
      </c>
      <c r="H238" s="232">
        <v>2.8</v>
      </c>
      <c r="I238" s="124" t="str">
        <f t="shared" si="7"/>
        <v>(700, 750]</v>
      </c>
      <c r="J238" s="160">
        <v>1</v>
      </c>
      <c r="K238" s="276">
        <v>6.3240749999999998E-2</v>
      </c>
      <c r="L238" s="188">
        <v>1.1557923738524998E-3</v>
      </c>
      <c r="M238" s="233">
        <v>1155792</v>
      </c>
      <c r="N238" s="195">
        <v>2.7278614257195857E-3</v>
      </c>
      <c r="O238" s="211">
        <v>7.914439612053379E-3</v>
      </c>
      <c r="P238" s="1">
        <v>5.6916675E-2</v>
      </c>
      <c r="Q238" s="1">
        <v>1.8057510252805144E-2</v>
      </c>
      <c r="R238" s="272">
        <v>0.98804120649598881</v>
      </c>
    </row>
    <row r="239" spans="1:23" ht="15.6">
      <c r="A239" s="257">
        <v>750</v>
      </c>
      <c r="B239" s="258">
        <v>800</v>
      </c>
      <c r="C239" s="160">
        <v>1559720</v>
      </c>
      <c r="D239" s="30">
        <v>1209434869.2000241</v>
      </c>
      <c r="E239" s="187">
        <f t="shared" si="6"/>
        <v>3.101671759546647</v>
      </c>
      <c r="F239" s="188">
        <v>1.55972E-2</v>
      </c>
      <c r="G239" s="189">
        <v>4.8377394768000966E-2</v>
      </c>
      <c r="H239" s="232">
        <v>3</v>
      </c>
      <c r="I239" s="124" t="str">
        <f t="shared" si="7"/>
        <v>(750, 800]</v>
      </c>
      <c r="J239" s="160">
        <v>1</v>
      </c>
      <c r="K239" s="276">
        <v>6.7159125E-2</v>
      </c>
      <c r="L239" s="188">
        <v>1.0474943044500001E-3</v>
      </c>
      <c r="M239" s="233">
        <v>1047494</v>
      </c>
      <c r="N239" s="195">
        <v>2.4722601266254753E-3</v>
      </c>
      <c r="O239" s="211">
        <v>7.6681394170074546E-3</v>
      </c>
      <c r="P239" s="1">
        <v>6.0443212500000003E-2</v>
      </c>
      <c r="Q239" s="1">
        <v>1.7583963246175484E-2</v>
      </c>
      <c r="R239" s="272">
        <v>1.1273794813284104</v>
      </c>
    </row>
    <row r="240" spans="1:23" ht="15.6">
      <c r="A240" s="257">
        <v>800</v>
      </c>
      <c r="B240" s="258">
        <v>850</v>
      </c>
      <c r="C240" s="160">
        <v>1748875</v>
      </c>
      <c r="D240" s="30">
        <v>1444767901.8000598</v>
      </c>
      <c r="E240" s="187">
        <f t="shared" si="6"/>
        <v>3.3044509225646421</v>
      </c>
      <c r="F240" s="188">
        <v>1.7488750000000001E-2</v>
      </c>
      <c r="G240" s="189">
        <v>5.7790716072002389E-2</v>
      </c>
      <c r="H240" s="232">
        <v>3.2</v>
      </c>
      <c r="I240" s="124" t="str">
        <f t="shared" si="7"/>
        <v>(800, 850]</v>
      </c>
      <c r="J240" s="160">
        <v>1</v>
      </c>
      <c r="K240" s="276">
        <v>6.4881000000000008E-2</v>
      </c>
      <c r="L240" s="188">
        <v>1.1346875887500002E-3</v>
      </c>
      <c r="M240" s="233">
        <v>1134687</v>
      </c>
      <c r="N240" s="195">
        <v>2.6780501141775333E-3</v>
      </c>
      <c r="O240" s="211">
        <v>8.8494851704682947E-3</v>
      </c>
      <c r="P240" s="1">
        <v>5.8392900000000011E-2</v>
      </c>
      <c r="Q240" s="1">
        <v>1.5457205216400873E-2</v>
      </c>
      <c r="R240" s="272">
        <v>0.88383705046963745</v>
      </c>
    </row>
    <row r="241" spans="1:19" ht="15.6">
      <c r="A241" s="257">
        <v>850</v>
      </c>
      <c r="B241" s="258">
        <v>900</v>
      </c>
      <c r="C241" s="160">
        <v>1555652</v>
      </c>
      <c r="D241" s="30">
        <v>1361624242.0000427</v>
      </c>
      <c r="E241" s="187">
        <f t="shared" si="6"/>
        <v>3.5011024110791942</v>
      </c>
      <c r="F241" s="188">
        <v>1.5556520000000001E-2</v>
      </c>
      <c r="G241" s="189">
        <v>5.446496968000171E-2</v>
      </c>
      <c r="H241" s="232">
        <v>3.4</v>
      </c>
      <c r="I241" s="124" t="str">
        <f t="shared" si="7"/>
        <v>(850, 900]</v>
      </c>
      <c r="J241" s="160">
        <v>1</v>
      </c>
      <c r="K241" s="276">
        <v>6.4243124999999998E-2</v>
      </c>
      <c r="L241" s="188">
        <v>9.9939945892499999E-4</v>
      </c>
      <c r="M241" s="233">
        <v>999399</v>
      </c>
      <c r="N241" s="195">
        <v>2.3587479243693745E-3</v>
      </c>
      <c r="O241" s="211">
        <v>8.2582180451376622E-3</v>
      </c>
      <c r="P241" s="1">
        <v>5.7818812499999997E-2</v>
      </c>
      <c r="Q241" s="1">
        <v>1.4114110197597543E-2</v>
      </c>
      <c r="R241" s="272">
        <v>0.90727940423677933</v>
      </c>
    </row>
    <row r="242" spans="1:19" ht="15.6">
      <c r="A242" s="257">
        <v>900</v>
      </c>
      <c r="B242" s="258">
        <v>950</v>
      </c>
      <c r="C242" s="160">
        <v>1366731</v>
      </c>
      <c r="D242" s="30">
        <v>1264433569.8000243</v>
      </c>
      <c r="E242" s="187">
        <f t="shared" si="6"/>
        <v>3.7006069805983017</v>
      </c>
      <c r="F242" s="188">
        <v>1.366731E-2</v>
      </c>
      <c r="G242" s="189">
        <v>5.0577342792000976E-2</v>
      </c>
      <c r="H242" s="232">
        <v>3.6</v>
      </c>
      <c r="I242" s="124" t="str">
        <f t="shared" si="7"/>
        <v>(900, 950]</v>
      </c>
      <c r="J242" s="160">
        <v>1</v>
      </c>
      <c r="K242" s="276">
        <v>6.6612375000000001E-2</v>
      </c>
      <c r="L242" s="188">
        <v>9.1041197896125003E-4</v>
      </c>
      <c r="M242" s="233">
        <v>910411</v>
      </c>
      <c r="N242" s="195">
        <v>2.148721438157379E-3</v>
      </c>
      <c r="O242" s="211">
        <v>7.9515735534064196E-3</v>
      </c>
      <c r="P242" s="1">
        <v>5.9951137500000001E-2</v>
      </c>
      <c r="Q242" s="1">
        <v>1.3730456192226386E-2</v>
      </c>
      <c r="R242" s="272">
        <v>1.0046202356005962</v>
      </c>
    </row>
    <row r="243" spans="1:19" ht="15.6">
      <c r="A243" s="257">
        <v>950</v>
      </c>
      <c r="B243" s="258">
        <v>1000</v>
      </c>
      <c r="C243" s="160">
        <v>1165036</v>
      </c>
      <c r="D243" s="30">
        <v>1136503151.0000119</v>
      </c>
      <c r="E243" s="187">
        <f t="shared" si="6"/>
        <v>3.9020361636894032</v>
      </c>
      <c r="F243" s="188">
        <v>1.165036E-2</v>
      </c>
      <c r="G243" s="189">
        <v>4.5460126040000479E-2</v>
      </c>
      <c r="H243" s="232">
        <v>3.8</v>
      </c>
      <c r="I243" s="124" t="str">
        <f t="shared" si="7"/>
        <v>(950, 1000]</v>
      </c>
      <c r="J243" s="160">
        <v>1</v>
      </c>
      <c r="K243" s="276">
        <v>6.5245500000000012E-2</v>
      </c>
      <c r="L243" s="188">
        <v>7.6013356338000017E-4</v>
      </c>
      <c r="M243" s="233">
        <v>760133</v>
      </c>
      <c r="N243" s="195">
        <v>1.7940403542475686E-3</v>
      </c>
      <c r="O243" s="211">
        <v>7.0004103413921605E-3</v>
      </c>
      <c r="P243" s="1">
        <v>5.8720950000000015E-2</v>
      </c>
      <c r="Q243" s="1">
        <v>1.2606859176496028E-2</v>
      </c>
      <c r="R243" s="272">
        <v>1.0821003965968456</v>
      </c>
    </row>
    <row r="244" spans="1:19" ht="15.6">
      <c r="A244" s="257">
        <v>1000</v>
      </c>
      <c r="B244" s="258">
        <v>2000</v>
      </c>
      <c r="C244" s="160">
        <v>15050794</v>
      </c>
      <c r="D244" s="30">
        <v>21056583142.204994</v>
      </c>
      <c r="E244" s="187">
        <f t="shared" si="6"/>
        <v>5.5961388195745663</v>
      </c>
      <c r="F244" s="188">
        <v>0.15050794000000001</v>
      </c>
      <c r="G244" s="189">
        <v>0.84226332568819973</v>
      </c>
      <c r="H244" s="232">
        <v>4</v>
      </c>
      <c r="I244" s="275" t="str">
        <f t="shared" si="7"/>
        <v>(1000, 2000]</v>
      </c>
      <c r="J244" s="160">
        <v>1</v>
      </c>
      <c r="K244" s="276">
        <v>0.06</v>
      </c>
      <c r="L244" s="188">
        <v>9.0304763999999992E-3</v>
      </c>
      <c r="M244" s="233">
        <v>9030476</v>
      </c>
      <c r="N244" s="195">
        <v>2.1313425890027358E-2</v>
      </c>
      <c r="O244" s="211">
        <v>0.1192728900013077</v>
      </c>
      <c r="P244" s="1">
        <v>5.3999999999999999E-2</v>
      </c>
      <c r="Q244" s="1">
        <v>2.431074434035042E-2</v>
      </c>
      <c r="R244" s="272">
        <v>0.16152466335231497</v>
      </c>
    </row>
    <row r="245" spans="1:19" ht="15.6">
      <c r="A245" s="257">
        <v>2000</v>
      </c>
      <c r="B245" s="258">
        <v>3000</v>
      </c>
      <c r="C245" s="160">
        <v>7594281</v>
      </c>
      <c r="D245" s="30">
        <v>18248433342.601223</v>
      </c>
      <c r="E245" s="187">
        <f t="shared" si="6"/>
        <v>9.6116713840855894</v>
      </c>
      <c r="F245" s="188">
        <v>7.5942809999999999E-2</v>
      </c>
      <c r="G245" s="189">
        <v>0.7299373337040489</v>
      </c>
      <c r="H245" s="232">
        <v>8</v>
      </c>
      <c r="I245" s="124" t="str">
        <f t="shared" si="7"/>
        <v>(2000, 3000]</v>
      </c>
      <c r="J245" s="160">
        <v>1</v>
      </c>
      <c r="K245" s="276">
        <v>5.4675000000000001E-3</v>
      </c>
      <c r="L245" s="188">
        <v>4.1521731367499999E-4</v>
      </c>
      <c r="M245" s="233">
        <v>415217</v>
      </c>
      <c r="N245" s="195">
        <v>9.799812056174547E-4</v>
      </c>
      <c r="O245" s="211">
        <v>9.4192573109749857E-3</v>
      </c>
      <c r="P245" s="1">
        <v>4.9207500000000006E-3</v>
      </c>
      <c r="Q245" s="1">
        <v>5.6683840793573768E-3</v>
      </c>
      <c r="R245" s="272">
        <v>7.464016777042326E-2</v>
      </c>
    </row>
    <row r="246" spans="1:19" ht="15.6">
      <c r="A246" s="257">
        <v>3000</v>
      </c>
      <c r="B246" s="258">
        <v>4000</v>
      </c>
      <c r="C246" s="160">
        <v>3337514</v>
      </c>
      <c r="D246" s="30">
        <v>11401019438.199791</v>
      </c>
      <c r="E246" s="187">
        <f t="shared" si="6"/>
        <v>13.664085829392524</v>
      </c>
      <c r="F246" s="188">
        <v>3.3375139999999998E-2</v>
      </c>
      <c r="G246" s="189">
        <v>0.4560407775279916</v>
      </c>
      <c r="H246" s="232">
        <v>12</v>
      </c>
      <c r="I246" s="124" t="str">
        <f t="shared" si="7"/>
        <v>(3000, 4000]</v>
      </c>
      <c r="J246" s="160">
        <v>1</v>
      </c>
      <c r="K246" s="276">
        <v>8.4746249999999995E-3</v>
      </c>
      <c r="L246" s="188">
        <v>2.8284179582249995E-4</v>
      </c>
      <c r="M246" s="233">
        <v>282841</v>
      </c>
      <c r="N246" s="195">
        <v>6.6755182032057097E-4</v>
      </c>
      <c r="O246" s="211">
        <v>9.1214853684274989E-3</v>
      </c>
      <c r="P246" s="1">
        <v>7.6271624999999996E-3</v>
      </c>
      <c r="Q246" s="1">
        <v>4.3706780611894929E-3</v>
      </c>
      <c r="R246" s="272">
        <v>0.13095609669920466</v>
      </c>
    </row>
    <row r="247" spans="1:19" ht="15.6">
      <c r="A247" s="257">
        <v>4000</v>
      </c>
      <c r="B247" s="258">
        <v>5000</v>
      </c>
      <c r="C247" s="160">
        <v>2142649</v>
      </c>
      <c r="D247" s="30">
        <v>9470767235.7997246</v>
      </c>
      <c r="E247" s="187">
        <f t="shared" si="6"/>
        <v>17.68048287106236</v>
      </c>
      <c r="F247" s="188">
        <v>2.1426489999999999E-2</v>
      </c>
      <c r="G247" s="189">
        <v>0.37883068943198894</v>
      </c>
      <c r="H247" s="232">
        <v>16</v>
      </c>
      <c r="I247" s="124" t="str">
        <f t="shared" si="7"/>
        <v>(4000, 5000]</v>
      </c>
      <c r="J247" s="160">
        <v>1</v>
      </c>
      <c r="K247" s="276">
        <v>1.0388250000000002E-2</v>
      </c>
      <c r="L247" s="188">
        <v>2.2258373474250002E-4</v>
      </c>
      <c r="M247" s="233">
        <v>222583</v>
      </c>
      <c r="N247" s="195">
        <v>5.2533291433142166E-4</v>
      </c>
      <c r="O247" s="211">
        <v>9.28813959344197E-3</v>
      </c>
      <c r="P247" s="1">
        <v>9.3494250000000015E-3</v>
      </c>
      <c r="Q247" s="1">
        <v>3.1750200444502804E-3</v>
      </c>
      <c r="R247" s="272">
        <v>0.14818199548550792</v>
      </c>
    </row>
    <row r="248" spans="1:19" ht="15.6">
      <c r="A248" s="257">
        <v>5000</v>
      </c>
      <c r="B248" s="258">
        <v>6000</v>
      </c>
      <c r="C248" s="160">
        <v>984931</v>
      </c>
      <c r="D248" s="30">
        <v>5342956606.7999163</v>
      </c>
      <c r="E248" s="187">
        <f t="shared" si="6"/>
        <v>21.698805730756433</v>
      </c>
      <c r="F248" s="188">
        <v>9.84931E-3</v>
      </c>
      <c r="G248" s="189">
        <v>0.21371826427199664</v>
      </c>
      <c r="H248" s="232">
        <v>20</v>
      </c>
      <c r="I248" s="124" t="str">
        <f t="shared" si="7"/>
        <v>(5000, 6000]</v>
      </c>
      <c r="J248" s="160">
        <v>1</v>
      </c>
      <c r="K248" s="276">
        <v>5.8320000000000004E-3</v>
      </c>
      <c r="L248" s="188">
        <v>5.7441175920000004E-5</v>
      </c>
      <c r="M248" s="233">
        <v>57441</v>
      </c>
      <c r="N248" s="195">
        <v>1.3557031728438917E-4</v>
      </c>
      <c r="O248" s="211">
        <v>2.9417139776109717E-3</v>
      </c>
      <c r="P248" s="1">
        <v>5.2488000000000005E-3</v>
      </c>
      <c r="Q248" s="1">
        <v>4.9441000692174012E-4</v>
      </c>
      <c r="R248" s="272">
        <v>5.0197425700048037E-2</v>
      </c>
    </row>
    <row r="249" spans="1:19" ht="15.6">
      <c r="A249" s="257">
        <v>6000</v>
      </c>
      <c r="B249" s="258">
        <v>7000</v>
      </c>
      <c r="C249" s="160">
        <v>556493</v>
      </c>
      <c r="D249" s="30">
        <v>3571448835.7999973</v>
      </c>
      <c r="E249" s="187">
        <f t="shared" si="6"/>
        <v>25.671114179693166</v>
      </c>
      <c r="F249" s="188">
        <v>5.5649300000000001E-3</v>
      </c>
      <c r="G249" s="189">
        <v>0.14285795343199989</v>
      </c>
      <c r="H249" s="232">
        <v>24</v>
      </c>
      <c r="I249" s="124" t="str">
        <f t="shared" si="7"/>
        <v>(6000, 7000]</v>
      </c>
      <c r="J249" s="160">
        <v>1</v>
      </c>
      <c r="K249" s="276">
        <v>8.5657500000000022E-3</v>
      </c>
      <c r="L249" s="188">
        <v>4.7667799147500015E-5</v>
      </c>
      <c r="M249" s="233">
        <v>47667</v>
      </c>
      <c r="N249" s="195">
        <v>1.1250205104359218E-4</v>
      </c>
      <c r="O249" s="211">
        <v>2.8880529977897236E-3</v>
      </c>
      <c r="P249" s="1">
        <v>7.7091750000000021E-3</v>
      </c>
      <c r="Q249" s="1">
        <v>4.0390100565461406E-4</v>
      </c>
      <c r="R249" s="272">
        <v>7.2579710015150969E-2</v>
      </c>
    </row>
    <row r="250" spans="1:19" ht="15.6">
      <c r="A250" s="257">
        <v>7000</v>
      </c>
      <c r="B250" s="258">
        <v>8000</v>
      </c>
      <c r="C250" s="160">
        <v>263244</v>
      </c>
      <c r="D250" s="30">
        <v>1956834733.8000102</v>
      </c>
      <c r="E250" s="187">
        <f t="shared" si="6"/>
        <v>29.734158936955986</v>
      </c>
      <c r="F250" s="188">
        <v>2.6324400000000002E-3</v>
      </c>
      <c r="G250" s="189">
        <v>7.8273389352000428E-2</v>
      </c>
      <c r="H250" s="232">
        <v>28</v>
      </c>
      <c r="I250" s="124" t="str">
        <f t="shared" si="7"/>
        <v>(7000, 8000]</v>
      </c>
      <c r="J250" s="160">
        <v>1</v>
      </c>
      <c r="K250" s="276">
        <v>1.2575250000000003E-2</v>
      </c>
      <c r="L250" s="188">
        <v>3.310359111000001E-5</v>
      </c>
      <c r="M250" s="233">
        <v>33103</v>
      </c>
      <c r="N250" s="195">
        <v>7.8128587821680228E-5</v>
      </c>
      <c r="O250" s="211">
        <v>2.323087847809764E-3</v>
      </c>
      <c r="P250" s="1">
        <v>1.1317725000000002E-2</v>
      </c>
      <c r="Q250" s="1">
        <v>3.2245300451434208E-4</v>
      </c>
      <c r="R250" s="272">
        <v>0.12249206231266127</v>
      </c>
    </row>
    <row r="251" spans="1:19" ht="15.6">
      <c r="A251" s="257">
        <v>8000</v>
      </c>
      <c r="B251" s="258">
        <v>9000</v>
      </c>
      <c r="C251" s="160">
        <v>146363</v>
      </c>
      <c r="D251" s="30">
        <v>1233808379.8000031</v>
      </c>
      <c r="E251" s="187">
        <f t="shared" si="6"/>
        <v>33.719133382070687</v>
      </c>
      <c r="F251" s="188">
        <v>1.4636300000000001E-3</v>
      </c>
      <c r="G251" s="189">
        <v>4.9352335192000121E-2</v>
      </c>
      <c r="H251" s="232">
        <v>32</v>
      </c>
      <c r="I251" s="124" t="str">
        <f t="shared" si="7"/>
        <v>(8000, 9000]</v>
      </c>
      <c r="J251" s="160">
        <v>1</v>
      </c>
      <c r="K251" s="276">
        <v>1.5309000000000001E-2</v>
      </c>
      <c r="L251" s="188">
        <v>2.2406711670000002E-5</v>
      </c>
      <c r="M251" s="233">
        <v>22406</v>
      </c>
      <c r="N251" s="195">
        <v>5.2881888008113085E-5</v>
      </c>
      <c r="O251" s="211">
        <v>1.7831314352412895E-3</v>
      </c>
      <c r="P251" s="198">
        <v>1.3778100000000001E-2</v>
      </c>
      <c r="Q251" s="198">
        <v>2.1996900307956604E-4</v>
      </c>
      <c r="R251" s="272">
        <v>0.15029003442097116</v>
      </c>
      <c r="S251" s="182"/>
    </row>
    <row r="252" spans="1:19" ht="15.6">
      <c r="A252" s="257">
        <v>9000</v>
      </c>
      <c r="B252" s="258">
        <v>10000</v>
      </c>
      <c r="C252" s="160">
        <v>74575</v>
      </c>
      <c r="D252" s="30">
        <v>704504519.99999976</v>
      </c>
      <c r="E252" s="187">
        <f t="shared" si="6"/>
        <v>37.787704726785101</v>
      </c>
      <c r="F252" s="188">
        <v>7.4574999999999999E-4</v>
      </c>
      <c r="G252" s="189">
        <v>2.8180180799999989E-2</v>
      </c>
      <c r="H252" s="232">
        <v>36</v>
      </c>
      <c r="I252" s="124" t="str">
        <f t="shared" si="7"/>
        <v>(9000, 10000]</v>
      </c>
      <c r="J252" s="160">
        <v>1</v>
      </c>
      <c r="K252" s="276">
        <v>3.6450000000000007E-3</v>
      </c>
      <c r="L252" s="188">
        <v>2.7182587500000004E-6</v>
      </c>
      <c r="M252" s="233">
        <v>2718</v>
      </c>
      <c r="N252" s="195">
        <v>6.4149322327078174E-6</v>
      </c>
      <c r="O252" s="211">
        <v>2.4240556505189929E-4</v>
      </c>
      <c r="P252" s="198">
        <v>3.2805000000000009E-3</v>
      </c>
      <c r="Q252" s="198">
        <v>2.0430570286027985E-3</v>
      </c>
      <c r="R252" s="272">
        <v>2.7396004406339909</v>
      </c>
      <c r="S252" s="182"/>
    </row>
    <row r="253" spans="1:19" ht="15.6">
      <c r="A253" s="257">
        <v>10000</v>
      </c>
      <c r="B253" s="258">
        <v>20000</v>
      </c>
      <c r="C253" s="160">
        <v>96173</v>
      </c>
      <c r="D253" s="30">
        <v>1134116662.6000011</v>
      </c>
      <c r="E253" s="187">
        <f t="shared" si="6"/>
        <v>47.169856928659854</v>
      </c>
      <c r="F253" s="188">
        <v>9.6173000000000005E-4</v>
      </c>
      <c r="G253" s="189">
        <v>4.5364666504000041E-2</v>
      </c>
      <c r="H253" s="232">
        <v>40</v>
      </c>
      <c r="I253" s="275" t="str">
        <f t="shared" si="7"/>
        <v>(10000, 20000]</v>
      </c>
      <c r="J253" s="160">
        <v>1</v>
      </c>
      <c r="K253" s="276">
        <v>0.12640000000000001</v>
      </c>
      <c r="L253" s="188">
        <v>1.2156267200000002E-4</v>
      </c>
      <c r="M253" s="233">
        <v>121562</v>
      </c>
      <c r="N253" s="195">
        <v>2.8690654601634571E-4</v>
      </c>
      <c r="O253" s="211">
        <v>1.3533340727486992E-2</v>
      </c>
      <c r="P253" s="198"/>
      <c r="Q253" s="198">
        <v>0</v>
      </c>
      <c r="R253" s="272">
        <v>0</v>
      </c>
      <c r="S253" s="182"/>
    </row>
    <row r="254" spans="1:19" ht="15.6">
      <c r="A254" s="257">
        <v>20000</v>
      </c>
      <c r="B254" s="258">
        <v>30000</v>
      </c>
      <c r="C254" s="160">
        <v>1549</v>
      </c>
      <c r="D254" s="30">
        <v>35487508.199999996</v>
      </c>
      <c r="E254" s="187">
        <f t="shared" si="6"/>
        <v>91.63978876694641</v>
      </c>
      <c r="F254" s="188">
        <v>1.5489999999999999E-5</v>
      </c>
      <c r="G254" s="189">
        <v>1.4195003279999997E-3</v>
      </c>
      <c r="H254" s="232">
        <v>80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 t="e">
        <v>#DIV/0!</v>
      </c>
      <c r="S254" s="182"/>
    </row>
    <row r="255" spans="1:19" ht="15.6">
      <c r="A255" s="257">
        <v>30000</v>
      </c>
      <c r="B255" s="258">
        <v>100000</v>
      </c>
      <c r="C255" s="160">
        <v>91</v>
      </c>
      <c r="D255" s="30">
        <v>3116379.3999999994</v>
      </c>
      <c r="E255" s="187">
        <f t="shared" si="6"/>
        <v>136.98370989010985</v>
      </c>
      <c r="F255" s="188">
        <v>9.0999999999999997E-7</v>
      </c>
      <c r="G255" s="189">
        <v>1.2465517599999997E-4</v>
      </c>
      <c r="H255" s="232">
        <v>120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 t="e">
        <v>#DIV/0!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400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 t="e">
        <v>#DIV/0!</v>
      </c>
      <c r="S256" s="182"/>
    </row>
    <row r="257" spans="17:17">
      <c r="Q257" s="1">
        <v>0</v>
      </c>
    </row>
    <row r="258" spans="17:17">
      <c r="Q258" s="1">
        <v>0</v>
      </c>
    </row>
    <row r="259" spans="17:17">
      <c r="Q259" s="1">
        <v>0</v>
      </c>
    </row>
    <row r="260" spans="17:17">
      <c r="Q260" s="1">
        <v>0</v>
      </c>
    </row>
    <row r="261" spans="17:17">
      <c r="Q261" s="1">
        <v>0</v>
      </c>
    </row>
    <row r="262" spans="17:17">
      <c r="Q262" s="1">
        <v>0</v>
      </c>
    </row>
  </sheetData>
  <phoneticPr fontId="2" type="noConversion"/>
  <conditionalFormatting sqref="J4:O61 C4:G61">
    <cfRule type="cellIs" dxfId="71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{A501D4CE-FD10-43AA-BC87-8BD5E3E5706E}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{7C9352E6-AFB4-49C2-8700-5C5956533053}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{E4EDA0B5-A9C4-44A4-9829-BE701856D1D3}</x14:id>
        </ext>
      </extLst>
    </cfRule>
  </conditionalFormatting>
  <conditionalFormatting sqref="J69:O126 C69:G126">
    <cfRule type="cellIs" dxfId="70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{220A6E33-4064-47F3-BE63-9042DB745FC4}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{BD5F9095-DACD-46B8-970A-B02EF36EC8B4}</x14:id>
        </ext>
      </extLst>
    </cfRule>
  </conditionalFormatting>
  <conditionalFormatting sqref="J134:O191 C134:G191">
    <cfRule type="cellIs" dxfId="69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{65B32101-7EF4-40A2-9D17-E648CDD99984}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{9CDEB4DF-0A9D-4042-93F6-1AA998B35DB5}</x14:id>
        </ext>
      </extLst>
    </cfRule>
  </conditionalFormatting>
  <conditionalFormatting sqref="C199:G256 J199:O256">
    <cfRule type="cellIs" dxfId="68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{3D4E5729-413F-4C6F-9C9C-CD369C65BA39}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{9E4CE6FC-BC39-4186-A94E-52EE2B206401}</x14:id>
        </ext>
      </extLst>
    </cfRule>
  </conditionalFormatting>
  <conditionalFormatting sqref="R134:R191">
    <cfRule type="cellIs" dxfId="67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{85498139-1CB7-4B51-9C74-9A1A317B6792}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{CF25B014-C39F-4A26-AD7F-247ACCCFF54C}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{A4017C7D-43F1-4604-9309-E9A52DA180ED}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{9D4333F6-A982-4EA7-8035-201FFBB84D8B}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01D4CE-FD10-43AA-BC87-8BD5E3E570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7C9352E6-AFB4-49C2-8700-5C59565330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E4EDA0B5-A9C4-44A4-9829-BE701856D1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220A6E33-4064-47F3-BE63-9042DB745F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BD5F9095-DACD-46B8-970A-B02EF36EC8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65B32101-7EF4-40A2-9D17-E648CDD999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9CDEB4DF-0A9D-4042-93F6-1AA998B35D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3D4E5729-413F-4C6F-9C9C-CD369C65BA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9E4CE6FC-BC39-4186-A94E-52EE2B2064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85498139-1CB7-4B51-9C74-9A1A317B67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CF25B014-C39F-4A26-AD7F-247ACCCFF5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4017C7D-43F1-4604-9309-E9A52DA180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9D4333F6-A982-4EA7-8035-201FFBB84D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5DCA2-5CBC-49DF-9110-65844F9DBD52}">
  <sheetPr>
    <tabColor theme="0" tint="-0.14999847407452621"/>
  </sheetPr>
  <dimension ref="A1:BC262"/>
  <sheetViews>
    <sheetView topLeftCell="A33" zoomScale="55" zoomScaleNormal="5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100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0.92000339110669394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'[4]Raw Data'!$S$1:$T$58</f>
        <v>31795820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0.31795820000000002</v>
      </c>
      <c r="G199" s="186" cm="1">
        <f t="array" ref="G199:G256">E199:E256*_xlfn.ANCHORARRAY(F199)</f>
        <v>0</v>
      </c>
      <c r="H199" s="232" cm="1">
        <f t="array" ref="H199:H256">A199:A256/E196</f>
        <v>-0.01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cm="1">
        <f t="array" ref="R199:R256">IFERROR(Q199:Q256/_xlfn.ANCHORARRAY(J199)/_xlfn.ANCHORARRAY(F199),0)</f>
        <v>0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>
        <v>0</v>
      </c>
    </row>
    <row r="201" spans="1:18" ht="15.6">
      <c r="A201" s="257">
        <v>1</v>
      </c>
      <c r="B201" s="258">
        <v>2</v>
      </c>
      <c r="C201" s="160">
        <v>0</v>
      </c>
      <c r="D201" s="30">
        <v>0</v>
      </c>
      <c r="E201" s="187">
        <f t="shared" si="6"/>
        <v>0</v>
      </c>
      <c r="F201" s="188">
        <v>0</v>
      </c>
      <c r="G201" s="189">
        <v>0</v>
      </c>
      <c r="H201" s="232">
        <v>0.01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18" ht="15.6">
      <c r="A202" s="257">
        <v>2</v>
      </c>
      <c r="B202" s="258">
        <v>3</v>
      </c>
      <c r="C202" s="160">
        <v>0</v>
      </c>
      <c r="D202" s="30">
        <v>0</v>
      </c>
      <c r="E202" s="187">
        <f t="shared" si="6"/>
        <v>0</v>
      </c>
      <c r="F202" s="188">
        <v>0</v>
      </c>
      <c r="G202" s="189">
        <v>0</v>
      </c>
      <c r="H202" s="232">
        <v>0.02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18" ht="15.6">
      <c r="A203" s="257">
        <v>3</v>
      </c>
      <c r="B203" s="258">
        <v>4</v>
      </c>
      <c r="C203" s="160">
        <v>195474</v>
      </c>
      <c r="D203" s="30">
        <v>781896</v>
      </c>
      <c r="E203" s="187">
        <f t="shared" si="6"/>
        <v>0.04</v>
      </c>
      <c r="F203" s="188">
        <v>1.9547399999999999E-3</v>
      </c>
      <c r="G203" s="189">
        <v>7.8189599999999994E-5</v>
      </c>
      <c r="H203" s="232">
        <v>0.03</v>
      </c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18" ht="15.6">
      <c r="A204" s="257">
        <v>4</v>
      </c>
      <c r="B204" s="258">
        <v>5</v>
      </c>
      <c r="C204" s="160">
        <v>0</v>
      </c>
      <c r="D204" s="30">
        <v>0</v>
      </c>
      <c r="E204" s="187">
        <f t="shared" si="6"/>
        <v>0</v>
      </c>
      <c r="F204" s="188">
        <v>0</v>
      </c>
      <c r="G204" s="189">
        <v>0</v>
      </c>
      <c r="H204" s="232">
        <v>0.04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18" ht="15.6">
      <c r="A205" s="257">
        <v>5</v>
      </c>
      <c r="B205" s="258">
        <v>6</v>
      </c>
      <c r="C205" s="160">
        <v>195487</v>
      </c>
      <c r="D205" s="30">
        <v>1172922</v>
      </c>
      <c r="E205" s="187">
        <f t="shared" si="6"/>
        <v>0.06</v>
      </c>
      <c r="F205" s="188">
        <v>1.95487E-3</v>
      </c>
      <c r="G205" s="189">
        <v>1.172922E-4</v>
      </c>
      <c r="H205" s="232">
        <v>0.05</v>
      </c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18" ht="15.6">
      <c r="A206" s="257">
        <v>6</v>
      </c>
      <c r="B206" s="258">
        <v>7</v>
      </c>
      <c r="C206" s="160">
        <v>0</v>
      </c>
      <c r="D206" s="30">
        <v>0</v>
      </c>
      <c r="E206" s="187">
        <f t="shared" si="6"/>
        <v>0</v>
      </c>
      <c r="F206" s="188">
        <v>0</v>
      </c>
      <c r="G206" s="189">
        <v>0</v>
      </c>
      <c r="H206" s="232">
        <v>0.06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18" ht="15.6">
      <c r="A207" s="257">
        <v>7</v>
      </c>
      <c r="B207" s="258">
        <v>8</v>
      </c>
      <c r="C207" s="160">
        <v>276873</v>
      </c>
      <c r="D207" s="30">
        <v>2214984</v>
      </c>
      <c r="E207" s="187">
        <f t="shared" si="6"/>
        <v>0.08</v>
      </c>
      <c r="F207" s="188">
        <v>2.7687300000000001E-3</v>
      </c>
      <c r="G207" s="189">
        <v>2.2149840000000001E-4</v>
      </c>
      <c r="H207" s="232">
        <v>7.0000000000000007E-2</v>
      </c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18" ht="15.6">
      <c r="A208" s="257">
        <v>8</v>
      </c>
      <c r="B208" s="258">
        <v>9</v>
      </c>
      <c r="C208" s="160">
        <v>0</v>
      </c>
      <c r="D208" s="30">
        <v>0</v>
      </c>
      <c r="E208" s="187">
        <f t="shared" si="6"/>
        <v>0</v>
      </c>
      <c r="F208" s="188">
        <v>0</v>
      </c>
      <c r="G208" s="189">
        <v>0</v>
      </c>
      <c r="H208" s="232">
        <v>0.08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3" ht="15.6">
      <c r="A209" s="257">
        <v>9</v>
      </c>
      <c r="B209" s="258">
        <v>10</v>
      </c>
      <c r="C209" s="160">
        <v>417481</v>
      </c>
      <c r="D209" s="30">
        <v>4174810</v>
      </c>
      <c r="E209" s="187">
        <f t="shared" si="6"/>
        <v>9.9999999999999992E-2</v>
      </c>
      <c r="F209" s="188">
        <v>4.1748100000000002E-3</v>
      </c>
      <c r="G209" s="189">
        <v>4.1748099999999998E-4</v>
      </c>
      <c r="H209" s="232">
        <v>0.09</v>
      </c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3" ht="15.6">
      <c r="A210" s="257">
        <v>10</v>
      </c>
      <c r="B210" s="258">
        <v>15</v>
      </c>
      <c r="C210" s="160">
        <v>336672</v>
      </c>
      <c r="D210" s="30">
        <v>4706075</v>
      </c>
      <c r="E210" s="187">
        <f t="shared" si="6"/>
        <v>0.13978219156924246</v>
      </c>
      <c r="F210" s="188">
        <v>3.3667200000000001E-3</v>
      </c>
      <c r="G210" s="189">
        <v>4.7060750000000001E-4</v>
      </c>
      <c r="H210" s="232">
        <v>0.1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1159590</v>
      </c>
      <c r="D211" s="30">
        <v>21765084</v>
      </c>
      <c r="E211" s="187">
        <f t="shared" si="6"/>
        <v>0.18769637544304452</v>
      </c>
      <c r="F211" s="188">
        <v>1.1595899999999999E-2</v>
      </c>
      <c r="G211" s="189">
        <v>2.1765083999999999E-3</v>
      </c>
      <c r="H211" s="232">
        <v>0.15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750493</v>
      </c>
      <c r="D212" s="30">
        <v>18209661</v>
      </c>
      <c r="E212" s="187">
        <f t="shared" si="6"/>
        <v>0.24263598727769611</v>
      </c>
      <c r="F212" s="188">
        <v>7.5049299999999999E-3</v>
      </c>
      <c r="G212" s="189">
        <v>1.8209660999999999E-3</v>
      </c>
      <c r="H212" s="232">
        <v>0.2</v>
      </c>
      <c r="I212" s="274" t="str">
        <f t="shared" si="7"/>
        <v>(20, 25]</v>
      </c>
      <c r="J212" s="160">
        <v>1</v>
      </c>
      <c r="K212" s="234">
        <v>18.065000000000001</v>
      </c>
      <c r="L212" s="188">
        <v>0.13557656045000002</v>
      </c>
      <c r="M212" s="233">
        <v>135576560</v>
      </c>
      <c r="N212" s="195">
        <v>5.9828691256932701E-2</v>
      </c>
      <c r="O212" s="211">
        <v>1.4516593570658331E-2</v>
      </c>
      <c r="Q212" s="1">
        <v>0</v>
      </c>
      <c r="R212" s="1">
        <v>0</v>
      </c>
    </row>
    <row r="213" spans="1:23" ht="15.6">
      <c r="A213" s="257">
        <v>25</v>
      </c>
      <c r="B213" s="258">
        <v>30</v>
      </c>
      <c r="C213" s="160">
        <v>654189</v>
      </c>
      <c r="D213" s="30">
        <v>19416825</v>
      </c>
      <c r="E213" s="187">
        <f t="shared" si="6"/>
        <v>0.29680757395798463</v>
      </c>
      <c r="F213" s="188">
        <v>6.5418899999999999E-3</v>
      </c>
      <c r="G213" s="189">
        <v>1.9416825000000001E-3</v>
      </c>
      <c r="H213" s="232">
        <v>0.25</v>
      </c>
      <c r="I213" s="274" t="str">
        <f t="shared" si="7"/>
        <v>(25, 30]</v>
      </c>
      <c r="J213" s="160">
        <v>1</v>
      </c>
      <c r="K213" s="234">
        <v>20</v>
      </c>
      <c r="L213" s="188">
        <v>0.1308378</v>
      </c>
      <c r="M213" s="233">
        <v>130837800</v>
      </c>
      <c r="N213" s="195">
        <v>5.7737519973484426E-2</v>
      </c>
      <c r="O213" s="211">
        <v>1.7136933229680594E-2</v>
      </c>
      <c r="Q213" s="1">
        <v>0</v>
      </c>
      <c r="R213" s="1">
        <v>0</v>
      </c>
    </row>
    <row r="214" spans="1:23" ht="15.6">
      <c r="A214" s="257">
        <v>30</v>
      </c>
      <c r="B214" s="258">
        <v>35</v>
      </c>
      <c r="C214" s="160">
        <v>449713</v>
      </c>
      <c r="D214" s="30">
        <v>14513593</v>
      </c>
      <c r="E214" s="187">
        <f t="shared" si="6"/>
        <v>0.32273011898699838</v>
      </c>
      <c r="F214" s="188">
        <v>4.4971300000000002E-3</v>
      </c>
      <c r="G214" s="189">
        <v>1.4513593E-3</v>
      </c>
      <c r="H214" s="232">
        <v>0.3</v>
      </c>
      <c r="I214" s="274" t="str">
        <f t="shared" si="7"/>
        <v>(30, 35]</v>
      </c>
      <c r="J214" s="160">
        <v>1</v>
      </c>
      <c r="K214" s="234">
        <v>20</v>
      </c>
      <c r="L214" s="188">
        <v>8.9942600000000011E-2</v>
      </c>
      <c r="M214" s="233">
        <v>89942600</v>
      </c>
      <c r="N214" s="195">
        <v>3.969084365502263E-2</v>
      </c>
      <c r="O214" s="211">
        <v>1.2809430695479802E-2</v>
      </c>
      <c r="Q214" s="1">
        <v>0</v>
      </c>
      <c r="R214" s="1">
        <v>0</v>
      </c>
    </row>
    <row r="215" spans="1:23" ht="15.6">
      <c r="A215" s="257">
        <v>35</v>
      </c>
      <c r="B215" s="258">
        <v>40</v>
      </c>
      <c r="C215" s="160">
        <v>1651810</v>
      </c>
      <c r="D215" s="30">
        <v>64936989</v>
      </c>
      <c r="E215" s="187">
        <f t="shared" si="6"/>
        <v>0.39312626149496616</v>
      </c>
      <c r="F215" s="188">
        <v>1.6518100000000001E-2</v>
      </c>
      <c r="G215" s="189">
        <v>6.4936989000000007E-3</v>
      </c>
      <c r="H215" s="232">
        <v>0.35</v>
      </c>
      <c r="I215" s="274" t="str">
        <f t="shared" si="7"/>
        <v>(35, 40]</v>
      </c>
      <c r="J215" s="160">
        <v>1</v>
      </c>
      <c r="K215" s="234">
        <v>20</v>
      </c>
      <c r="L215" s="188">
        <v>0.33036200000000004</v>
      </c>
      <c r="M215" s="233">
        <v>330362000</v>
      </c>
      <c r="N215" s="195">
        <v>0.14578571768617526</v>
      </c>
      <c r="O215" s="211">
        <v>5.7312194173326649E-2</v>
      </c>
      <c r="Q215" s="1">
        <v>0</v>
      </c>
      <c r="R215" s="1">
        <v>0</v>
      </c>
    </row>
    <row r="216" spans="1:23" ht="15.6">
      <c r="A216" s="257">
        <v>40</v>
      </c>
      <c r="B216" s="258">
        <v>45</v>
      </c>
      <c r="C216" s="160">
        <v>370523</v>
      </c>
      <c r="D216" s="30">
        <v>16411349</v>
      </c>
      <c r="E216" s="187">
        <f t="shared" si="6"/>
        <v>0.4429238940632565</v>
      </c>
      <c r="F216" s="188">
        <v>3.7052299999999999E-3</v>
      </c>
      <c r="G216" s="189">
        <v>1.6411348999999999E-3</v>
      </c>
      <c r="H216" s="232">
        <v>0.4</v>
      </c>
      <c r="I216" s="274" t="str">
        <f t="shared" si="7"/>
        <v>(40, 45]</v>
      </c>
      <c r="J216" s="160">
        <v>1</v>
      </c>
      <c r="K216" s="234">
        <v>30</v>
      </c>
      <c r="L216" s="188">
        <v>0.1111569</v>
      </c>
      <c r="M216" s="233">
        <v>111156900</v>
      </c>
      <c r="N216" s="195">
        <v>4.9052519485505035E-2</v>
      </c>
      <c r="O216" s="211">
        <v>2.1726532944133656E-2</v>
      </c>
      <c r="Q216" s="1">
        <v>0</v>
      </c>
      <c r="R216" s="1">
        <v>0</v>
      </c>
    </row>
    <row r="217" spans="1:23" ht="15.6">
      <c r="A217" s="257">
        <v>45</v>
      </c>
      <c r="B217" s="258">
        <v>50</v>
      </c>
      <c r="C217" s="160">
        <v>1105016</v>
      </c>
      <c r="D217" s="30">
        <v>54106782</v>
      </c>
      <c r="E217" s="187">
        <f t="shared" si="6"/>
        <v>0.48964704583463042</v>
      </c>
      <c r="F217" s="188">
        <v>1.105016E-2</v>
      </c>
      <c r="G217" s="189">
        <v>5.4106781999999996E-3</v>
      </c>
      <c r="H217" s="232">
        <v>0.45</v>
      </c>
      <c r="I217" s="274" t="str">
        <f t="shared" si="7"/>
        <v>(45, 50]</v>
      </c>
      <c r="J217" s="160">
        <v>1</v>
      </c>
      <c r="K217" s="234">
        <v>20</v>
      </c>
      <c r="L217" s="188">
        <v>0.22100320000000001</v>
      </c>
      <c r="M217" s="233">
        <v>221003200</v>
      </c>
      <c r="N217" s="195">
        <v>9.7526683223074465E-2</v>
      </c>
      <c r="O217" s="211">
        <v>4.7753652330228227E-2</v>
      </c>
      <c r="Q217" s="1">
        <v>0</v>
      </c>
      <c r="R217" s="1">
        <v>0</v>
      </c>
    </row>
    <row r="218" spans="1:23" ht="15.6">
      <c r="A218" s="257">
        <v>50</v>
      </c>
      <c r="B218" s="258">
        <v>60</v>
      </c>
      <c r="C218" s="160">
        <v>1268488</v>
      </c>
      <c r="D218" s="30">
        <v>74387473</v>
      </c>
      <c r="E218" s="187">
        <f t="shared" si="6"/>
        <v>0.58642630438758581</v>
      </c>
      <c r="F218" s="188">
        <v>1.2684880000000001E-2</v>
      </c>
      <c r="G218" s="189">
        <v>7.4387472999999996E-3</v>
      </c>
      <c r="H218" s="232">
        <v>0.5</v>
      </c>
      <c r="I218" s="274" t="str">
        <f t="shared" si="7"/>
        <v>(50, 60]</v>
      </c>
      <c r="J218" s="160">
        <v>1</v>
      </c>
      <c r="K218" s="234">
        <v>20</v>
      </c>
      <c r="L218" s="188">
        <v>0.25369760000000002</v>
      </c>
      <c r="M218" s="233">
        <v>253697600</v>
      </c>
      <c r="N218" s="195">
        <v>0.11195442178961326</v>
      </c>
      <c r="O218" s="211">
        <v>6.5653017829931909E-2</v>
      </c>
      <c r="Q218" s="1">
        <v>0</v>
      </c>
      <c r="R218" s="1">
        <v>0</v>
      </c>
    </row>
    <row r="219" spans="1:23" ht="15.6">
      <c r="A219" s="257">
        <v>60</v>
      </c>
      <c r="B219" s="258">
        <v>70</v>
      </c>
      <c r="C219" s="160">
        <v>530651</v>
      </c>
      <c r="D219" s="30">
        <v>35041075</v>
      </c>
      <c r="E219" s="187">
        <f t="shared" si="6"/>
        <v>0.66034126007488914</v>
      </c>
      <c r="F219" s="188">
        <v>5.3065100000000004E-3</v>
      </c>
      <c r="G219" s="189">
        <v>3.5041075000000004E-3</v>
      </c>
      <c r="H219" s="232">
        <v>0.6</v>
      </c>
      <c r="I219" s="274" t="str">
        <f t="shared" si="7"/>
        <v>(60, 70]</v>
      </c>
      <c r="J219" s="160">
        <v>1</v>
      </c>
      <c r="K219" s="234">
        <v>18</v>
      </c>
      <c r="L219" s="188">
        <v>9.5517180000000007E-2</v>
      </c>
      <c r="M219" s="233">
        <v>95517180</v>
      </c>
      <c r="N219" s="195">
        <v>4.2150854631160924E-2</v>
      </c>
      <c r="O219" s="211">
        <v>2.7833948460374281E-2</v>
      </c>
      <c r="Q219" s="1">
        <v>0</v>
      </c>
      <c r="R219" s="1">
        <v>0</v>
      </c>
    </row>
    <row r="220" spans="1:23" ht="15.6">
      <c r="A220" s="257">
        <v>70</v>
      </c>
      <c r="B220" s="258">
        <v>80</v>
      </c>
      <c r="C220" s="160">
        <v>1649064</v>
      </c>
      <c r="D220" s="30">
        <v>128157327</v>
      </c>
      <c r="E220" s="187">
        <f t="shared" si="6"/>
        <v>0.77715192982200809</v>
      </c>
      <c r="F220" s="188">
        <v>1.6490640000000001E-2</v>
      </c>
      <c r="G220" s="189">
        <v>1.28157327E-2</v>
      </c>
      <c r="H220" s="232">
        <v>0.7</v>
      </c>
      <c r="I220" s="274" t="str">
        <f t="shared" si="7"/>
        <v>(70, 80]</v>
      </c>
      <c r="J220" s="160">
        <v>1</v>
      </c>
      <c r="K220" s="234">
        <v>5</v>
      </c>
      <c r="L220" s="188">
        <v>8.2453200000000004E-2</v>
      </c>
      <c r="M220" s="233">
        <v>82453200</v>
      </c>
      <c r="N220" s="195">
        <v>3.6385840192037056E-2</v>
      </c>
      <c r="O220" s="211">
        <v>2.8277325923436784E-2</v>
      </c>
      <c r="Q220" s="1">
        <v>0</v>
      </c>
      <c r="R220" s="1">
        <v>0</v>
      </c>
    </row>
    <row r="221" spans="1:23" ht="15.6">
      <c r="A221" s="257">
        <v>80</v>
      </c>
      <c r="B221" s="258">
        <v>90</v>
      </c>
      <c r="C221" s="160">
        <v>555612</v>
      </c>
      <c r="D221" s="30">
        <v>48514541</v>
      </c>
      <c r="E221" s="187">
        <f t="shared" si="6"/>
        <v>0.87317302362080007</v>
      </c>
      <c r="F221" s="188">
        <v>5.5561200000000003E-3</v>
      </c>
      <c r="G221" s="189">
        <v>4.8514541000000003E-3</v>
      </c>
      <c r="H221" s="232">
        <v>0.8</v>
      </c>
      <c r="I221" s="274" t="str">
        <f t="shared" si="7"/>
        <v>(80, 90]</v>
      </c>
      <c r="J221" s="160">
        <v>1</v>
      </c>
      <c r="K221" s="276">
        <v>18</v>
      </c>
      <c r="L221" s="188">
        <v>0.10001016</v>
      </c>
      <c r="M221" s="233">
        <v>100010160</v>
      </c>
      <c r="N221" s="195">
        <v>4.4133565457011449E-2</v>
      </c>
      <c r="O221" s="211">
        <v>3.8536238793265183E-2</v>
      </c>
      <c r="Q221" s="1">
        <v>7.9402315335495924E-2</v>
      </c>
      <c r="R221" s="1">
        <v>14.290964798365751</v>
      </c>
    </row>
    <row r="222" spans="1:23" ht="15.6">
      <c r="A222" s="257">
        <v>90</v>
      </c>
      <c r="B222" s="258">
        <v>100</v>
      </c>
      <c r="C222" s="160">
        <v>1539704</v>
      </c>
      <c r="D222" s="30">
        <v>152116517</v>
      </c>
      <c r="E222" s="187">
        <f t="shared" si="6"/>
        <v>0.98795948442038206</v>
      </c>
      <c r="F222" s="188">
        <v>1.5397040000000001E-2</v>
      </c>
      <c r="G222" s="189">
        <v>1.52116517E-2</v>
      </c>
      <c r="H222" s="232">
        <v>0.9</v>
      </c>
      <c r="I222" s="274" t="str">
        <f t="shared" si="7"/>
        <v>(90, 100]</v>
      </c>
      <c r="J222" s="160">
        <v>1</v>
      </c>
      <c r="K222" s="276">
        <v>12</v>
      </c>
      <c r="L222" s="188">
        <v>0.18476448000000001</v>
      </c>
      <c r="M222" s="233">
        <v>184764480</v>
      </c>
      <c r="N222" s="195">
        <v>8.1534868779438843E-2</v>
      </c>
      <c r="O222" s="211">
        <v>8.0553146921617899E-2</v>
      </c>
      <c r="Q222" s="1">
        <v>8.0612828152872754E-2</v>
      </c>
      <c r="R222" s="1">
        <v>5.2356055548905989</v>
      </c>
      <c r="T222" s="10">
        <f>O197</f>
        <v>0.92000339110669394</v>
      </c>
    </row>
    <row r="223" spans="1:23" ht="15.6">
      <c r="A223" s="257">
        <v>100</v>
      </c>
      <c r="B223" s="258">
        <v>120</v>
      </c>
      <c r="C223" s="160">
        <v>1458594</v>
      </c>
      <c r="D223" s="30">
        <v>167832648</v>
      </c>
      <c r="E223" s="187">
        <f t="shared" si="6"/>
        <v>1.1506467735367072</v>
      </c>
      <c r="F223" s="188">
        <v>1.458594E-2</v>
      </c>
      <c r="G223" s="189">
        <v>1.6783264799999999E-2</v>
      </c>
      <c r="H223" s="232">
        <v>1</v>
      </c>
      <c r="I223" s="274" t="str">
        <f t="shared" si="7"/>
        <v>(100, 120]</v>
      </c>
      <c r="J223" s="160">
        <v>1</v>
      </c>
      <c r="K223" s="276">
        <v>14</v>
      </c>
      <c r="L223" s="188">
        <v>0.20420315999999999</v>
      </c>
      <c r="M223" s="233">
        <v>204203160</v>
      </c>
      <c r="N223" s="195">
        <v>9.0112979805137619E-2</v>
      </c>
      <c r="O223" s="211">
        <v>0.10368820946656006</v>
      </c>
      <c r="P223" s="1" cm="1">
        <f t="array" ref="P223:P224">1.1*K223:K224</f>
        <v>15.400000000000002</v>
      </c>
      <c r="Q223" s="1">
        <v>0.25624162875535339</v>
      </c>
      <c r="R223" s="1">
        <v>17.5677144397518</v>
      </c>
      <c r="T223" s="1" t="s">
        <v>270</v>
      </c>
      <c r="U223" s="180">
        <f>SUM(N199:N222)</f>
        <v>0.76578152612945605</v>
      </c>
      <c r="V223" s="1" cm="1">
        <f t="array" ref="V223:V228">1/U223:U228</f>
        <v>1.3058554768934829</v>
      </c>
    </row>
    <row r="224" spans="1:23" ht="15.6">
      <c r="A224" s="257">
        <v>120</v>
      </c>
      <c r="B224" s="258">
        <v>140</v>
      </c>
      <c r="C224" s="160">
        <v>877690</v>
      </c>
      <c r="D224" s="30">
        <v>116081908</v>
      </c>
      <c r="E224" s="187">
        <f t="shared" si="6"/>
        <v>1.3225843748931856</v>
      </c>
      <c r="F224" s="188">
        <v>8.7769000000000007E-3</v>
      </c>
      <c r="G224" s="189">
        <v>1.1608190800000001E-2</v>
      </c>
      <c r="H224" s="232">
        <v>1.2</v>
      </c>
      <c r="I224" s="274" t="str">
        <f t="shared" si="7"/>
        <v>(120, 140]</v>
      </c>
      <c r="J224" s="160">
        <v>1</v>
      </c>
      <c r="K224" s="276">
        <v>12.256450834944888</v>
      </c>
      <c r="L224" s="188">
        <v>0.10757364333322779</v>
      </c>
      <c r="M224" s="233">
        <v>107573643</v>
      </c>
      <c r="N224" s="195">
        <v>4.747126106777233E-2</v>
      </c>
      <c r="O224" s="211">
        <v>6.2784748144710883E-2</v>
      </c>
      <c r="P224" s="1">
        <v>13.482095918439377</v>
      </c>
      <c r="Q224" s="1">
        <v>0.14097549009220797</v>
      </c>
      <c r="R224" s="272">
        <v>16.062105081772376</v>
      </c>
      <c r="T224" s="1" t="s">
        <v>274</v>
      </c>
      <c r="U224" s="180">
        <f>SUM(N223:N256)</f>
        <v>0.23421847387054398</v>
      </c>
      <c r="V224" s="1">
        <v>4.2695180421708105</v>
      </c>
      <c r="W224" s="1">
        <v>250</v>
      </c>
    </row>
    <row r="225" spans="1:23" ht="15.6">
      <c r="A225" s="257">
        <v>140</v>
      </c>
      <c r="B225" s="258">
        <v>160</v>
      </c>
      <c r="C225" s="160">
        <v>1887035</v>
      </c>
      <c r="D225" s="30">
        <v>291712730</v>
      </c>
      <c r="E225" s="187">
        <f t="shared" si="6"/>
        <v>1.5458787462871646</v>
      </c>
      <c r="F225" s="188">
        <v>1.8870350000000001E-2</v>
      </c>
      <c r="G225" s="189">
        <v>2.9171272999999998E-2</v>
      </c>
      <c r="H225" s="232">
        <v>1.4</v>
      </c>
      <c r="I225" s="124" t="str">
        <f t="shared" si="7"/>
        <v>(140, 160]</v>
      </c>
      <c r="J225" s="160">
        <v>1</v>
      </c>
      <c r="K225" s="276">
        <v>2.6</v>
      </c>
      <c r="L225" s="188">
        <v>4.9062910000000001E-2</v>
      </c>
      <c r="M225" s="233">
        <v>49062910</v>
      </c>
      <c r="N225" s="195">
        <v>2.1651011757170088E-2</v>
      </c>
      <c r="O225" s="211">
        <v>3.3469838911022759E-2</v>
      </c>
      <c r="Q225" s="1">
        <v>9.1064031970134116E-2</v>
      </c>
      <c r="R225" s="272">
        <v>4.8257733412540897</v>
      </c>
      <c r="T225" s="1" t="s">
        <v>271</v>
      </c>
      <c r="U225" s="180">
        <f>SUM(N228:N256)</f>
        <v>4.452779040408876E-2</v>
      </c>
      <c r="V225" s="1">
        <v>22.457885085359525</v>
      </c>
      <c r="W225" s="1">
        <v>500</v>
      </c>
    </row>
    <row r="226" spans="1:23" ht="15.6">
      <c r="A226" s="257">
        <v>160</v>
      </c>
      <c r="B226" s="258">
        <v>180</v>
      </c>
      <c r="C226" s="160">
        <v>886586</v>
      </c>
      <c r="D226" s="30">
        <v>153618039</v>
      </c>
      <c r="E226" s="187">
        <f t="shared" si="6"/>
        <v>1.7326919103166527</v>
      </c>
      <c r="F226" s="188">
        <v>8.8658599999999997E-3</v>
      </c>
      <c r="G226" s="189">
        <v>1.5361803899999998E-2</v>
      </c>
      <c r="H226" s="232">
        <v>1.6</v>
      </c>
      <c r="I226" s="124" t="str">
        <f t="shared" si="7"/>
        <v>(160, 180]</v>
      </c>
      <c r="J226" s="160">
        <v>1</v>
      </c>
      <c r="K226" s="276">
        <v>3.155488772607359</v>
      </c>
      <c r="L226" s="188">
        <v>2.7976121689508679E-2</v>
      </c>
      <c r="M226" s="233">
        <v>27976121</v>
      </c>
      <c r="N226" s="195">
        <v>1.2345605360363113E-2</v>
      </c>
      <c r="O226" s="211">
        <v>2.139113053586307E-2</v>
      </c>
      <c r="Q226" s="1">
        <v>7.0224662019571435E-2</v>
      </c>
      <c r="R226" s="272">
        <v>7.9207952775671435</v>
      </c>
      <c r="T226" s="1" t="s">
        <v>286</v>
      </c>
      <c r="U226" s="180">
        <f>SUM(N234:N256)</f>
        <v>1.8787987527285676E-2</v>
      </c>
      <c r="V226" s="1">
        <v>53.225498396127115</v>
      </c>
      <c r="W226" s="1">
        <v>1000</v>
      </c>
    </row>
    <row r="227" spans="1:23" ht="15.6">
      <c r="A227" s="257">
        <v>180</v>
      </c>
      <c r="B227" s="258">
        <v>200</v>
      </c>
      <c r="C227" s="160">
        <v>2077451</v>
      </c>
      <c r="D227" s="30">
        <v>409897926</v>
      </c>
      <c r="E227" s="187">
        <f t="shared" si="6"/>
        <v>1.973081078687295</v>
      </c>
      <c r="F227" s="188">
        <v>2.077451E-2</v>
      </c>
      <c r="G227" s="189">
        <v>4.0989792599999998E-2</v>
      </c>
      <c r="H227" s="232">
        <v>1.8</v>
      </c>
      <c r="I227" s="124" t="str">
        <f t="shared" si="7"/>
        <v>(180, 200]</v>
      </c>
      <c r="J227" s="160">
        <v>1</v>
      </c>
      <c r="K227" s="276">
        <v>1.9754160924951016</v>
      </c>
      <c r="L227" s="188">
        <v>4.1038301367700411E-2</v>
      </c>
      <c r="M227" s="233">
        <v>41038301</v>
      </c>
      <c r="N227" s="195">
        <v>1.8109825476012021E-2</v>
      </c>
      <c r="O227" s="211">
        <v>3.5732153985048455E-2</v>
      </c>
      <c r="Q227" s="1">
        <v>4.4118672828784171E-2</v>
      </c>
      <c r="R227" s="272">
        <v>2.1236925842671703</v>
      </c>
      <c r="T227" s="1" t="s">
        <v>287</v>
      </c>
      <c r="U227" s="180">
        <f>SUM(N244:N256)</f>
        <v>3.1319609765469293E-3</v>
      </c>
      <c r="V227" s="1">
        <v>319.28878025246877</v>
      </c>
    </row>
    <row r="228" spans="1:23" ht="15.6">
      <c r="A228" s="257">
        <v>200</v>
      </c>
      <c r="B228" s="258">
        <v>250</v>
      </c>
      <c r="C228" s="160">
        <v>2522136</v>
      </c>
      <c r="D228" s="30">
        <v>580661891</v>
      </c>
      <c r="E228" s="187">
        <f t="shared" si="6"/>
        <v>2.3022624117018275</v>
      </c>
      <c r="F228" s="188">
        <v>2.5221360000000002E-2</v>
      </c>
      <c r="G228" s="189">
        <v>5.8066189100000012E-2</v>
      </c>
      <c r="H228" s="232">
        <v>2</v>
      </c>
      <c r="I228" s="124" t="str">
        <f t="shared" si="7"/>
        <v>(200, 250]</v>
      </c>
      <c r="J228" s="160">
        <v>1</v>
      </c>
      <c r="K228" s="276">
        <v>0.68954418461269873</v>
      </c>
      <c r="L228" s="188">
        <v>1.7391242116023338E-2</v>
      </c>
      <c r="M228" s="233">
        <v>17391242</v>
      </c>
      <c r="N228" s="195">
        <v>7.674595432961279E-3</v>
      </c>
      <c r="O228" s="211">
        <v>1.7668932590325266E-2</v>
      </c>
      <c r="Q228" s="1">
        <v>3.8502217926236877E-2</v>
      </c>
      <c r="R228" s="272">
        <v>1.5265718393550893</v>
      </c>
      <c r="T228" s="1" t="s">
        <v>288</v>
      </c>
      <c r="U228" s="180">
        <f>SUM(N253)</f>
        <v>3.0161344925913713E-5</v>
      </c>
      <c r="V228" s="1">
        <v>33155.020190788317</v>
      </c>
      <c r="W228" s="1">
        <v>10000</v>
      </c>
    </row>
    <row r="229" spans="1:23" ht="15.6">
      <c r="A229" s="257">
        <v>250</v>
      </c>
      <c r="B229" s="258">
        <v>300</v>
      </c>
      <c r="C229" s="160">
        <v>2543354</v>
      </c>
      <c r="D229" s="30">
        <v>717587310</v>
      </c>
      <c r="E229" s="187">
        <f t="shared" si="6"/>
        <v>2.8214212807182957</v>
      </c>
      <c r="F229" s="188">
        <v>2.5433540000000001E-2</v>
      </c>
      <c r="G229" s="189">
        <v>7.1758731000000006E-2</v>
      </c>
      <c r="H229" s="232">
        <v>2.5</v>
      </c>
      <c r="I229" s="275" t="str">
        <f t="shared" si="7"/>
        <v>(250, 300]</v>
      </c>
      <c r="J229" s="160">
        <v>1</v>
      </c>
      <c r="K229" s="276">
        <v>0.99163162551879891</v>
      </c>
      <c r="L229" s="188">
        <v>2.5220702612897394E-2</v>
      </c>
      <c r="M229" s="233">
        <v>25220702</v>
      </c>
      <c r="N229" s="195">
        <v>1.1129664251999793E-2</v>
      </c>
      <c r="O229" s="211">
        <v>3.1401471567841892E-2</v>
      </c>
      <c r="Q229" s="1">
        <v>4.30268268170469E-2</v>
      </c>
      <c r="R229" s="272">
        <v>1.691735669397453</v>
      </c>
    </row>
    <row r="230" spans="1:23" ht="15.6">
      <c r="A230" s="257">
        <v>300</v>
      </c>
      <c r="B230" s="258">
        <v>350</v>
      </c>
      <c r="C230" s="160">
        <v>1844029</v>
      </c>
      <c r="D230" s="30">
        <v>602714011</v>
      </c>
      <c r="E230" s="187">
        <f t="shared" si="6"/>
        <v>3.2684627573644449</v>
      </c>
      <c r="F230" s="188">
        <v>1.8440290000000002E-2</v>
      </c>
      <c r="G230" s="189">
        <v>6.0271401100000004E-2</v>
      </c>
      <c r="H230" s="232">
        <v>3</v>
      </c>
      <c r="I230" s="124" t="str">
        <f t="shared" si="7"/>
        <v>(300, 350]</v>
      </c>
      <c r="J230" s="160">
        <v>1</v>
      </c>
      <c r="K230" s="276">
        <v>0.20552005260883807</v>
      </c>
      <c r="L230" s="188">
        <v>3.7898493709222309E-3</v>
      </c>
      <c r="M230" s="233">
        <v>3789849</v>
      </c>
      <c r="N230" s="195">
        <v>1.6724255706989108E-3</v>
      </c>
      <c r="O230" s="211">
        <v>5.4662606922933673E-3</v>
      </c>
      <c r="Q230" s="1">
        <v>8.1911250087568065E-3</v>
      </c>
      <c r="R230" s="272">
        <v>0.44419719043229827</v>
      </c>
    </row>
    <row r="231" spans="1:23" ht="15.6">
      <c r="A231" s="257">
        <v>350</v>
      </c>
      <c r="B231" s="258">
        <v>400</v>
      </c>
      <c r="C231" s="160">
        <v>2433479</v>
      </c>
      <c r="D231" s="30">
        <v>935627532</v>
      </c>
      <c r="E231" s="187">
        <f t="shared" si="6"/>
        <v>3.8448144898723187</v>
      </c>
      <c r="F231" s="188">
        <v>2.4334789999999999E-2</v>
      </c>
      <c r="G231" s="189">
        <v>9.3562753200000001E-2</v>
      </c>
      <c r="H231" s="232">
        <v>3.5</v>
      </c>
      <c r="I231" s="124" t="str">
        <f t="shared" si="7"/>
        <v>(350, 400]</v>
      </c>
      <c r="J231" s="160">
        <v>1</v>
      </c>
      <c r="K231" s="276">
        <v>0.17836615844132719</v>
      </c>
      <c r="L231" s="188">
        <v>4.3405030087764239E-3</v>
      </c>
      <c r="M231" s="233">
        <v>4340503</v>
      </c>
      <c r="N231" s="195">
        <v>1.915424125577387E-3</v>
      </c>
      <c r="O231" s="211">
        <v>7.3644504322709532E-3</v>
      </c>
      <c r="Q231" s="1">
        <v>6.514510012630619E-3</v>
      </c>
      <c r="R231" s="272">
        <v>0.26770356401804246</v>
      </c>
    </row>
    <row r="232" spans="1:23" ht="15.6">
      <c r="A232" s="257">
        <v>400</v>
      </c>
      <c r="B232" s="258">
        <v>450</v>
      </c>
      <c r="C232" s="160">
        <v>1467139</v>
      </c>
      <c r="D232" s="30">
        <v>628905533</v>
      </c>
      <c r="E232" s="187">
        <f t="shared" si="6"/>
        <v>4.2866117866132658</v>
      </c>
      <c r="F232" s="188">
        <v>1.4671389999999999E-2</v>
      </c>
      <c r="G232" s="189">
        <v>6.2890553299999999E-2</v>
      </c>
      <c r="H232" s="232">
        <v>4</v>
      </c>
      <c r="I232" s="124" t="str">
        <f t="shared" si="7"/>
        <v>(400, 450]</v>
      </c>
      <c r="J232" s="160">
        <v>1</v>
      </c>
      <c r="K232" s="276">
        <v>0.23042856632550246</v>
      </c>
      <c r="L232" s="188">
        <v>3.3807073637023132E-3</v>
      </c>
      <c r="M232" s="233">
        <v>3380707</v>
      </c>
      <c r="N232" s="195">
        <v>1.4918749622586027E-3</v>
      </c>
      <c r="O232" s="211">
        <v>6.3950887973709472E-3</v>
      </c>
      <c r="Q232" s="1">
        <v>7.7168637348166902E-3</v>
      </c>
      <c r="R232" s="272">
        <v>0.52598041050075628</v>
      </c>
    </row>
    <row r="233" spans="1:23" ht="15.6">
      <c r="A233" s="257">
        <v>450</v>
      </c>
      <c r="B233" s="258">
        <v>500</v>
      </c>
      <c r="C233" s="160">
        <v>2060265</v>
      </c>
      <c r="D233" s="30">
        <v>995635480</v>
      </c>
      <c r="E233" s="187">
        <f t="shared" si="6"/>
        <v>4.832560277440038</v>
      </c>
      <c r="F233" s="188">
        <v>2.060265E-2</v>
      </c>
      <c r="G233" s="189">
        <v>9.9563548000000002E-2</v>
      </c>
      <c r="H233" s="232">
        <v>4.5</v>
      </c>
      <c r="I233" s="124" t="str">
        <f t="shared" si="7"/>
        <v>(450, 500]</v>
      </c>
      <c r="J233" s="160">
        <v>1</v>
      </c>
      <c r="K233" s="276">
        <v>0.20412097440394839</v>
      </c>
      <c r="L233" s="188">
        <v>4.2054329933035074E-3</v>
      </c>
      <c r="M233" s="233">
        <v>4205432</v>
      </c>
      <c r="N233" s="195">
        <v>1.8558185333071217E-3</v>
      </c>
      <c r="O233" s="211">
        <v>8.9683549261970284E-3</v>
      </c>
      <c r="Q233" s="1">
        <v>6.6653458860890897E-3</v>
      </c>
      <c r="R233" s="272">
        <v>0.32351886218952852</v>
      </c>
    </row>
    <row r="234" spans="1:23" ht="15.6">
      <c r="A234" s="257">
        <v>500</v>
      </c>
      <c r="B234" s="258">
        <v>550</v>
      </c>
      <c r="C234" s="160">
        <v>1212240</v>
      </c>
      <c r="D234" s="30">
        <v>638030679</v>
      </c>
      <c r="E234" s="187">
        <f t="shared" si="6"/>
        <v>5.2632373044941598</v>
      </c>
      <c r="F234" s="188">
        <v>1.21224E-2</v>
      </c>
      <c r="G234" s="189">
        <v>6.380306790000001E-2</v>
      </c>
      <c r="H234" s="232">
        <v>5</v>
      </c>
      <c r="I234" s="275" t="str">
        <f t="shared" si="7"/>
        <v>(500, 550]</v>
      </c>
      <c r="J234" s="160">
        <v>1</v>
      </c>
      <c r="K234" s="276">
        <v>1</v>
      </c>
      <c r="L234" s="188">
        <v>1.21224E-2</v>
      </c>
      <c r="M234" s="233">
        <v>12122400</v>
      </c>
      <c r="N234" s="195">
        <v>5.3495038293716922E-3</v>
      </c>
      <c r="O234" s="211">
        <v>2.8155708115283451E-2</v>
      </c>
      <c r="Q234" s="1">
        <v>6.9915284329409536E-2</v>
      </c>
      <c r="R234" s="272">
        <v>5.7674457474930323</v>
      </c>
    </row>
    <row r="235" spans="1:23" ht="15.6">
      <c r="A235" s="257">
        <v>550</v>
      </c>
      <c r="B235" s="258">
        <v>600</v>
      </c>
      <c r="C235" s="160">
        <v>1631737</v>
      </c>
      <c r="D235" s="30">
        <v>948575282</v>
      </c>
      <c r="E235" s="187">
        <f t="shared" si="6"/>
        <v>5.8132853640016746</v>
      </c>
      <c r="F235" s="188">
        <v>1.6317370000000001E-2</v>
      </c>
      <c r="G235" s="189">
        <v>9.4857528200000013E-2</v>
      </c>
      <c r="H235" s="232">
        <v>5.5</v>
      </c>
      <c r="I235" s="124" t="str">
        <f t="shared" si="7"/>
        <v>(550, 600]</v>
      </c>
      <c r="J235" s="160">
        <v>1</v>
      </c>
      <c r="K235" s="276">
        <v>0.39123906711820133</v>
      </c>
      <c r="L235" s="188">
        <v>6.3839926166225254E-3</v>
      </c>
      <c r="M235" s="233">
        <v>6383992</v>
      </c>
      <c r="N235" s="195">
        <v>2.8171970608689904E-3</v>
      </c>
      <c r="O235" s="211">
        <v>1.6377170441458238E-2</v>
      </c>
      <c r="Q235" s="1">
        <v>8.0058897102461956E-3</v>
      </c>
      <c r="R235" s="272">
        <v>0.49063603449858617</v>
      </c>
    </row>
    <row r="236" spans="1:23" ht="15.6">
      <c r="A236" s="257">
        <v>600</v>
      </c>
      <c r="B236" s="258">
        <v>650</v>
      </c>
      <c r="C236" s="160">
        <v>1084136</v>
      </c>
      <c r="D236" s="30">
        <v>681954907</v>
      </c>
      <c r="E236" s="187">
        <f t="shared" si="6"/>
        <v>6.2903077381435546</v>
      </c>
      <c r="F236" s="188">
        <v>1.084136E-2</v>
      </c>
      <c r="G236" s="189">
        <v>6.81954907E-2</v>
      </c>
      <c r="H236" s="232">
        <v>6</v>
      </c>
      <c r="I236" s="124" t="str">
        <f t="shared" si="7"/>
        <v>(600, 650]</v>
      </c>
      <c r="J236" s="160">
        <v>1</v>
      </c>
      <c r="K236" s="276">
        <v>0.38898885783660153</v>
      </c>
      <c r="L236" s="188">
        <v>4.2171682437954182E-3</v>
      </c>
      <c r="M236" s="233">
        <v>4217168</v>
      </c>
      <c r="N236" s="195">
        <v>1.8609975223638686E-3</v>
      </c>
      <c r="O236" s="211">
        <v>1.1706247115591425E-2</v>
      </c>
      <c r="Q236" s="1">
        <v>7.2561144134270696E-3</v>
      </c>
      <c r="R236" s="272">
        <v>0.66929927734408501</v>
      </c>
    </row>
    <row r="237" spans="1:23" ht="15.6">
      <c r="A237" s="257">
        <v>650</v>
      </c>
      <c r="B237" s="258">
        <v>700</v>
      </c>
      <c r="C237" s="160">
        <v>1058202</v>
      </c>
      <c r="D237" s="30">
        <v>717856518</v>
      </c>
      <c r="E237" s="187">
        <f t="shared" si="6"/>
        <v>6.7837380575731281</v>
      </c>
      <c r="F237" s="188">
        <v>1.0582019999999999E-2</v>
      </c>
      <c r="G237" s="189">
        <v>7.1785651799999989E-2</v>
      </c>
      <c r="H237" s="232">
        <v>6.5</v>
      </c>
      <c r="I237" s="124" t="str">
        <f t="shared" si="7"/>
        <v>(650, 700]</v>
      </c>
      <c r="J237" s="160">
        <v>1</v>
      </c>
      <c r="K237" s="276">
        <v>0.18764793162253324</v>
      </c>
      <c r="L237" s="188">
        <v>1.9856941653882791E-3</v>
      </c>
      <c r="M237" s="233">
        <v>1985694</v>
      </c>
      <c r="N237" s="195">
        <v>8.762685323830589E-4</v>
      </c>
      <c r="O237" s="211">
        <v>5.944376191780708E-3</v>
      </c>
      <c r="Q237" s="1">
        <v>3.2278154709199157E-3</v>
      </c>
      <c r="R237" s="272">
        <v>0.30502829052675351</v>
      </c>
    </row>
    <row r="238" spans="1:23" ht="15.6">
      <c r="A238" s="257">
        <v>700</v>
      </c>
      <c r="B238" s="258">
        <v>750</v>
      </c>
      <c r="C238" s="160">
        <v>950404</v>
      </c>
      <c r="D238" s="30">
        <v>690609875</v>
      </c>
      <c r="E238" s="187">
        <f t="shared" si="6"/>
        <v>7.2664874621739806</v>
      </c>
      <c r="F238" s="188">
        <v>9.5040400000000001E-3</v>
      </c>
      <c r="G238" s="189">
        <v>6.9060987500000004E-2</v>
      </c>
      <c r="H238" s="232">
        <v>7</v>
      </c>
      <c r="I238" s="124" t="str">
        <f t="shared" si="7"/>
        <v>(700, 750]</v>
      </c>
      <c r="J238" s="160">
        <v>1</v>
      </c>
      <c r="K238" s="276">
        <v>0.17671525976014621</v>
      </c>
      <c r="L238" s="188">
        <v>1.6795088973708199E-3</v>
      </c>
      <c r="M238" s="233">
        <v>1679508</v>
      </c>
      <c r="N238" s="195">
        <v>7.4115146154725073E-4</v>
      </c>
      <c r="O238" s="211">
        <v>5.3855678029050185E-3</v>
      </c>
      <c r="Q238" s="1">
        <v>2.7278614257195857E-3</v>
      </c>
      <c r="R238" s="272">
        <v>0.28702124840800181</v>
      </c>
    </row>
    <row r="239" spans="1:23" ht="15.6">
      <c r="A239" s="257">
        <v>750</v>
      </c>
      <c r="B239" s="258">
        <v>800</v>
      </c>
      <c r="C239" s="160">
        <v>1576249</v>
      </c>
      <c r="D239" s="30">
        <v>1241033893</v>
      </c>
      <c r="E239" s="187">
        <f t="shared" si="6"/>
        <v>7.8733365921247209</v>
      </c>
      <c r="F239" s="188">
        <v>1.5762490000000001E-2</v>
      </c>
      <c r="G239" s="189">
        <v>0.12410338929999999</v>
      </c>
      <c r="H239" s="232">
        <v>7.5</v>
      </c>
      <c r="I239" s="124" t="str">
        <f t="shared" si="7"/>
        <v>(750, 800]</v>
      </c>
      <c r="J239" s="160">
        <v>1</v>
      </c>
      <c r="K239" s="276">
        <v>0.17524791944728263</v>
      </c>
      <c r="L239" s="188">
        <v>2.7623435778085983E-3</v>
      </c>
      <c r="M239" s="233">
        <v>2762343</v>
      </c>
      <c r="N239" s="195">
        <v>1.2189966059970045E-3</v>
      </c>
      <c r="O239" s="211">
        <v>9.5975705836720566E-3</v>
      </c>
      <c r="Q239" s="1">
        <v>2.4722601266254753E-3</v>
      </c>
      <c r="R239" s="272">
        <v>0.15684451673723346</v>
      </c>
    </row>
    <row r="240" spans="1:23" ht="15.6">
      <c r="A240" s="257">
        <v>800</v>
      </c>
      <c r="B240" s="258">
        <v>850</v>
      </c>
      <c r="C240" s="160">
        <v>766734</v>
      </c>
      <c r="D240" s="30">
        <v>635024587</v>
      </c>
      <c r="E240" s="187">
        <f t="shared" si="6"/>
        <v>8.2822020022589324</v>
      </c>
      <c r="F240" s="188">
        <v>7.6673399999999999E-3</v>
      </c>
      <c r="G240" s="189">
        <v>6.35024587E-2</v>
      </c>
      <c r="H240" s="232">
        <v>8</v>
      </c>
      <c r="I240" s="124" t="str">
        <f t="shared" si="7"/>
        <v>(800, 850]</v>
      </c>
      <c r="J240" s="160">
        <v>1</v>
      </c>
      <c r="K240" s="276">
        <v>0.20212398145929827</v>
      </c>
      <c r="L240" s="188">
        <v>1.5497532880021361E-3</v>
      </c>
      <c r="M240" s="233">
        <v>1549753</v>
      </c>
      <c r="N240" s="195">
        <v>6.8389177127303735E-4</v>
      </c>
      <c r="O240" s="211">
        <v>5.6641297973659575E-3</v>
      </c>
      <c r="Q240" s="1">
        <v>2.6780501141775333E-3</v>
      </c>
      <c r="R240" s="272">
        <v>0.34928020854397135</v>
      </c>
    </row>
    <row r="241" spans="1:19" ht="15.6">
      <c r="A241" s="257">
        <v>850</v>
      </c>
      <c r="B241" s="258">
        <v>900</v>
      </c>
      <c r="C241" s="160">
        <v>867556</v>
      </c>
      <c r="D241" s="30">
        <v>763308430</v>
      </c>
      <c r="E241" s="187">
        <f t="shared" si="6"/>
        <v>8.7983764736800847</v>
      </c>
      <c r="F241" s="188">
        <v>8.6755600000000006E-3</v>
      </c>
      <c r="G241" s="189">
        <v>7.6330842999999995E-2</v>
      </c>
      <c r="H241" s="232">
        <v>8.5</v>
      </c>
      <c r="I241" s="124" t="str">
        <f t="shared" si="7"/>
        <v>(850, 900]</v>
      </c>
      <c r="J241" s="160">
        <v>1</v>
      </c>
      <c r="K241" s="276">
        <v>0.17362654215182899</v>
      </c>
      <c r="L241" s="188">
        <v>1.5063074840307217E-3</v>
      </c>
      <c r="M241" s="233">
        <v>1506307</v>
      </c>
      <c r="N241" s="195">
        <v>6.6471945033239174E-4</v>
      </c>
      <c r="O241" s="211">
        <v>5.8484519734020727E-3</v>
      </c>
      <c r="Q241" s="1">
        <v>2.3587479243693745E-3</v>
      </c>
      <c r="R241" s="272">
        <v>0.27188422699737819</v>
      </c>
    </row>
    <row r="242" spans="1:19" ht="15.6">
      <c r="A242" s="257">
        <v>900</v>
      </c>
      <c r="B242" s="258">
        <v>950</v>
      </c>
      <c r="C242" s="160">
        <v>669162</v>
      </c>
      <c r="D242" s="30">
        <v>620331398</v>
      </c>
      <c r="E242" s="187">
        <f t="shared" si="6"/>
        <v>9.2702723406290257</v>
      </c>
      <c r="F242" s="188">
        <v>6.6916199999999997E-3</v>
      </c>
      <c r="G242" s="189">
        <v>6.2033139799999998E-2</v>
      </c>
      <c r="H242" s="232">
        <v>9</v>
      </c>
      <c r="I242" s="124" t="str">
        <f t="shared" si="7"/>
        <v>(900, 950]</v>
      </c>
      <c r="J242" s="160">
        <v>1</v>
      </c>
      <c r="K242" s="276">
        <v>0.17298018662041942</v>
      </c>
      <c r="L242" s="188">
        <v>1.1575176763929309E-3</v>
      </c>
      <c r="M242" s="233">
        <v>1157517</v>
      </c>
      <c r="N242" s="195">
        <v>5.1080162542589203E-4</v>
      </c>
      <c r="O242" s="211">
        <v>4.7352701797339948E-3</v>
      </c>
      <c r="Q242" s="1">
        <v>2.148721438157379E-3</v>
      </c>
      <c r="R242" s="272">
        <v>0.32110631478735779</v>
      </c>
    </row>
    <row r="243" spans="1:19" ht="15.6">
      <c r="A243" s="257">
        <v>950</v>
      </c>
      <c r="B243" s="258">
        <v>1000</v>
      </c>
      <c r="C243" s="160">
        <v>1334174</v>
      </c>
      <c r="D243" s="30">
        <v>1316916180</v>
      </c>
      <c r="E243" s="187">
        <f t="shared" si="6"/>
        <v>9.8706479064949555</v>
      </c>
      <c r="F243" s="188">
        <v>1.334174E-2</v>
      </c>
      <c r="G243" s="189">
        <v>0.13169161800000001</v>
      </c>
      <c r="H243" s="232">
        <v>9.5</v>
      </c>
      <c r="I243" s="124" t="str">
        <f t="shared" si="7"/>
        <v>(950, 1000]</v>
      </c>
      <c r="J243" s="160">
        <v>1</v>
      </c>
      <c r="K243" s="276">
        <v>0.15838385776798272</v>
      </c>
      <c r="L243" s="188">
        <v>2.1131162505374059E-3</v>
      </c>
      <c r="M243" s="233">
        <v>2113116</v>
      </c>
      <c r="N243" s="195">
        <v>9.3249869117555866E-4</v>
      </c>
      <c r="O243" s="211">
        <v>9.2043662538613142E-3</v>
      </c>
      <c r="Q243" s="1">
        <v>1.7940403542475686E-3</v>
      </c>
      <c r="R243" s="272">
        <v>0.13446824434051097</v>
      </c>
    </row>
    <row r="244" spans="1:19" ht="15.6">
      <c r="A244" s="257">
        <v>1000</v>
      </c>
      <c r="B244" s="258">
        <v>2000</v>
      </c>
      <c r="C244" s="160">
        <v>10509302</v>
      </c>
      <c r="D244" s="30">
        <v>15328978759</v>
      </c>
      <c r="E244" s="187">
        <f t="shared" si="6"/>
        <v>14.586105489213271</v>
      </c>
      <c r="F244" s="188">
        <v>0.10509302</v>
      </c>
      <c r="G244" s="189">
        <v>1.5328978759</v>
      </c>
      <c r="H244" s="232">
        <v>10</v>
      </c>
      <c r="I244" s="275" t="str">
        <f t="shared" si="7"/>
        <v>(1000, 2000]</v>
      </c>
      <c r="J244" s="160">
        <v>1</v>
      </c>
      <c r="K244" s="276">
        <v>0.05</v>
      </c>
      <c r="L244" s="188">
        <v>5.2546509999999999E-3</v>
      </c>
      <c r="M244" s="233">
        <v>5254651</v>
      </c>
      <c r="N244" s="195">
        <v>2.3188292455711568E-3</v>
      </c>
      <c r="O244" s="211">
        <v>3.3822687987373715E-2</v>
      </c>
      <c r="Q244" s="1">
        <v>2.1313425890027358E-2</v>
      </c>
      <c r="R244" s="272">
        <v>0.20280534225800495</v>
      </c>
    </row>
    <row r="245" spans="1:19" ht="15.6">
      <c r="A245" s="257">
        <v>2000</v>
      </c>
      <c r="B245" s="258">
        <v>3000</v>
      </c>
      <c r="C245" s="160">
        <v>4918385</v>
      </c>
      <c r="D245" s="30">
        <v>12193671866</v>
      </c>
      <c r="E245" s="187">
        <f t="shared" si="6"/>
        <v>24.792023938752251</v>
      </c>
      <c r="F245" s="188">
        <v>4.9183850000000001E-2</v>
      </c>
      <c r="G245" s="189">
        <v>1.2193671866</v>
      </c>
      <c r="H245" s="232">
        <v>20</v>
      </c>
      <c r="I245" s="124" t="str">
        <f t="shared" si="7"/>
        <v>(2000, 3000]</v>
      </c>
      <c r="J245" s="160">
        <v>1</v>
      </c>
      <c r="K245" s="276">
        <v>1.1085446177670788E-2</v>
      </c>
      <c r="L245" s="188">
        <v>5.4522492198563343E-4</v>
      </c>
      <c r="M245" s="233">
        <v>545224</v>
      </c>
      <c r="N245" s="195">
        <v>2.4060234572901006E-4</v>
      </c>
      <c r="O245" s="211">
        <v>5.9650191150335628E-3</v>
      </c>
      <c r="P245" s="1" cm="1">
        <f t="array" ref="P245:P251">K245:K251*0.5</f>
        <v>5.5427230888353942E-3</v>
      </c>
      <c r="Q245" s="1">
        <v>9.799812056174547E-4</v>
      </c>
      <c r="R245" s="272">
        <v>1.9924857562339155E-2</v>
      </c>
    </row>
    <row r="246" spans="1:19" ht="15.6">
      <c r="A246" s="257">
        <v>3000</v>
      </c>
      <c r="B246" s="258">
        <v>4000</v>
      </c>
      <c r="C246" s="160">
        <v>2837907</v>
      </c>
      <c r="D246" s="30">
        <v>9919932226</v>
      </c>
      <c r="E246" s="187">
        <f t="shared" si="6"/>
        <v>34.955099747807104</v>
      </c>
      <c r="F246" s="188">
        <v>2.8379069999999999E-2</v>
      </c>
      <c r="G246" s="189">
        <v>0.99199322260000011</v>
      </c>
      <c r="H246" s="232">
        <v>30</v>
      </c>
      <c r="I246" s="124" t="str">
        <f t="shared" si="7"/>
        <v>(3000, 4000]</v>
      </c>
      <c r="J246" s="160">
        <v>1</v>
      </c>
      <c r="K246" s="276">
        <v>1.5538338271243089E-2</v>
      </c>
      <c r="L246" s="188">
        <v>4.4096358948328662E-4</v>
      </c>
      <c r="M246" s="233">
        <v>440963</v>
      </c>
      <c r="N246" s="195">
        <v>1.9459292360516313E-4</v>
      </c>
      <c r="O246" s="211">
        <v>6.8020150548358848E-3</v>
      </c>
      <c r="P246" s="1">
        <v>7.7691691356215446E-3</v>
      </c>
      <c r="Q246" s="1">
        <v>6.6755182032057097E-4</v>
      </c>
      <c r="R246" s="272">
        <v>2.3522681339472048E-2</v>
      </c>
    </row>
    <row r="247" spans="1:19" ht="15.6">
      <c r="A247" s="257">
        <v>4000</v>
      </c>
      <c r="B247" s="258">
        <v>5000</v>
      </c>
      <c r="C247" s="160">
        <v>1761161</v>
      </c>
      <c r="D247" s="30">
        <v>7896212944</v>
      </c>
      <c r="E247" s="187">
        <f t="shared" si="6"/>
        <v>44.835270279094303</v>
      </c>
      <c r="F247" s="188">
        <v>1.761161E-2</v>
      </c>
      <c r="G247" s="189">
        <v>0.78962129439999995</v>
      </c>
      <c r="H247" s="232">
        <v>40</v>
      </c>
      <c r="I247" s="124" t="str">
        <f t="shared" si="7"/>
        <v>(4000, 5000]</v>
      </c>
      <c r="J247" s="160">
        <v>1</v>
      </c>
      <c r="K247" s="276">
        <v>1.9907916455192645E-2</v>
      </c>
      <c r="L247" s="188">
        <v>3.5061046052143534E-4</v>
      </c>
      <c r="M247" s="233">
        <v>350610</v>
      </c>
      <c r="N247" s="195">
        <v>1.5472097419784935E-4</v>
      </c>
      <c r="O247" s="211">
        <v>6.9369566960053516E-3</v>
      </c>
      <c r="P247" s="1">
        <v>9.9539582275963226E-3</v>
      </c>
      <c r="Q247" s="1">
        <v>5.2533291433142166E-4</v>
      </c>
      <c r="R247" s="272">
        <v>2.9828784212881255E-2</v>
      </c>
    </row>
    <row r="248" spans="1:19" ht="15.6">
      <c r="A248" s="257">
        <v>5000</v>
      </c>
      <c r="B248" s="258">
        <v>6000</v>
      </c>
      <c r="C248" s="160">
        <v>1179471</v>
      </c>
      <c r="D248" s="30">
        <v>6483628478</v>
      </c>
      <c r="E248" s="187">
        <f t="shared" si="6"/>
        <v>54.970647671710452</v>
      </c>
      <c r="F248" s="188">
        <v>1.179471E-2</v>
      </c>
      <c r="G248" s="189">
        <v>0.64836284779999998</v>
      </c>
      <c r="H248" s="232">
        <v>50</v>
      </c>
      <c r="I248" s="124" t="str">
        <f t="shared" si="7"/>
        <v>(5000, 6000]</v>
      </c>
      <c r="J248" s="160">
        <v>1</v>
      </c>
      <c r="K248" s="276">
        <v>9.8637993378104579E-3</v>
      </c>
      <c r="L248" s="188">
        <v>1.1634065268766638E-4</v>
      </c>
      <c r="M248" s="233">
        <v>116340</v>
      </c>
      <c r="N248" s="195">
        <v>5.1339773931655664E-5</v>
      </c>
      <c r="O248" s="211">
        <v>2.8221806243423084E-3</v>
      </c>
      <c r="P248" s="1">
        <v>4.931899668905229E-3</v>
      </c>
      <c r="Q248" s="1">
        <v>1.3557031728438917E-4</v>
      </c>
      <c r="R248" s="272">
        <v>1.1494162830997046E-2</v>
      </c>
    </row>
    <row r="249" spans="1:19" ht="15.6">
      <c r="A249" s="257">
        <v>6000</v>
      </c>
      <c r="B249" s="258">
        <v>7000</v>
      </c>
      <c r="C249" s="160">
        <v>767262</v>
      </c>
      <c r="D249" s="30">
        <v>4972435851</v>
      </c>
      <c r="E249" s="187">
        <f t="shared" si="6"/>
        <v>64.807534466714102</v>
      </c>
      <c r="F249" s="188">
        <v>7.6726199999999998E-3</v>
      </c>
      <c r="G249" s="189">
        <v>0.49724358509999994</v>
      </c>
      <c r="H249" s="232">
        <v>60</v>
      </c>
      <c r="I249" s="124" t="str">
        <f t="shared" si="7"/>
        <v>(6000, 7000]</v>
      </c>
      <c r="J249" s="160">
        <v>1</v>
      </c>
      <c r="K249" s="276">
        <v>1.4330981379769575E-2</v>
      </c>
      <c r="L249" s="188">
        <v>1.0995617435404763E-4</v>
      </c>
      <c r="M249" s="233">
        <v>109956</v>
      </c>
      <c r="N249" s="195">
        <v>4.8522573340460124E-5</v>
      </c>
      <c r="O249" s="211">
        <v>3.1446283441755323E-3</v>
      </c>
      <c r="P249" s="1">
        <v>7.1654906898847874E-3</v>
      </c>
      <c r="Q249" s="1">
        <v>1.1250205104359218E-4</v>
      </c>
      <c r="R249" s="272">
        <v>1.4662794592146122E-2</v>
      </c>
    </row>
    <row r="250" spans="1:19" ht="15.6">
      <c r="A250" s="257">
        <v>7000</v>
      </c>
      <c r="B250" s="258">
        <v>8000</v>
      </c>
      <c r="C250" s="160">
        <v>539622</v>
      </c>
      <c r="D250" s="30">
        <v>4042311938</v>
      </c>
      <c r="E250" s="187">
        <f t="shared" si="6"/>
        <v>74.910065527350625</v>
      </c>
      <c r="F250" s="188">
        <v>5.3962200000000002E-3</v>
      </c>
      <c r="G250" s="189">
        <v>0.4042311938</v>
      </c>
      <c r="H250" s="232">
        <v>70</v>
      </c>
      <c r="I250" s="124" t="str">
        <f t="shared" si="7"/>
        <v>(7000, 8000]</v>
      </c>
      <c r="J250" s="160">
        <v>1</v>
      </c>
      <c r="K250" s="276">
        <v>1.8994224579629758E-2</v>
      </c>
      <c r="L250" s="188">
        <v>1.024970145610897E-4</v>
      </c>
      <c r="M250" s="233">
        <v>102497</v>
      </c>
      <c r="N250" s="195">
        <v>4.5230985118384998E-5</v>
      </c>
      <c r="O250" s="211">
        <v>3.3882560590848413E-3</v>
      </c>
      <c r="P250" s="1">
        <v>9.497112289814879E-3</v>
      </c>
      <c r="Q250" s="1">
        <v>7.8128587821680228E-5</v>
      </c>
      <c r="R250" s="272">
        <v>1.4478391878329687E-2</v>
      </c>
    </row>
    <row r="251" spans="1:19" ht="15.6">
      <c r="A251" s="257">
        <v>8000</v>
      </c>
      <c r="B251" s="258">
        <v>9000</v>
      </c>
      <c r="C251" s="160">
        <v>368510</v>
      </c>
      <c r="D251" s="30">
        <v>3125427545</v>
      </c>
      <c r="E251" s="187">
        <f t="shared" si="6"/>
        <v>84.812557189764178</v>
      </c>
      <c r="F251" s="188">
        <v>3.6851000000000002E-3</v>
      </c>
      <c r="G251" s="189">
        <v>0.31254275449999996</v>
      </c>
      <c r="H251" s="232">
        <v>80</v>
      </c>
      <c r="I251" s="124" t="str">
        <f t="shared" si="7"/>
        <v>(8000, 9000]</v>
      </c>
      <c r="J251" s="160">
        <v>1</v>
      </c>
      <c r="K251" s="276">
        <v>2.2405195855030924E-2</v>
      </c>
      <c r="L251" s="188">
        <v>8.2565387245374459E-5</v>
      </c>
      <c r="M251" s="233">
        <v>82565</v>
      </c>
      <c r="N251" s="195">
        <v>3.6435176505648529E-5</v>
      </c>
      <c r="O251" s="211">
        <v>3.0901604911044681E-3</v>
      </c>
      <c r="P251" s="198">
        <v>1.1202597927515462E-2</v>
      </c>
      <c r="Q251" s="198">
        <v>5.2881888008113085E-5</v>
      </c>
      <c r="R251" s="272">
        <v>1.4350190770430404E-2</v>
      </c>
      <c r="S251" s="182"/>
    </row>
    <row r="252" spans="1:19" ht="15.6">
      <c r="A252" s="257">
        <v>9000</v>
      </c>
      <c r="B252" s="258">
        <v>10000</v>
      </c>
      <c r="C252" s="160">
        <v>265362</v>
      </c>
      <c r="D252" s="30">
        <v>2517651983</v>
      </c>
      <c r="E252" s="187">
        <f t="shared" si="6"/>
        <v>94.876130832598477</v>
      </c>
      <c r="F252" s="188">
        <v>2.6536200000000002E-3</v>
      </c>
      <c r="G252" s="189">
        <v>0.25176519829999999</v>
      </c>
      <c r="H252" s="232">
        <v>90</v>
      </c>
      <c r="I252" s="124" t="str">
        <f t="shared" si="7"/>
        <v>(9000, 10000]</v>
      </c>
      <c r="J252" s="160">
        <v>1</v>
      </c>
      <c r="K252" s="276">
        <v>9.8427640517539886E-3</v>
      </c>
      <c r="L252" s="188">
        <v>2.611895554301542E-5</v>
      </c>
      <c r="M252" s="233">
        <v>26118</v>
      </c>
      <c r="N252" s="195">
        <v>1.1525633621686288E-5</v>
      </c>
      <c r="O252" s="211">
        <v>1.0935075234197041E-3</v>
      </c>
      <c r="P252" s="198"/>
      <c r="Q252" s="198">
        <v>6.4149322327078174E-6</v>
      </c>
      <c r="R252" s="272">
        <v>2.4174268481198576E-3</v>
      </c>
      <c r="S252" s="182"/>
    </row>
    <row r="253" spans="1:19" ht="15.6">
      <c r="A253" s="257">
        <v>10000</v>
      </c>
      <c r="B253" s="258">
        <v>20000</v>
      </c>
      <c r="C253" s="160">
        <v>683484</v>
      </c>
      <c r="D253" s="30">
        <v>8791228750</v>
      </c>
      <c r="E253" s="187">
        <f t="shared" si="6"/>
        <v>128.62376807650216</v>
      </c>
      <c r="F253" s="188">
        <v>6.83484E-3</v>
      </c>
      <c r="G253" s="189">
        <v>0.87912287499999997</v>
      </c>
      <c r="H253" s="232">
        <v>100</v>
      </c>
      <c r="I253" s="275" t="str">
        <f t="shared" si="7"/>
        <v>(10000, 20000]</v>
      </c>
      <c r="J253" s="160">
        <v>1</v>
      </c>
      <c r="K253" s="276">
        <v>0.01</v>
      </c>
      <c r="L253" s="188">
        <v>6.8348400000000004E-5</v>
      </c>
      <c r="M253" s="233">
        <v>68348</v>
      </c>
      <c r="N253" s="195">
        <v>3.0161344925913713E-5</v>
      </c>
      <c r="O253" s="211">
        <v>3.8794658346261108E-3</v>
      </c>
      <c r="P253" s="198"/>
      <c r="Q253" s="198">
        <v>2.8690654601634571E-4</v>
      </c>
      <c r="R253" s="272">
        <v>4.1977068375608752E-2</v>
      </c>
      <c r="S253" s="182"/>
    </row>
    <row r="254" spans="1:19" ht="15.6">
      <c r="A254" s="257">
        <v>20000</v>
      </c>
      <c r="B254" s="258">
        <v>30000</v>
      </c>
      <c r="C254" s="160">
        <v>50405</v>
      </c>
      <c r="D254" s="30">
        <v>1174139092</v>
      </c>
      <c r="E254" s="187">
        <f t="shared" si="6"/>
        <v>232.94099632972919</v>
      </c>
      <c r="F254" s="188">
        <v>5.0405000000000003E-4</v>
      </c>
      <c r="G254" s="189">
        <v>0.1174139092</v>
      </c>
      <c r="H254" s="232">
        <v>200</v>
      </c>
      <c r="I254" s="124" t="str">
        <f t="shared" si="7"/>
        <v>(20000, 30000]</v>
      </c>
      <c r="J254" s="160">
        <v>1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8115</v>
      </c>
      <c r="D255" s="30">
        <v>293156768</v>
      </c>
      <c r="E255" s="187">
        <f t="shared" si="6"/>
        <v>361.25294886013558</v>
      </c>
      <c r="F255" s="188">
        <v>8.1149999999999994E-5</v>
      </c>
      <c r="G255" s="189">
        <v>2.9315676799999999E-2</v>
      </c>
      <c r="H255" s="232">
        <v>300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2</v>
      </c>
      <c r="D256" s="167">
        <v>207713</v>
      </c>
      <c r="E256" s="190">
        <f t="shared" si="6"/>
        <v>1038.5650000000001</v>
      </c>
      <c r="F256" s="191">
        <v>2E-8</v>
      </c>
      <c r="G256" s="192">
        <v>2.0771300000000002E-5</v>
      </c>
      <c r="H256" s="232">
        <v>1000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>
        <v>0</v>
      </c>
      <c r="S256" s="182"/>
    </row>
    <row r="257" spans="13:17" ht="16.8" thickBot="1">
      <c r="N257" s="1">
        <f>1/N251</f>
        <v>27446.003996850966</v>
      </c>
      <c r="O257" s="10">
        <f>SUM(O240:O250)</f>
        <v>8.8333962085214532E-2</v>
      </c>
      <c r="Q257" s="1">
        <v>0</v>
      </c>
    </row>
    <row r="258" spans="13:17" ht="16.8" thickBot="1">
      <c r="M258" s="114"/>
      <c r="N258" s="164" t="s">
        <v>181</v>
      </c>
      <c r="O258" s="219" t="s">
        <v>180</v>
      </c>
      <c r="Q258" s="1">
        <v>0</v>
      </c>
    </row>
    <row r="259" spans="13:17">
      <c r="M259" s="128" t="s">
        <v>178</v>
      </c>
      <c r="N259" s="218">
        <f>1/SUM(N244:N253)</f>
        <v>319.28878025246877</v>
      </c>
      <c r="O259" s="220" cm="1">
        <f t="array" ref="O259:O260">N261/N259:N260</f>
        <v>43.847453671657007</v>
      </c>
      <c r="Q259" s="1">
        <v>0</v>
      </c>
    </row>
    <row r="260" spans="13:17" ht="16.8" thickBot="1">
      <c r="M260" s="124" t="s">
        <v>179</v>
      </c>
      <c r="N260" s="218">
        <f>1/SUM(N257)</f>
        <v>3.6435176505648529E-5</v>
      </c>
      <c r="O260" s="220">
        <v>384244055.95591354</v>
      </c>
      <c r="Q260" s="1">
        <v>0</v>
      </c>
    </row>
    <row r="261" spans="13:17" ht="16.8" thickBot="1">
      <c r="M261" s="114" t="s">
        <v>177</v>
      </c>
      <c r="N261" s="184">
        <f>N196/250</f>
        <v>14000</v>
      </c>
      <c r="O261" s="165"/>
      <c r="Q261" s="1">
        <v>0</v>
      </c>
    </row>
    <row r="262" spans="13:17">
      <c r="Q262" s="1">
        <v>0</v>
      </c>
    </row>
  </sheetData>
  <phoneticPr fontId="2" type="noConversion"/>
  <conditionalFormatting sqref="J4:O61 C4:G61">
    <cfRule type="cellIs" dxfId="66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{23C85409-BFF0-48B1-A4E4-3AA190B9870B}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{B8EAA82A-6F1F-42BB-AECA-F0ECD1207F74}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{68EA9E07-6A95-4B1B-89E9-2F55E34CB637}</x14:id>
        </ext>
      </extLst>
    </cfRule>
  </conditionalFormatting>
  <conditionalFormatting sqref="J69:O126 C69:G126">
    <cfRule type="cellIs" dxfId="65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{0F7FA5DF-E659-4615-BC56-3021B1948539}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{70D5D492-218B-4797-9834-77FC73890E5C}</x14:id>
        </ext>
      </extLst>
    </cfRule>
  </conditionalFormatting>
  <conditionalFormatting sqref="J134:O191 C134:G191">
    <cfRule type="cellIs" dxfId="64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{280EF7AE-7F6D-4F65-86F6-FD3D15D248A0}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{F118F332-9FC1-4993-A925-B45CFD9A1F83}</x14:id>
        </ext>
      </extLst>
    </cfRule>
  </conditionalFormatting>
  <conditionalFormatting sqref="C199:G256 J199:O256">
    <cfRule type="cellIs" dxfId="63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{C694C419-76B2-4924-9F9E-E35EC1DF98F0}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{E039A1FB-DEB9-4465-90CE-76C9C8AC3F3C}</x14:id>
        </ext>
      </extLst>
    </cfRule>
  </conditionalFormatting>
  <conditionalFormatting sqref="R134:R191">
    <cfRule type="cellIs" dxfId="62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{9A594A4F-18AC-4C2F-9A21-CB4B7690E449}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{8FB8AFC0-69EC-47DF-AA07-120A6328E6F2}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{0BC422E6-9D79-4D65-8E55-E2E5CDD1FFDB}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{49515349-8A28-4FFB-B4BE-D0CC4AA98B99}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C85409-BFF0-48B1-A4E4-3AA190B987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B8EAA82A-6F1F-42BB-AECA-F0ECD1207F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68EA9E07-6A95-4B1B-89E9-2F55E34CB6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0F7FA5DF-E659-4615-BC56-3021B19485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70D5D492-218B-4797-9834-77FC73890E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280EF7AE-7F6D-4F65-86F6-FD3D15D248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F118F332-9FC1-4993-A925-B45CFD9A1F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C694C419-76B2-4924-9F9E-E35EC1DF98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E039A1FB-DEB9-4465-90CE-76C9C8AC3F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9A594A4F-18AC-4C2F-9A21-CB4B7690E4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8FB8AFC0-69EC-47DF-AA07-120A6328E6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0BC422E6-9D79-4D65-8E55-E2E5CDD1FF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49515349-8A28-4FFB-B4BE-D0CC4AA98B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653DA-6803-41AB-842B-DFD95F9DB14A}">
  <sheetPr>
    <tabColor theme="0" tint="-0.14999847407452621"/>
  </sheetPr>
  <dimension ref="A1:BC262"/>
  <sheetViews>
    <sheetView topLeftCell="A196" zoomScale="85" zoomScaleNormal="8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0.91999811825738909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'[5]Raw Data'!$S$1:$T$58</f>
        <v>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</v>
      </c>
      <c r="G199" s="186" cm="1">
        <f t="array" ref="G199:G256">E199:E256*_xlfn.ANCHORARRAY(F199)</f>
        <v>0</v>
      </c>
      <c r="H199" s="232" cm="1">
        <f t="array" ref="H199:H256">A199:A256/E196</f>
        <v>-4.0000000000000001E-3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0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t="e" cm="1">
        <f t="array" ref="R199:R256">Q199:Q256/_xlfn.ANCHORARRAY(J199)/_xlfn.ANCHORARRAY(F199)</f>
        <v>#DIV/0!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 t="e">
        <v>#DIV/0!</v>
      </c>
    </row>
    <row r="201" spans="1:18" ht="15.6">
      <c r="A201" s="257">
        <v>1</v>
      </c>
      <c r="B201" s="258">
        <v>2</v>
      </c>
      <c r="C201" s="160">
        <v>0</v>
      </c>
      <c r="D201" s="30">
        <v>0</v>
      </c>
      <c r="E201" s="187">
        <f t="shared" si="6"/>
        <v>0</v>
      </c>
      <c r="F201" s="188">
        <v>0</v>
      </c>
      <c r="G201" s="189">
        <v>0</v>
      </c>
      <c r="H201" s="232">
        <v>4.0000000000000001E-3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 t="e">
        <v>#DIV/0!</v>
      </c>
    </row>
    <row r="202" spans="1:18" ht="15.6">
      <c r="A202" s="257">
        <v>2</v>
      </c>
      <c r="B202" s="258">
        <v>3</v>
      </c>
      <c r="C202" s="160">
        <v>0</v>
      </c>
      <c r="D202" s="30">
        <v>0</v>
      </c>
      <c r="E202" s="187">
        <f t="shared" si="6"/>
        <v>0</v>
      </c>
      <c r="F202" s="188">
        <v>0</v>
      </c>
      <c r="G202" s="189">
        <v>0</v>
      </c>
      <c r="H202" s="232">
        <v>8.0000000000000002E-3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 t="e">
        <v>#DIV/0!</v>
      </c>
    </row>
    <row r="203" spans="1:18" ht="15.6">
      <c r="A203" s="257">
        <v>3</v>
      </c>
      <c r="B203" s="258">
        <v>4</v>
      </c>
      <c r="C203" s="160">
        <v>0</v>
      </c>
      <c r="D203" s="30">
        <v>0</v>
      </c>
      <c r="E203" s="187">
        <f t="shared" si="6"/>
        <v>0</v>
      </c>
      <c r="F203" s="188">
        <v>0</v>
      </c>
      <c r="G203" s="189">
        <v>0</v>
      </c>
      <c r="H203" s="232">
        <v>1.2E-2</v>
      </c>
      <c r="I203" s="274" t="str">
        <f t="shared" si="7"/>
        <v>(3, 4]</v>
      </c>
      <c r="J203" s="160">
        <v>0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 t="e">
        <v>#DIV/0!</v>
      </c>
    </row>
    <row r="204" spans="1:18" ht="15.6">
      <c r="A204" s="257">
        <v>4</v>
      </c>
      <c r="B204" s="258">
        <v>5</v>
      </c>
      <c r="C204" s="160">
        <v>0</v>
      </c>
      <c r="D204" s="30">
        <v>0</v>
      </c>
      <c r="E204" s="187">
        <f t="shared" si="6"/>
        <v>0</v>
      </c>
      <c r="F204" s="188">
        <v>0</v>
      </c>
      <c r="G204" s="189">
        <v>0</v>
      </c>
      <c r="H204" s="232">
        <v>1.6E-2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 t="e">
        <v>#DIV/0!</v>
      </c>
    </row>
    <row r="205" spans="1:18" ht="15.6">
      <c r="A205" s="257">
        <v>5</v>
      </c>
      <c r="B205" s="258">
        <v>6</v>
      </c>
      <c r="C205" s="160">
        <v>0</v>
      </c>
      <c r="D205" s="30">
        <v>0</v>
      </c>
      <c r="E205" s="187">
        <f t="shared" si="6"/>
        <v>0</v>
      </c>
      <c r="F205" s="188">
        <v>0</v>
      </c>
      <c r="G205" s="189">
        <v>0</v>
      </c>
      <c r="H205" s="232">
        <v>0.02</v>
      </c>
      <c r="I205" s="274" t="str">
        <f t="shared" si="7"/>
        <v>(5, 6]</v>
      </c>
      <c r="J205" s="160">
        <v>0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 t="e">
        <v>#DIV/0!</v>
      </c>
    </row>
    <row r="206" spans="1:18" ht="15.6">
      <c r="A206" s="257">
        <v>6</v>
      </c>
      <c r="B206" s="258">
        <v>7</v>
      </c>
      <c r="C206" s="160">
        <v>0</v>
      </c>
      <c r="D206" s="30">
        <v>0</v>
      </c>
      <c r="E206" s="187">
        <f t="shared" si="6"/>
        <v>0</v>
      </c>
      <c r="F206" s="188">
        <v>0</v>
      </c>
      <c r="G206" s="189">
        <v>0</v>
      </c>
      <c r="H206" s="232">
        <v>2.4E-2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 t="e">
        <v>#DIV/0!</v>
      </c>
    </row>
    <row r="207" spans="1:18" ht="15.6">
      <c r="A207" s="257">
        <v>7</v>
      </c>
      <c r="B207" s="258">
        <v>8</v>
      </c>
      <c r="C207" s="160">
        <v>0</v>
      </c>
      <c r="D207" s="30">
        <v>0</v>
      </c>
      <c r="E207" s="187">
        <f t="shared" si="6"/>
        <v>0</v>
      </c>
      <c r="F207" s="188">
        <v>0</v>
      </c>
      <c r="G207" s="189">
        <v>0</v>
      </c>
      <c r="H207" s="232">
        <v>2.8000000000000001E-2</v>
      </c>
      <c r="I207" s="274" t="str">
        <f t="shared" si="7"/>
        <v>(7, 8]</v>
      </c>
      <c r="J207" s="160">
        <v>0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 t="e">
        <v>#DIV/0!</v>
      </c>
    </row>
    <row r="208" spans="1:18" ht="15.6">
      <c r="A208" s="257">
        <v>8</v>
      </c>
      <c r="B208" s="258">
        <v>9</v>
      </c>
      <c r="C208" s="160">
        <v>0</v>
      </c>
      <c r="D208" s="30">
        <v>0</v>
      </c>
      <c r="E208" s="187">
        <f t="shared" si="6"/>
        <v>0</v>
      </c>
      <c r="F208" s="188">
        <v>0</v>
      </c>
      <c r="G208" s="189">
        <v>0</v>
      </c>
      <c r="H208" s="232">
        <v>3.2000000000000001E-2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 t="e">
        <v>#DIV/0!</v>
      </c>
    </row>
    <row r="209" spans="1:22" ht="15.6">
      <c r="A209" s="257">
        <v>9</v>
      </c>
      <c r="B209" s="258">
        <v>10</v>
      </c>
      <c r="C209" s="160">
        <v>0</v>
      </c>
      <c r="D209" s="30">
        <v>0</v>
      </c>
      <c r="E209" s="187">
        <f t="shared" si="6"/>
        <v>0</v>
      </c>
      <c r="F209" s="188">
        <v>0</v>
      </c>
      <c r="G209" s="189">
        <v>0</v>
      </c>
      <c r="H209" s="232">
        <v>3.5999999999999997E-2</v>
      </c>
      <c r="I209" s="274" t="str">
        <f t="shared" si="7"/>
        <v>(9, 10]</v>
      </c>
      <c r="J209" s="160">
        <v>0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 t="e">
        <v>#DIV/0!</v>
      </c>
    </row>
    <row r="210" spans="1:22" ht="15.6">
      <c r="A210" s="257">
        <v>10</v>
      </c>
      <c r="B210" s="258">
        <v>15</v>
      </c>
      <c r="C210" s="160">
        <v>0</v>
      </c>
      <c r="D210" s="30">
        <v>0</v>
      </c>
      <c r="E210" s="187">
        <f t="shared" si="6"/>
        <v>0</v>
      </c>
      <c r="F210" s="188">
        <v>0</v>
      </c>
      <c r="G210" s="189">
        <v>0</v>
      </c>
      <c r="H210" s="232">
        <v>0.04</v>
      </c>
      <c r="I210" s="274" t="str">
        <f t="shared" si="7"/>
        <v>(10, 15]</v>
      </c>
      <c r="J210" s="160">
        <v>0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 t="e">
        <v>#DIV/0!</v>
      </c>
    </row>
    <row r="211" spans="1:22" ht="15.6">
      <c r="A211" s="257">
        <v>15</v>
      </c>
      <c r="B211" s="258">
        <v>20</v>
      </c>
      <c r="C211" s="160">
        <v>3</v>
      </c>
      <c r="D211" s="30">
        <v>57</v>
      </c>
      <c r="E211" s="187">
        <f t="shared" si="6"/>
        <v>7.5999999999999998E-2</v>
      </c>
      <c r="F211" s="188">
        <v>2.9999999999999997E-8</v>
      </c>
      <c r="G211" s="189">
        <v>2.2799999999999996E-9</v>
      </c>
      <c r="H211" s="232">
        <v>0.06</v>
      </c>
      <c r="I211" s="274" t="str">
        <f t="shared" si="7"/>
        <v>(15, 20]</v>
      </c>
      <c r="J211" s="160">
        <v>0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 t="e">
        <v>#DIV/0!</v>
      </c>
    </row>
    <row r="212" spans="1:22" ht="15.6">
      <c r="A212" s="257">
        <v>20</v>
      </c>
      <c r="B212" s="258">
        <v>25</v>
      </c>
      <c r="C212" s="160">
        <v>14</v>
      </c>
      <c r="D212" s="30">
        <v>325.59999999999997</v>
      </c>
      <c r="E212" s="187">
        <f t="shared" si="6"/>
        <v>9.3028571428571419E-2</v>
      </c>
      <c r="F212" s="188">
        <v>1.4000000000000001E-7</v>
      </c>
      <c r="G212" s="189">
        <v>1.3024E-8</v>
      </c>
      <c r="H212" s="232">
        <v>0.08</v>
      </c>
      <c r="I212" s="274" t="str">
        <f t="shared" si="7"/>
        <v>(20, 25]</v>
      </c>
      <c r="J212" s="160">
        <v>0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0</v>
      </c>
      <c r="R212" s="1" t="e">
        <v>#DIV/0!</v>
      </c>
    </row>
    <row r="213" spans="1:22" ht="15.6">
      <c r="A213" s="257">
        <v>25</v>
      </c>
      <c r="B213" s="258">
        <v>30</v>
      </c>
      <c r="C213" s="160">
        <v>88</v>
      </c>
      <c r="D213" s="30">
        <v>2509.1999999999998</v>
      </c>
      <c r="E213" s="187">
        <f t="shared" si="6"/>
        <v>0.11405454545454545</v>
      </c>
      <c r="F213" s="188">
        <v>8.8000000000000004E-7</v>
      </c>
      <c r="G213" s="189">
        <v>1.00368E-7</v>
      </c>
      <c r="H213" s="232">
        <v>0.1</v>
      </c>
      <c r="I213" s="274" t="str">
        <f t="shared" si="7"/>
        <v>(25, 30]</v>
      </c>
      <c r="J213" s="160">
        <v>0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0</v>
      </c>
      <c r="R213" s="1" t="e">
        <v>#DIV/0!</v>
      </c>
    </row>
    <row r="214" spans="1:22" ht="15.6">
      <c r="A214" s="257">
        <v>30</v>
      </c>
      <c r="B214" s="258">
        <v>35</v>
      </c>
      <c r="C214" s="160">
        <v>389</v>
      </c>
      <c r="D214" s="30">
        <v>12860.000000000002</v>
      </c>
      <c r="E214" s="187">
        <f t="shared" si="6"/>
        <v>0.13223650385604113</v>
      </c>
      <c r="F214" s="188">
        <v>3.89E-6</v>
      </c>
      <c r="G214" s="189">
        <v>5.144E-7</v>
      </c>
      <c r="H214" s="232">
        <v>0.12</v>
      </c>
      <c r="I214" s="274" t="str">
        <f t="shared" si="7"/>
        <v>(30, 35]</v>
      </c>
      <c r="J214" s="160">
        <v>0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0</v>
      </c>
      <c r="R214" s="1" t="e">
        <v>#DIV/0!</v>
      </c>
    </row>
    <row r="215" spans="1:22" ht="15.6">
      <c r="A215" s="257">
        <v>35</v>
      </c>
      <c r="B215" s="258">
        <v>40</v>
      </c>
      <c r="C215" s="160">
        <v>1051</v>
      </c>
      <c r="D215" s="30">
        <v>39931.800000000003</v>
      </c>
      <c r="E215" s="187">
        <f t="shared" si="6"/>
        <v>0.15197640342530924</v>
      </c>
      <c r="F215" s="188">
        <v>1.0509999999999999E-5</v>
      </c>
      <c r="G215" s="189">
        <v>1.597272E-6</v>
      </c>
      <c r="H215" s="232">
        <v>0.14000000000000001</v>
      </c>
      <c r="I215" s="274" t="str">
        <f t="shared" si="7"/>
        <v>(35, 40]</v>
      </c>
      <c r="J215" s="160">
        <v>0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</v>
      </c>
      <c r="R215" s="1" t="e">
        <v>#DIV/0!</v>
      </c>
    </row>
    <row r="216" spans="1:22" ht="15.6">
      <c r="A216" s="257">
        <v>40</v>
      </c>
      <c r="B216" s="258">
        <v>45</v>
      </c>
      <c r="C216" s="160">
        <v>2444</v>
      </c>
      <c r="D216" s="30">
        <v>104864.80000000002</v>
      </c>
      <c r="E216" s="187">
        <f t="shared" si="6"/>
        <v>0.17162815057283146</v>
      </c>
      <c r="F216" s="188">
        <v>2.444E-5</v>
      </c>
      <c r="G216" s="189">
        <v>4.1945920000000011E-6</v>
      </c>
      <c r="H216" s="232">
        <v>0.16</v>
      </c>
      <c r="I216" s="274" t="str">
        <f t="shared" si="7"/>
        <v>(40, 45]</v>
      </c>
      <c r="J216" s="160">
        <v>0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0</v>
      </c>
      <c r="R216" s="1" t="e">
        <v>#DIV/0!</v>
      </c>
    </row>
    <row r="217" spans="1:22" ht="15.6">
      <c r="A217" s="257">
        <v>45</v>
      </c>
      <c r="B217" s="258">
        <v>50</v>
      </c>
      <c r="C217" s="160">
        <v>4827</v>
      </c>
      <c r="D217" s="30">
        <v>231011.80000000002</v>
      </c>
      <c r="E217" s="187">
        <f t="shared" si="6"/>
        <v>0.19143302258131345</v>
      </c>
      <c r="F217" s="188">
        <v>4.8269999999999997E-5</v>
      </c>
      <c r="G217" s="189">
        <v>9.2404719999999991E-6</v>
      </c>
      <c r="H217" s="232">
        <v>0.18</v>
      </c>
      <c r="I217" s="274" t="str">
        <f t="shared" si="7"/>
        <v>(45, 50]</v>
      </c>
      <c r="J217" s="160">
        <v>0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0</v>
      </c>
      <c r="R217" s="1" t="e">
        <v>#DIV/0!</v>
      </c>
    </row>
    <row r="218" spans="1:22" ht="15.6">
      <c r="A218" s="257">
        <v>50</v>
      </c>
      <c r="B218" s="258">
        <v>60</v>
      </c>
      <c r="C218" s="160">
        <v>22349</v>
      </c>
      <c r="D218" s="30">
        <v>1248481.0000000012</v>
      </c>
      <c r="E218" s="187">
        <f t="shared" si="6"/>
        <v>0.22345178755201595</v>
      </c>
      <c r="F218" s="188">
        <v>2.2348999999999999E-4</v>
      </c>
      <c r="G218" s="189">
        <v>4.9939240000000041E-5</v>
      </c>
      <c r="H218" s="232">
        <v>0.2</v>
      </c>
      <c r="I218" s="274" t="str">
        <f t="shared" si="7"/>
        <v>(50, 60]</v>
      </c>
      <c r="J218" s="160">
        <v>0</v>
      </c>
      <c r="K218" s="234">
        <v>0</v>
      </c>
      <c r="L218" s="188">
        <v>0</v>
      </c>
      <c r="M218" s="233">
        <v>0</v>
      </c>
      <c r="N218" s="195">
        <v>0</v>
      </c>
      <c r="O218" s="211">
        <v>0</v>
      </c>
      <c r="Q218" s="1">
        <v>0</v>
      </c>
      <c r="R218" s="1" t="e">
        <v>#DIV/0!</v>
      </c>
    </row>
    <row r="219" spans="1:22" ht="15.6">
      <c r="A219" s="257">
        <v>60</v>
      </c>
      <c r="B219" s="258">
        <v>70</v>
      </c>
      <c r="C219" s="160">
        <v>49818</v>
      </c>
      <c r="D219" s="30">
        <v>3270375.7999999966</v>
      </c>
      <c r="E219" s="187">
        <f t="shared" si="6"/>
        <v>0.26258587659079019</v>
      </c>
      <c r="F219" s="188">
        <v>4.9817999999999998E-4</v>
      </c>
      <c r="G219" s="189">
        <v>1.3081503199999985E-4</v>
      </c>
      <c r="H219" s="232">
        <v>0.24</v>
      </c>
      <c r="I219" s="274" t="str">
        <f t="shared" si="7"/>
        <v>(60, 70]</v>
      </c>
      <c r="J219" s="160">
        <v>1</v>
      </c>
      <c r="K219" s="234">
        <v>0</v>
      </c>
      <c r="L219" s="188">
        <v>0</v>
      </c>
      <c r="M219" s="233">
        <v>0</v>
      </c>
      <c r="N219" s="195">
        <v>0</v>
      </c>
      <c r="O219" s="211">
        <v>0</v>
      </c>
      <c r="Q219" s="1">
        <v>0</v>
      </c>
      <c r="R219" s="1">
        <v>0</v>
      </c>
    </row>
    <row r="220" spans="1:22" ht="15.6">
      <c r="A220" s="257">
        <v>70</v>
      </c>
      <c r="B220" s="258">
        <v>80</v>
      </c>
      <c r="C220" s="160">
        <v>90136</v>
      </c>
      <c r="D220" s="30">
        <v>6807460.1999999927</v>
      </c>
      <c r="E220" s="187">
        <f t="shared" si="6"/>
        <v>0.30209728410402031</v>
      </c>
      <c r="F220" s="188">
        <v>9.0136000000000003E-4</v>
      </c>
      <c r="G220" s="189">
        <v>2.7229840799999975E-4</v>
      </c>
      <c r="H220" s="232">
        <v>0.28000000000000003</v>
      </c>
      <c r="I220" s="274" t="str">
        <f t="shared" si="7"/>
        <v>(70, 80]</v>
      </c>
      <c r="J220" s="160">
        <v>1</v>
      </c>
      <c r="K220" s="234">
        <v>0</v>
      </c>
      <c r="L220" s="188">
        <v>0</v>
      </c>
      <c r="M220" s="233">
        <v>0</v>
      </c>
      <c r="N220" s="195">
        <v>0</v>
      </c>
      <c r="O220" s="211">
        <v>0</v>
      </c>
      <c r="Q220" s="1">
        <v>0</v>
      </c>
      <c r="R220" s="1">
        <v>0</v>
      </c>
    </row>
    <row r="221" spans="1:22" ht="15.6">
      <c r="A221" s="257">
        <v>80</v>
      </c>
      <c r="B221" s="258">
        <v>90</v>
      </c>
      <c r="C221" s="160">
        <v>143098</v>
      </c>
      <c r="D221" s="30">
        <v>12224739.600000001</v>
      </c>
      <c r="E221" s="187">
        <f t="shared" si="6"/>
        <v>0.34171657465513144</v>
      </c>
      <c r="F221" s="188">
        <v>1.4309800000000001E-3</v>
      </c>
      <c r="G221" s="189">
        <v>4.8898958400000006E-4</v>
      </c>
      <c r="H221" s="232">
        <v>0.32</v>
      </c>
      <c r="I221" s="274" t="str">
        <f t="shared" si="7"/>
        <v>(80, 90]</v>
      </c>
      <c r="J221" s="160">
        <v>1</v>
      </c>
      <c r="K221" s="276">
        <v>10</v>
      </c>
      <c r="L221" s="188">
        <v>1.4309800000000001E-2</v>
      </c>
      <c r="M221" s="233">
        <v>14309800</v>
      </c>
      <c r="N221" s="195">
        <v>2.5477900066245958E-2</v>
      </c>
      <c r="O221" s="211">
        <v>8.7062207400433154E-3</v>
      </c>
      <c r="Q221" s="1">
        <v>0</v>
      </c>
      <c r="R221" s="1">
        <v>0</v>
      </c>
    </row>
    <row r="222" spans="1:22" ht="15.6">
      <c r="A222" s="257">
        <v>90</v>
      </c>
      <c r="B222" s="258">
        <v>100</v>
      </c>
      <c r="C222" s="160">
        <v>207649</v>
      </c>
      <c r="D222" s="30">
        <v>19802310.800000019</v>
      </c>
      <c r="E222" s="187">
        <f t="shared" si="6"/>
        <v>0.38145737855708473</v>
      </c>
      <c r="F222" s="188">
        <v>2.0764899999999998E-3</v>
      </c>
      <c r="G222" s="189">
        <v>7.9209243200000076E-4</v>
      </c>
      <c r="H222" s="232">
        <v>0.36</v>
      </c>
      <c r="I222" s="274" t="str">
        <f t="shared" si="7"/>
        <v>(90, 100]</v>
      </c>
      <c r="J222" s="160">
        <v>1</v>
      </c>
      <c r="K222" s="276">
        <v>10</v>
      </c>
      <c r="L222" s="188">
        <v>2.0764899999999999E-2</v>
      </c>
      <c r="M222" s="233">
        <v>20764900</v>
      </c>
      <c r="N222" s="195">
        <v>3.6970890374819404E-2</v>
      </c>
      <c r="O222" s="211">
        <v>1.4102818925299965E-2</v>
      </c>
      <c r="Q222" s="1">
        <v>0</v>
      </c>
      <c r="R222" s="1">
        <v>0</v>
      </c>
      <c r="T222" s="10">
        <f>O197</f>
        <v>0.91999811825738909</v>
      </c>
    </row>
    <row r="223" spans="1:22" ht="15.6">
      <c r="A223" s="257">
        <v>100</v>
      </c>
      <c r="B223" s="258">
        <v>120</v>
      </c>
      <c r="C223" s="160">
        <v>634085</v>
      </c>
      <c r="D223" s="30">
        <v>70309780.799999878</v>
      </c>
      <c r="E223" s="187">
        <f t="shared" si="6"/>
        <v>0.44353536702492491</v>
      </c>
      <c r="F223" s="188">
        <v>6.3408500000000003E-3</v>
      </c>
      <c r="G223" s="189">
        <v>2.8123912319999952E-3</v>
      </c>
      <c r="H223" s="232">
        <v>0.4</v>
      </c>
      <c r="I223" s="274" t="str">
        <f t="shared" si="7"/>
        <v>(100, 120]</v>
      </c>
      <c r="J223" s="160">
        <v>1</v>
      </c>
      <c r="K223" s="276">
        <v>14.770470000000003</v>
      </c>
      <c r="L223" s="188">
        <v>9.3657334699500022E-2</v>
      </c>
      <c r="M223" s="233">
        <v>93657334</v>
      </c>
      <c r="N223" s="195">
        <v>0.16675230933507246</v>
      </c>
      <c r="O223" s="211">
        <v>7.396054672318518E-2</v>
      </c>
      <c r="P223" s="1" cm="1">
        <f t="array" ref="P223:P228">K223:K228*1.1</f>
        <v>16.247517000000006</v>
      </c>
      <c r="Q223" s="1">
        <v>7.7400253083603543E-2</v>
      </c>
      <c r="R223" s="1">
        <v>12.206605279040435</v>
      </c>
      <c r="T223" s="1" t="s">
        <v>270</v>
      </c>
      <c r="U223" s="180">
        <f>SUM(N221:N228)</f>
        <v>0.82708000308103513</v>
      </c>
      <c r="V223" s="1" cm="1">
        <f t="array" ref="V223:V227">1/U223:U227</f>
        <v>1.2090728784093485</v>
      </c>
    </row>
    <row r="224" spans="1:22" ht="15.6">
      <c r="A224" s="257">
        <v>120</v>
      </c>
      <c r="B224" s="258">
        <v>140</v>
      </c>
      <c r="C224" s="160">
        <v>946479</v>
      </c>
      <c r="D224" s="30">
        <v>123645710.00000021</v>
      </c>
      <c r="E224" s="187">
        <f t="shared" si="6"/>
        <v>0.52255025203940164</v>
      </c>
      <c r="F224" s="188">
        <v>9.4647900000000007E-3</v>
      </c>
      <c r="G224" s="189">
        <v>4.945828400000009E-3</v>
      </c>
      <c r="H224" s="232">
        <v>0.48</v>
      </c>
      <c r="I224" s="274" t="str">
        <f t="shared" si="7"/>
        <v>(120, 140]</v>
      </c>
      <c r="J224" s="160">
        <v>1</v>
      </c>
      <c r="K224" s="276">
        <v>8.7809700000000017</v>
      </c>
      <c r="L224" s="188">
        <v>8.3110037046300017E-2</v>
      </c>
      <c r="M224" s="233">
        <v>83110037</v>
      </c>
      <c r="N224" s="195">
        <v>0.14797336211463502</v>
      </c>
      <c r="O224" s="211">
        <v>7.7323517668120179E-2</v>
      </c>
      <c r="P224" s="1">
        <v>9.6590670000000021</v>
      </c>
      <c r="Q224" s="1">
        <v>6.8688952961645344E-2</v>
      </c>
      <c r="R224" s="272">
        <v>7.2573139986883319</v>
      </c>
      <c r="T224" s="1" t="s">
        <v>274</v>
      </c>
      <c r="U224" s="180">
        <f>SUM(N229:N256)</f>
        <v>0.17291999691896487</v>
      </c>
      <c r="V224" s="1">
        <v>5.7830211532367066</v>
      </c>
    </row>
    <row r="225" spans="1:22" ht="15.6">
      <c r="A225" s="257">
        <v>140</v>
      </c>
      <c r="B225" s="258">
        <v>160</v>
      </c>
      <c r="C225" s="160">
        <v>1242630</v>
      </c>
      <c r="D225" s="30">
        <v>186983004.60000077</v>
      </c>
      <c r="E225" s="187">
        <f t="shared" si="6"/>
        <v>0.60189438400811435</v>
      </c>
      <c r="F225" s="188">
        <v>1.2426299999999999E-2</v>
      </c>
      <c r="G225" s="189">
        <v>7.4793201840000307E-3</v>
      </c>
      <c r="H225" s="232">
        <v>0.56000000000000005</v>
      </c>
      <c r="I225" s="124" t="str">
        <f t="shared" si="7"/>
        <v>(140, 160]</v>
      </c>
      <c r="J225" s="160">
        <v>1</v>
      </c>
      <c r="K225" s="276">
        <v>5.8757600000000014</v>
      </c>
      <c r="L225" s="188">
        <v>7.301395648800002E-2</v>
      </c>
      <c r="M225" s="233">
        <v>73013956</v>
      </c>
      <c r="N225" s="195">
        <v>0.12999778294660161</v>
      </c>
      <c r="O225" s="211">
        <v>7.8244935489065331E-2</v>
      </c>
      <c r="P225" s="1">
        <v>6.4633360000000017</v>
      </c>
      <c r="Q225" s="1">
        <v>6.0347248844861485E-2</v>
      </c>
      <c r="R225" s="272">
        <v>4.8564133205267446</v>
      </c>
      <c r="T225" s="1" t="s">
        <v>271</v>
      </c>
      <c r="U225" s="180">
        <f>SUM(N234:N256)</f>
        <v>0.10360138729478667</v>
      </c>
      <c r="V225" s="1">
        <v>9.6523803986775487</v>
      </c>
    </row>
    <row r="226" spans="1:22" ht="15.6">
      <c r="A226" s="257">
        <v>160</v>
      </c>
      <c r="B226" s="258">
        <v>180</v>
      </c>
      <c r="C226" s="160">
        <v>1502100</v>
      </c>
      <c r="D226" s="30">
        <v>255878869.40000087</v>
      </c>
      <c r="E226" s="187">
        <f t="shared" si="6"/>
        <v>0.68138970614473304</v>
      </c>
      <c r="F226" s="188">
        <v>1.5021E-2</v>
      </c>
      <c r="G226" s="189">
        <v>1.0235154776000035E-2</v>
      </c>
      <c r="H226" s="232">
        <v>0.64</v>
      </c>
      <c r="I226" s="124" t="str">
        <f t="shared" si="7"/>
        <v>(160, 180]</v>
      </c>
      <c r="J226" s="160">
        <v>1</v>
      </c>
      <c r="K226" s="276">
        <v>4.3390600000000008</v>
      </c>
      <c r="L226" s="188">
        <v>6.517702026000001E-2</v>
      </c>
      <c r="M226" s="233">
        <v>65177020</v>
      </c>
      <c r="N226" s="195">
        <v>0.11604450112340593</v>
      </c>
      <c r="O226" s="211">
        <v>7.9071528520189713E-2</v>
      </c>
      <c r="P226" s="1">
        <v>4.7729660000000012</v>
      </c>
      <c r="Q226" s="1">
        <v>5.3861375754059262E-2</v>
      </c>
      <c r="R226" s="272">
        <v>3.5857383499140711</v>
      </c>
      <c r="T226" s="1" t="s">
        <v>273</v>
      </c>
      <c r="U226" s="180">
        <f>SUM(N244:N256)</f>
        <v>1.1413254583646001E-2</v>
      </c>
      <c r="V226" s="1">
        <v>87.61742697239886</v>
      </c>
    </row>
    <row r="227" spans="1:22" ht="15.6">
      <c r="A227" s="257">
        <v>180</v>
      </c>
      <c r="B227" s="258">
        <v>200</v>
      </c>
      <c r="C227" s="160">
        <v>1703925</v>
      </c>
      <c r="D227" s="30">
        <v>324189763.80000061</v>
      </c>
      <c r="E227" s="187">
        <f t="shared" si="6"/>
        <v>0.76104233179277392</v>
      </c>
      <c r="F227" s="188">
        <v>1.7039249999999999E-2</v>
      </c>
      <c r="G227" s="189">
        <v>1.2967590552000021E-2</v>
      </c>
      <c r="H227" s="232">
        <v>0.72</v>
      </c>
      <c r="I227" s="124" t="str">
        <f t="shared" si="7"/>
        <v>(180, 200]</v>
      </c>
      <c r="J227" s="160">
        <v>1</v>
      </c>
      <c r="K227" s="276">
        <v>3.4146200000000007</v>
      </c>
      <c r="L227" s="188">
        <v>5.8182563835000006E-2</v>
      </c>
      <c r="M227" s="233">
        <v>58182563</v>
      </c>
      <c r="N227" s="195">
        <v>0.10359121201638455</v>
      </c>
      <c r="O227" s="211">
        <v>7.8837297546188914E-2</v>
      </c>
      <c r="P227" s="1">
        <v>3.756082000000001</v>
      </c>
      <c r="Q227" s="1">
        <v>4.8085852673201937E-2</v>
      </c>
      <c r="R227" s="272">
        <v>2.8220639214285805</v>
      </c>
      <c r="T227" s="1" t="s">
        <v>272</v>
      </c>
      <c r="U227" s="180">
        <f>SUM(N253)</f>
        <v>4.4857754895878378E-4</v>
      </c>
      <c r="V227" s="1">
        <v>2229.2689465202861</v>
      </c>
    </row>
    <row r="228" spans="1:22" ht="15.6">
      <c r="A228" s="257">
        <v>200</v>
      </c>
      <c r="B228" s="258">
        <v>250</v>
      </c>
      <c r="C228" s="160">
        <v>4766985</v>
      </c>
      <c r="D228" s="30">
        <v>1075097306.3999774</v>
      </c>
      <c r="E228" s="187">
        <f t="shared" si="6"/>
        <v>0.90211931138862622</v>
      </c>
      <c r="F228" s="188">
        <v>4.766985E-2</v>
      </c>
      <c r="G228" s="189">
        <v>4.3003892255999106E-2</v>
      </c>
      <c r="H228" s="232">
        <v>0.8</v>
      </c>
      <c r="I228" s="124" t="str">
        <f t="shared" si="7"/>
        <v>(200, 250]</v>
      </c>
      <c r="J228" s="160">
        <v>1</v>
      </c>
      <c r="K228" s="276">
        <v>1.1814246400000004</v>
      </c>
      <c r="L228" s="188">
        <v>5.6318335375104014E-2</v>
      </c>
      <c r="M228" s="233">
        <v>56318335</v>
      </c>
      <c r="N228" s="195">
        <v>0.10027204510387022</v>
      </c>
      <c r="O228" s="211">
        <v>9.0457348280632677E-2</v>
      </c>
      <c r="P228" s="1">
        <v>1.2995671040000005</v>
      </c>
      <c r="Q228" s="1">
        <v>9.0912996272781946E-2</v>
      </c>
      <c r="R228" s="272">
        <v>1.9071382912424089</v>
      </c>
    </row>
    <row r="229" spans="1:22" ht="15.6">
      <c r="A229" s="257">
        <v>250</v>
      </c>
      <c r="B229" s="258">
        <v>300</v>
      </c>
      <c r="C229" s="160">
        <v>4986848</v>
      </c>
      <c r="D229" s="30">
        <v>1371957936.4000092</v>
      </c>
      <c r="E229" s="187">
        <f t="shared" si="6"/>
        <v>1.1004610017389815</v>
      </c>
      <c r="F229" s="188">
        <v>4.986848E-2</v>
      </c>
      <c r="G229" s="189">
        <v>5.4878317456000365E-2</v>
      </c>
      <c r="H229" s="232">
        <v>1</v>
      </c>
      <c r="I229" s="275" t="str">
        <f t="shared" si="7"/>
        <v>(250, 300]</v>
      </c>
      <c r="J229" s="160">
        <v>1</v>
      </c>
      <c r="K229" s="276">
        <v>0.43164819000000004</v>
      </c>
      <c r="L229" s="188">
        <v>2.1525639130051202E-2</v>
      </c>
      <c r="M229" s="233">
        <v>21525639</v>
      </c>
      <c r="N229" s="195">
        <v>3.8325349012850396E-2</v>
      </c>
      <c r="O229" s="211">
        <v>4.2175551966677431E-2</v>
      </c>
      <c r="P229" s="1" cm="1">
        <f t="array" ref="P229:P252">0.9*K229:K252</f>
        <v>0.38848337100000002</v>
      </c>
      <c r="Q229" s="1">
        <v>7.2908085020713193E-2</v>
      </c>
      <c r="R229" s="272">
        <v>1.4620073645860712</v>
      </c>
    </row>
    <row r="230" spans="1:22" ht="15.6">
      <c r="A230" s="257">
        <v>300</v>
      </c>
      <c r="B230" s="258">
        <v>350</v>
      </c>
      <c r="C230" s="160">
        <v>4863081</v>
      </c>
      <c r="D230" s="30">
        <v>1580090483.4000301</v>
      </c>
      <c r="E230" s="187">
        <f t="shared" si="6"/>
        <v>1.2996620729944905</v>
      </c>
      <c r="F230" s="188">
        <v>4.8630809999999997E-2</v>
      </c>
      <c r="G230" s="189">
        <v>6.3203619336001202E-2</v>
      </c>
      <c r="H230" s="232">
        <v>1.2</v>
      </c>
      <c r="I230" s="124" t="str">
        <f t="shared" si="7"/>
        <v>(300, 350]</v>
      </c>
      <c r="J230" s="160">
        <v>1</v>
      </c>
      <c r="K230" s="276">
        <v>9.5216512500000017E-2</v>
      </c>
      <c r="L230" s="188">
        <v>4.6304561282501256E-3</v>
      </c>
      <c r="M230" s="233">
        <v>4630456</v>
      </c>
      <c r="N230" s="195">
        <v>8.2443007749338909E-3</v>
      </c>
      <c r="O230" s="211">
        <v>1.0714805035540665E-2</v>
      </c>
      <c r="P230" s="1">
        <v>8.5694861250000018E-2</v>
      </c>
      <c r="Q230" s="1">
        <v>6.2709612877934584E-2</v>
      </c>
      <c r="R230" s="272">
        <v>1.2895037709208337</v>
      </c>
    </row>
    <row r="231" spans="1:22" ht="15.6">
      <c r="A231" s="257">
        <v>350</v>
      </c>
      <c r="B231" s="258">
        <v>400</v>
      </c>
      <c r="C231" s="160">
        <v>4557798</v>
      </c>
      <c r="D231" s="30">
        <v>1708156946.2000449</v>
      </c>
      <c r="E231" s="187">
        <f t="shared" si="6"/>
        <v>1.4991071971158396</v>
      </c>
      <c r="F231" s="188">
        <v>4.5577979999999997E-2</v>
      </c>
      <c r="G231" s="189">
        <v>6.8326277848001785E-2</v>
      </c>
      <c r="H231" s="232">
        <v>1.4</v>
      </c>
      <c r="I231" s="124" t="str">
        <f t="shared" si="7"/>
        <v>(350, 400]</v>
      </c>
      <c r="J231" s="160">
        <v>1</v>
      </c>
      <c r="K231" s="276">
        <v>8.9680668750000025E-2</v>
      </c>
      <c r="L231" s="188">
        <v>4.0874637266741258E-3</v>
      </c>
      <c r="M231" s="233">
        <v>4087463</v>
      </c>
      <c r="N231" s="195">
        <v>7.2775282560537469E-3</v>
      </c>
      <c r="O231" s="211">
        <v>1.0909794985864057E-2</v>
      </c>
      <c r="P231" s="1">
        <v>8.0712601875000026E-2</v>
      </c>
      <c r="Q231" s="1">
        <v>5.5398397775577569E-2</v>
      </c>
      <c r="R231" s="272">
        <v>1.2154640854109282</v>
      </c>
    </row>
    <row r="232" spans="1:22" ht="15.6">
      <c r="A232" s="257">
        <v>400</v>
      </c>
      <c r="B232" s="258">
        <v>450</v>
      </c>
      <c r="C232" s="160">
        <v>4191727</v>
      </c>
      <c r="D232" s="30">
        <v>1780351596.80005</v>
      </c>
      <c r="E232" s="187">
        <f t="shared" si="6"/>
        <v>1.6989194160784327</v>
      </c>
      <c r="F232" s="188">
        <v>4.191727E-2</v>
      </c>
      <c r="G232" s="189">
        <v>7.1214063872002006E-2</v>
      </c>
      <c r="H232" s="232">
        <v>1.6</v>
      </c>
      <c r="I232" s="124" t="str">
        <f t="shared" si="7"/>
        <v>(400, 450]</v>
      </c>
      <c r="J232" s="160">
        <v>1</v>
      </c>
      <c r="K232" s="276">
        <v>0.10938827250000001</v>
      </c>
      <c r="L232" s="188">
        <v>4.5852577532160751E-3</v>
      </c>
      <c r="M232" s="233">
        <v>4585257</v>
      </c>
      <c r="N232" s="195">
        <v>8.1638261627733962E-3</v>
      </c>
      <c r="O232" s="211">
        <v>1.386968277742481E-2</v>
      </c>
      <c r="P232" s="1">
        <v>9.8449445250000003E-2</v>
      </c>
      <c r="Q232" s="1">
        <v>6.2123649869731096E-2</v>
      </c>
      <c r="R232" s="272">
        <v>1.4820538138512145</v>
      </c>
    </row>
    <row r="233" spans="1:22" ht="15.6">
      <c r="A233" s="257">
        <v>450</v>
      </c>
      <c r="B233" s="258">
        <v>500</v>
      </c>
      <c r="C233" s="160">
        <v>3840201</v>
      </c>
      <c r="D233" s="30">
        <v>1823155774.80005</v>
      </c>
      <c r="E233" s="187">
        <f t="shared" si="6"/>
        <v>1.8990211968592789</v>
      </c>
      <c r="F233" s="188">
        <v>3.840201E-2</v>
      </c>
      <c r="G233" s="189">
        <v>7.2926230992002003E-2</v>
      </c>
      <c r="H233" s="232">
        <v>1.8</v>
      </c>
      <c r="I233" s="124" t="str">
        <f t="shared" si="7"/>
        <v>(450, 500]</v>
      </c>
      <c r="J233" s="160">
        <v>1</v>
      </c>
      <c r="K233" s="276">
        <v>0.10687868999999998</v>
      </c>
      <c r="L233" s="188">
        <v>4.1043565221668991E-3</v>
      </c>
      <c r="M233" s="233">
        <v>4104356</v>
      </c>
      <c r="N233" s="195">
        <v>7.307605417566772E-3</v>
      </c>
      <c r="O233" s="211">
        <v>1.3877297586243002E-2</v>
      </c>
      <c r="P233" s="1">
        <v>9.6190820999999982E-2</v>
      </c>
      <c r="Q233" s="1">
        <v>5.5602830778439631E-2</v>
      </c>
      <c r="R233" s="272">
        <v>1.4479145955755865</v>
      </c>
    </row>
    <row r="234" spans="1:22" ht="15.6">
      <c r="A234" s="257">
        <v>500</v>
      </c>
      <c r="B234" s="258">
        <v>550</v>
      </c>
      <c r="C234" s="160">
        <v>3530394</v>
      </c>
      <c r="D234" s="30">
        <v>1852660071.4000485</v>
      </c>
      <c r="E234" s="187">
        <f t="shared" si="6"/>
        <v>2.0990972354927506</v>
      </c>
      <c r="F234" s="188">
        <v>3.5303939999999999E-2</v>
      </c>
      <c r="G234" s="189">
        <v>7.4106402856001938E-2</v>
      </c>
      <c r="H234" s="232">
        <v>2</v>
      </c>
      <c r="I234" s="275" t="str">
        <f t="shared" si="7"/>
        <v>(500, 550]</v>
      </c>
      <c r="J234" s="160">
        <v>1</v>
      </c>
      <c r="K234" s="276">
        <v>0.94969999999999999</v>
      </c>
      <c r="L234" s="188">
        <v>3.3528151818E-2</v>
      </c>
      <c r="M234" s="233">
        <v>33528151</v>
      </c>
      <c r="N234" s="195">
        <v>5.9695235473871365E-2</v>
      </c>
      <c r="O234" s="211">
        <v>0.12530610375529216</v>
      </c>
      <c r="P234" s="1">
        <v>0.85472999999999999</v>
      </c>
      <c r="Q234" s="1">
        <v>5.0676305709468281E-2</v>
      </c>
      <c r="R234" s="272">
        <v>1.4354291818269656</v>
      </c>
    </row>
    <row r="235" spans="1:22" ht="15.6">
      <c r="A235" s="257">
        <v>550</v>
      </c>
      <c r="B235" s="258">
        <v>600</v>
      </c>
      <c r="C235" s="160">
        <v>3274681</v>
      </c>
      <c r="D235" s="30">
        <v>1882343303.800045</v>
      </c>
      <c r="E235" s="187">
        <f t="shared" si="6"/>
        <v>2.2992692159023065</v>
      </c>
      <c r="F235" s="188">
        <v>3.2746810000000001E-2</v>
      </c>
      <c r="G235" s="189">
        <v>7.5293732152001816E-2</v>
      </c>
      <c r="H235" s="232">
        <v>2.2000000000000002</v>
      </c>
      <c r="I235" s="124" t="str">
        <f t="shared" si="7"/>
        <v>(550, 600]</v>
      </c>
      <c r="J235" s="160">
        <v>1</v>
      </c>
      <c r="K235" s="276">
        <v>0.12693712500000001</v>
      </c>
      <c r="L235" s="188">
        <v>4.1567859143212503E-3</v>
      </c>
      <c r="M235" s="233">
        <v>4156785</v>
      </c>
      <c r="N235" s="195">
        <v>7.4009526916428044E-3</v>
      </c>
      <c r="O235" s="211">
        <v>1.7016782692243614E-2</v>
      </c>
      <c r="P235" s="1">
        <v>0.11424341250000002</v>
      </c>
      <c r="Q235" s="1">
        <v>4.5621503638701051E-2</v>
      </c>
      <c r="R235" s="272">
        <v>1.3931587119081539</v>
      </c>
    </row>
    <row r="236" spans="1:22" ht="15.6">
      <c r="A236" s="257">
        <v>600</v>
      </c>
      <c r="B236" s="258">
        <v>650</v>
      </c>
      <c r="C236" s="160">
        <v>3046802</v>
      </c>
      <c r="D236" s="30">
        <v>1903709185.6000493</v>
      </c>
      <c r="E236" s="187">
        <f t="shared" si="6"/>
        <v>2.4992883496860632</v>
      </c>
      <c r="F236" s="188">
        <v>3.0468019999999998E-2</v>
      </c>
      <c r="G236" s="189">
        <v>7.6148367424001967E-2</v>
      </c>
      <c r="H236" s="232">
        <v>2.4</v>
      </c>
      <c r="I236" s="124" t="str">
        <f t="shared" si="7"/>
        <v>(600, 650]</v>
      </c>
      <c r="J236" s="160">
        <v>1</v>
      </c>
      <c r="K236" s="276">
        <v>0.1272105</v>
      </c>
      <c r="L236" s="188">
        <v>3.8758520582100001E-3</v>
      </c>
      <c r="M236" s="233">
        <v>3875852</v>
      </c>
      <c r="N236" s="195">
        <v>6.9007652047938847E-3</v>
      </c>
      <c r="O236" s="211">
        <v>1.7247002080260317E-2</v>
      </c>
      <c r="P236" s="1">
        <v>0.11448945000000001</v>
      </c>
      <c r="Q236" s="1">
        <v>4.2541585595582201E-2</v>
      </c>
      <c r="R236" s="272">
        <v>1.3962701086444804</v>
      </c>
    </row>
    <row r="237" spans="1:22" ht="15.6">
      <c r="A237" s="257">
        <v>650</v>
      </c>
      <c r="B237" s="258">
        <v>700</v>
      </c>
      <c r="C237" s="160">
        <v>2823907</v>
      </c>
      <c r="D237" s="30">
        <v>1905544434.6000478</v>
      </c>
      <c r="E237" s="187">
        <f t="shared" si="6"/>
        <v>2.6991603258889869</v>
      </c>
      <c r="F237" s="188">
        <v>2.8239070000000002E-2</v>
      </c>
      <c r="G237" s="189">
        <v>7.6221777384001918E-2</v>
      </c>
      <c r="H237" s="232">
        <v>2.6</v>
      </c>
      <c r="I237" s="124" t="str">
        <f t="shared" si="7"/>
        <v>(650, 700]</v>
      </c>
      <c r="J237" s="160">
        <v>1</v>
      </c>
      <c r="K237" s="276">
        <v>6.6338999999999995E-2</v>
      </c>
      <c r="L237" s="188">
        <v>1.8733516647299999E-3</v>
      </c>
      <c r="M237" s="233">
        <v>1873351</v>
      </c>
      <c r="N237" s="195">
        <v>3.3354099684832724E-3</v>
      </c>
      <c r="O237" s="211">
        <v>9.0028062575046846E-3</v>
      </c>
      <c r="P237" s="1">
        <v>5.9705099999999997E-2</v>
      </c>
      <c r="Q237" s="1">
        <v>2.0562628287876795E-2</v>
      </c>
      <c r="R237" s="272">
        <v>0.72816237531465422</v>
      </c>
    </row>
    <row r="238" spans="1:22" ht="15.6">
      <c r="A238" s="257">
        <v>700</v>
      </c>
      <c r="B238" s="258">
        <v>750</v>
      </c>
      <c r="C238" s="160">
        <v>2603045</v>
      </c>
      <c r="D238" s="30">
        <v>1886575256.200032</v>
      </c>
      <c r="E238" s="187">
        <f t="shared" si="6"/>
        <v>2.8990282629766786</v>
      </c>
      <c r="F238" s="188">
        <v>2.603045E-2</v>
      </c>
      <c r="G238" s="189">
        <v>7.5463010248001283E-2</v>
      </c>
      <c r="H238" s="232">
        <v>2.8</v>
      </c>
      <c r="I238" s="124" t="str">
        <f t="shared" si="7"/>
        <v>(700, 750]</v>
      </c>
      <c r="J238" s="160">
        <v>1</v>
      </c>
      <c r="K238" s="276">
        <v>6.3240749999999998E-2</v>
      </c>
      <c r="L238" s="188">
        <v>1.6461851808375E-3</v>
      </c>
      <c r="M238" s="233">
        <v>1646185</v>
      </c>
      <c r="N238" s="195">
        <v>2.9309519993677832E-3</v>
      </c>
      <c r="O238" s="211">
        <v>8.496912683595207E-3</v>
      </c>
      <c r="P238" s="1">
        <v>5.6916675E-2</v>
      </c>
      <c r="Q238" s="1">
        <v>1.8057510252805144E-2</v>
      </c>
      <c r="R238" s="272">
        <v>0.69370718726741731</v>
      </c>
    </row>
    <row r="239" spans="1:22" ht="15.6">
      <c r="A239" s="257">
        <v>750</v>
      </c>
      <c r="B239" s="258">
        <v>800</v>
      </c>
      <c r="C239" s="160">
        <v>2384658</v>
      </c>
      <c r="D239" s="30">
        <v>1847500440.0000355</v>
      </c>
      <c r="E239" s="187">
        <f t="shared" si="6"/>
        <v>3.0989776144001122</v>
      </c>
      <c r="F239" s="188">
        <v>2.3846579999999999E-2</v>
      </c>
      <c r="G239" s="189">
        <v>7.3900017600001422E-2</v>
      </c>
      <c r="H239" s="232">
        <v>3</v>
      </c>
      <c r="I239" s="124" t="str">
        <f t="shared" si="7"/>
        <v>(750, 800]</v>
      </c>
      <c r="J239" s="160">
        <v>1</v>
      </c>
      <c r="K239" s="276">
        <v>6.7159125E-2</v>
      </c>
      <c r="L239" s="188">
        <v>1.6015154470425E-3</v>
      </c>
      <c r="M239" s="233">
        <v>1601515</v>
      </c>
      <c r="N239" s="195">
        <v>2.8514192458730307E-3</v>
      </c>
      <c r="O239" s="211">
        <v>8.8364844122301722E-3</v>
      </c>
      <c r="P239" s="1">
        <v>6.0443212500000003E-2</v>
      </c>
      <c r="Q239" s="1">
        <v>1.7583963246175484E-2</v>
      </c>
      <c r="R239" s="272">
        <v>0.73737882942440736</v>
      </c>
    </row>
    <row r="240" spans="1:22" ht="15.6">
      <c r="A240" s="257">
        <v>800</v>
      </c>
      <c r="B240" s="258">
        <v>850</v>
      </c>
      <c r="C240" s="160">
        <v>2172415</v>
      </c>
      <c r="D240" s="30">
        <v>1791657300.400033</v>
      </c>
      <c r="E240" s="187">
        <f t="shared" si="6"/>
        <v>3.2989227203826763</v>
      </c>
      <c r="F240" s="188">
        <v>2.1724150000000001E-2</v>
      </c>
      <c r="G240" s="189">
        <v>7.1666292016001318E-2</v>
      </c>
      <c r="H240" s="232">
        <v>3.2</v>
      </c>
      <c r="I240" s="124" t="str">
        <f t="shared" si="7"/>
        <v>(800, 850]</v>
      </c>
      <c r="J240" s="160">
        <v>1</v>
      </c>
      <c r="K240" s="276">
        <v>6.4881000000000008E-2</v>
      </c>
      <c r="L240" s="188">
        <v>1.4094845761500002E-3</v>
      </c>
      <c r="M240" s="233">
        <v>1409484</v>
      </c>
      <c r="N240" s="195">
        <v>2.5095174284037944E-3</v>
      </c>
      <c r="O240" s="211">
        <v>8.278704061757583E-3</v>
      </c>
      <c r="P240" s="1">
        <v>5.8392900000000011E-2</v>
      </c>
      <c r="Q240" s="1">
        <v>1.5457205216400873E-2</v>
      </c>
      <c r="R240" s="272">
        <v>0.71152174959208403</v>
      </c>
    </row>
    <row r="241" spans="1:19" ht="15.6">
      <c r="A241" s="257">
        <v>850</v>
      </c>
      <c r="B241" s="258">
        <v>900</v>
      </c>
      <c r="C241" s="160">
        <v>2002662</v>
      </c>
      <c r="D241" s="30">
        <v>1751990991.200026</v>
      </c>
      <c r="E241" s="187">
        <f t="shared" si="6"/>
        <v>3.4993243816480786</v>
      </c>
      <c r="F241" s="188">
        <v>2.0026619999999998E-2</v>
      </c>
      <c r="G241" s="189">
        <v>7.0079639648001041E-2</v>
      </c>
      <c r="H241" s="232">
        <v>3.4</v>
      </c>
      <c r="I241" s="124" t="str">
        <f t="shared" si="7"/>
        <v>(850, 900]</v>
      </c>
      <c r="J241" s="160">
        <v>1</v>
      </c>
      <c r="K241" s="276">
        <v>6.4243124999999998E-2</v>
      </c>
      <c r="L241" s="188">
        <v>1.2865726519874999E-3</v>
      </c>
      <c r="M241" s="233">
        <v>1286572</v>
      </c>
      <c r="N241" s="195">
        <v>2.2906786149373293E-3</v>
      </c>
      <c r="O241" s="211">
        <v>8.0158275277700478E-3</v>
      </c>
      <c r="P241" s="1">
        <v>5.7818812499999997E-2</v>
      </c>
      <c r="Q241" s="1">
        <v>1.4114110197597543E-2</v>
      </c>
      <c r="R241" s="272">
        <v>0.70476746438478111</v>
      </c>
    </row>
    <row r="242" spans="1:19" ht="15.6">
      <c r="A242" s="257">
        <v>900</v>
      </c>
      <c r="B242" s="258">
        <v>950</v>
      </c>
      <c r="C242" s="160">
        <v>1878171</v>
      </c>
      <c r="D242" s="30">
        <v>1737064924.0000238</v>
      </c>
      <c r="E242" s="187">
        <f t="shared" si="6"/>
        <v>3.6994819406753141</v>
      </c>
      <c r="F242" s="188">
        <v>1.878171E-2</v>
      </c>
      <c r="G242" s="189">
        <v>6.9482596960000947E-2</v>
      </c>
      <c r="H242" s="232">
        <v>3.6</v>
      </c>
      <c r="I242" s="124" t="str">
        <f t="shared" si="7"/>
        <v>(900, 950]</v>
      </c>
      <c r="J242" s="160">
        <v>1</v>
      </c>
      <c r="K242" s="276">
        <v>6.6612375000000001E-2</v>
      </c>
      <c r="L242" s="188">
        <v>1.2510943096612501E-3</v>
      </c>
      <c r="M242" s="233">
        <v>1251094</v>
      </c>
      <c r="N242" s="195">
        <v>2.2275117685418328E-3</v>
      </c>
      <c r="O242" s="211">
        <v>8.2406395603622402E-3</v>
      </c>
      <c r="P242" s="1">
        <v>5.9951137500000001E-2</v>
      </c>
      <c r="Q242" s="1">
        <v>1.3730456192226386E-2</v>
      </c>
      <c r="R242" s="272">
        <v>0.73105463731611153</v>
      </c>
    </row>
    <row r="243" spans="1:19" ht="15.6">
      <c r="A243" s="257">
        <v>950</v>
      </c>
      <c r="B243" s="258">
        <v>1000</v>
      </c>
      <c r="C243" s="160">
        <v>1761001</v>
      </c>
      <c r="D243" s="30">
        <v>1716669124.6000195</v>
      </c>
      <c r="E243" s="187">
        <f t="shared" si="6"/>
        <v>3.8993030091408682</v>
      </c>
      <c r="F243" s="188">
        <v>1.7610009999999999E-2</v>
      </c>
      <c r="G243" s="189">
        <v>6.8666764984000775E-2</v>
      </c>
      <c r="H243" s="232">
        <v>3.8</v>
      </c>
      <c r="I243" s="124" t="str">
        <f t="shared" si="7"/>
        <v>(950, 1000]</v>
      </c>
      <c r="J243" s="160">
        <v>1</v>
      </c>
      <c r="K243" s="276">
        <v>6.5245500000000012E-2</v>
      </c>
      <c r="L243" s="188">
        <v>1.1489739074550002E-3</v>
      </c>
      <c r="M243" s="233">
        <v>1148973</v>
      </c>
      <c r="N243" s="195">
        <v>2.0456903152255668E-3</v>
      </c>
      <c r="O243" s="211">
        <v>7.9767664019293836E-3</v>
      </c>
      <c r="P243" s="1">
        <v>5.8720950000000015E-2</v>
      </c>
      <c r="Q243" s="1">
        <v>1.2606859176496028E-2</v>
      </c>
      <c r="R243" s="272">
        <v>0.71589165346845507</v>
      </c>
    </row>
    <row r="244" spans="1:19" ht="15.6">
      <c r="A244" s="257">
        <v>1000</v>
      </c>
      <c r="B244" s="258">
        <v>2000</v>
      </c>
      <c r="C244" s="160">
        <v>20388957</v>
      </c>
      <c r="D244" s="30">
        <v>28817660501.805141</v>
      </c>
      <c r="E244" s="187">
        <f t="shared" si="6"/>
        <v>5.6535820840281614</v>
      </c>
      <c r="F244" s="188">
        <v>0.20388956999999999</v>
      </c>
      <c r="G244" s="189">
        <v>1.1527064200722057</v>
      </c>
      <c r="H244" s="232">
        <v>4</v>
      </c>
      <c r="I244" s="275" t="str">
        <f t="shared" si="7"/>
        <v>(1000, 2000]</v>
      </c>
      <c r="J244" s="160">
        <v>1</v>
      </c>
      <c r="K244" s="276">
        <v>2.3E-2</v>
      </c>
      <c r="L244" s="188">
        <v>4.6894601099999999E-3</v>
      </c>
      <c r="M244" s="233">
        <v>4689460</v>
      </c>
      <c r="N244" s="195">
        <v>8.3493545154130575E-3</v>
      </c>
      <c r="O244" s="211">
        <v>4.7203761101538892E-2</v>
      </c>
      <c r="P244" s="1">
        <v>2.07E-2</v>
      </c>
      <c r="Q244" s="1">
        <v>2.431074434035042E-2</v>
      </c>
      <c r="R244" s="272">
        <v>0.1192348600291345</v>
      </c>
    </row>
    <row r="245" spans="1:19" ht="15.6">
      <c r="A245" s="257">
        <v>2000</v>
      </c>
      <c r="B245" s="258">
        <v>3000</v>
      </c>
      <c r="C245" s="160">
        <v>9404286</v>
      </c>
      <c r="D245" s="30">
        <v>23020354284.201069</v>
      </c>
      <c r="E245" s="187">
        <f t="shared" si="6"/>
        <v>9.7914309642225135</v>
      </c>
      <c r="F245" s="188">
        <v>9.4042860000000006E-2</v>
      </c>
      <c r="G245" s="189">
        <v>0.92081417136804289</v>
      </c>
      <c r="H245" s="232">
        <v>8</v>
      </c>
      <c r="I245" s="124" t="str">
        <f t="shared" si="7"/>
        <v>(2000, 3000]</v>
      </c>
      <c r="J245" s="160">
        <v>1</v>
      </c>
      <c r="K245" s="276">
        <v>5.4675000000000001E-3</v>
      </c>
      <c r="L245" s="188">
        <v>5.1417933705000002E-4</v>
      </c>
      <c r="M245" s="233">
        <v>514179</v>
      </c>
      <c r="N245" s="195">
        <v>9.154705990413759E-4</v>
      </c>
      <c r="O245" s="211">
        <v>8.9637671702890616E-3</v>
      </c>
      <c r="P245" s="1">
        <v>4.9207500000000006E-3</v>
      </c>
      <c r="Q245" s="1">
        <v>5.6683840793573768E-3</v>
      </c>
      <c r="R245" s="272">
        <v>6.0274475694990309E-2</v>
      </c>
    </row>
    <row r="246" spans="1:19" ht="15.6">
      <c r="A246" s="257">
        <v>3000</v>
      </c>
      <c r="B246" s="258">
        <v>4000</v>
      </c>
      <c r="C246" s="160">
        <v>4690088</v>
      </c>
      <c r="D246" s="30">
        <v>16146751881.39921</v>
      </c>
      <c r="E246" s="187">
        <f t="shared" si="6"/>
        <v>13.770958567429192</v>
      </c>
      <c r="F246" s="188">
        <v>4.6900879999999999E-2</v>
      </c>
      <c r="G246" s="189">
        <v>0.6458700752559684</v>
      </c>
      <c r="H246" s="232">
        <v>12</v>
      </c>
      <c r="I246" s="124" t="str">
        <f t="shared" si="7"/>
        <v>(3000, 4000]</v>
      </c>
      <c r="J246" s="160">
        <v>1</v>
      </c>
      <c r="K246" s="276">
        <v>8.4746249999999995E-3</v>
      </c>
      <c r="L246" s="188">
        <v>3.9746737016999999E-4</v>
      </c>
      <c r="M246" s="233">
        <v>397467</v>
      </c>
      <c r="N246" s="195">
        <v>7.0767058279155425E-4</v>
      </c>
      <c r="O246" s="211">
        <v>9.7453022750109627E-3</v>
      </c>
      <c r="P246" s="1">
        <v>7.6271624999999996E-3</v>
      </c>
      <c r="Q246" s="1">
        <v>4.3706780611894929E-3</v>
      </c>
      <c r="R246" s="272">
        <v>9.3189681327716947E-2</v>
      </c>
    </row>
    <row r="247" spans="1:19" ht="15.6">
      <c r="A247" s="257">
        <v>4000</v>
      </c>
      <c r="B247" s="258">
        <v>5000</v>
      </c>
      <c r="C247" s="160">
        <v>2783312</v>
      </c>
      <c r="D247" s="30">
        <v>12417461225.399561</v>
      </c>
      <c r="E247" s="187">
        <f t="shared" si="6"/>
        <v>17.845590038629606</v>
      </c>
      <c r="F247" s="188">
        <v>2.7833119999999999E-2</v>
      </c>
      <c r="G247" s="189">
        <v>0.49669844901598242</v>
      </c>
      <c r="H247" s="232">
        <v>16</v>
      </c>
      <c r="I247" s="124" t="str">
        <f t="shared" si="7"/>
        <v>(4000, 5000]</v>
      </c>
      <c r="J247" s="160">
        <v>1</v>
      </c>
      <c r="K247" s="276">
        <v>1.0388250000000002E-2</v>
      </c>
      <c r="L247" s="188">
        <v>2.8913740884000002E-4</v>
      </c>
      <c r="M247" s="233">
        <v>289137</v>
      </c>
      <c r="N247" s="195">
        <v>5.1479430819816898E-4</v>
      </c>
      <c r="O247" s="211">
        <v>9.186808178324464E-3</v>
      </c>
      <c r="P247" s="1">
        <v>9.3494250000000015E-3</v>
      </c>
      <c r="Q247" s="1">
        <v>3.1750200444502804E-3</v>
      </c>
      <c r="R247" s="272">
        <v>0.11407345078274661</v>
      </c>
    </row>
    <row r="248" spans="1:19" ht="15.6">
      <c r="A248" s="257">
        <v>5000</v>
      </c>
      <c r="B248" s="258">
        <v>6000</v>
      </c>
      <c r="C248" s="160">
        <v>1544786</v>
      </c>
      <c r="D248" s="30">
        <v>8412676960.599865</v>
      </c>
      <c r="E248" s="187">
        <f t="shared" si="6"/>
        <v>21.783410674617368</v>
      </c>
      <c r="F248" s="188">
        <v>1.5447860000000001E-2</v>
      </c>
      <c r="G248" s="189">
        <v>0.33650707842399469</v>
      </c>
      <c r="H248" s="232">
        <v>20</v>
      </c>
      <c r="I248" s="124" t="str">
        <f t="shared" si="7"/>
        <v>(5000, 6000]</v>
      </c>
      <c r="J248" s="160">
        <v>1</v>
      </c>
      <c r="K248" s="276">
        <v>5.8320000000000004E-3</v>
      </c>
      <c r="L248" s="188">
        <v>9.0091919520000007E-5</v>
      </c>
      <c r="M248" s="233">
        <v>90091</v>
      </c>
      <c r="N248" s="195">
        <v>1.6040262581364971E-4</v>
      </c>
      <c r="O248" s="211">
        <v>3.4941162713857123E-3</v>
      </c>
      <c r="P248" s="1">
        <v>5.2488000000000005E-3</v>
      </c>
      <c r="Q248" s="1">
        <v>4.9441000692174012E-4</v>
      </c>
      <c r="R248" s="272">
        <v>3.2005080763402832E-2</v>
      </c>
    </row>
    <row r="249" spans="1:19" ht="15.6">
      <c r="A249" s="257">
        <v>6000</v>
      </c>
      <c r="B249" s="258">
        <v>7000</v>
      </c>
      <c r="C249" s="160">
        <v>864377</v>
      </c>
      <c r="D249" s="30">
        <v>5577415403.9999809</v>
      </c>
      <c r="E249" s="187">
        <f t="shared" si="6"/>
        <v>25.810105562734687</v>
      </c>
      <c r="F249" s="188">
        <v>8.6437700000000003E-3</v>
      </c>
      <c r="G249" s="189">
        <v>0.22309661615999921</v>
      </c>
      <c r="H249" s="232">
        <v>24</v>
      </c>
      <c r="I249" s="124" t="str">
        <f t="shared" si="7"/>
        <v>(6000, 7000]</v>
      </c>
      <c r="J249" s="160">
        <v>1</v>
      </c>
      <c r="K249" s="276">
        <v>8.5657500000000022E-3</v>
      </c>
      <c r="L249" s="188">
        <v>7.4040372877500025E-5</v>
      </c>
      <c r="M249" s="233">
        <v>74040</v>
      </c>
      <c r="N249" s="195">
        <v>1.3182460418069091E-4</v>
      </c>
      <c r="O249" s="211">
        <v>3.402406949669349E-3</v>
      </c>
      <c r="P249" s="1">
        <v>7.7091750000000021E-3</v>
      </c>
      <c r="Q249" s="1">
        <v>4.0390100565461406E-4</v>
      </c>
      <c r="R249" s="272">
        <v>4.6727412420114606E-2</v>
      </c>
    </row>
    <row r="250" spans="1:19" ht="15.6">
      <c r="A250" s="257">
        <v>7000</v>
      </c>
      <c r="B250" s="258">
        <v>8000</v>
      </c>
      <c r="C250" s="160">
        <v>465925</v>
      </c>
      <c r="D250" s="30">
        <v>3470876516.2000175</v>
      </c>
      <c r="E250" s="187">
        <f t="shared" si="6"/>
        <v>29.797727241079723</v>
      </c>
      <c r="F250" s="188">
        <v>4.6592500000000002E-3</v>
      </c>
      <c r="G250" s="189">
        <v>0.13883506064800072</v>
      </c>
      <c r="H250" s="232">
        <v>28</v>
      </c>
      <c r="I250" s="124" t="str">
        <f t="shared" si="7"/>
        <v>(7000, 8000]</v>
      </c>
      <c r="J250" s="160">
        <v>1</v>
      </c>
      <c r="K250" s="276">
        <v>1.2575250000000003E-2</v>
      </c>
      <c r="L250" s="188">
        <v>5.8591233562500017E-5</v>
      </c>
      <c r="M250" s="233">
        <v>58591</v>
      </c>
      <c r="N250" s="195">
        <v>1.0431841414844491E-4</v>
      </c>
      <c r="O250" s="211">
        <v>3.1084516510173532E-3</v>
      </c>
      <c r="P250" s="1">
        <v>1.1317725000000002E-2</v>
      </c>
      <c r="Q250" s="1">
        <v>3.2245300451434208E-4</v>
      </c>
      <c r="R250" s="272">
        <v>6.9207062191198598E-2</v>
      </c>
    </row>
    <row r="251" spans="1:19" ht="15.6">
      <c r="A251" s="257">
        <v>8000</v>
      </c>
      <c r="B251" s="258">
        <v>9000</v>
      </c>
      <c r="C251" s="160">
        <v>261695</v>
      </c>
      <c r="D251" s="30">
        <v>2212341453.800005</v>
      </c>
      <c r="E251" s="187">
        <f t="shared" si="6"/>
        <v>33.815570856149407</v>
      </c>
      <c r="F251" s="188">
        <v>2.6169499999999998E-3</v>
      </c>
      <c r="G251" s="189">
        <v>8.8493658152000179E-2</v>
      </c>
      <c r="H251" s="232">
        <v>32</v>
      </c>
      <c r="I251" s="124" t="str">
        <f t="shared" si="7"/>
        <v>(8000, 9000]</v>
      </c>
      <c r="J251" s="160">
        <v>1</v>
      </c>
      <c r="K251" s="276">
        <v>1.5309000000000001E-2</v>
      </c>
      <c r="L251" s="188">
        <v>4.0062887550000004E-5</v>
      </c>
      <c r="M251" s="233">
        <v>40062</v>
      </c>
      <c r="N251" s="195">
        <v>7.1328434531156668E-5</v>
      </c>
      <c r="O251" s="211">
        <v>2.4120117319465424E-3</v>
      </c>
      <c r="P251" s="198">
        <v>1.3778100000000001E-2</v>
      </c>
      <c r="Q251" s="198">
        <v>2.1996900307956604E-4</v>
      </c>
      <c r="R251" s="272">
        <v>8.4055485614767597E-2</v>
      </c>
      <c r="S251" s="182"/>
    </row>
    <row r="252" spans="1:19" ht="15.6">
      <c r="A252" s="257">
        <v>9000</v>
      </c>
      <c r="B252" s="258">
        <v>10000</v>
      </c>
      <c r="C252" s="160">
        <v>146589</v>
      </c>
      <c r="D252" s="30">
        <v>1385775118.4000006</v>
      </c>
      <c r="E252" s="187">
        <f t="shared" si="6"/>
        <v>37.813891039573242</v>
      </c>
      <c r="F252" s="188">
        <v>1.4658900000000001E-3</v>
      </c>
      <c r="G252" s="189">
        <v>5.5431004736000024E-2</v>
      </c>
      <c r="H252" s="232">
        <v>36</v>
      </c>
      <c r="I252" s="124" t="str">
        <f t="shared" si="7"/>
        <v>(9000, 10000]</v>
      </c>
      <c r="J252" s="160">
        <v>1</v>
      </c>
      <c r="K252" s="276">
        <v>3.6450000000000007E-3</v>
      </c>
      <c r="L252" s="188">
        <v>5.343169050000001E-6</v>
      </c>
      <c r="M252" s="233">
        <v>5343</v>
      </c>
      <c r="N252" s="195">
        <v>9.5129505691171192E-6</v>
      </c>
      <c r="O252" s="211">
        <v>3.5972167628544103E-4</v>
      </c>
      <c r="P252" s="198">
        <v>3.2805000000000009E-3</v>
      </c>
      <c r="Q252" s="198">
        <v>2.0430570286027985E-3</v>
      </c>
      <c r="R252" s="272">
        <v>1.3937314727590737</v>
      </c>
      <c r="S252" s="182"/>
    </row>
    <row r="253" spans="1:19" ht="15.6">
      <c r="A253" s="257">
        <v>10000</v>
      </c>
      <c r="B253" s="258">
        <v>20000</v>
      </c>
      <c r="C253" s="160">
        <v>209955</v>
      </c>
      <c r="D253" s="30">
        <v>2510177851.8000059</v>
      </c>
      <c r="E253" s="187">
        <f t="shared" si="6"/>
        <v>47.82315928270355</v>
      </c>
      <c r="F253" s="188">
        <v>2.0995499999999999E-3</v>
      </c>
      <c r="G253" s="189">
        <v>0.10040711407200023</v>
      </c>
      <c r="H253" s="232">
        <v>40</v>
      </c>
      <c r="I253" s="275" t="str">
        <f t="shared" si="7"/>
        <v>(10000, 20000]</v>
      </c>
      <c r="J253" s="160">
        <v>1</v>
      </c>
      <c r="K253" s="276">
        <v>0.12</v>
      </c>
      <c r="L253" s="188">
        <v>2.5194599999999996E-4</v>
      </c>
      <c r="M253" s="233">
        <v>251946</v>
      </c>
      <c r="N253" s="195">
        <v>4.4857754895878378E-4</v>
      </c>
      <c r="O253" s="211">
        <v>2.1452395574500668E-2</v>
      </c>
      <c r="P253" s="198"/>
      <c r="Q253" s="198">
        <v>0</v>
      </c>
      <c r="R253" s="272">
        <v>0</v>
      </c>
      <c r="S253" s="182"/>
    </row>
    <row r="254" spans="1:19" ht="15.6">
      <c r="A254" s="257">
        <v>20000</v>
      </c>
      <c r="B254" s="258">
        <v>30000</v>
      </c>
      <c r="C254" s="160">
        <v>4230</v>
      </c>
      <c r="D254" s="30">
        <v>96912531.399999991</v>
      </c>
      <c r="E254" s="187">
        <f t="shared" si="6"/>
        <v>91.643055697399518</v>
      </c>
      <c r="F254" s="188">
        <v>4.2299999999999998E-5</v>
      </c>
      <c r="G254" s="189">
        <v>3.8765012559999995E-3</v>
      </c>
      <c r="H254" s="232">
        <v>80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 t="e">
        <v>#DIV/0!</v>
      </c>
      <c r="S254" s="182"/>
    </row>
    <row r="255" spans="1:19" ht="15.6">
      <c r="A255" s="257">
        <v>30000</v>
      </c>
      <c r="B255" s="258">
        <v>100000</v>
      </c>
      <c r="C255" s="160">
        <v>339</v>
      </c>
      <c r="D255" s="30">
        <v>11809946.6</v>
      </c>
      <c r="E255" s="187">
        <f t="shared" si="6"/>
        <v>139.350402359882</v>
      </c>
      <c r="F255" s="188">
        <v>3.3900000000000002E-6</v>
      </c>
      <c r="G255" s="189">
        <v>4.7239786400000001E-4</v>
      </c>
      <c r="H255" s="232">
        <v>120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 t="e">
        <v>#DIV/0!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400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 t="e">
        <v>#DIV/0!</v>
      </c>
      <c r="S256" s="182"/>
    </row>
    <row r="257" spans="17:17">
      <c r="Q257" s="1">
        <v>0</v>
      </c>
    </row>
    <row r="258" spans="17:17">
      <c r="Q258" s="1">
        <v>0</v>
      </c>
    </row>
    <row r="259" spans="17:17">
      <c r="Q259" s="1">
        <v>0</v>
      </c>
    </row>
    <row r="260" spans="17:17">
      <c r="Q260" s="1">
        <v>0</v>
      </c>
    </row>
    <row r="261" spans="17:17">
      <c r="Q261" s="1">
        <v>0</v>
      </c>
    </row>
    <row r="262" spans="17:17">
      <c r="Q262" s="1">
        <v>0</v>
      </c>
    </row>
  </sheetData>
  <phoneticPr fontId="2" type="noConversion"/>
  <conditionalFormatting sqref="J4:O61 C4:G61">
    <cfRule type="cellIs" dxfId="61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{A4AFF36F-83DF-499E-A661-C81C4676FCE7}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{EB16A419-CB36-4FD0-8A32-E3D32FCFB8B7}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{19663272-E71A-4A21-BCCF-87A781294BD7}</x14:id>
        </ext>
      </extLst>
    </cfRule>
  </conditionalFormatting>
  <conditionalFormatting sqref="J69:O126 C69:G126">
    <cfRule type="cellIs" dxfId="60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{FE7A2620-82A1-47A6-B9AB-622E05D492D3}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{B4C118D6-FFE4-4B1B-A8E1-9AB92FCB43B5}</x14:id>
        </ext>
      </extLst>
    </cfRule>
  </conditionalFormatting>
  <conditionalFormatting sqref="J134:O191 C134:G191">
    <cfRule type="cellIs" dxfId="59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{26298C38-80FC-437C-A546-53E34CA5F0B5}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{0556627D-73B1-4F82-9EC3-B1F2DE13EB08}</x14:id>
        </ext>
      </extLst>
    </cfRule>
  </conditionalFormatting>
  <conditionalFormatting sqref="C199:G256 J199:O256">
    <cfRule type="cellIs" dxfId="58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{06CA9FAA-3392-4F01-9797-3FAEFA392308}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{1AA53E1F-5327-468A-972E-3C0791CD5BCA}</x14:id>
        </ext>
      </extLst>
    </cfRule>
  </conditionalFormatting>
  <conditionalFormatting sqref="R134:R191">
    <cfRule type="cellIs" dxfId="57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{480F4556-02CC-4A2F-AAF3-37055F1F95B7}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{72985E8F-CE04-4319-8518-87A2BF3383FB}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{AC4F7877-427E-49CC-A28F-3F4D7F746ACF}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{4E080213-9C78-4715-A851-04FF78E29C84}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AFF36F-83DF-499E-A661-C81C4676FC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EB16A419-CB36-4FD0-8A32-E3D32FCFB8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19663272-E71A-4A21-BCCF-87A781294B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FE7A2620-82A1-47A6-B9AB-622E05D492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B4C118D6-FFE4-4B1B-A8E1-9AB92FCB43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26298C38-80FC-437C-A546-53E34CA5F0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0556627D-73B1-4F82-9EC3-B1F2DE13EB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06CA9FAA-3392-4F01-9797-3FAEFA3923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1AA53E1F-5327-468A-972E-3C0791CD5B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480F4556-02CC-4A2F-AAF3-37055F1F9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72985E8F-CE04-4319-8518-87A2BF3383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C4F7877-427E-49CC-A28F-3F4D7F746A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4E080213-9C78-4715-A851-04FF78E29C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EE4FA-5AD1-4A52-AFF3-B5A7DC441945}">
  <sheetPr>
    <tabColor theme="0" tint="-0.14999847407452621"/>
  </sheetPr>
  <dimension ref="A1:AD232"/>
  <sheetViews>
    <sheetView topLeftCell="G166" zoomScale="85" zoomScaleNormal="85" workbookViewId="0">
      <selection activeCell="O199" sqref="O199"/>
    </sheetView>
  </sheetViews>
  <sheetFormatPr defaultRowHeight="16.2"/>
  <cols>
    <col min="1" max="2" width="8.88671875" style="1"/>
    <col min="3" max="5" width="22.33203125" style="1" customWidth="1"/>
    <col min="6" max="6" width="22.33203125" customWidth="1"/>
    <col min="7" max="7" width="24" style="1" bestFit="1" customWidth="1"/>
    <col min="8" max="8" width="22.33203125" style="1" customWidth="1"/>
    <col min="9" max="9" width="22.44140625" style="1" bestFit="1" customWidth="1"/>
    <col min="10" max="10" width="11.88671875" style="1" customWidth="1"/>
    <col min="11" max="11" width="14.77734375" style="1" customWidth="1"/>
    <col min="12" max="13" width="19.44140625" style="1" bestFit="1" customWidth="1"/>
    <col min="14" max="14" width="16.21875" style="1" bestFit="1" customWidth="1"/>
    <col min="15" max="15" width="13.21875" style="1" bestFit="1" customWidth="1"/>
    <col min="16" max="16" width="17" style="1" customWidth="1"/>
    <col min="17" max="17" width="16.21875" style="1" bestFit="1" customWidth="1"/>
    <col min="18" max="18" width="17.88671875" style="1" customWidth="1"/>
    <col min="19" max="19" width="11.6640625" style="1" bestFit="1" customWidth="1"/>
    <col min="20" max="20" width="13.6640625" style="1" customWidth="1"/>
    <col min="21" max="22" width="8.88671875" style="1"/>
    <col min="23" max="23" width="16.6640625" style="1" bestFit="1" customWidth="1"/>
    <col min="24" max="29" width="8.88671875" style="1"/>
    <col min="30" max="30" width="15.5546875" style="1" bestFit="1" customWidth="1"/>
    <col min="31" max="16384" width="8.88671875" style="1"/>
  </cols>
  <sheetData>
    <row r="1" spans="1:30" ht="15.6">
      <c r="A1" s="1" t="s">
        <v>182</v>
      </c>
      <c r="D1" s="1" t="s">
        <v>183</v>
      </c>
      <c r="E1" s="1">
        <v>1</v>
      </c>
      <c r="F1" s="1"/>
      <c r="O1" s="1" t="s">
        <v>166</v>
      </c>
      <c r="P1" s="1" t="s">
        <v>174</v>
      </c>
      <c r="Q1" s="1" t="s">
        <v>175</v>
      </c>
      <c r="W1" s="179"/>
    </row>
    <row r="2" spans="1:30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10000</v>
      </c>
      <c r="K2" s="145"/>
      <c r="L2" s="145"/>
      <c r="M2" s="193">
        <f>10^9</f>
        <v>1000000000</v>
      </c>
      <c r="N2" s="145"/>
      <c r="O2" s="215">
        <f>SUM(_xlfn.ANCHORARRAY(O4))</f>
        <v>0.91999952044871214</v>
      </c>
      <c r="P2" s="215">
        <v>0.92</v>
      </c>
      <c r="Q2" s="181">
        <f>P2-O2</f>
        <v>4.795512879018915E-7</v>
      </c>
    </row>
    <row r="3" spans="1:30" ht="16.8" thickBot="1">
      <c r="A3" s="164" t="s">
        <v>157</v>
      </c>
      <c r="B3" s="165" t="s">
        <v>158</v>
      </c>
      <c r="C3" s="226" t="s">
        <v>168</v>
      </c>
      <c r="D3" s="227" t="s">
        <v>169</v>
      </c>
      <c r="E3" s="227" t="s">
        <v>170</v>
      </c>
      <c r="F3" s="227" t="s">
        <v>171</v>
      </c>
      <c r="G3" s="228" t="s">
        <v>172</v>
      </c>
      <c r="I3" s="114" t="s">
        <v>159</v>
      </c>
      <c r="J3" s="164" t="s">
        <v>173</v>
      </c>
      <c r="K3" s="184" t="s">
        <v>161</v>
      </c>
      <c r="L3" s="184" t="s">
        <v>163</v>
      </c>
      <c r="M3" s="184" t="s">
        <v>162</v>
      </c>
      <c r="N3" s="184" t="s">
        <v>164</v>
      </c>
      <c r="O3" s="114" t="s">
        <v>165</v>
      </c>
      <c r="P3" s="34">
        <f>SUM(_xlfn.ANCHORARRAY(Q4))</f>
        <v>0.96560905671221797</v>
      </c>
      <c r="R3" s="216">
        <f>1-SUM(_xlfn.ANCHORARRAY(R4))</f>
        <v>4.723345995480932E-2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_xlfn._xlws.SORT(_xlfn.UNIQUE(Y3:Y141))</f>
        <v>30</v>
      </c>
      <c r="AC3" s="1" cm="1">
        <f t="array" ref="AC3:AC14">COUNTIF(Y3:Y141,_xlfn.ANCHORARRAY(AB3))</f>
        <v>1</v>
      </c>
      <c r="AD3" s="197" cm="1">
        <f t="array" ref="AD3:AD14">_xlfn.ANCHORARRAY(AC3)/10000000</f>
        <v>9.9999999999999995E-8</v>
      </c>
    </row>
    <row r="4" spans="1:30" ht="15.6">
      <c r="A4" s="199">
        <v>-1</v>
      </c>
      <c r="B4" s="200">
        <v>0</v>
      </c>
      <c r="C4" s="158" cm="1">
        <f t="array" ref="C4:D55">'[6]Raw Data'!$S$1:$T$52</f>
        <v>79528431</v>
      </c>
      <c r="D4" s="166">
        <v>0</v>
      </c>
      <c r="E4" s="187">
        <f>(D4/$E$1)/(C4)</f>
        <v>0</v>
      </c>
      <c r="F4" s="185" cm="1">
        <f t="array" ref="F4:F55">C4:C55/SUM(C4:C55)</f>
        <v>0.79532407620381018</v>
      </c>
      <c r="G4" s="186" cm="1">
        <f t="array" ref="G4:G55">E4:E55*_xlfn.ANCHORARRAY(F4)</f>
        <v>0</v>
      </c>
      <c r="H4" s="178"/>
      <c r="I4" s="128" t="str">
        <f>"("&amp;$A4&amp;", "&amp;$B4&amp;"]"</f>
        <v>(-1, 0]</v>
      </c>
      <c r="J4" s="158" cm="1">
        <f t="array" ref="J4:J55">IF(1/F4:F55&lt;$J$2,1,0)</f>
        <v>1</v>
      </c>
      <c r="K4" s="217">
        <v>1.1139704033446383</v>
      </c>
      <c r="L4" s="185" cm="1">
        <f t="array" ref="L4:L55">K4:K55*_xlfn.ANCHORARRAY(J4)*_xlfn.ANCHORARRAY(F4)</f>
        <v>0.8859674819584602</v>
      </c>
      <c r="M4" s="207" cm="1">
        <f t="array" ref="M4:M55">INT(_xlfn.ANCHORARRAY(L4)*$M$2)</f>
        <v>885967481</v>
      </c>
      <c r="N4" s="194" cm="1">
        <f t="array" ref="N4:N55">M4:M55/SUM(M4:M55)</f>
        <v>0.89958566974849696</v>
      </c>
      <c r="O4" s="210" cm="1">
        <f t="array" ref="O4:O55">_xlfn.ANCHORARRAY(N4)*E4:E55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0.83873402200365088</v>
      </c>
      <c r="S4" s="182">
        <f>R4+R3</f>
        <v>0.8859674819584602</v>
      </c>
      <c r="T4" s="213" cm="1">
        <f t="array" ref="T4:T55">S4:S55/_xlfn.ANCHORARRAY(F4)</f>
        <v>1.1139704033446383</v>
      </c>
      <c r="W4" s="1">
        <v>1.0286652093425868</v>
      </c>
      <c r="Y4" s="1">
        <v>45</v>
      </c>
      <c r="Z4" s="1">
        <v>50</v>
      </c>
      <c r="AB4" s="1">
        <v>40</v>
      </c>
      <c r="AC4" s="1">
        <v>6</v>
      </c>
      <c r="AD4" s="197">
        <v>5.9999999999999997E-7</v>
      </c>
    </row>
    <row r="5" spans="1:30" ht="15.6">
      <c r="A5" s="201">
        <v>0</v>
      </c>
      <c r="B5" s="202">
        <v>1</v>
      </c>
      <c r="C5" s="160">
        <v>1222685</v>
      </c>
      <c r="D5" s="30">
        <v>918299.40000079991</v>
      </c>
      <c r="E5" s="187">
        <f t="shared" ref="E5:E55" si="0">(D5/$E$1)/(C5)</f>
        <v>0.75105149732007825</v>
      </c>
      <c r="F5" s="188">
        <v>1.2227461373068653E-2</v>
      </c>
      <c r="G5" s="189">
        <v>9.1834531726666321E-3</v>
      </c>
      <c r="H5" s="178"/>
      <c r="I5" s="124" t="str">
        <f t="shared" ref="I5:I55" si="1">"("&amp;$A5&amp;", "&amp;$B5&amp;"]"</f>
        <v>(0, 1]</v>
      </c>
      <c r="J5" s="160">
        <v>1</v>
      </c>
      <c r="K5" s="205">
        <v>0.96288662839408479</v>
      </c>
      <c r="L5" s="188">
        <v>1.1773659055332982E-2</v>
      </c>
      <c r="M5" s="208">
        <v>11773659</v>
      </c>
      <c r="N5" s="195">
        <v>1.1954631681233703E-2</v>
      </c>
      <c r="O5" s="211">
        <v>8.9785440241006171E-3</v>
      </c>
      <c r="P5" s="198">
        <v>1.23573389287732E-2</v>
      </c>
      <c r="Q5" s="198">
        <v>9.2809979053468036E-3</v>
      </c>
      <c r="R5" s="1">
        <v>1.1773659055332982E-2</v>
      </c>
      <c r="S5" s="182" cm="1">
        <f t="array" ref="S5:S55">R5:R55</f>
        <v>1.1773659055332982E-2</v>
      </c>
      <c r="T5" s="1">
        <v>0.96288662839408479</v>
      </c>
      <c r="W5" s="1">
        <v>1.048497339161836</v>
      </c>
      <c r="Y5" s="1">
        <v>160</v>
      </c>
      <c r="Z5" s="1">
        <v>180</v>
      </c>
      <c r="AB5" s="1">
        <v>45</v>
      </c>
      <c r="AC5" s="1">
        <v>4</v>
      </c>
      <c r="AD5" s="197">
        <v>3.9999999999999998E-7</v>
      </c>
    </row>
    <row r="6" spans="1:30" ht="15.6">
      <c r="A6" s="201">
        <v>1</v>
      </c>
      <c r="B6" s="202">
        <v>2</v>
      </c>
      <c r="C6" s="160">
        <v>1983671</v>
      </c>
      <c r="D6" s="30">
        <v>3406505.4000034952</v>
      </c>
      <c r="E6" s="187">
        <f t="shared" si="0"/>
        <v>1.717273378500515</v>
      </c>
      <c r="F6" s="188">
        <v>1.9837701885094254E-2</v>
      </c>
      <c r="G6" s="189">
        <v>3.4066757337901842E-2</v>
      </c>
      <c r="H6" s="178"/>
      <c r="I6" s="214" t="str">
        <f t="shared" si="1"/>
        <v>(1, 2]</v>
      </c>
      <c r="J6" s="160">
        <v>1</v>
      </c>
      <c r="K6" s="205">
        <v>0.82506116129129436</v>
      </c>
      <c r="L6" s="188">
        <v>1.6367317354666365E-2</v>
      </c>
      <c r="M6" s="208">
        <v>16367317</v>
      </c>
      <c r="N6" s="195">
        <v>1.6618898708124209E-2</v>
      </c>
      <c r="O6" s="211">
        <v>2.8539192331458303E-2</v>
      </c>
      <c r="P6" s="198">
        <v>1.7178728121466199E-2</v>
      </c>
      <c r="Q6" s="198">
        <v>2.9500572479492063E-2</v>
      </c>
      <c r="R6" s="1">
        <v>1.6367317354666365E-2</v>
      </c>
      <c r="S6" s="182">
        <v>1.6367317354666365E-2</v>
      </c>
      <c r="T6" s="1">
        <v>0.82506116129129436</v>
      </c>
      <c r="W6" s="1">
        <v>0.87200956743498526</v>
      </c>
      <c r="Y6" s="1">
        <v>160</v>
      </c>
      <c r="Z6" s="1">
        <v>180</v>
      </c>
      <c r="AB6" s="1">
        <v>60</v>
      </c>
      <c r="AC6" s="1">
        <v>9</v>
      </c>
      <c r="AD6" s="197">
        <v>8.9999999999999996E-7</v>
      </c>
    </row>
    <row r="7" spans="1:30" ht="15.6">
      <c r="A7" s="201">
        <v>2</v>
      </c>
      <c r="B7" s="202">
        <v>3</v>
      </c>
      <c r="C7" s="160">
        <v>1401496</v>
      </c>
      <c r="D7" s="30">
        <v>3853371.1999976696</v>
      </c>
      <c r="E7" s="187">
        <f t="shared" si="0"/>
        <v>2.7494699949180514</v>
      </c>
      <c r="F7" s="188">
        <v>1.4015660783039152E-2</v>
      </c>
      <c r="G7" s="189">
        <v>3.8535638781915793E-2</v>
      </c>
      <c r="H7" s="178"/>
      <c r="I7" s="124" t="str">
        <f t="shared" si="1"/>
        <v>(2, 3]</v>
      </c>
      <c r="J7" s="160">
        <v>1</v>
      </c>
      <c r="K7" s="205">
        <v>0.83004214117952957</v>
      </c>
      <c r="L7" s="188">
        <v>1.1633589086399779E-2</v>
      </c>
      <c r="M7" s="208">
        <v>11633589</v>
      </c>
      <c r="N7" s="195">
        <v>1.1812408668014923E-2</v>
      </c>
      <c r="O7" s="211">
        <v>3.2477863200416936E-2</v>
      </c>
      <c r="P7" s="198">
        <v>1.2210324982495699E-2</v>
      </c>
      <c r="Q7" s="198">
        <v>3.3571922167570205E-2</v>
      </c>
      <c r="R7" s="1">
        <v>1.1633589086399779E-2</v>
      </c>
      <c r="S7" s="182">
        <v>1.1633589086399779E-2</v>
      </c>
      <c r="T7" s="1">
        <v>0.83004214117952957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19</v>
      </c>
      <c r="AD7" s="197">
        <v>1.9E-6</v>
      </c>
    </row>
    <row r="8" spans="1:30" ht="15.6">
      <c r="A8" s="201">
        <v>3</v>
      </c>
      <c r="B8" s="202">
        <v>4</v>
      </c>
      <c r="C8" s="160">
        <v>1845581</v>
      </c>
      <c r="D8" s="30">
        <v>6825768.4000042584</v>
      </c>
      <c r="E8" s="187">
        <f t="shared" si="0"/>
        <v>3.698438811411831</v>
      </c>
      <c r="F8" s="188">
        <v>1.8456732836641832E-2</v>
      </c>
      <c r="G8" s="189">
        <v>6.8261097054895331E-2</v>
      </c>
      <c r="H8" s="178"/>
      <c r="I8" s="124" t="str">
        <f t="shared" si="1"/>
        <v>(3, 4]</v>
      </c>
      <c r="J8" s="160">
        <v>1</v>
      </c>
      <c r="K8" s="205">
        <v>0.4</v>
      </c>
      <c r="L8" s="188">
        <v>7.3826931346567329E-3</v>
      </c>
      <c r="M8" s="208">
        <v>7382693</v>
      </c>
      <c r="N8" s="195">
        <v>7.496172229093971E-3</v>
      </c>
      <c r="O8" s="211">
        <v>2.7724134309108681E-2</v>
      </c>
      <c r="P8" s="198">
        <v>1.2996255599337999E-2</v>
      </c>
      <c r="Q8" s="198">
        <v>4.8065856111619981E-2</v>
      </c>
      <c r="R8" s="1">
        <v>1.2382397480924198E-2</v>
      </c>
      <c r="S8" s="182">
        <v>1.2382397480924198E-2</v>
      </c>
      <c r="T8" s="1">
        <v>0.67088783212712699</v>
      </c>
      <c r="W8" s="1">
        <v>0.76505623017639035</v>
      </c>
      <c r="Y8" s="1">
        <v>80</v>
      </c>
      <c r="Z8" s="1">
        <v>90</v>
      </c>
      <c r="AB8" s="1">
        <v>90</v>
      </c>
      <c r="AC8" s="1">
        <v>18</v>
      </c>
      <c r="AD8" s="197">
        <v>1.7999999999999999E-6</v>
      </c>
    </row>
    <row r="9" spans="1:30" ht="15.6">
      <c r="A9" s="201">
        <v>4</v>
      </c>
      <c r="B9" s="202">
        <v>5</v>
      </c>
      <c r="C9" s="160">
        <v>1260020</v>
      </c>
      <c r="D9" s="30">
        <v>6055090.1999932034</v>
      </c>
      <c r="E9" s="187">
        <f t="shared" si="0"/>
        <v>4.8055508642666016</v>
      </c>
      <c r="F9" s="188">
        <v>1.2600830041502075E-2</v>
      </c>
      <c r="G9" s="189">
        <v>6.0553929696416854E-2</v>
      </c>
      <c r="H9" s="178"/>
      <c r="I9" s="124" t="str">
        <f t="shared" si="1"/>
        <v>(4, 5]</v>
      </c>
      <c r="J9" s="160">
        <v>1</v>
      </c>
      <c r="K9" s="205">
        <v>0.3</v>
      </c>
      <c r="L9" s="188">
        <v>3.7802490124506224E-3</v>
      </c>
      <c r="M9" s="208">
        <v>3780249</v>
      </c>
      <c r="N9" s="195">
        <v>3.8383551331282848E-3</v>
      </c>
      <c r="O9" s="211">
        <v>1.8445410827366775E-2</v>
      </c>
      <c r="P9" s="198">
        <v>1.05879741106956E-2</v>
      </c>
      <c r="Q9" s="198">
        <v>5.0881048138485645E-2</v>
      </c>
      <c r="R9" s="1">
        <v>1.00878674595355E-2</v>
      </c>
      <c r="S9" s="182">
        <v>1.00878674595355E-2</v>
      </c>
      <c r="T9" s="1">
        <v>0.80057166284364722</v>
      </c>
      <c r="W9" s="1">
        <v>0.9722148611137893</v>
      </c>
      <c r="Y9" s="1">
        <v>120</v>
      </c>
      <c r="Z9" s="1">
        <v>140</v>
      </c>
      <c r="AB9" s="1">
        <v>120</v>
      </c>
      <c r="AC9" s="1">
        <v>14</v>
      </c>
      <c r="AD9" s="197">
        <v>1.3999999999999999E-6</v>
      </c>
    </row>
    <row r="10" spans="1:30" ht="15.6">
      <c r="A10" s="201">
        <v>5</v>
      </c>
      <c r="B10" s="202">
        <v>6</v>
      </c>
      <c r="C10" s="160">
        <v>1241613</v>
      </c>
      <c r="D10" s="30">
        <v>7389761.7999996701</v>
      </c>
      <c r="E10" s="187">
        <f t="shared" si="0"/>
        <v>5.9517432565539101</v>
      </c>
      <c r="F10" s="188">
        <v>1.2416750837541877E-2</v>
      </c>
      <c r="G10" s="189">
        <v>7.3901313065649982E-2</v>
      </c>
      <c r="H10" s="178"/>
      <c r="I10" s="124" t="str">
        <f t="shared" si="1"/>
        <v>(5, 6]</v>
      </c>
      <c r="J10" s="160">
        <v>1</v>
      </c>
      <c r="K10" s="205">
        <v>0.2</v>
      </c>
      <c r="L10" s="188">
        <v>2.4833501675083757E-3</v>
      </c>
      <c r="M10" s="208">
        <v>2483350</v>
      </c>
      <c r="N10" s="195">
        <v>2.5215215240726539E-3</v>
      </c>
      <c r="O10" s="211">
        <v>1.5007448727154956E-2</v>
      </c>
      <c r="P10" s="198">
        <v>8.37719620644619E-3</v>
      </c>
      <c r="Q10" s="198">
        <v>4.9858921030545109E-2</v>
      </c>
      <c r="R10" s="1">
        <v>7.9815122448954317E-3</v>
      </c>
      <c r="S10" s="182">
        <v>7.9815122448954317E-3</v>
      </c>
      <c r="T10" s="1">
        <v>0.64280199782727687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11</v>
      </c>
      <c r="AD10" s="197">
        <v>1.1000000000000001E-6</v>
      </c>
    </row>
    <row r="11" spans="1:30" ht="15.6">
      <c r="A11" s="201">
        <v>6</v>
      </c>
      <c r="B11" s="202">
        <v>7</v>
      </c>
      <c r="C11" s="160">
        <v>327920</v>
      </c>
      <c r="D11" s="30">
        <v>2134213.199999569</v>
      </c>
      <c r="E11" s="187">
        <f t="shared" si="0"/>
        <v>6.5083349597449649</v>
      </c>
      <c r="F11" s="188">
        <v>3.2793639681984099E-3</v>
      </c>
      <c r="G11" s="189">
        <v>2.1343199159953686E-2</v>
      </c>
      <c r="H11" s="178"/>
      <c r="I11" s="124" t="str">
        <f t="shared" si="1"/>
        <v>(6, 7]</v>
      </c>
      <c r="J11" s="160">
        <v>1</v>
      </c>
      <c r="K11" s="205">
        <v>0.62019472848920265</v>
      </c>
      <c r="L11" s="188">
        <v>2.0338442458740871E-3</v>
      </c>
      <c r="M11" s="208">
        <v>2033844</v>
      </c>
      <c r="N11" s="195">
        <v>2.0651061761757395E-3</v>
      </c>
      <c r="O11" s="211">
        <v>1.3440402721989811E-2</v>
      </c>
      <c r="P11" s="198">
        <v>2.1346721997370101E-3</v>
      </c>
      <c r="Q11" s="198">
        <v>1.3893161705144069E-2</v>
      </c>
      <c r="R11" s="1">
        <v>2.0338442458740871E-3</v>
      </c>
      <c r="S11" s="182">
        <v>2.0338442458740871E-3</v>
      </c>
      <c r="T11" s="1">
        <v>0.62019472848920265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25</v>
      </c>
      <c r="AD11" s="197">
        <v>2.5000000000000002E-6</v>
      </c>
    </row>
    <row r="12" spans="1:30" ht="15.6">
      <c r="A12" s="201">
        <v>7</v>
      </c>
      <c r="B12" s="202">
        <v>8</v>
      </c>
      <c r="C12" s="160">
        <v>1313905</v>
      </c>
      <c r="D12" s="30">
        <v>10135404.999999207</v>
      </c>
      <c r="E12" s="187">
        <f t="shared" si="0"/>
        <v>7.7139557273921682</v>
      </c>
      <c r="F12" s="188">
        <v>1.3139706985349267E-2</v>
      </c>
      <c r="G12" s="189">
        <v>0.10135911795588985</v>
      </c>
      <c r="H12" s="178"/>
      <c r="I12" s="214" t="str">
        <f t="shared" si="1"/>
        <v>(7, 8]</v>
      </c>
      <c r="J12" s="160">
        <v>1</v>
      </c>
      <c r="K12" s="205">
        <v>0.64081453165638402</v>
      </c>
      <c r="L12" s="188">
        <v>8.4201151779187081E-3</v>
      </c>
      <c r="M12" s="208">
        <v>8420115</v>
      </c>
      <c r="N12" s="195">
        <v>8.5495404222791851E-3</v>
      </c>
      <c r="O12" s="211">
        <v>6.5950776307011377E-2</v>
      </c>
      <c r="P12" s="198">
        <v>8.8375429069112096E-3</v>
      </c>
      <c r="Q12" s="198">
        <v>6.8172414722841759E-2</v>
      </c>
      <c r="R12" s="1">
        <v>8.4201151779187081E-3</v>
      </c>
      <c r="S12" s="182">
        <v>8.4201151779187081E-3</v>
      </c>
      <c r="T12" s="1">
        <v>0.64081453165638402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3</v>
      </c>
      <c r="AD12" s="197">
        <v>2.9999999999999999E-7</v>
      </c>
    </row>
    <row r="13" spans="1:30" ht="15.6">
      <c r="A13" s="201">
        <v>8</v>
      </c>
      <c r="B13" s="202">
        <v>9</v>
      </c>
      <c r="C13" s="160">
        <v>575827</v>
      </c>
      <c r="D13" s="30">
        <v>5137038.5999996848</v>
      </c>
      <c r="E13" s="187">
        <f t="shared" si="0"/>
        <v>8.921149234057598</v>
      </c>
      <c r="F13" s="188">
        <v>5.7585579278963952E-3</v>
      </c>
      <c r="G13" s="189">
        <v>5.1372954647729237E-2</v>
      </c>
      <c r="H13" s="178"/>
      <c r="I13" s="124" t="str">
        <f t="shared" si="1"/>
        <v>(8, 9]</v>
      </c>
      <c r="J13" s="160">
        <v>1</v>
      </c>
      <c r="K13" s="205">
        <v>0.5367818784476529</v>
      </c>
      <c r="L13" s="188">
        <v>3.0910895416858507E-3</v>
      </c>
      <c r="M13" s="208">
        <v>3091089</v>
      </c>
      <c r="N13" s="195">
        <v>3.1386020683045949E-3</v>
      </c>
      <c r="O13" s="211">
        <v>2.7999937437667131E-2</v>
      </c>
      <c r="P13" s="198">
        <v>3.2443304962611699E-3</v>
      </c>
      <c r="Q13" s="198">
        <v>2.8943156521750044E-2</v>
      </c>
      <c r="R13" s="1">
        <v>3.0910895416858507E-3</v>
      </c>
      <c r="S13" s="182">
        <v>3.0910895416858507E-3</v>
      </c>
      <c r="T13" s="1">
        <v>0.5367818784476529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5</v>
      </c>
      <c r="AD13" s="197">
        <v>4.9999999999999998E-7</v>
      </c>
    </row>
    <row r="14" spans="1:30" ht="15.6">
      <c r="A14" s="201">
        <v>9</v>
      </c>
      <c r="B14" s="202">
        <v>10</v>
      </c>
      <c r="C14" s="160">
        <v>712121</v>
      </c>
      <c r="D14" s="30">
        <v>6943360.5999976574</v>
      </c>
      <c r="E14" s="187">
        <f t="shared" si="0"/>
        <v>9.7502539596468267</v>
      </c>
      <c r="F14" s="188">
        <v>7.1215660783039156E-3</v>
      </c>
      <c r="G14" s="189">
        <v>6.9437077853869281E-2</v>
      </c>
      <c r="H14" s="178"/>
      <c r="I14" s="124" t="str">
        <f t="shared" si="1"/>
        <v>(9, 10]</v>
      </c>
      <c r="J14" s="160">
        <v>1</v>
      </c>
      <c r="K14" s="205">
        <v>0.86878798622955189</v>
      </c>
      <c r="L14" s="188">
        <v>6.1871310519703458E-3</v>
      </c>
      <c r="M14" s="208">
        <v>6187131</v>
      </c>
      <c r="N14" s="195">
        <v>6.2822332690749038E-3</v>
      </c>
      <c r="O14" s="211">
        <v>6.125336980722261E-2</v>
      </c>
      <c r="P14" s="198">
        <v>6.4938584552695199E-3</v>
      </c>
      <c r="Q14" s="198">
        <v>6.3316769116877669E-2</v>
      </c>
      <c r="R14" s="1">
        <v>6.1871310519703458E-3</v>
      </c>
      <c r="S14" s="182">
        <v>6.1871310519703458E-3</v>
      </c>
      <c r="T14" s="1">
        <v>0.86878798622955189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</row>
    <row r="15" spans="1:30" ht="15.6">
      <c r="A15" s="201">
        <v>10</v>
      </c>
      <c r="B15" s="202">
        <v>15</v>
      </c>
      <c r="C15" s="160">
        <v>1787830</v>
      </c>
      <c r="D15" s="30">
        <v>22761088.999995429</v>
      </c>
      <c r="E15" s="187">
        <f t="shared" si="0"/>
        <v>12.731126001910377</v>
      </c>
      <c r="F15" s="188">
        <v>1.7879193959697986E-2</v>
      </c>
      <c r="G15" s="189">
        <v>0.22762227111350999</v>
      </c>
      <c r="H15" s="178"/>
      <c r="I15" s="214" t="str">
        <f t="shared" si="1"/>
        <v>(10, 15]</v>
      </c>
      <c r="J15" s="160">
        <v>1</v>
      </c>
      <c r="K15" s="205">
        <v>0.67095000000000005</v>
      </c>
      <c r="L15" s="188">
        <v>1.1996045187259365E-2</v>
      </c>
      <c r="M15" s="208">
        <v>11996045</v>
      </c>
      <c r="N15" s="195">
        <v>1.2180435972071652E-2</v>
      </c>
      <c r="O15" s="211">
        <v>0.15507066511864592</v>
      </c>
      <c r="P15" s="198">
        <v>1.0357800760463E-2</v>
      </c>
      <c r="Q15" s="198">
        <v>0.13186646658413759</v>
      </c>
      <c r="R15" s="1">
        <v>9.8685659930237753E-3</v>
      </c>
      <c r="S15" s="182">
        <v>9.8685659930237753E-3</v>
      </c>
      <c r="T15" s="1">
        <v>0.55195810366333065</v>
      </c>
      <c r="W15" s="1">
        <v>0.81707964511016751</v>
      </c>
      <c r="Y15" s="1">
        <v>40</v>
      </c>
      <c r="Z15" s="1">
        <v>45</v>
      </c>
    </row>
    <row r="16" spans="1:30" ht="15.6">
      <c r="A16" s="201">
        <v>15</v>
      </c>
      <c r="B16" s="202">
        <v>20</v>
      </c>
      <c r="C16" s="160">
        <v>1125280</v>
      </c>
      <c r="D16" s="30">
        <v>20082943.199999541</v>
      </c>
      <c r="E16" s="187">
        <f t="shared" si="0"/>
        <v>17.847063130953664</v>
      </c>
      <c r="F16" s="188">
        <v>1.1253362668133407E-2</v>
      </c>
      <c r="G16" s="189">
        <v>0.20083947397369409</v>
      </c>
      <c r="H16" s="178"/>
      <c r="I16" s="124" t="str">
        <f t="shared" si="1"/>
        <v>(15, 20]</v>
      </c>
      <c r="J16" s="160">
        <v>1</v>
      </c>
      <c r="K16" s="205">
        <v>0.52230015044291156</v>
      </c>
      <c r="L16" s="188">
        <v>5.877633014554723E-3</v>
      </c>
      <c r="M16" s="208">
        <v>5877633</v>
      </c>
      <c r="N16" s="195">
        <v>5.9679779813959872E-3</v>
      </c>
      <c r="O16" s="211">
        <v>0.10651087979811559</v>
      </c>
      <c r="P16" s="198">
        <v>6.1690170335704101E-3</v>
      </c>
      <c r="Q16" s="198">
        <v>0.11009883645405961</v>
      </c>
      <c r="R16" s="1">
        <v>5.8776330145547239E-3</v>
      </c>
      <c r="S16" s="182">
        <v>5.8776330145547239E-3</v>
      </c>
      <c r="T16" s="1">
        <v>0.52230015044291156</v>
      </c>
      <c r="W16" s="1">
        <v>0.79998560574525279</v>
      </c>
      <c r="Y16" s="1">
        <v>80</v>
      </c>
      <c r="Z16" s="1">
        <v>90</v>
      </c>
    </row>
    <row r="17" spans="1:26" ht="15.6">
      <c r="A17" s="201">
        <v>20</v>
      </c>
      <c r="B17" s="202">
        <v>25</v>
      </c>
      <c r="C17" s="160">
        <v>620819</v>
      </c>
      <c r="D17" s="30">
        <v>14428940.199999887</v>
      </c>
      <c r="E17" s="187">
        <f t="shared" si="0"/>
        <v>23.241782548536509</v>
      </c>
      <c r="F17" s="188">
        <v>6.2085004250212513E-3</v>
      </c>
      <c r="G17" s="189">
        <v>0.14429661683084041</v>
      </c>
      <c r="H17" s="178"/>
      <c r="I17" s="124" t="str">
        <f t="shared" si="1"/>
        <v>(20, 25]</v>
      </c>
      <c r="J17" s="160">
        <v>1</v>
      </c>
      <c r="K17" s="205">
        <v>0.4</v>
      </c>
      <c r="L17" s="188">
        <v>2.4834001700085005E-3</v>
      </c>
      <c r="M17" s="208">
        <v>2483400</v>
      </c>
      <c r="N17" s="195">
        <v>2.5215722926216718E-3</v>
      </c>
      <c r="O17" s="211">
        <v>5.8605834905527565E-2</v>
      </c>
      <c r="P17" s="198">
        <v>2.5816539959949798E-3</v>
      </c>
      <c r="Q17" s="198">
        <v>6.0002240790475662E-2</v>
      </c>
      <c r="R17" s="1">
        <v>2.4597135453579768E-3</v>
      </c>
      <c r="S17" s="182">
        <v>2.4597135453579768E-3</v>
      </c>
      <c r="T17" s="1">
        <v>0.39618480743674223</v>
      </c>
      <c r="W17" s="1">
        <v>0.68578908221543367</v>
      </c>
      <c r="Y17" s="1">
        <v>80</v>
      </c>
      <c r="Z17" s="1">
        <v>90</v>
      </c>
    </row>
    <row r="18" spans="1:26" ht="15.6">
      <c r="A18" s="201">
        <v>25</v>
      </c>
      <c r="B18" s="202">
        <v>30</v>
      </c>
      <c r="C18" s="160">
        <v>434409</v>
      </c>
      <c r="D18" s="30">
        <v>12351676.000000045</v>
      </c>
      <c r="E18" s="187">
        <f t="shared" si="0"/>
        <v>28.433287523969451</v>
      </c>
      <c r="F18" s="188">
        <v>4.3443072153607678E-3</v>
      </c>
      <c r="G18" s="189">
        <v>0.12352293614680779</v>
      </c>
      <c r="H18" s="178"/>
      <c r="I18" s="124" t="str">
        <f t="shared" si="1"/>
        <v>(25, 30]</v>
      </c>
      <c r="J18" s="160">
        <v>1</v>
      </c>
      <c r="K18" s="205">
        <v>0.3</v>
      </c>
      <c r="L18" s="188">
        <v>1.3032921646082302E-3</v>
      </c>
      <c r="M18" s="208">
        <v>1303292</v>
      </c>
      <c r="N18" s="195">
        <v>1.323324875733061E-3</v>
      </c>
      <c r="O18" s="211">
        <v>3.7626476679339264E-2</v>
      </c>
      <c r="P18" s="198">
        <v>2.25050136953143E-3</v>
      </c>
      <c r="Q18" s="198">
        <v>6.3989152512974171E-2</v>
      </c>
      <c r="R18" s="1">
        <v>2.1442024032154233E-3</v>
      </c>
      <c r="S18" s="182">
        <v>2.1442024032154233E-3</v>
      </c>
      <c r="T18" s="1">
        <v>0.49356601568919212</v>
      </c>
      <c r="W18" s="1">
        <v>0.98311644060022274</v>
      </c>
      <c r="Y18" s="1">
        <v>90</v>
      </c>
      <c r="Z18" s="1">
        <v>100</v>
      </c>
    </row>
    <row r="19" spans="1:26" ht="15.6">
      <c r="A19" s="201">
        <v>30</v>
      </c>
      <c r="B19" s="202">
        <v>35</v>
      </c>
      <c r="C19" s="160">
        <v>214200</v>
      </c>
      <c r="D19" s="30">
        <v>6979197.7999999812</v>
      </c>
      <c r="E19" s="187">
        <f t="shared" si="0"/>
        <v>32.582622782446222</v>
      </c>
      <c r="F19" s="188">
        <v>2.1421071053552678E-3</v>
      </c>
      <c r="G19" s="189">
        <v>6.9795467773388478E-2</v>
      </c>
      <c r="H19" s="178"/>
      <c r="I19" s="124" t="str">
        <f t="shared" si="1"/>
        <v>(30, 35]</v>
      </c>
      <c r="J19" s="160">
        <v>1</v>
      </c>
      <c r="K19" s="205">
        <v>0.19071754552668113</v>
      </c>
      <c r="L19" s="188">
        <v>4.0853740938862044E-4</v>
      </c>
      <c r="M19" s="208">
        <v>408537</v>
      </c>
      <c r="N19" s="195">
        <v>4.1481661420261735E-4</v>
      </c>
      <c r="O19" s="211">
        <v>1.3515813264455405E-2</v>
      </c>
      <c r="P19" s="198">
        <v>4.2879067664282501E-4</v>
      </c>
      <c r="Q19" s="198">
        <v>1.3971124869683042E-2</v>
      </c>
      <c r="R19" s="1">
        <v>4.0853740938862044E-4</v>
      </c>
      <c r="S19" s="182">
        <v>4.0853740938862044E-4</v>
      </c>
      <c r="T19" s="1">
        <v>0.19071754552668113</v>
      </c>
      <c r="W19" s="1">
        <v>0.49864520705655241</v>
      </c>
      <c r="Y19" s="1">
        <v>60</v>
      </c>
      <c r="Z19" s="1">
        <v>70</v>
      </c>
    </row>
    <row r="20" spans="1:26" ht="15.6">
      <c r="A20" s="201">
        <v>35</v>
      </c>
      <c r="B20" s="202">
        <v>40</v>
      </c>
      <c r="C20" s="160">
        <v>377920</v>
      </c>
      <c r="D20" s="30">
        <v>14462086.800000189</v>
      </c>
      <c r="E20" s="187">
        <f t="shared" si="0"/>
        <v>38.267587849280773</v>
      </c>
      <c r="F20" s="188">
        <v>3.7793889694484723E-3</v>
      </c>
      <c r="G20" s="189">
        <v>0.14462809940497215</v>
      </c>
      <c r="H20" s="178"/>
      <c r="I20" s="214" t="str">
        <f t="shared" si="1"/>
        <v>(35, 40]</v>
      </c>
      <c r="J20" s="160">
        <v>1</v>
      </c>
      <c r="K20" s="205">
        <v>0.3</v>
      </c>
      <c r="L20" s="188">
        <v>1.1338166908345416E-3</v>
      </c>
      <c r="M20" s="208">
        <v>1133816</v>
      </c>
      <c r="N20" s="195">
        <v>1.1512438634658667E-3</v>
      </c>
      <c r="O20" s="211">
        <v>4.4055325681125454E-2</v>
      </c>
      <c r="P20" s="198">
        <v>1.0049665469022799E-3</v>
      </c>
      <c r="Q20" s="198">
        <v>3.8457645619171345E-2</v>
      </c>
      <c r="R20" s="1">
        <v>9.5749849975324789E-4</v>
      </c>
      <c r="S20" s="182">
        <v>9.5749849975324789E-4</v>
      </c>
      <c r="T20" s="1">
        <v>0.25334743459680892</v>
      </c>
      <c r="W20" s="1">
        <v>0.49441416089420653</v>
      </c>
      <c r="Y20" s="1">
        <v>80</v>
      </c>
      <c r="Z20" s="1">
        <v>90</v>
      </c>
    </row>
    <row r="21" spans="1:26" ht="15.6">
      <c r="A21" s="201">
        <v>40</v>
      </c>
      <c r="B21" s="202">
        <v>45</v>
      </c>
      <c r="C21" s="160">
        <v>164827</v>
      </c>
      <c r="D21" s="30">
        <v>7174157.9999999069</v>
      </c>
      <c r="E21" s="187">
        <f t="shared" si="0"/>
        <v>43.525381157212756</v>
      </c>
      <c r="F21" s="188">
        <v>1.6483524176208811E-3</v>
      </c>
      <c r="G21" s="189">
        <v>7.1745167258361983E-2</v>
      </c>
      <c r="H21" s="178"/>
      <c r="I21" s="124" t="str">
        <f t="shared" si="1"/>
        <v>(40, 45]</v>
      </c>
      <c r="J21" s="160">
        <v>1</v>
      </c>
      <c r="K21" s="205">
        <v>0.13411575362295503</v>
      </c>
      <c r="L21" s="188">
        <v>2.2107002672544436E-4</v>
      </c>
      <c r="M21" s="208">
        <v>221070</v>
      </c>
      <c r="N21" s="195">
        <v>2.2446806262779777E-4</v>
      </c>
      <c r="O21" s="211">
        <v>9.770057983496002E-3</v>
      </c>
      <c r="P21" s="198">
        <v>2.3202958692793599E-4</v>
      </c>
      <c r="Q21" s="198">
        <v>1.0099176210789044E-2</v>
      </c>
      <c r="R21" s="1">
        <v>2.2107002672544434E-4</v>
      </c>
      <c r="S21" s="182">
        <v>2.2107002672544434E-4</v>
      </c>
      <c r="T21" s="1">
        <v>0.13411575362295503</v>
      </c>
      <c r="W21" s="1">
        <v>0.41782935964849094</v>
      </c>
      <c r="Y21" s="1">
        <v>140</v>
      </c>
      <c r="Z21" s="1">
        <v>160</v>
      </c>
    </row>
    <row r="22" spans="1:26" ht="15.6">
      <c r="A22" s="201">
        <v>45</v>
      </c>
      <c r="B22" s="202">
        <v>50</v>
      </c>
      <c r="C22" s="160">
        <v>203498</v>
      </c>
      <c r="D22" s="30">
        <v>9794369.3999998961</v>
      </c>
      <c r="E22" s="187">
        <f t="shared" si="0"/>
        <v>48.130052383806699</v>
      </c>
      <c r="F22" s="188">
        <v>2.0350817540877044E-3</v>
      </c>
      <c r="G22" s="189">
        <v>9.7948591429570436E-2</v>
      </c>
      <c r="H22" s="178"/>
      <c r="I22" s="124" t="str">
        <f t="shared" si="1"/>
        <v>(45, 50]</v>
      </c>
      <c r="J22" s="160">
        <v>1</v>
      </c>
      <c r="K22" s="205">
        <v>0.1</v>
      </c>
      <c r="L22" s="188">
        <v>2.0350817540877044E-4</v>
      </c>
      <c r="M22" s="208">
        <v>203508</v>
      </c>
      <c r="N22" s="195">
        <v>2.0663611747074622E-4</v>
      </c>
      <c r="O22" s="211">
        <v>9.9454071582534501E-3</v>
      </c>
      <c r="P22" s="198">
        <v>1.16460290270869E-3</v>
      </c>
      <c r="Q22" s="198">
        <v>5.6052398713702586E-2</v>
      </c>
      <c r="R22" s="1">
        <v>1.1095946781403442E-3</v>
      </c>
      <c r="S22" s="182">
        <v>1.1095946781403442E-3</v>
      </c>
      <c r="T22" s="1">
        <v>0.54523346588489185</v>
      </c>
      <c r="W22" s="1">
        <v>1.4185855583706879</v>
      </c>
      <c r="Y22" s="1">
        <v>80</v>
      </c>
      <c r="Z22" s="1">
        <v>90</v>
      </c>
    </row>
    <row r="23" spans="1:26" ht="15.6">
      <c r="A23" s="201">
        <v>50</v>
      </c>
      <c r="B23" s="202">
        <v>60</v>
      </c>
      <c r="C23" s="160">
        <v>323746</v>
      </c>
      <c r="D23" s="30">
        <v>18379469.399999883</v>
      </c>
      <c r="E23" s="187">
        <f t="shared" si="0"/>
        <v>56.771263274294917</v>
      </c>
      <c r="F23" s="188">
        <v>3.2376218810940549E-3</v>
      </c>
      <c r="G23" s="189">
        <v>0.18380388419420854</v>
      </c>
      <c r="H23" s="178"/>
      <c r="I23" s="214" t="str">
        <f t="shared" si="1"/>
        <v>(50, 60]</v>
      </c>
      <c r="J23" s="160">
        <v>1</v>
      </c>
      <c r="K23" s="205">
        <v>0.44302900000000001</v>
      </c>
      <c r="L23" s="188">
        <v>1.434360384359218E-3</v>
      </c>
      <c r="M23" s="208">
        <v>1434360</v>
      </c>
      <c r="N23" s="195">
        <v>1.4564075193866559E-3</v>
      </c>
      <c r="O23" s="211">
        <v>8.2682094717762625E-2</v>
      </c>
      <c r="P23" s="198">
        <v>4.5292175368333E-4</v>
      </c>
      <c r="Q23" s="198">
        <v>2.571294012101168E-2</v>
      </c>
      <c r="R23" s="1">
        <v>4.3152869216806633E-4</v>
      </c>
      <c r="S23" s="182">
        <v>4.3152869216806633E-4</v>
      </c>
      <c r="T23" s="1">
        <v>0.13328569796490394</v>
      </c>
      <c r="W23" s="1">
        <v>0.42154537754902599</v>
      </c>
      <c r="Y23" s="1">
        <v>140</v>
      </c>
      <c r="Z23" s="1">
        <v>160</v>
      </c>
    </row>
    <row r="24" spans="1:26" ht="15.6">
      <c r="A24" s="201">
        <v>60</v>
      </c>
      <c r="B24" s="202">
        <v>70</v>
      </c>
      <c r="C24" s="160">
        <v>197627</v>
      </c>
      <c r="D24" s="30">
        <v>12946263.600000046</v>
      </c>
      <c r="E24" s="187">
        <f t="shared" si="0"/>
        <v>65.508577269300474</v>
      </c>
      <c r="F24" s="188">
        <v>1.9763688184409219E-3</v>
      </c>
      <c r="G24" s="189">
        <v>0.12946910945547321</v>
      </c>
      <c r="H24" s="178"/>
      <c r="I24" s="124" t="str">
        <f t="shared" si="1"/>
        <v>(60, 70]</v>
      </c>
      <c r="J24" s="160">
        <v>1</v>
      </c>
      <c r="K24" s="205">
        <v>2.2550303856244389E-2</v>
      </c>
      <c r="L24" s="188">
        <v>4.4567717387849485E-5</v>
      </c>
      <c r="M24" s="208">
        <v>44567</v>
      </c>
      <c r="N24" s="195">
        <v>4.5252038481626014E-5</v>
      </c>
      <c r="O24" s="211">
        <v>2.9643966594669561E-3</v>
      </c>
      <c r="P24" s="198">
        <v>4.6777164724671799E-5</v>
      </c>
      <c r="Q24" s="198">
        <v>3.0643055098049589E-3</v>
      </c>
      <c r="R24" s="1">
        <v>4.4567717387849485E-5</v>
      </c>
      <c r="S24" s="182">
        <v>4.4567717387849485E-5</v>
      </c>
      <c r="T24" s="1">
        <v>2.2550303856244389E-2</v>
      </c>
      <c r="W24" s="1">
        <v>0.12078965036409647</v>
      </c>
      <c r="Y24" s="1">
        <v>160</v>
      </c>
      <c r="Z24" s="1">
        <v>180</v>
      </c>
    </row>
    <row r="25" spans="1:26" ht="15.6">
      <c r="A25" s="201">
        <v>70</v>
      </c>
      <c r="B25" s="202">
        <v>80</v>
      </c>
      <c r="C25" s="160">
        <v>255984</v>
      </c>
      <c r="D25" s="30">
        <v>19495057.200000051</v>
      </c>
      <c r="E25" s="187">
        <f t="shared" si="0"/>
        <v>76.157327020438984</v>
      </c>
      <c r="F25" s="188">
        <v>2.5599679983999198E-3</v>
      </c>
      <c r="G25" s="189">
        <v>0.1949603200160013</v>
      </c>
      <c r="H25" s="178"/>
      <c r="I25" s="214" t="str">
        <f t="shared" si="1"/>
        <v>(70, 80]</v>
      </c>
      <c r="J25" s="160">
        <v>1</v>
      </c>
      <c r="K25" s="205">
        <v>0.03</v>
      </c>
      <c r="L25" s="188">
        <v>7.6799039951997596E-5</v>
      </c>
      <c r="M25" s="208">
        <v>76799</v>
      </c>
      <c r="N25" s="195">
        <v>7.7979475920533052E-5</v>
      </c>
      <c r="O25" s="211">
        <v>5.9387084485624832E-3</v>
      </c>
      <c r="P25" s="198">
        <v>2.0010231576665199E-4</v>
      </c>
      <c r="Q25" s="198">
        <v>1.523925749938806E-2</v>
      </c>
      <c r="R25" s="1">
        <v>1.9065079104802317E-4</v>
      </c>
      <c r="S25" s="182">
        <v>1.9065079104802317E-4</v>
      </c>
      <c r="T25" s="1">
        <v>7.4473896223385364E-2</v>
      </c>
      <c r="W25" s="1">
        <v>0.26283560132401618</v>
      </c>
      <c r="Y25" s="1">
        <v>30</v>
      </c>
      <c r="Z25" s="1">
        <v>35</v>
      </c>
    </row>
    <row r="26" spans="1:26" ht="15.6">
      <c r="A26" s="201">
        <v>80</v>
      </c>
      <c r="B26" s="202">
        <v>90</v>
      </c>
      <c r="C26" s="160">
        <v>169186</v>
      </c>
      <c r="D26" s="30">
        <v>14599842.399999984</v>
      </c>
      <c r="E26" s="187">
        <f t="shared" si="0"/>
        <v>86.294624850755881</v>
      </c>
      <c r="F26" s="188">
        <v>1.6919445972298614E-3</v>
      </c>
      <c r="G26" s="189">
        <v>0.14600572428621414</v>
      </c>
      <c r="H26" s="178"/>
      <c r="I26" s="124" t="str">
        <f t="shared" si="1"/>
        <v>(80, 90]</v>
      </c>
      <c r="J26" s="160">
        <v>1</v>
      </c>
      <c r="K26" s="205">
        <v>0.03</v>
      </c>
      <c r="L26" s="188">
        <v>5.0758337916895838E-5</v>
      </c>
      <c r="M26" s="208">
        <v>50758</v>
      </c>
      <c r="N26" s="195">
        <v>5.1538200221023924E-5</v>
      </c>
      <c r="O26" s="211">
        <v>4.4474696535564033E-3</v>
      </c>
      <c r="P26" s="198">
        <v>7.7219446529617E-5</v>
      </c>
      <c r="Q26" s="198">
        <v>6.6636231694563019E-3</v>
      </c>
      <c r="R26" s="1">
        <v>7.3572104894227777E-5</v>
      </c>
      <c r="S26" s="182">
        <v>7.3572104894227777E-5</v>
      </c>
      <c r="T26" s="1">
        <v>4.3483755327854E-2</v>
      </c>
      <c r="W26" s="1">
        <v>0.22967490556497427</v>
      </c>
      <c r="Y26" s="1">
        <v>80</v>
      </c>
      <c r="Z26" s="1">
        <v>90</v>
      </c>
    </row>
    <row r="27" spans="1:26" ht="15.6">
      <c r="A27" s="201">
        <v>90</v>
      </c>
      <c r="B27" s="202">
        <v>100</v>
      </c>
      <c r="C27" s="160">
        <v>167208</v>
      </c>
      <c r="D27" s="30">
        <v>16079588.199999819</v>
      </c>
      <c r="E27" s="187">
        <f t="shared" si="0"/>
        <v>96.165184680157765</v>
      </c>
      <c r="F27" s="188">
        <v>1.672163608180409E-3</v>
      </c>
      <c r="G27" s="189">
        <v>0.16080392219610801</v>
      </c>
      <c r="H27" s="178"/>
      <c r="I27" s="124" t="str">
        <f t="shared" si="1"/>
        <v>(90, 100]</v>
      </c>
      <c r="J27" s="160">
        <v>1</v>
      </c>
      <c r="K27" s="205">
        <v>0.02</v>
      </c>
      <c r="L27" s="188">
        <v>3.3443272163608184E-5</v>
      </c>
      <c r="M27" s="208">
        <v>33443</v>
      </c>
      <c r="N27" s="195">
        <v>3.3957051696120868E-5</v>
      </c>
      <c r="O27" s="211">
        <v>3.2654861475511277E-3</v>
      </c>
      <c r="P27" s="198">
        <v>1.45157709582117E-4</v>
      </c>
      <c r="Q27" s="198">
        <v>1.3959117949712987E-2</v>
      </c>
      <c r="R27" s="1">
        <v>1.3830140871943819E-4</v>
      </c>
      <c r="S27" s="182">
        <v>1.3830140871943819E-4</v>
      </c>
      <c r="T27" s="1">
        <v>8.2708060409192277E-2</v>
      </c>
      <c r="W27" s="1">
        <v>0.38060989039802823</v>
      </c>
      <c r="Y27" s="1">
        <v>40</v>
      </c>
      <c r="Z27" s="1">
        <v>45</v>
      </c>
    </row>
    <row r="28" spans="1:26" ht="15.6">
      <c r="A28" s="201">
        <v>100</v>
      </c>
      <c r="B28" s="202">
        <v>120</v>
      </c>
      <c r="C28" s="160">
        <v>285301</v>
      </c>
      <c r="D28" s="30">
        <v>31882673.400000013</v>
      </c>
      <c r="E28" s="187">
        <f t="shared" si="0"/>
        <v>111.75100472833959</v>
      </c>
      <c r="F28" s="188">
        <v>2.8531526576328816E-3</v>
      </c>
      <c r="G28" s="189">
        <v>0.31884267613380685</v>
      </c>
      <c r="H28" s="178"/>
      <c r="I28" s="124" t="str">
        <f t="shared" si="1"/>
        <v>(100, 120]</v>
      </c>
      <c r="J28" s="160">
        <v>1</v>
      </c>
      <c r="K28" s="205">
        <v>0.1</v>
      </c>
      <c r="L28" s="188">
        <v>2.8531526576328818E-4</v>
      </c>
      <c r="M28" s="208">
        <v>285315</v>
      </c>
      <c r="N28" s="195">
        <v>2.8970057126091335E-4</v>
      </c>
      <c r="O28" s="211">
        <v>3.2374329908781009E-2</v>
      </c>
      <c r="P28" s="198">
        <v>9.1698092753920201E-5</v>
      </c>
      <c r="Q28" s="198">
        <v>1.0247353996923059E-2</v>
      </c>
      <c r="R28" s="1">
        <v>8.7366874561895495E-5</v>
      </c>
      <c r="S28" s="182">
        <v>8.7366874561895495E-5</v>
      </c>
      <c r="T28" s="1">
        <v>3.0621170699775817E-2</v>
      </c>
      <c r="W28" s="1">
        <v>0.1779403489026449</v>
      </c>
      <c r="Y28" s="1">
        <v>140</v>
      </c>
      <c r="Z28" s="1">
        <v>160</v>
      </c>
    </row>
    <row r="29" spans="1:26" ht="15.6">
      <c r="A29" s="201">
        <v>120</v>
      </c>
      <c r="B29" s="202">
        <v>140</v>
      </c>
      <c r="C29" s="160">
        <v>197208</v>
      </c>
      <c r="D29" s="30">
        <v>25836089.999999952</v>
      </c>
      <c r="E29" s="187">
        <f t="shared" si="0"/>
        <v>131.00934039187027</v>
      </c>
      <c r="F29" s="188">
        <v>1.9721786089304466E-3</v>
      </c>
      <c r="G29" s="189">
        <v>0.25837381869093407</v>
      </c>
      <c r="H29" s="178"/>
      <c r="I29" s="124" t="str">
        <f t="shared" si="1"/>
        <v>(120, 140]</v>
      </c>
      <c r="J29" s="160">
        <v>1</v>
      </c>
      <c r="K29" s="205">
        <v>1.0761055043159669E-2</v>
      </c>
      <c r="L29" s="188">
        <v>2.1222722565642605E-5</v>
      </c>
      <c r="M29" s="208">
        <v>21222</v>
      </c>
      <c r="N29" s="195">
        <v>2.1548202945162728E-5</v>
      </c>
      <c r="O29" s="211">
        <v>2.8230158544759252E-3</v>
      </c>
      <c r="P29" s="198">
        <v>2.22748403450818E-5</v>
      </c>
      <c r="Q29" s="198">
        <v>2.9182121409433866E-3</v>
      </c>
      <c r="R29" s="1">
        <v>2.1222722565642605E-5</v>
      </c>
      <c r="S29" s="182">
        <v>2.1222722565642605E-5</v>
      </c>
      <c r="T29" s="1">
        <v>1.0761055043159669E-2</v>
      </c>
      <c r="W29" s="1">
        <v>9.0910575078568215E-2</v>
      </c>
      <c r="Y29" s="1">
        <v>90</v>
      </c>
      <c r="Z29" s="1">
        <v>100</v>
      </c>
    </row>
    <row r="30" spans="1:26" ht="15.6">
      <c r="A30" s="201">
        <v>140</v>
      </c>
      <c r="B30" s="202">
        <v>160</v>
      </c>
      <c r="C30" s="160">
        <v>184122</v>
      </c>
      <c r="D30" s="30">
        <v>27830291.800000105</v>
      </c>
      <c r="E30" s="187">
        <f t="shared" si="0"/>
        <v>151.15136594214763</v>
      </c>
      <c r="F30" s="188">
        <v>1.8413120656032801E-3</v>
      </c>
      <c r="G30" s="189">
        <v>0.27831683384169315</v>
      </c>
      <c r="H30" s="178"/>
      <c r="I30" s="124" t="str">
        <f t="shared" si="1"/>
        <v>(140, 160]</v>
      </c>
      <c r="J30" s="160">
        <v>1</v>
      </c>
      <c r="K30" s="205">
        <v>7.6839129959173332E-3</v>
      </c>
      <c r="L30" s="188">
        <v>1.4148481710428434E-5</v>
      </c>
      <c r="M30" s="208">
        <v>14148</v>
      </c>
      <c r="N30" s="195">
        <v>1.4365468630108484E-5</v>
      </c>
      <c r="O30" s="211">
        <v>2.1713602058399699E-3</v>
      </c>
      <c r="P30" s="198">
        <v>1.4849893563387901E-5</v>
      </c>
      <c r="Q30" s="198">
        <v>2.2445816962015875E-3</v>
      </c>
      <c r="R30" s="1">
        <v>1.4148481710428434E-5</v>
      </c>
      <c r="S30" s="182">
        <v>1.4148481710428434E-5</v>
      </c>
      <c r="T30" s="1">
        <v>7.6839129959173332E-3</v>
      </c>
      <c r="W30" s="1">
        <v>4.6484472827448033E-2</v>
      </c>
      <c r="Y30" s="1">
        <v>200</v>
      </c>
      <c r="Z30" s="1">
        <v>250</v>
      </c>
    </row>
    <row r="31" spans="1:26" ht="15.6">
      <c r="A31" s="201">
        <v>160</v>
      </c>
      <c r="B31" s="202">
        <v>180</v>
      </c>
      <c r="C31" s="160">
        <v>142408</v>
      </c>
      <c r="D31" s="30">
        <v>24418167.200000018</v>
      </c>
      <c r="E31" s="187">
        <f t="shared" si="0"/>
        <v>171.46626032245393</v>
      </c>
      <c r="F31" s="188">
        <v>1.424151207560378E-3</v>
      </c>
      <c r="G31" s="189">
        <v>0.2441938816940849</v>
      </c>
      <c r="H31" s="178"/>
      <c r="I31" s="124" t="str">
        <f t="shared" si="1"/>
        <v>(160, 180]</v>
      </c>
      <c r="J31" s="160">
        <v>1</v>
      </c>
      <c r="K31" s="205">
        <v>8.9412089613705777E-3</v>
      </c>
      <c r="L31" s="188">
        <v>1.2733633539385581E-5</v>
      </c>
      <c r="M31" s="208">
        <v>12733</v>
      </c>
      <c r="N31" s="195">
        <v>1.2928718692901565E-5</v>
      </c>
      <c r="O31" s="211">
        <v>2.2168390450328359E-3</v>
      </c>
      <c r="P31" s="198">
        <v>1.33649042070491E-5</v>
      </c>
      <c r="Q31" s="198">
        <v>2.291630143950541E-3</v>
      </c>
      <c r="R31" s="1">
        <v>1.2733633539385581E-5</v>
      </c>
      <c r="S31" s="182">
        <v>1.2733633539385581E-5</v>
      </c>
      <c r="T31" s="1">
        <v>8.9412089613705777E-3</v>
      </c>
      <c r="W31" s="1">
        <v>8.0105496613318949E-2</v>
      </c>
      <c r="Y31" s="1">
        <v>160</v>
      </c>
      <c r="Z31" s="1">
        <v>180</v>
      </c>
    </row>
    <row r="32" spans="1:26" ht="15.6">
      <c r="A32" s="201">
        <v>180</v>
      </c>
      <c r="B32" s="202">
        <v>200</v>
      </c>
      <c r="C32" s="160">
        <v>129758</v>
      </c>
      <c r="D32" s="30">
        <v>24926288.799999915</v>
      </c>
      <c r="E32" s="187">
        <f t="shared" si="0"/>
        <v>192.09828141617407</v>
      </c>
      <c r="F32" s="188">
        <v>1.2976448822441121E-3</v>
      </c>
      <c r="G32" s="189">
        <v>0.24927535176758753</v>
      </c>
      <c r="H32" s="178"/>
      <c r="I32" s="124" t="str">
        <f t="shared" si="1"/>
        <v>(180, 200]</v>
      </c>
      <c r="J32" s="160">
        <v>1</v>
      </c>
      <c r="K32" s="205">
        <v>4.3612800093536866E-3</v>
      </c>
      <c r="L32" s="188">
        <v>5.6593926841713646E-6</v>
      </c>
      <c r="M32" s="208">
        <v>5659</v>
      </c>
      <c r="N32" s="195">
        <v>5.7459843778473227E-6</v>
      </c>
      <c r="O32" s="211">
        <v>1.103793724028655E-3</v>
      </c>
      <c r="P32" s="198">
        <v>5.9399574253551498E-6</v>
      </c>
      <c r="Q32" s="198">
        <v>1.1410556130959663E-3</v>
      </c>
      <c r="R32" s="1">
        <v>5.6593926841713646E-6</v>
      </c>
      <c r="S32" s="182">
        <v>5.6593926841713646E-6</v>
      </c>
      <c r="T32" s="1">
        <v>4.3612800093536866E-3</v>
      </c>
      <c r="W32" s="1">
        <v>2.3848532305344738E-2</v>
      </c>
      <c r="Y32" s="1">
        <v>60</v>
      </c>
      <c r="Z32" s="1">
        <v>70</v>
      </c>
    </row>
    <row r="33" spans="1:26" ht="15.6">
      <c r="A33" s="201">
        <v>200</v>
      </c>
      <c r="B33" s="202">
        <v>250</v>
      </c>
      <c r="C33" s="160">
        <v>250822</v>
      </c>
      <c r="D33" s="30">
        <v>56249637.400000244</v>
      </c>
      <c r="E33" s="187">
        <f t="shared" si="0"/>
        <v>224.26117884396203</v>
      </c>
      <c r="F33" s="188">
        <v>2.5083454172708636E-3</v>
      </c>
      <c r="G33" s="189">
        <v>0.56252450022501366</v>
      </c>
      <c r="H33" s="178"/>
      <c r="I33" s="124" t="str">
        <f t="shared" si="1"/>
        <v>(200, 250]</v>
      </c>
      <c r="J33" s="160">
        <v>1</v>
      </c>
      <c r="K33" s="205">
        <v>0.04</v>
      </c>
      <c r="L33" s="188">
        <v>1.0033381669083455E-4</v>
      </c>
      <c r="M33" s="208">
        <v>100333</v>
      </c>
      <c r="N33" s="195">
        <v>1.0187521657228404E-4</v>
      </c>
      <c r="O33" s="211">
        <v>2.2846656163484354E-2</v>
      </c>
      <c r="P33" s="198">
        <v>6.3112047644398504E-6</v>
      </c>
      <c r="Q33" s="198">
        <v>1.4153582203989105E-3</v>
      </c>
      <c r="R33" s="1">
        <v>6.0131047269320781E-6</v>
      </c>
      <c r="S33" s="182">
        <v>6.0131047269320781E-6</v>
      </c>
      <c r="T33" s="1">
        <v>2.3972395051852433E-3</v>
      </c>
      <c r="W33" s="1">
        <v>2.2882523567802755E-2</v>
      </c>
      <c r="Y33" s="1">
        <v>140</v>
      </c>
      <c r="Z33" s="1">
        <v>160</v>
      </c>
    </row>
    <row r="34" spans="1:26" ht="15.6">
      <c r="A34" s="201">
        <v>250</v>
      </c>
      <c r="B34" s="202">
        <v>300</v>
      </c>
      <c r="C34" s="160">
        <v>173804</v>
      </c>
      <c r="D34" s="30">
        <v>47834049.399999999</v>
      </c>
      <c r="E34" s="187">
        <f t="shared" si="0"/>
        <v>275.21834595291244</v>
      </c>
      <c r="F34" s="188">
        <v>1.7381269063453174E-3</v>
      </c>
      <c r="G34" s="189">
        <v>0.47836441222061099</v>
      </c>
      <c r="H34" s="178"/>
      <c r="I34" s="124" t="str">
        <f t="shared" si="1"/>
        <v>(250, 300]</v>
      </c>
      <c r="J34" s="160">
        <v>1</v>
      </c>
      <c r="K34" s="205">
        <v>4.0700370205354574E-4</v>
      </c>
      <c r="L34" s="188">
        <v>7.0742408552142079E-7</v>
      </c>
      <c r="M34" s="208">
        <v>707</v>
      </c>
      <c r="N34" s="195">
        <v>7.1786728311328097E-7</v>
      </c>
      <c r="O34" s="211">
        <v>1.9757024627214831E-4</v>
      </c>
      <c r="P34" s="198">
        <v>7.4249467816939405E-7</v>
      </c>
      <c r="Q34" s="198">
        <v>2.0434815720462069E-4</v>
      </c>
      <c r="R34" s="1">
        <v>7.0742408552142079E-7</v>
      </c>
      <c r="S34" s="182">
        <v>7.0742408552142079E-7</v>
      </c>
      <c r="T34" s="1">
        <v>4.0700370205354574E-4</v>
      </c>
      <c r="W34" s="1">
        <v>3.9853904823289286E-3</v>
      </c>
      <c r="Y34" s="1">
        <v>200</v>
      </c>
      <c r="Z34" s="1">
        <v>250</v>
      </c>
    </row>
    <row r="35" spans="1:26" ht="15.6">
      <c r="A35" s="201">
        <v>300</v>
      </c>
      <c r="B35" s="202">
        <v>350</v>
      </c>
      <c r="C35" s="160">
        <v>119757</v>
      </c>
      <c r="D35" s="30">
        <v>38878667.600000001</v>
      </c>
      <c r="E35" s="187">
        <f t="shared" si="0"/>
        <v>324.64630543517291</v>
      </c>
      <c r="F35" s="188">
        <v>1.1976298814940748E-3</v>
      </c>
      <c r="G35" s="189">
        <v>0.3888061163058153</v>
      </c>
      <c r="H35" s="178"/>
      <c r="I35" s="124" t="str">
        <f t="shared" si="1"/>
        <v>(300, 350]</v>
      </c>
      <c r="J35" s="160">
        <v>1</v>
      </c>
      <c r="K35" s="205">
        <v>0.02</v>
      </c>
      <c r="L35" s="188">
        <v>2.3952597629881496E-5</v>
      </c>
      <c r="M35" s="208">
        <v>23952</v>
      </c>
      <c r="N35" s="195">
        <v>2.4320165721540743E-5</v>
      </c>
      <c r="O35" s="211">
        <v>7.8954519490693383E-3</v>
      </c>
      <c r="P35" s="198">
        <v>3.7124733908469702E-7</v>
      </c>
      <c r="Q35" s="198">
        <v>1.2052407703648575E-4</v>
      </c>
      <c r="R35" s="1">
        <v>3.5371204276071039E-7</v>
      </c>
      <c r="S35" s="182">
        <v>3.5371204276071039E-7</v>
      </c>
      <c r="T35" s="1">
        <v>2.953433679522469E-4</v>
      </c>
      <c r="W35" s="1">
        <v>3.4030453127866446E-3</v>
      </c>
      <c r="Y35" s="1">
        <v>60</v>
      </c>
      <c r="Z35" s="1">
        <v>70</v>
      </c>
    </row>
    <row r="36" spans="1:26" ht="15.6">
      <c r="A36" s="201">
        <v>350</v>
      </c>
      <c r="B36" s="202">
        <v>400</v>
      </c>
      <c r="C36" s="160">
        <v>100983</v>
      </c>
      <c r="D36" s="30">
        <v>37981431.79999996</v>
      </c>
      <c r="E36" s="187">
        <f t="shared" si="0"/>
        <v>376.11708703445095</v>
      </c>
      <c r="F36" s="188">
        <v>1.0098804940247012E-3</v>
      </c>
      <c r="G36" s="189">
        <v>0.3798333096654829</v>
      </c>
      <c r="H36" s="178"/>
      <c r="I36" s="124" t="str">
        <f t="shared" si="1"/>
        <v>(350, 400]</v>
      </c>
      <c r="J36" s="160">
        <v>1</v>
      </c>
      <c r="K36" s="205">
        <v>0</v>
      </c>
      <c r="L36" s="188">
        <v>0</v>
      </c>
      <c r="M36" s="208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</row>
    <row r="37" spans="1:26" ht="15.6">
      <c r="A37" s="201">
        <v>400</v>
      </c>
      <c r="B37" s="202">
        <v>450</v>
      </c>
      <c r="C37" s="160">
        <v>77014</v>
      </c>
      <c r="D37" s="30">
        <v>32756790.199999969</v>
      </c>
      <c r="E37" s="187">
        <f t="shared" si="0"/>
        <v>425.33552600825783</v>
      </c>
      <c r="F37" s="188">
        <v>7.7017850892544632E-4</v>
      </c>
      <c r="G37" s="189">
        <v>0.32758428121406041</v>
      </c>
      <c r="H37" s="178"/>
      <c r="I37" s="124" t="str">
        <f t="shared" si="1"/>
        <v>(400, 450]</v>
      </c>
      <c r="J37" s="160">
        <v>1</v>
      </c>
      <c r="K37" s="205">
        <v>0</v>
      </c>
      <c r="L37" s="188">
        <v>0</v>
      </c>
      <c r="M37" s="208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</row>
    <row r="38" spans="1:26" ht="15.6">
      <c r="A38" s="201">
        <v>450</v>
      </c>
      <c r="B38" s="202">
        <v>500</v>
      </c>
      <c r="C38" s="160">
        <v>66779</v>
      </c>
      <c r="D38" s="30">
        <v>31881948.599999983</v>
      </c>
      <c r="E38" s="187">
        <f t="shared" si="0"/>
        <v>477.42476826547244</v>
      </c>
      <c r="F38" s="188">
        <v>6.6782339116955845E-4</v>
      </c>
      <c r="G38" s="189">
        <v>0.3188354277713884</v>
      </c>
      <c r="H38" s="178"/>
      <c r="I38" s="124" t="str">
        <f t="shared" si="1"/>
        <v>(450, 500]</v>
      </c>
      <c r="J38" s="160">
        <v>1</v>
      </c>
      <c r="K38" s="205">
        <v>0</v>
      </c>
      <c r="L38" s="188">
        <v>0</v>
      </c>
      <c r="M38" s="208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</row>
    <row r="39" spans="1:26" ht="15.6">
      <c r="A39" s="201">
        <v>500</v>
      </c>
      <c r="B39" s="202">
        <v>550</v>
      </c>
      <c r="C39" s="160">
        <v>64128</v>
      </c>
      <c r="D39" s="30">
        <v>33651581.199999996</v>
      </c>
      <c r="E39" s="187">
        <f t="shared" si="0"/>
        <v>524.75644336327343</v>
      </c>
      <c r="F39" s="188">
        <v>6.4131206560328019E-4</v>
      </c>
      <c r="G39" s="189">
        <v>0.33653263863193161</v>
      </c>
      <c r="H39" s="178"/>
      <c r="I39" s="124" t="str">
        <f t="shared" si="1"/>
        <v>(500, 550]</v>
      </c>
      <c r="J39" s="160">
        <v>1</v>
      </c>
      <c r="K39" s="205">
        <v>0</v>
      </c>
      <c r="L39" s="188">
        <v>0</v>
      </c>
      <c r="M39" s="208">
        <v>0</v>
      </c>
      <c r="N39" s="195">
        <v>0</v>
      </c>
      <c r="O39" s="211">
        <v>0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</row>
    <row r="40" spans="1:26" ht="15.6">
      <c r="A40" s="201">
        <v>550</v>
      </c>
      <c r="B40" s="202">
        <v>600</v>
      </c>
      <c r="C40" s="160">
        <v>49201</v>
      </c>
      <c r="D40" s="30">
        <v>28340291.59999999</v>
      </c>
      <c r="E40" s="187">
        <f t="shared" si="0"/>
        <v>576.01047946179938</v>
      </c>
      <c r="F40" s="188">
        <v>4.9203460173008647E-4</v>
      </c>
      <c r="G40" s="189">
        <v>0.28341708685434258</v>
      </c>
      <c r="H40" s="178"/>
      <c r="I40" s="124" t="str">
        <f t="shared" si="1"/>
        <v>(550, 600]</v>
      </c>
      <c r="J40" s="160">
        <v>1</v>
      </c>
      <c r="K40" s="205">
        <v>0</v>
      </c>
      <c r="L40" s="188">
        <v>0</v>
      </c>
      <c r="M40" s="208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</row>
    <row r="41" spans="1:26" ht="15.6">
      <c r="A41" s="201">
        <v>600</v>
      </c>
      <c r="B41" s="202">
        <v>650</v>
      </c>
      <c r="C41" s="160">
        <v>36168</v>
      </c>
      <c r="D41" s="30">
        <v>22632595.800000004</v>
      </c>
      <c r="E41" s="187">
        <f t="shared" si="0"/>
        <v>625.76298938288005</v>
      </c>
      <c r="F41" s="188">
        <v>3.6169808490424523E-4</v>
      </c>
      <c r="G41" s="189">
        <v>0.22633727486374325</v>
      </c>
      <c r="H41" s="178"/>
      <c r="I41" s="124" t="str">
        <f t="shared" si="1"/>
        <v>(600, 650]</v>
      </c>
      <c r="J41" s="160">
        <v>1</v>
      </c>
      <c r="K41" s="205">
        <v>0</v>
      </c>
      <c r="L41" s="188">
        <v>0</v>
      </c>
      <c r="M41" s="208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</row>
    <row r="42" spans="1:26" ht="15.6">
      <c r="A42" s="201">
        <v>650</v>
      </c>
      <c r="B42" s="202">
        <v>700</v>
      </c>
      <c r="C42" s="160">
        <v>30381</v>
      </c>
      <c r="D42" s="30">
        <v>20510374</v>
      </c>
      <c r="E42" s="187">
        <f t="shared" si="0"/>
        <v>675.1052960732037</v>
      </c>
      <c r="F42" s="188">
        <v>3.0382519125956295E-4</v>
      </c>
      <c r="G42" s="189">
        <v>0.205113995699785</v>
      </c>
      <c r="H42" s="178"/>
      <c r="I42" s="124" t="str">
        <f t="shared" si="1"/>
        <v>(650, 700]</v>
      </c>
      <c r="J42" s="160">
        <v>1</v>
      </c>
      <c r="K42" s="205">
        <v>0</v>
      </c>
      <c r="L42" s="188">
        <v>0</v>
      </c>
      <c r="M42" s="208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</row>
    <row r="43" spans="1:26" ht="15.6">
      <c r="A43" s="201">
        <v>700</v>
      </c>
      <c r="B43" s="202">
        <v>750</v>
      </c>
      <c r="C43" s="160">
        <v>26551</v>
      </c>
      <c r="D43" s="30">
        <v>19246189.000000011</v>
      </c>
      <c r="E43" s="187">
        <f t="shared" si="0"/>
        <v>724.87623818311965</v>
      </c>
      <c r="F43" s="188">
        <v>2.6552327616380817E-4</v>
      </c>
      <c r="G43" s="189">
        <v>0.19247151357567888</v>
      </c>
      <c r="H43" s="178"/>
      <c r="I43" s="124" t="str">
        <f t="shared" si="1"/>
        <v>(700, 750]</v>
      </c>
      <c r="J43" s="160">
        <v>1</v>
      </c>
      <c r="K43" s="205">
        <v>0</v>
      </c>
      <c r="L43" s="188">
        <v>0</v>
      </c>
      <c r="M43" s="208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</row>
    <row r="44" spans="1:26" ht="15.6">
      <c r="A44" s="201">
        <v>750</v>
      </c>
      <c r="B44" s="202">
        <v>800</v>
      </c>
      <c r="C44" s="160">
        <v>29429</v>
      </c>
      <c r="D44" s="30">
        <v>22999146.399999991</v>
      </c>
      <c r="E44" s="187">
        <f t="shared" si="0"/>
        <v>781.51301097556802</v>
      </c>
      <c r="F44" s="188">
        <v>2.9430471523576179E-4</v>
      </c>
      <c r="G44" s="189">
        <v>0.23000296414820734</v>
      </c>
      <c r="H44" s="178"/>
      <c r="I44" s="124" t="str">
        <f t="shared" si="1"/>
        <v>(750, 800]</v>
      </c>
      <c r="J44" s="160">
        <v>1</v>
      </c>
      <c r="K44" s="205">
        <v>0</v>
      </c>
      <c r="L44" s="188">
        <v>0</v>
      </c>
      <c r="M44" s="208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</row>
    <row r="45" spans="1:26" ht="15.6">
      <c r="A45" s="201">
        <v>800</v>
      </c>
      <c r="B45" s="202">
        <v>850</v>
      </c>
      <c r="C45" s="160">
        <v>31469</v>
      </c>
      <c r="D45" s="30">
        <v>26024957.000000075</v>
      </c>
      <c r="E45" s="187">
        <f t="shared" si="0"/>
        <v>827.00298706663932</v>
      </c>
      <c r="F45" s="188">
        <v>3.1470573528676434E-4</v>
      </c>
      <c r="G45" s="189">
        <v>0.26026258312915718</v>
      </c>
      <c r="H45" s="178"/>
      <c r="I45" s="124" t="str">
        <f t="shared" si="1"/>
        <v>(800, 850]</v>
      </c>
      <c r="J45" s="160">
        <v>1</v>
      </c>
      <c r="K45" s="205">
        <v>0</v>
      </c>
      <c r="L45" s="188">
        <v>0</v>
      </c>
      <c r="M45" s="208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</row>
    <row r="46" spans="1:26" ht="15.6">
      <c r="A46" s="201">
        <v>850</v>
      </c>
      <c r="B46" s="202">
        <v>900</v>
      </c>
      <c r="C46" s="160">
        <v>25425</v>
      </c>
      <c r="D46" s="30">
        <v>22233882.599999998</v>
      </c>
      <c r="E46" s="187">
        <f t="shared" si="0"/>
        <v>874.48899115044242</v>
      </c>
      <c r="F46" s="188">
        <v>2.5426271313565681E-4</v>
      </c>
      <c r="G46" s="189">
        <v>0.22234994349717488</v>
      </c>
      <c r="H46" s="178"/>
      <c r="I46" s="124" t="str">
        <f t="shared" si="1"/>
        <v>(850, 900]</v>
      </c>
      <c r="J46" s="160">
        <v>1</v>
      </c>
      <c r="K46" s="205">
        <v>0</v>
      </c>
      <c r="L46" s="188">
        <v>0</v>
      </c>
      <c r="M46" s="208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</row>
    <row r="47" spans="1:26" ht="15.6">
      <c r="A47" s="201">
        <v>900</v>
      </c>
      <c r="B47" s="202">
        <v>950</v>
      </c>
      <c r="C47" s="160">
        <v>17543</v>
      </c>
      <c r="D47" s="30">
        <v>16221054.400000006</v>
      </c>
      <c r="E47" s="187">
        <f t="shared" si="0"/>
        <v>924.64540842501322</v>
      </c>
      <c r="F47" s="188">
        <v>1.7543877193859693E-4</v>
      </c>
      <c r="G47" s="189">
        <v>0.1622186549327467</v>
      </c>
      <c r="H47" s="178"/>
      <c r="I47" s="124" t="str">
        <f t="shared" si="1"/>
        <v>(900, 950]</v>
      </c>
      <c r="J47" s="160">
        <v>1</v>
      </c>
      <c r="K47" s="205">
        <v>0</v>
      </c>
      <c r="L47" s="188">
        <v>0</v>
      </c>
      <c r="M47" s="208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</row>
    <row r="48" spans="1:26" ht="15.6">
      <c r="A48" s="201">
        <v>950</v>
      </c>
      <c r="B48" s="202">
        <v>1000</v>
      </c>
      <c r="C48" s="160">
        <v>22280</v>
      </c>
      <c r="D48" s="30">
        <v>21898277.000000004</v>
      </c>
      <c r="E48" s="187">
        <f t="shared" si="0"/>
        <v>982.86701077199302</v>
      </c>
      <c r="F48" s="188">
        <v>2.2281114055702785E-4</v>
      </c>
      <c r="G48" s="189">
        <v>0.21899371968598436</v>
      </c>
      <c r="H48" s="178"/>
      <c r="I48" s="124" t="str">
        <f t="shared" si="1"/>
        <v>(950, 1000]</v>
      </c>
      <c r="J48" s="160">
        <v>1</v>
      </c>
      <c r="K48" s="205">
        <v>0</v>
      </c>
      <c r="L48" s="188">
        <v>0</v>
      </c>
      <c r="M48" s="208">
        <v>0</v>
      </c>
      <c r="N48" s="195">
        <v>0</v>
      </c>
      <c r="O48" s="211">
        <v>0</v>
      </c>
      <c r="P48" s="198">
        <v>3.7124733908469702E-7</v>
      </c>
      <c r="Q48" s="198">
        <v>3.6488676242323265E-4</v>
      </c>
      <c r="R48" s="1">
        <v>3.5371204276071039E-7</v>
      </c>
      <c r="S48" s="182">
        <v>3.5371204276071039E-7</v>
      </c>
      <c r="T48" s="1">
        <v>1.5874971147153158E-3</v>
      </c>
      <c r="Y48" s="1">
        <v>160</v>
      </c>
      <c r="Z48" s="1">
        <v>180</v>
      </c>
    </row>
    <row r="49" spans="1:26" ht="15.6">
      <c r="A49" s="201">
        <v>1000</v>
      </c>
      <c r="B49" s="202">
        <v>2000</v>
      </c>
      <c r="C49" s="160">
        <v>247412</v>
      </c>
      <c r="D49" s="30">
        <v>348530100.9999994</v>
      </c>
      <c r="E49" s="187">
        <f t="shared" si="0"/>
        <v>1408.7033005674721</v>
      </c>
      <c r="F49" s="188">
        <v>2.4742437121856092E-3</v>
      </c>
      <c r="G49" s="189">
        <v>3.485475283764182</v>
      </c>
      <c r="H49" s="178"/>
      <c r="I49" s="124" t="str">
        <f t="shared" si="1"/>
        <v>(1000, 2000]</v>
      </c>
      <c r="J49" s="160">
        <v>1</v>
      </c>
      <c r="K49" s="205">
        <v>4.0000000000000001E-3</v>
      </c>
      <c r="L49" s="188">
        <v>9.8969748487424368E-6</v>
      </c>
      <c r="M49" s="208">
        <v>9896</v>
      </c>
      <c r="N49" s="195">
        <v>1.0048111221625217E-5</v>
      </c>
      <c r="O49" s="211">
        <v>1.4154807442372496E-2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</row>
    <row r="50" spans="1:26" ht="15.6">
      <c r="A50" s="201">
        <v>2000</v>
      </c>
      <c r="B50" s="202">
        <v>3000</v>
      </c>
      <c r="C50" s="160">
        <v>111125</v>
      </c>
      <c r="D50" s="30">
        <v>267755182.00000018</v>
      </c>
      <c r="E50" s="187">
        <f t="shared" si="0"/>
        <v>2409.495451068618</v>
      </c>
      <c r="F50" s="188">
        <v>1.111305565278264E-3</v>
      </c>
      <c r="G50" s="189">
        <v>2.6776857042852162</v>
      </c>
      <c r="H50" s="178"/>
      <c r="I50" s="124" t="str">
        <f t="shared" si="1"/>
        <v>(2000, 3000]</v>
      </c>
      <c r="J50" s="160">
        <v>1</v>
      </c>
      <c r="K50" s="205">
        <v>0</v>
      </c>
      <c r="L50" s="188">
        <v>0</v>
      </c>
      <c r="M50" s="208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</row>
    <row r="51" spans="1:26" ht="15.6">
      <c r="A51" s="201">
        <v>3000</v>
      </c>
      <c r="B51" s="202">
        <v>4000</v>
      </c>
      <c r="C51" s="160">
        <v>52366</v>
      </c>
      <c r="D51" s="30">
        <v>179950970.40000001</v>
      </c>
      <c r="E51" s="187">
        <f t="shared" si="0"/>
        <v>3436.4085551693847</v>
      </c>
      <c r="F51" s="188">
        <v>5.2368618430921545E-4</v>
      </c>
      <c r="G51" s="189">
        <v>1.7995996839841992</v>
      </c>
      <c r="H51" s="178"/>
      <c r="I51" s="124" t="str">
        <f t="shared" si="1"/>
        <v>(3000, 4000]</v>
      </c>
      <c r="J51" s="160">
        <v>1</v>
      </c>
      <c r="K51" s="205">
        <v>0</v>
      </c>
      <c r="L51" s="188">
        <v>0</v>
      </c>
      <c r="M51" s="208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</row>
    <row r="52" spans="1:26" ht="15.6">
      <c r="A52" s="201">
        <v>4000</v>
      </c>
      <c r="B52" s="202">
        <v>5000</v>
      </c>
      <c r="C52" s="160">
        <v>31269</v>
      </c>
      <c r="D52" s="30">
        <v>138982674.39999995</v>
      </c>
      <c r="E52" s="187">
        <f t="shared" si="0"/>
        <v>4444.7431769484137</v>
      </c>
      <c r="F52" s="188">
        <v>3.1270563528176408E-4</v>
      </c>
      <c r="G52" s="189">
        <v>1.38989623881194</v>
      </c>
      <c r="H52" s="178"/>
      <c r="I52" s="124" t="str">
        <f t="shared" si="1"/>
        <v>(4000, 5000]</v>
      </c>
      <c r="J52" s="160">
        <v>1</v>
      </c>
      <c r="K52" s="205">
        <v>0</v>
      </c>
      <c r="L52" s="188">
        <v>0</v>
      </c>
      <c r="M52" s="208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</row>
    <row r="53" spans="1:26" ht="15.6">
      <c r="A53" s="201">
        <v>5000</v>
      </c>
      <c r="B53" s="202">
        <v>6000</v>
      </c>
      <c r="C53" s="160">
        <v>15043</v>
      </c>
      <c r="D53" s="30">
        <v>82096201.400000006</v>
      </c>
      <c r="E53" s="187">
        <f t="shared" si="0"/>
        <v>5457.435445057502</v>
      </c>
      <c r="F53" s="188">
        <v>1.5043752187609381E-4</v>
      </c>
      <c r="G53" s="189">
        <v>0.82100306415320767</v>
      </c>
      <c r="H53" s="178"/>
      <c r="I53" s="124" t="str">
        <f t="shared" si="1"/>
        <v>(5000, 6000]</v>
      </c>
      <c r="J53" s="160">
        <v>1</v>
      </c>
      <c r="K53" s="205">
        <v>0</v>
      </c>
      <c r="L53" s="188">
        <v>0</v>
      </c>
      <c r="M53" s="208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</row>
    <row r="54" spans="1:26" ht="15.6">
      <c r="A54" s="201">
        <v>6000</v>
      </c>
      <c r="B54" s="202">
        <v>7000</v>
      </c>
      <c r="C54" s="160">
        <v>10022</v>
      </c>
      <c r="D54" s="30">
        <v>64633756.199999988</v>
      </c>
      <c r="E54" s="187">
        <f t="shared" si="0"/>
        <v>6449.1874077030525</v>
      </c>
      <c r="F54" s="188">
        <v>1.0022501125056253E-4</v>
      </c>
      <c r="G54" s="189">
        <v>0.64636988049402466</v>
      </c>
      <c r="H54" s="178"/>
      <c r="I54" s="124" t="str">
        <f t="shared" si="1"/>
        <v>(6000, 7000]</v>
      </c>
      <c r="J54" s="160">
        <v>1</v>
      </c>
      <c r="K54" s="205">
        <v>0</v>
      </c>
      <c r="L54" s="188">
        <v>0</v>
      </c>
      <c r="M54" s="208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</row>
    <row r="55" spans="1:26" thickBot="1">
      <c r="A55" s="203">
        <v>7000</v>
      </c>
      <c r="B55" s="204">
        <v>8000</v>
      </c>
      <c r="C55" s="162">
        <v>11428</v>
      </c>
      <c r="D55" s="167">
        <v>93477881.800000027</v>
      </c>
      <c r="E55" s="190">
        <f t="shared" si="0"/>
        <v>8179.7236436821868</v>
      </c>
      <c r="F55" s="191">
        <v>1.1428571428571428E-4</v>
      </c>
      <c r="G55" s="192">
        <v>0.93482555927796418</v>
      </c>
      <c r="H55" s="178"/>
      <c r="I55" s="125" t="str">
        <f t="shared" si="1"/>
        <v>(7000, 8000]</v>
      </c>
      <c r="J55" s="162">
        <v>1</v>
      </c>
      <c r="K55" s="206">
        <v>0</v>
      </c>
      <c r="L55" s="191">
        <v>0</v>
      </c>
      <c r="M55" s="209">
        <v>0</v>
      </c>
      <c r="N55" s="196">
        <v>0</v>
      </c>
      <c r="O55" s="212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26" ht="16.8" thickBot="1">
      <c r="L56" s="180"/>
      <c r="O56" s="10">
        <f>SUM(O28:O49)</f>
        <v>8.5783824539356721E-2</v>
      </c>
      <c r="Y56" s="1">
        <v>90</v>
      </c>
      <c r="Z56" s="1">
        <v>100</v>
      </c>
    </row>
    <row r="57" spans="1:26" ht="16.8" thickBot="1">
      <c r="L57" s="180"/>
      <c r="M57" s="114"/>
      <c r="N57" s="164" t="s">
        <v>181</v>
      </c>
      <c r="O57" s="219" t="s">
        <v>180</v>
      </c>
      <c r="Y57" s="1">
        <v>160</v>
      </c>
      <c r="Z57" s="1">
        <v>180</v>
      </c>
    </row>
    <row r="58" spans="1:26">
      <c r="L58" s="180"/>
      <c r="M58" s="128" t="s">
        <v>178</v>
      </c>
      <c r="N58" s="218">
        <f>1/SUM(N35:N55)</f>
        <v>29096.59979910187</v>
      </c>
      <c r="O58" s="220" cm="1">
        <f t="array" ref="O58:O59">N60/N58:N59</f>
        <v>120.28896930108084</v>
      </c>
      <c r="Y58" s="1">
        <v>140</v>
      </c>
      <c r="Z58" s="1">
        <v>160</v>
      </c>
    </row>
    <row r="59" spans="1:26" ht="16.8" thickBot="1">
      <c r="L59" s="180"/>
      <c r="M59" s="124" t="s">
        <v>179</v>
      </c>
      <c r="N59" s="218">
        <f>1/N49</f>
        <v>99521.191390460794</v>
      </c>
      <c r="O59" s="220">
        <v>35.168389275688256</v>
      </c>
      <c r="Y59" s="1">
        <v>160</v>
      </c>
      <c r="Z59" s="1">
        <v>180</v>
      </c>
    </row>
    <row r="60" spans="1:26" ht="16.8" thickBot="1">
      <c r="D60" s="1" t="s">
        <v>183</v>
      </c>
      <c r="E60" s="1">
        <v>1.5</v>
      </c>
      <c r="L60" s="180"/>
      <c r="M60" s="114" t="s">
        <v>177</v>
      </c>
      <c r="N60" s="184">
        <v>3500000</v>
      </c>
      <c r="O60" s="165"/>
      <c r="Y60" s="1">
        <v>160</v>
      </c>
      <c r="Z60" s="1">
        <v>180</v>
      </c>
    </row>
    <row r="61" spans="1:26" ht="16.8" thickBot="1">
      <c r="A61" s="146" t="s">
        <v>114</v>
      </c>
      <c r="B61" s="146"/>
      <c r="C61" s="146"/>
      <c r="D61" s="146"/>
      <c r="E61" s="146"/>
      <c r="F61" s="221"/>
      <c r="G61" s="146"/>
      <c r="H61" s="146"/>
      <c r="I61" s="146"/>
      <c r="J61" s="146"/>
      <c r="K61" s="146"/>
      <c r="L61" s="146"/>
      <c r="M61" s="146"/>
      <c r="N61" s="146"/>
      <c r="O61" s="222">
        <f>SUM(_xlfn.ANCHORARRAY(O63))</f>
        <v>1.149088164397527</v>
      </c>
      <c r="Y61" s="1">
        <v>160</v>
      </c>
      <c r="Z61" s="1">
        <v>180</v>
      </c>
    </row>
    <row r="62" spans="1:26" thickBot="1">
      <c r="A62" s="164" t="str" cm="1">
        <f t="array" ref="A62:G62">A3:G3</f>
        <v>Lower</v>
      </c>
      <c r="B62" s="165" t="str">
        <v>Upper</v>
      </c>
      <c r="C62" s="226" t="str">
        <v>Count</v>
      </c>
      <c r="D62" s="227" t="str">
        <v>Pay</v>
      </c>
      <c r="E62" s="227" t="str">
        <v>Multi.</v>
      </c>
      <c r="F62" s="227" t="str">
        <v>Prob.</v>
      </c>
      <c r="G62" s="228" t="str">
        <v>RTP</v>
      </c>
      <c r="I62" s="114" t="s">
        <v>159</v>
      </c>
      <c r="J62" s="164" t="s">
        <v>173</v>
      </c>
      <c r="K62" s="184" t="s">
        <v>161</v>
      </c>
      <c r="L62" s="184" t="s">
        <v>163</v>
      </c>
      <c r="M62" s="184" t="s">
        <v>162</v>
      </c>
      <c r="N62" s="184" t="s">
        <v>164</v>
      </c>
      <c r="O62" s="114" t="s">
        <v>165</v>
      </c>
      <c r="P62" s="183">
        <f>SUM(_xlfn.ANCHORARRAY(Q63))</f>
        <v>0.64351799419609779</v>
      </c>
      <c r="Y62" s="1">
        <v>90</v>
      </c>
      <c r="Z62" s="1">
        <v>100</v>
      </c>
    </row>
    <row r="63" spans="1:26" ht="15.6">
      <c r="A63" s="199" cm="1">
        <f t="array" ref="A63:B114">A4:B55</f>
        <v>-1</v>
      </c>
      <c r="B63" s="200">
        <v>0</v>
      </c>
      <c r="C63" s="158" cm="1">
        <f t="array" ref="C63:D114">'[1]Raw Data'!$S$1:$T$52</f>
        <v>79519285</v>
      </c>
      <c r="D63" s="166">
        <v>0</v>
      </c>
      <c r="E63" s="187">
        <f>(D63/$E$60)/(C63)</f>
        <v>0</v>
      </c>
      <c r="F63" s="185" cm="1">
        <f t="array" ref="F63:F114">C63:C114/SUM(C63:C114)</f>
        <v>0.79521482178552594</v>
      </c>
      <c r="G63" s="186" cm="1">
        <f t="array" ref="G63:G114">E63:E114*_xlfn.ANCHORARRAY(F63)</f>
        <v>0</v>
      </c>
      <c r="H63" s="178"/>
      <c r="I63" s="128" t="str">
        <f>"("&amp;$A63&amp;", "&amp;$B63&amp;"]"</f>
        <v>(-1, 0]</v>
      </c>
      <c r="J63" s="158" cm="1">
        <f t="array" ref="J63:J114">IF(1/F63:F114&lt;$J$2,1,0)</f>
        <v>1</v>
      </c>
      <c r="K63" s="217">
        <v>1.014521</v>
      </c>
      <c r="L63" s="185" cm="1">
        <f t="array" ref="L63:L114">K63:K114*_xlfn.ANCHORARRAY(J63)*_xlfn.ANCHORARRAY(F63)</f>
        <v>0.80676213621267356</v>
      </c>
      <c r="M63" s="207" cm="1">
        <f t="array" ref="M63:M114">INT(_xlfn.ANCHORARRAY(L63)*$M$2)</f>
        <v>806762136</v>
      </c>
      <c r="N63" s="194" cm="1">
        <f t="array" ref="N63:N114">M63:M114/SUM(M63:M114)</f>
        <v>0.86459485841215344</v>
      </c>
      <c r="O63" s="210" cm="1">
        <f t="array" ref="O63:O114">_xlfn.ANCHORARRAY(N63)*E63:E114</f>
        <v>0</v>
      </c>
      <c r="P63" s="1">
        <v>0.880141814340199</v>
      </c>
      <c r="Q63" s="183" cm="1">
        <f t="array" ref="Q63:Q114">P63:P114*E63:E114</f>
        <v>0</v>
      </c>
      <c r="Y63" s="1">
        <v>80</v>
      </c>
      <c r="Z63" s="1">
        <v>90</v>
      </c>
    </row>
    <row r="64" spans="1:26" ht="15.6">
      <c r="A64" s="201">
        <v>0</v>
      </c>
      <c r="B64" s="202">
        <v>1</v>
      </c>
      <c r="C64" s="160">
        <v>891535</v>
      </c>
      <c r="D64" s="30">
        <v>594293.33333313535</v>
      </c>
      <c r="E64" s="187">
        <f t="shared" ref="E64:E114" si="2">(D64/$E$60)/(C64)</f>
        <v>0.44439708542617345</v>
      </c>
      <c r="F64" s="188">
        <v>8.9155963379268163E-3</v>
      </c>
      <c r="G64" s="189">
        <v>3.9620650274109423E-3</v>
      </c>
      <c r="H64" s="178"/>
      <c r="I64" s="124" t="str">
        <f t="shared" ref="I64:I114" si="3">"("&amp;$A64&amp;", "&amp;$B64&amp;"]"</f>
        <v>(0, 1]</v>
      </c>
      <c r="J64" s="160">
        <v>1</v>
      </c>
      <c r="K64" s="205">
        <v>1.03</v>
      </c>
      <c r="L64" s="188">
        <v>9.1830642280646205E-3</v>
      </c>
      <c r="M64" s="208">
        <v>9183064</v>
      </c>
      <c r="N64" s="195">
        <v>9.8413517003105161E-3</v>
      </c>
      <c r="O64" s="211">
        <v>4.3734680122719102E-3</v>
      </c>
      <c r="P64" s="1">
        <v>7.9024489235599207E-3</v>
      </c>
      <c r="Q64" s="183">
        <v>3.5118252693592303E-3</v>
      </c>
      <c r="Y64" s="1">
        <v>140</v>
      </c>
      <c r="Z64" s="1">
        <v>160</v>
      </c>
    </row>
    <row r="65" spans="1:26" ht="15.6">
      <c r="A65" s="201">
        <v>1</v>
      </c>
      <c r="B65" s="202">
        <v>2</v>
      </c>
      <c r="C65" s="160">
        <v>1581010</v>
      </c>
      <c r="D65" s="30">
        <v>2464177.866667537</v>
      </c>
      <c r="E65" s="187">
        <f t="shared" si="2"/>
        <v>1.0390732787553683</v>
      </c>
      <c r="F65" s="188">
        <v>1.581053684513303E-2</v>
      </c>
      <c r="G65" s="189">
        <v>1.6428306358554932E-2</v>
      </c>
      <c r="H65" s="178"/>
      <c r="I65" s="214" t="str">
        <f t="shared" si="3"/>
        <v>(1, 2]</v>
      </c>
      <c r="J65" s="160">
        <v>1</v>
      </c>
      <c r="K65" s="205">
        <v>0.85</v>
      </c>
      <c r="L65" s="188">
        <v>1.3438956318363074E-2</v>
      </c>
      <c r="M65" s="208">
        <v>13438956</v>
      </c>
      <c r="N65" s="195">
        <v>1.4402327205930201E-2</v>
      </c>
      <c r="O65" s="211">
        <v>1.4965073351573537E-2</v>
      </c>
      <c r="P65" s="1">
        <v>1.4699509976543301E-2</v>
      </c>
      <c r="Q65" s="183">
        <v>1.5273868027424094E-2</v>
      </c>
      <c r="Y65" s="1">
        <v>80</v>
      </c>
      <c r="Z65" s="1">
        <v>90</v>
      </c>
    </row>
    <row r="66" spans="1:26" ht="15.6">
      <c r="A66" s="201">
        <v>2</v>
      </c>
      <c r="B66" s="202">
        <v>3</v>
      </c>
      <c r="C66" s="160">
        <v>1426312</v>
      </c>
      <c r="D66" s="30">
        <v>3473772.5333300871</v>
      </c>
      <c r="E66" s="187">
        <f t="shared" si="2"/>
        <v>1.6236618324415635</v>
      </c>
      <c r="F66" s="188">
        <v>1.4263514100894608E-2</v>
      </c>
      <c r="G66" s="189">
        <v>2.3159123442114619E-2</v>
      </c>
      <c r="H66" s="178"/>
      <c r="I66" s="124" t="str">
        <f t="shared" si="3"/>
        <v>(2, 3]</v>
      </c>
      <c r="J66" s="160">
        <v>1</v>
      </c>
      <c r="K66" s="205">
        <v>0.6</v>
      </c>
      <c r="L66" s="188">
        <v>8.558108460536765E-3</v>
      </c>
      <c r="M66" s="208">
        <v>8558108</v>
      </c>
      <c r="N66" s="195">
        <v>9.1715957459559284E-3</v>
      </c>
      <c r="O66" s="211">
        <v>1.4891569955292051E-2</v>
      </c>
      <c r="P66" s="1">
        <v>1.15218182794865E-2</v>
      </c>
      <c r="Q66" s="183">
        <v>1.8707536580729753E-2</v>
      </c>
      <c r="Y66" s="1">
        <v>160</v>
      </c>
      <c r="Z66" s="1">
        <v>180</v>
      </c>
    </row>
    <row r="67" spans="1:26" ht="15.6">
      <c r="A67" s="201">
        <v>3</v>
      </c>
      <c r="B67" s="202">
        <v>4</v>
      </c>
      <c r="C67" s="160">
        <v>2474805</v>
      </c>
      <c r="D67" s="30">
        <v>8932647.733337855</v>
      </c>
      <c r="E67" s="187">
        <f t="shared" si="2"/>
        <v>2.4062899860360325</v>
      </c>
      <c r="F67" s="188">
        <v>2.4748733807515102E-2</v>
      </c>
      <c r="G67" s="189">
        <v>5.9552630328094998E-2</v>
      </c>
      <c r="H67" s="178"/>
      <c r="I67" s="124" t="str">
        <f t="shared" si="3"/>
        <v>(3, 4]</v>
      </c>
      <c r="J67" s="160">
        <v>1</v>
      </c>
      <c r="K67" s="205">
        <v>0.745</v>
      </c>
      <c r="L67" s="188">
        <v>1.8437806686598751E-2</v>
      </c>
      <c r="M67" s="208">
        <v>18437806</v>
      </c>
      <c r="N67" s="195">
        <v>1.975951963615798E-2</v>
      </c>
      <c r="O67" s="211">
        <v>4.7547134229369299E-2</v>
      </c>
      <c r="P67" s="1">
        <v>2.0240774010254099E-2</v>
      </c>
      <c r="Q67" s="183">
        <v>4.8705171810492824E-2</v>
      </c>
      <c r="Y67" s="1">
        <v>80</v>
      </c>
      <c r="Z67" s="1">
        <v>90</v>
      </c>
    </row>
    <row r="68" spans="1:26" ht="15.6">
      <c r="A68" s="201">
        <v>4</v>
      </c>
      <c r="B68" s="202">
        <v>5</v>
      </c>
      <c r="C68" s="160">
        <v>797741</v>
      </c>
      <c r="D68" s="30">
        <v>3694005.5999973938</v>
      </c>
      <c r="E68" s="187">
        <f t="shared" si="2"/>
        <v>3.0870550717567014</v>
      </c>
      <c r="F68" s="188">
        <v>7.9776304219285575E-3</v>
      </c>
      <c r="G68" s="189">
        <v>2.4627384454615108E-2</v>
      </c>
      <c r="H68" s="178"/>
      <c r="I68" s="124" t="str">
        <f t="shared" si="3"/>
        <v>(4, 5]</v>
      </c>
      <c r="J68" s="160">
        <v>1</v>
      </c>
      <c r="K68" s="205">
        <v>0.8</v>
      </c>
      <c r="L68" s="188">
        <v>6.3821043375428465E-3</v>
      </c>
      <c r="M68" s="208">
        <v>6382104</v>
      </c>
      <c r="N68" s="195">
        <v>6.839604956685323E-3</v>
      </c>
      <c r="O68" s="211">
        <v>2.1114237170347699E-2</v>
      </c>
      <c r="P68" s="1">
        <v>5.8731191395641697E-3</v>
      </c>
      <c r="Q68" s="183">
        <v>1.8130642226822924E-2</v>
      </c>
      <c r="Y68" s="1">
        <v>40</v>
      </c>
      <c r="Z68" s="1">
        <v>45</v>
      </c>
    </row>
    <row r="69" spans="1:26" ht="15.6">
      <c r="A69" s="201">
        <v>5</v>
      </c>
      <c r="B69" s="202">
        <v>6</v>
      </c>
      <c r="C69" s="160">
        <v>1538763</v>
      </c>
      <c r="D69" s="30">
        <v>8598399.8666596767</v>
      </c>
      <c r="E69" s="187">
        <f t="shared" si="2"/>
        <v>3.7252433141251236</v>
      </c>
      <c r="F69" s="188">
        <v>1.5388055171964402E-2</v>
      </c>
      <c r="G69" s="189">
        <v>5.7324249646748919E-2</v>
      </c>
      <c r="H69" s="178"/>
      <c r="I69" s="124" t="str">
        <f t="shared" si="3"/>
        <v>(5, 6]</v>
      </c>
      <c r="J69" s="160">
        <v>1</v>
      </c>
      <c r="K69" s="205">
        <v>0.45</v>
      </c>
      <c r="L69" s="188">
        <v>6.9246248273839815E-3</v>
      </c>
      <c r="M69" s="208">
        <v>6924624</v>
      </c>
      <c r="N69" s="195">
        <v>7.4210154885570876E-3</v>
      </c>
      <c r="O69" s="211">
        <v>2.7645088332766278E-2</v>
      </c>
      <c r="P69" s="1">
        <v>9.9234226437392194E-3</v>
      </c>
      <c r="Q69" s="183">
        <v>3.6967163856827384E-2</v>
      </c>
      <c r="Y69" s="1">
        <v>90</v>
      </c>
      <c r="Z69" s="1">
        <v>100</v>
      </c>
    </row>
    <row r="70" spans="1:26" ht="15.6">
      <c r="A70" s="201">
        <v>6</v>
      </c>
      <c r="B70" s="202">
        <v>7</v>
      </c>
      <c r="C70" s="160">
        <v>945248</v>
      </c>
      <c r="D70" s="30">
        <v>6177978.9333366733</v>
      </c>
      <c r="E70" s="187">
        <f t="shared" si="2"/>
        <v>4.3572190813674814</v>
      </c>
      <c r="F70" s="188">
        <v>9.4527411792387824E-3</v>
      </c>
      <c r="G70" s="189">
        <v>4.118766423740737E-2</v>
      </c>
      <c r="H70" s="178"/>
      <c r="I70" s="124" t="str">
        <f t="shared" si="3"/>
        <v>(6, 7]</v>
      </c>
      <c r="J70" s="160">
        <v>1</v>
      </c>
      <c r="K70" s="205">
        <v>0.35</v>
      </c>
      <c r="L70" s="188">
        <v>3.3084594127335736E-3</v>
      </c>
      <c r="M70" s="208">
        <v>3308459</v>
      </c>
      <c r="N70" s="195">
        <v>3.5456257960368815E-3</v>
      </c>
      <c r="O70" s="211">
        <v>1.5449068373880666E-2</v>
      </c>
      <c r="P70" s="1">
        <v>8.9290510495812995E-3</v>
      </c>
      <c r="Q70" s="183">
        <v>3.8905831611739973E-2</v>
      </c>
      <c r="Y70" s="1">
        <v>140</v>
      </c>
      <c r="Z70" s="1">
        <v>160</v>
      </c>
    </row>
    <row r="71" spans="1:26" ht="15.6">
      <c r="A71" s="201">
        <v>7</v>
      </c>
      <c r="B71" s="202">
        <v>8</v>
      </c>
      <c r="C71" s="160">
        <v>1215760</v>
      </c>
      <c r="D71" s="30">
        <v>9643478.2666668147</v>
      </c>
      <c r="E71" s="187">
        <f t="shared" si="2"/>
        <v>5.2880383555234669</v>
      </c>
      <c r="F71" s="188">
        <v>1.2157935923769573E-2</v>
      </c>
      <c r="G71" s="189">
        <v>6.4291631488890139E-2</v>
      </c>
      <c r="H71" s="178"/>
      <c r="I71" s="214" t="str">
        <f t="shared" si="3"/>
        <v>(7, 8]</v>
      </c>
      <c r="J71" s="160">
        <v>1</v>
      </c>
      <c r="K71" s="205">
        <v>0.79675830992990726</v>
      </c>
      <c r="L71" s="188">
        <v>9.6869364788587514E-3</v>
      </c>
      <c r="M71" s="208">
        <v>9686936</v>
      </c>
      <c r="N71" s="195">
        <v>1.0381343751322995E-2</v>
      </c>
      <c r="O71" s="211">
        <v>5.4896943938869867E-2</v>
      </c>
      <c r="P71" s="1">
        <v>7.2602257330953799E-3</v>
      </c>
      <c r="Q71" s="183">
        <v>3.8392352146366847E-2</v>
      </c>
      <c r="Y71" s="1">
        <v>160</v>
      </c>
      <c r="Z71" s="1">
        <v>180</v>
      </c>
    </row>
    <row r="72" spans="1:26" ht="15.6">
      <c r="A72" s="201">
        <v>8</v>
      </c>
      <c r="B72" s="202">
        <v>9</v>
      </c>
      <c r="C72" s="160">
        <v>165033</v>
      </c>
      <c r="D72" s="30">
        <v>1422053.0666668729</v>
      </c>
      <c r="E72" s="187">
        <f t="shared" si="2"/>
        <v>5.7445200522193458</v>
      </c>
      <c r="F72" s="188">
        <v>1.6503755998778246E-3</v>
      </c>
      <c r="G72" s="189">
        <v>9.4806157271916953E-3</v>
      </c>
      <c r="H72" s="178"/>
      <c r="I72" s="124" t="str">
        <f t="shared" si="3"/>
        <v>(8, 9]</v>
      </c>
      <c r="J72" s="160">
        <v>1</v>
      </c>
      <c r="K72" s="205">
        <v>0.12</v>
      </c>
      <c r="L72" s="188">
        <v>1.9804507198533896E-4</v>
      </c>
      <c r="M72" s="208">
        <v>198045</v>
      </c>
      <c r="N72" s="195">
        <v>2.1224185059452882E-4</v>
      </c>
      <c r="O72" s="211">
        <v>1.2192275666604133E-3</v>
      </c>
      <c r="P72" s="1">
        <v>5.5388765869060497E-4</v>
      </c>
      <c r="Q72" s="183">
        <v>3.181818762025005E-3</v>
      </c>
      <c r="Y72" s="1">
        <v>160</v>
      </c>
      <c r="Z72" s="1">
        <v>180</v>
      </c>
    </row>
    <row r="73" spans="1:26" ht="15.6">
      <c r="A73" s="201">
        <v>9</v>
      </c>
      <c r="B73" s="202">
        <v>10</v>
      </c>
      <c r="C73" s="160">
        <v>704591</v>
      </c>
      <c r="D73" s="30">
        <v>6836701.0666642478</v>
      </c>
      <c r="E73" s="187">
        <f t="shared" si="2"/>
        <v>6.4687183218484181</v>
      </c>
      <c r="F73" s="188">
        <v>7.0461046838724154E-3</v>
      </c>
      <c r="G73" s="189">
        <v>4.5579266466227453E-2</v>
      </c>
      <c r="H73" s="178"/>
      <c r="I73" s="124" t="str">
        <f t="shared" si="3"/>
        <v>(9, 10]</v>
      </c>
      <c r="J73" s="160">
        <v>1</v>
      </c>
      <c r="K73" s="205">
        <v>1.0019290327970833</v>
      </c>
      <c r="L73" s="188">
        <v>7.0596968508992875E-3</v>
      </c>
      <c r="M73" s="208">
        <v>7059696</v>
      </c>
      <c r="N73" s="195">
        <v>7.5657701213097664E-3</v>
      </c>
      <c r="O73" s="211">
        <v>4.8940835802609814E-2</v>
      </c>
      <c r="P73" s="1">
        <v>7.1265287120321303E-3</v>
      </c>
      <c r="Q73" s="183">
        <v>4.609950685070105E-2</v>
      </c>
      <c r="Y73" s="1">
        <v>60</v>
      </c>
      <c r="Z73" s="1">
        <v>70</v>
      </c>
    </row>
    <row r="74" spans="1:26" ht="15.6">
      <c r="A74" s="201">
        <v>10</v>
      </c>
      <c r="B74" s="202">
        <v>15</v>
      </c>
      <c r="C74" s="160">
        <v>1657541</v>
      </c>
      <c r="D74" s="30">
        <v>20314575.600000072</v>
      </c>
      <c r="E74" s="187">
        <f t="shared" si="2"/>
        <v>8.1705673645478747</v>
      </c>
      <c r="F74" s="188">
        <v>1.6575867991232597E-2</v>
      </c>
      <c r="G74" s="189">
        <v>0.1354342460482188</v>
      </c>
      <c r="H74" s="178"/>
      <c r="I74" s="214" t="str">
        <f t="shared" si="3"/>
        <v>(10, 15]</v>
      </c>
      <c r="J74" s="160">
        <v>1</v>
      </c>
      <c r="K74" s="205">
        <v>0.92808999999999997</v>
      </c>
      <c r="L74" s="188">
        <v>1.538389732398306E-2</v>
      </c>
      <c r="M74" s="208">
        <v>15383897</v>
      </c>
      <c r="N74" s="195">
        <v>1.6486691250148299E-2</v>
      </c>
      <c r="O74" s="211">
        <v>0.13470562147783868</v>
      </c>
      <c r="P74" s="1">
        <v>1.0480891472636899E-2</v>
      </c>
      <c r="Q74" s="183">
        <v>8.5634829817695157E-2</v>
      </c>
      <c r="Y74" s="1">
        <v>160</v>
      </c>
      <c r="Z74" s="1">
        <v>180</v>
      </c>
    </row>
    <row r="75" spans="1:26" ht="15.6">
      <c r="A75" s="201">
        <v>15</v>
      </c>
      <c r="B75" s="202">
        <v>20</v>
      </c>
      <c r="C75" s="160">
        <v>1111682</v>
      </c>
      <c r="D75" s="30">
        <v>19430968.266665529</v>
      </c>
      <c r="E75" s="187">
        <f t="shared" si="2"/>
        <v>11.65259385727545</v>
      </c>
      <c r="F75" s="188">
        <v>1.1117127166223604E-2</v>
      </c>
      <c r="G75" s="189">
        <v>0.12954336772768721</v>
      </c>
      <c r="H75" s="178"/>
      <c r="I75" s="124" t="str">
        <f t="shared" si="3"/>
        <v>(15, 20]</v>
      </c>
      <c r="J75" s="160">
        <v>1</v>
      </c>
      <c r="K75" s="205">
        <v>0.76135664514375612</v>
      </c>
      <c r="L75" s="188">
        <v>8.4640986429125147E-3</v>
      </c>
      <c r="M75" s="208">
        <v>8464098</v>
      </c>
      <c r="N75" s="195">
        <v>9.0708466415887808E-3</v>
      </c>
      <c r="O75" s="211">
        <v>0.10569889185606507</v>
      </c>
      <c r="P75" s="1">
        <v>7.9848158383221002E-3</v>
      </c>
      <c r="Q75" s="183">
        <v>9.3043815989107825E-2</v>
      </c>
      <c r="Y75" s="1">
        <v>200</v>
      </c>
      <c r="Z75" s="1">
        <v>250</v>
      </c>
    </row>
    <row r="76" spans="1:26" ht="15.6">
      <c r="A76" s="201">
        <v>20</v>
      </c>
      <c r="B76" s="202">
        <v>25</v>
      </c>
      <c r="C76" s="160">
        <v>458059</v>
      </c>
      <c r="D76" s="30">
        <v>10386921.200000487</v>
      </c>
      <c r="E76" s="187">
        <f t="shared" si="2"/>
        <v>15.117297407830995</v>
      </c>
      <c r="F76" s="188">
        <v>4.5807165651986963E-3</v>
      </c>
      <c r="G76" s="189">
        <v>6.9248054657086749E-2</v>
      </c>
      <c r="H76" s="178"/>
      <c r="I76" s="124" t="str">
        <f t="shared" si="3"/>
        <v>(20, 25]</v>
      </c>
      <c r="J76" s="160">
        <v>1</v>
      </c>
      <c r="K76" s="205">
        <v>0.7</v>
      </c>
      <c r="L76" s="188">
        <v>3.2065015956390872E-3</v>
      </c>
      <c r="M76" s="208">
        <v>3206501</v>
      </c>
      <c r="N76" s="195">
        <v>3.4363589394996452E-3</v>
      </c>
      <c r="O76" s="211">
        <v>5.1948460088474854E-2</v>
      </c>
      <c r="P76" s="1">
        <v>1.5781023379072799E-3</v>
      </c>
      <c r="Q76" s="183">
        <v>2.3856642382137756E-2</v>
      </c>
      <c r="Y76" s="1">
        <v>160</v>
      </c>
      <c r="Z76" s="1">
        <v>180</v>
      </c>
    </row>
    <row r="77" spans="1:26" ht="15.6">
      <c r="A77" s="201">
        <v>25</v>
      </c>
      <c r="B77" s="202">
        <v>30</v>
      </c>
      <c r="C77" s="160">
        <v>506349</v>
      </c>
      <c r="D77" s="30">
        <v>13927416.266664401</v>
      </c>
      <c r="E77" s="187">
        <f t="shared" si="2"/>
        <v>18.337044563682891</v>
      </c>
      <c r="F77" s="188">
        <v>5.063629908094361E-3</v>
      </c>
      <c r="G77" s="189">
        <v>9.2852007278723794E-2</v>
      </c>
      <c r="H77" s="178"/>
      <c r="I77" s="124" t="str">
        <f t="shared" si="3"/>
        <v>(25, 30]</v>
      </c>
      <c r="J77" s="160">
        <v>1</v>
      </c>
      <c r="K77" s="205">
        <v>0.93564477717617389</v>
      </c>
      <c r="L77" s="188">
        <v>4.7377588770615587E-3</v>
      </c>
      <c r="M77" s="208">
        <v>4737758</v>
      </c>
      <c r="N77" s="195">
        <v>5.0773840571033532E-3</v>
      </c>
      <c r="O77" s="211">
        <v>9.3104217722037225E-2</v>
      </c>
      <c r="P77" s="1">
        <v>1.9445754224288699E-3</v>
      </c>
      <c r="Q77" s="183">
        <v>3.5657766178520671E-2</v>
      </c>
      <c r="Y77" s="1">
        <v>160</v>
      </c>
      <c r="Z77" s="1">
        <v>180</v>
      </c>
    </row>
    <row r="78" spans="1:26" ht="15.6">
      <c r="A78" s="201">
        <v>30</v>
      </c>
      <c r="B78" s="202">
        <v>35</v>
      </c>
      <c r="C78" s="160">
        <v>324607</v>
      </c>
      <c r="D78" s="30">
        <v>10553790.133333378</v>
      </c>
      <c r="E78" s="187">
        <f t="shared" si="2"/>
        <v>21.675010362958648</v>
      </c>
      <c r="F78" s="188">
        <v>3.2461596913922731E-3</v>
      </c>
      <c r="G78" s="189">
        <v>7.0360544950746173E-2</v>
      </c>
      <c r="H78" s="178"/>
      <c r="I78" s="124" t="str">
        <f t="shared" si="3"/>
        <v>(30, 35]</v>
      </c>
      <c r="J78" s="160">
        <v>1</v>
      </c>
      <c r="K78" s="205">
        <v>0.4745678375493817</v>
      </c>
      <c r="L78" s="188">
        <v>1.5405229850839993E-3</v>
      </c>
      <c r="M78" s="208">
        <v>1540522</v>
      </c>
      <c r="N78" s="195">
        <v>1.6509542788840149E-3</v>
      </c>
      <c r="O78" s="211">
        <v>3.5784451103581943E-2</v>
      </c>
      <c r="P78" s="1">
        <v>1.13523095563527E-3</v>
      </c>
      <c r="Q78" s="183">
        <v>2.4606142727745927E-2</v>
      </c>
      <c r="Y78" s="1">
        <v>90</v>
      </c>
      <c r="Z78" s="1">
        <v>100</v>
      </c>
    </row>
    <row r="79" spans="1:26" ht="15.6">
      <c r="A79" s="201">
        <v>35</v>
      </c>
      <c r="B79" s="202">
        <v>40</v>
      </c>
      <c r="C79" s="160">
        <v>346489</v>
      </c>
      <c r="D79" s="30">
        <v>13346873.200000614</v>
      </c>
      <c r="E79" s="187">
        <f t="shared" si="2"/>
        <v>25.68022496144777</v>
      </c>
      <c r="F79" s="188">
        <v>3.4649857375559285E-3</v>
      </c>
      <c r="G79" s="189">
        <v>8.8981613228644271E-2</v>
      </c>
      <c r="H79" s="178"/>
      <c r="I79" s="214" t="str">
        <f t="shared" si="3"/>
        <v>(35, 40]</v>
      </c>
      <c r="J79" s="160">
        <v>1</v>
      </c>
      <c r="K79" s="205">
        <v>0.47054060341693471</v>
      </c>
      <c r="L79" s="188">
        <v>1.6304164797806392E-3</v>
      </c>
      <c r="M79" s="208">
        <v>1630416</v>
      </c>
      <c r="N79" s="195">
        <v>1.7472923278998677E-3</v>
      </c>
      <c r="O79" s="211">
        <v>4.4870860053880364E-2</v>
      </c>
      <c r="P79" s="1">
        <v>9.7169084951325899E-4</v>
      </c>
      <c r="Q79" s="183">
        <v>2.4953239608480782E-2</v>
      </c>
      <c r="Y79" s="1">
        <v>45</v>
      </c>
      <c r="Z79" s="1">
        <v>50</v>
      </c>
    </row>
    <row r="80" spans="1:26" ht="15.6">
      <c r="A80" s="201">
        <v>40</v>
      </c>
      <c r="B80" s="202">
        <v>45</v>
      </c>
      <c r="C80" s="160">
        <v>179118</v>
      </c>
      <c r="D80" s="30">
        <v>7660761.8666665796</v>
      </c>
      <c r="E80" s="187">
        <f t="shared" si="2"/>
        <v>28.512905334906151</v>
      </c>
      <c r="F80" s="188">
        <v>1.7912294916708549E-3</v>
      </c>
      <c r="G80" s="189">
        <v>5.107315692910315E-2</v>
      </c>
      <c r="H80" s="178"/>
      <c r="I80" s="124" t="str">
        <f t="shared" si="3"/>
        <v>(40, 45]</v>
      </c>
      <c r="J80" s="160">
        <v>1</v>
      </c>
      <c r="K80" s="205">
        <v>0.39765460800875296</v>
      </c>
      <c r="L80" s="188">
        <v>7.1229066136409161E-4</v>
      </c>
      <c r="M80" s="208">
        <v>712290</v>
      </c>
      <c r="N80" s="195">
        <v>7.6335048983805162E-4</v>
      </c>
      <c r="O80" s="211">
        <v>2.1765340254106605E-2</v>
      </c>
      <c r="P80" s="1">
        <v>1.03853936004488E-4</v>
      </c>
      <c r="Q80" s="183">
        <v>2.9611774459533677E-3</v>
      </c>
      <c r="Y80" s="1">
        <v>90</v>
      </c>
      <c r="Z80" s="1">
        <v>100</v>
      </c>
    </row>
    <row r="81" spans="1:26" ht="15.6">
      <c r="A81" s="201">
        <v>45</v>
      </c>
      <c r="B81" s="202">
        <v>50</v>
      </c>
      <c r="C81" s="160">
        <v>209009</v>
      </c>
      <c r="D81" s="30">
        <v>9979231.9999998864</v>
      </c>
      <c r="E81" s="187">
        <f t="shared" si="2"/>
        <v>31.830310337513016</v>
      </c>
      <c r="F81" s="188">
        <v>2.0901477507823539E-3</v>
      </c>
      <c r="G81" s="189">
        <v>6.6530051558657141E-2</v>
      </c>
      <c r="H81" s="178"/>
      <c r="I81" s="124" t="str">
        <f t="shared" si="3"/>
        <v>(45, 50]</v>
      </c>
      <c r="J81" s="160">
        <v>1</v>
      </c>
      <c r="K81" s="205">
        <v>1.3500872579540419</v>
      </c>
      <c r="L81" s="188">
        <v>2.8218818455725565E-3</v>
      </c>
      <c r="M81" s="208">
        <v>2821881</v>
      </c>
      <c r="N81" s="195">
        <v>3.0241674649576591E-3</v>
      </c>
      <c r="O81" s="211">
        <v>9.6260188922212303E-2</v>
      </c>
      <c r="P81" s="1">
        <v>2.8529989316175498E-4</v>
      </c>
      <c r="Q81" s="183">
        <v>9.081184138597969E-3</v>
      </c>
      <c r="Y81" s="1">
        <v>80</v>
      </c>
      <c r="Z81" s="1">
        <v>90</v>
      </c>
    </row>
    <row r="82" spans="1:26" ht="15.6">
      <c r="A82" s="201">
        <v>50</v>
      </c>
      <c r="B82" s="202">
        <v>60</v>
      </c>
      <c r="C82" s="160">
        <v>391502</v>
      </c>
      <c r="D82" s="30">
        <v>21616833.066666</v>
      </c>
      <c r="E82" s="187">
        <f t="shared" si="2"/>
        <v>36.810085374899749</v>
      </c>
      <c r="F82" s="188">
        <v>3.9151281749914748E-3</v>
      </c>
      <c r="G82" s="189">
        <v>0.14411620237511164</v>
      </c>
      <c r="H82" s="178"/>
      <c r="I82" s="214" t="str">
        <f t="shared" si="3"/>
        <v>(50, 60]</v>
      </c>
      <c r="J82" s="160">
        <v>1</v>
      </c>
      <c r="K82" s="205">
        <v>0.40119085199287829</v>
      </c>
      <c r="L82" s="188">
        <v>1.5707136081861525E-3</v>
      </c>
      <c r="M82" s="208">
        <v>1570713</v>
      </c>
      <c r="N82" s="195">
        <v>1.6833095199216548E-3</v>
      </c>
      <c r="O82" s="211">
        <v>6.1962767140697622E-2</v>
      </c>
      <c r="P82" s="1">
        <v>3.6647308452158599E-4</v>
      </c>
      <c r="Q82" s="183">
        <v>1.3489905528842432E-2</v>
      </c>
      <c r="Y82" s="1">
        <v>90</v>
      </c>
      <c r="Z82" s="1">
        <v>100</v>
      </c>
    </row>
    <row r="83" spans="1:26" ht="15.6">
      <c r="A83" s="201">
        <v>60</v>
      </c>
      <c r="B83" s="202">
        <v>70</v>
      </c>
      <c r="C83" s="160">
        <v>288347</v>
      </c>
      <c r="D83" s="30">
        <v>18845787.866666757</v>
      </c>
      <c r="E83" s="187">
        <f t="shared" si="2"/>
        <v>43.572010729356776</v>
      </c>
      <c r="F83" s="188">
        <v>2.8835496724774505E-3</v>
      </c>
      <c r="G83" s="189">
        <v>0.12564205726782068</v>
      </c>
      <c r="H83" s="178"/>
      <c r="I83" s="124" t="str">
        <f t="shared" si="3"/>
        <v>(60, 70]</v>
      </c>
      <c r="J83" s="160">
        <v>1</v>
      </c>
      <c r="K83" s="205">
        <v>0.11495747630779093</v>
      </c>
      <c r="L83" s="188">
        <v>3.3148559315616483E-4</v>
      </c>
      <c r="M83" s="208">
        <v>331485</v>
      </c>
      <c r="N83" s="195">
        <v>3.5524749347030921E-4</v>
      </c>
      <c r="O83" s="211">
        <v>1.5478847597065415E-2</v>
      </c>
      <c r="P83" s="1">
        <v>4.3212787165085998E-4</v>
      </c>
      <c r="Q83" s="183">
        <v>1.882868026002538E-2</v>
      </c>
      <c r="Y83" s="1">
        <v>60</v>
      </c>
      <c r="Z83" s="1">
        <v>70</v>
      </c>
    </row>
    <row r="84" spans="1:26" ht="15.6">
      <c r="A84" s="201">
        <v>70</v>
      </c>
      <c r="B84" s="202">
        <v>80</v>
      </c>
      <c r="C84" s="160">
        <v>278902</v>
      </c>
      <c r="D84" s="30">
        <v>21237643.86666711</v>
      </c>
      <c r="E84" s="187">
        <f t="shared" si="2"/>
        <v>50.76488961873612</v>
      </c>
      <c r="F84" s="188">
        <v>2.789097062751844E-3</v>
      </c>
      <c r="G84" s="189">
        <v>0.1415882045265385</v>
      </c>
      <c r="H84" s="178"/>
      <c r="I84" s="214" t="str">
        <f t="shared" si="3"/>
        <v>(70, 80]</v>
      </c>
      <c r="J84" s="160">
        <v>1</v>
      </c>
      <c r="K84" s="205">
        <v>0.25014443372998008</v>
      </c>
      <c r="L84" s="188">
        <v>6.9767710538001077E-4</v>
      </c>
      <c r="M84" s="208">
        <v>697677</v>
      </c>
      <c r="N84" s="195">
        <v>7.4768995731898846E-4</v>
      </c>
      <c r="O84" s="211">
        <v>3.7956398152335973E-2</v>
      </c>
      <c r="P84" s="1">
        <v>1.52796595500856E-4</v>
      </c>
      <c r="Q84" s="183">
        <v>7.756702304719627E-3</v>
      </c>
      <c r="Y84" s="1">
        <v>160</v>
      </c>
      <c r="Z84" s="1">
        <v>180</v>
      </c>
    </row>
    <row r="85" spans="1:26" ht="15.6">
      <c r="A85" s="201">
        <v>80</v>
      </c>
      <c r="B85" s="202">
        <v>90</v>
      </c>
      <c r="C85" s="160">
        <v>180726</v>
      </c>
      <c r="D85" s="30">
        <v>15476097.999999804</v>
      </c>
      <c r="E85" s="187">
        <f t="shared" si="2"/>
        <v>57.088624031221492</v>
      </c>
      <c r="F85" s="188">
        <v>1.8073099359735309E-3</v>
      </c>
      <c r="G85" s="189">
        <v>0.1031768374426839</v>
      </c>
      <c r="H85" s="178"/>
      <c r="I85" s="124" t="str">
        <f t="shared" si="3"/>
        <v>(80, 90]</v>
      </c>
      <c r="J85" s="160">
        <v>1</v>
      </c>
      <c r="K85" s="205">
        <v>0.21858584022718872</v>
      </c>
      <c r="L85" s="188">
        <v>3.950523609057209E-4</v>
      </c>
      <c r="M85" s="208">
        <v>395052</v>
      </c>
      <c r="N85" s="195">
        <v>4.2337129218647176E-4</v>
      </c>
      <c r="O85" s="211">
        <v>2.416968452524591E-2</v>
      </c>
      <c r="P85" s="1">
        <v>4.41677658869663E-5</v>
      </c>
      <c r="Q85" s="183">
        <v>2.521476981020029E-3</v>
      </c>
      <c r="Y85" s="1">
        <v>90</v>
      </c>
      <c r="Z85" s="1">
        <v>100</v>
      </c>
    </row>
    <row r="86" spans="1:26" ht="15.6">
      <c r="A86" s="201">
        <v>90</v>
      </c>
      <c r="B86" s="202">
        <v>100</v>
      </c>
      <c r="C86" s="160">
        <v>180137</v>
      </c>
      <c r="D86" s="30">
        <v>17199010.399999812</v>
      </c>
      <c r="E86" s="187">
        <f t="shared" si="2"/>
        <v>63.651592584162103</v>
      </c>
      <c r="F86" s="188">
        <v>1.8014197732283343E-3</v>
      </c>
      <c r="G86" s="189">
        <v>0.11466323747858362</v>
      </c>
      <c r="H86" s="178"/>
      <c r="I86" s="124" t="str">
        <f t="shared" si="3"/>
        <v>(90, 100]</v>
      </c>
      <c r="J86" s="160">
        <v>1</v>
      </c>
      <c r="K86" s="205">
        <v>0.36223312289262632</v>
      </c>
      <c r="L86" s="188">
        <v>6.5253391009702623E-4</v>
      </c>
      <c r="M86" s="208">
        <v>652533</v>
      </c>
      <c r="N86" s="195">
        <v>6.9930981087126495E-4</v>
      </c>
      <c r="O86" s="211">
        <v>4.4512183171685211E-2</v>
      </c>
      <c r="P86" s="1">
        <v>1.2653468064914699E-4</v>
      </c>
      <c r="Q86" s="183">
        <v>8.0541339404465642E-3</v>
      </c>
      <c r="Y86" s="1">
        <v>160</v>
      </c>
      <c r="Z86" s="1">
        <v>180</v>
      </c>
    </row>
    <row r="87" spans="1:26" ht="15.6">
      <c r="A87" s="201">
        <v>100</v>
      </c>
      <c r="B87" s="202">
        <v>120</v>
      </c>
      <c r="C87" s="160">
        <v>295433</v>
      </c>
      <c r="D87" s="30">
        <v>32593276.933333479</v>
      </c>
      <c r="E87" s="187">
        <f t="shared" si="2"/>
        <v>73.549167794014167</v>
      </c>
      <c r="F87" s="188">
        <v>2.9544116303933479E-3</v>
      </c>
      <c r="G87" s="189">
        <v>0.21729451673638731</v>
      </c>
      <c r="H87" s="178"/>
      <c r="I87" s="124" t="str">
        <f t="shared" si="3"/>
        <v>(100, 120]</v>
      </c>
      <c r="J87" s="160">
        <v>1</v>
      </c>
      <c r="K87" s="205">
        <v>0.16934830127210709</v>
      </c>
      <c r="L87" s="188">
        <v>5.0032459086566978E-4</v>
      </c>
      <c r="M87" s="208">
        <v>500324</v>
      </c>
      <c r="N87" s="195">
        <v>5.3618971272618359E-4</v>
      </c>
      <c r="O87" s="211">
        <v>3.9436307150722327E-2</v>
      </c>
      <c r="P87" s="1">
        <v>5.7298723312821197E-5</v>
      </c>
      <c r="Q87" s="183">
        <v>4.2142734153174776E-3</v>
      </c>
      <c r="Y87" s="1">
        <v>140</v>
      </c>
      <c r="Z87" s="1">
        <v>160</v>
      </c>
    </row>
    <row r="88" spans="1:26" ht="15.6">
      <c r="A88" s="201">
        <v>120</v>
      </c>
      <c r="B88" s="202">
        <v>140</v>
      </c>
      <c r="C88" s="160">
        <v>235983</v>
      </c>
      <c r="D88" s="30">
        <v>30899620.933333185</v>
      </c>
      <c r="E88" s="187">
        <f t="shared" si="2"/>
        <v>87.293352863929982</v>
      </c>
      <c r="F88" s="188">
        <v>2.3598952039044839E-3</v>
      </c>
      <c r="G88" s="189">
        <v>0.2060031647563301</v>
      </c>
      <c r="H88" s="178"/>
      <c r="I88" s="124" t="str">
        <f t="shared" si="3"/>
        <v>(120, 140]</v>
      </c>
      <c r="J88" s="160">
        <v>1</v>
      </c>
      <c r="K88" s="205">
        <v>8.6524033567055764E-2</v>
      </c>
      <c r="L88" s="188">
        <v>2.0418765183736546E-4</v>
      </c>
      <c r="M88" s="208">
        <v>204187</v>
      </c>
      <c r="N88" s="195">
        <v>2.1882413970231539E-4</v>
      </c>
      <c r="O88" s="211">
        <v>1.9101892842180127E-2</v>
      </c>
      <c r="P88" s="1">
        <v>5.8492446715171603E-5</v>
      </c>
      <c r="Q88" s="183">
        <v>5.1060017909820973E-3</v>
      </c>
      <c r="Y88" s="1">
        <v>90</v>
      </c>
      <c r="Z88" s="1">
        <v>100</v>
      </c>
    </row>
    <row r="89" spans="1:26" ht="15.6">
      <c r="A89" s="201">
        <v>140</v>
      </c>
      <c r="B89" s="202">
        <v>160</v>
      </c>
      <c r="C89" s="160">
        <v>200344</v>
      </c>
      <c r="D89" s="30">
        <v>30219075.466666829</v>
      </c>
      <c r="E89" s="187">
        <f t="shared" si="2"/>
        <v>100.55729301157619</v>
      </c>
      <c r="F89" s="188">
        <v>2.0034953565767023E-3</v>
      </c>
      <c r="G89" s="189">
        <v>0.20146606961861577</v>
      </c>
      <c r="H89" s="178"/>
      <c r="I89" s="124" t="str">
        <f t="shared" si="3"/>
        <v>(140, 160]</v>
      </c>
      <c r="J89" s="160">
        <v>1</v>
      </c>
      <c r="K89" s="205">
        <v>4.4242535821571879E-2</v>
      </c>
      <c r="L89" s="188">
        <v>8.8639715081697675E-5</v>
      </c>
      <c r="M89" s="208">
        <v>88639</v>
      </c>
      <c r="N89" s="195">
        <v>9.4993084373998026E-5</v>
      </c>
      <c r="O89" s="211">
        <v>9.5522474194694989E-3</v>
      </c>
      <c r="P89" s="1">
        <v>1.9099574437607099E-5</v>
      </c>
      <c r="Q89" s="183">
        <v>1.9206015031188676E-3</v>
      </c>
      <c r="Y89" s="1">
        <v>60</v>
      </c>
      <c r="Z89" s="1">
        <v>70</v>
      </c>
    </row>
    <row r="90" spans="1:26" ht="15.6">
      <c r="A90" s="201">
        <v>160</v>
      </c>
      <c r="B90" s="202">
        <v>180</v>
      </c>
      <c r="C90" s="160">
        <v>137215</v>
      </c>
      <c r="D90" s="30">
        <v>23401881.333333235</v>
      </c>
      <c r="E90" s="187">
        <f t="shared" si="2"/>
        <v>113.69933478280186</v>
      </c>
      <c r="F90" s="188">
        <v>1.3721879135520515E-3</v>
      </c>
      <c r="G90" s="189">
        <v>0.15601685296786907</v>
      </c>
      <c r="H90" s="178"/>
      <c r="I90" s="124" t="str">
        <f t="shared" si="3"/>
        <v>(160, 180]</v>
      </c>
      <c r="J90" s="160">
        <v>1</v>
      </c>
      <c r="K90" s="205">
        <v>7.6242594728517771E-2</v>
      </c>
      <c r="L90" s="188">
        <v>1.0461916698431943E-4</v>
      </c>
      <c r="M90" s="208">
        <v>104619</v>
      </c>
      <c r="N90" s="195">
        <v>1.1211861025195793E-4</v>
      </c>
      <c r="O90" s="211">
        <v>1.2747811402419845E-2</v>
      </c>
      <c r="P90" s="1">
        <v>3.3424255265812398E-5</v>
      </c>
      <c r="Q90" s="183">
        <v>3.8003155893334317E-3</v>
      </c>
      <c r="Y90" s="1">
        <v>120</v>
      </c>
      <c r="Z90" s="1">
        <v>140</v>
      </c>
    </row>
    <row r="91" spans="1:26" ht="15.6">
      <c r="A91" s="201">
        <v>180</v>
      </c>
      <c r="B91" s="202">
        <v>200</v>
      </c>
      <c r="C91" s="160">
        <v>125004</v>
      </c>
      <c r="D91" s="30">
        <v>23864585.599999975</v>
      </c>
      <c r="E91" s="187">
        <f t="shared" si="2"/>
        <v>127.27371710771909</v>
      </c>
      <c r="F91" s="188">
        <v>1.250074539559528E-3</v>
      </c>
      <c r="G91" s="189">
        <v>0.15910163331146157</v>
      </c>
      <c r="H91" s="178"/>
      <c r="I91" s="124" t="str">
        <f t="shared" si="3"/>
        <v>(180, 200]</v>
      </c>
      <c r="J91" s="160">
        <v>1</v>
      </c>
      <c r="K91" s="205">
        <v>2.2700615416364124E-2</v>
      </c>
      <c r="L91" s="188">
        <v>2.8377461364329305E-5</v>
      </c>
      <c r="M91" s="208">
        <v>28377</v>
      </c>
      <c r="N91" s="195">
        <v>3.041120449554871E-5</v>
      </c>
      <c r="O91" s="211">
        <v>3.8705470378714618E-3</v>
      </c>
      <c r="P91" s="1">
        <v>1.7905851035256601E-5</v>
      </c>
      <c r="Q91" s="183">
        <v>2.2789442192342078E-3</v>
      </c>
      <c r="Y91" s="1">
        <v>160</v>
      </c>
      <c r="Z91" s="1">
        <v>180</v>
      </c>
    </row>
    <row r="92" spans="1:26" ht="15.6">
      <c r="A92" s="201">
        <v>200</v>
      </c>
      <c r="B92" s="202">
        <v>250</v>
      </c>
      <c r="C92" s="160">
        <v>219484</v>
      </c>
      <c r="D92" s="30">
        <v>49158998.53333354</v>
      </c>
      <c r="E92" s="187">
        <f t="shared" si="2"/>
        <v>149.31687817284643</v>
      </c>
      <c r="F92" s="188">
        <v>2.1949006451048242E-3</v>
      </c>
      <c r="G92" s="189">
        <v>0.32773571222661907</v>
      </c>
      <c r="H92" s="178"/>
      <c r="I92" s="124" t="str">
        <f t="shared" si="3"/>
        <v>(200, 250]</v>
      </c>
      <c r="J92" s="160">
        <v>1</v>
      </c>
      <c r="K92" s="205">
        <v>2.1778300029761548E-2</v>
      </c>
      <c r="L92" s="188">
        <v>4.7801204784610031E-5</v>
      </c>
      <c r="M92" s="208">
        <v>47801</v>
      </c>
      <c r="N92" s="195">
        <v>5.1227613422550795E-5</v>
      </c>
      <c r="O92" s="211">
        <v>7.6491473125006896E-3</v>
      </c>
      <c r="P92" s="1">
        <v>2.3874468047008801E-6</v>
      </c>
      <c r="Q92" s="183">
        <v>3.5648610368167277E-4</v>
      </c>
      <c r="Y92" s="1">
        <v>180</v>
      </c>
      <c r="Z92" s="1">
        <v>200</v>
      </c>
    </row>
    <row r="93" spans="1:26" ht="15.6">
      <c r="A93" s="201">
        <v>250</v>
      </c>
      <c r="B93" s="202">
        <v>300</v>
      </c>
      <c r="C93" s="160">
        <v>167384</v>
      </c>
      <c r="D93" s="30">
        <v>45883601.066666439</v>
      </c>
      <c r="E93" s="187">
        <f t="shared" si="2"/>
        <v>182.74785748803723</v>
      </c>
      <c r="F93" s="188">
        <v>1.673886249477073E-3</v>
      </c>
      <c r="G93" s="189">
        <v>0.30589912577062128</v>
      </c>
      <c r="H93" s="178"/>
      <c r="I93" s="124" t="str">
        <f t="shared" si="3"/>
        <v>(250, 300]</v>
      </c>
      <c r="J93" s="160">
        <v>1</v>
      </c>
      <c r="K93" s="205">
        <v>3.7954763247510211E-3</v>
      </c>
      <c r="L93" s="188">
        <v>6.3531956302165118E-6</v>
      </c>
      <c r="M93" s="208">
        <v>6353</v>
      </c>
      <c r="N93" s="195">
        <v>6.8084146372139744E-6</v>
      </c>
      <c r="O93" s="211">
        <v>1.2442231878410461E-3</v>
      </c>
      <c r="P93" s="1">
        <v>7.1623404141026497E-6</v>
      </c>
      <c r="Q93" s="183">
        <v>1.3089023652772406E-3</v>
      </c>
      <c r="Y93" s="1">
        <v>120</v>
      </c>
      <c r="Z93" s="1">
        <v>140</v>
      </c>
    </row>
    <row r="94" spans="1:26" ht="15.6">
      <c r="A94" s="201">
        <v>300</v>
      </c>
      <c r="B94" s="202">
        <v>350</v>
      </c>
      <c r="C94" s="160">
        <v>129751</v>
      </c>
      <c r="D94" s="30">
        <v>42341340.933333449</v>
      </c>
      <c r="E94" s="187">
        <f t="shared" si="2"/>
        <v>217.55177703618702</v>
      </c>
      <c r="F94" s="188">
        <v>1.2975458511918685E-3</v>
      </c>
      <c r="G94" s="189">
        <v>0.28228340571272287</v>
      </c>
      <c r="H94" s="178"/>
      <c r="I94" s="124" t="str">
        <f t="shared" si="3"/>
        <v>(300, 350]</v>
      </c>
      <c r="J94" s="160">
        <v>1</v>
      </c>
      <c r="K94" s="205">
        <v>3.240881407733192E-3</v>
      </c>
      <c r="L94" s="188">
        <v>4.2051922248090653E-6</v>
      </c>
      <c r="M94" s="208">
        <v>4205</v>
      </c>
      <c r="N94" s="195">
        <v>4.5064353139437686E-6</v>
      </c>
      <c r="O94" s="211">
        <v>9.8038301064709414E-4</v>
      </c>
      <c r="P94" s="1">
        <v>2.14870212423079E-5</v>
      </c>
      <c r="Q94" s="183">
        <v>4.6745396544783822E-3</v>
      </c>
      <c r="Y94" s="1">
        <v>160</v>
      </c>
      <c r="Z94" s="1">
        <v>180</v>
      </c>
    </row>
    <row r="95" spans="1:26" ht="15.6">
      <c r="A95" s="201">
        <v>350</v>
      </c>
      <c r="B95" s="202">
        <v>400</v>
      </c>
      <c r="C95" s="160">
        <v>103051</v>
      </c>
      <c r="D95" s="30">
        <v>38565191.066666685</v>
      </c>
      <c r="E95" s="187">
        <f t="shared" si="2"/>
        <v>249.48935359945841</v>
      </c>
      <c r="F95" s="188">
        <v>1.0305384737780306E-3</v>
      </c>
      <c r="G95" s="189">
        <v>0.25710837768225325</v>
      </c>
      <c r="H95" s="178"/>
      <c r="I95" s="124" t="str">
        <f t="shared" si="3"/>
        <v>(350, 400]</v>
      </c>
      <c r="J95" s="160">
        <v>1</v>
      </c>
      <c r="K95" s="205">
        <v>5.0000000000000001E-3</v>
      </c>
      <c r="L95" s="188">
        <v>5.1526923688901529E-6</v>
      </c>
      <c r="M95" s="208">
        <v>5152</v>
      </c>
      <c r="N95" s="195">
        <v>5.5213209839330072E-6</v>
      </c>
      <c r="O95" s="211">
        <v>1.3775108032965716E-3</v>
      </c>
      <c r="P95" s="1">
        <v>0</v>
      </c>
      <c r="Q95" s="183">
        <v>0</v>
      </c>
      <c r="Y95" s="1">
        <v>120</v>
      </c>
      <c r="Z95" s="1">
        <v>140</v>
      </c>
    </row>
    <row r="96" spans="1:26" ht="15.6">
      <c r="A96" s="201">
        <v>400</v>
      </c>
      <c r="B96" s="202">
        <v>450</v>
      </c>
      <c r="C96" s="160">
        <v>69188</v>
      </c>
      <c r="D96" s="30">
        <v>29365060.933333326</v>
      </c>
      <c r="E96" s="187">
        <f t="shared" si="2"/>
        <v>282.9494607285784</v>
      </c>
      <c r="F96" s="188">
        <v>6.918991171726075E-4</v>
      </c>
      <c r="G96" s="189">
        <v>0.19577248208256878</v>
      </c>
      <c r="H96" s="178"/>
      <c r="I96" s="124" t="str">
        <f t="shared" si="3"/>
        <v>(400, 450]</v>
      </c>
      <c r="J96" s="160">
        <v>1</v>
      </c>
      <c r="K96" s="205">
        <v>0</v>
      </c>
      <c r="L96" s="188">
        <v>0</v>
      </c>
      <c r="M96" s="208">
        <v>0</v>
      </c>
      <c r="N96" s="195">
        <v>0</v>
      </c>
      <c r="O96" s="211">
        <v>0</v>
      </c>
      <c r="P96" s="1">
        <v>0</v>
      </c>
      <c r="Q96" s="183">
        <v>0</v>
      </c>
      <c r="Y96" s="1">
        <v>80</v>
      </c>
      <c r="Z96" s="1">
        <v>90</v>
      </c>
    </row>
    <row r="97" spans="1:26" ht="15.6">
      <c r="A97" s="201">
        <v>450</v>
      </c>
      <c r="B97" s="202">
        <v>500</v>
      </c>
      <c r="C97" s="160">
        <v>54146</v>
      </c>
      <c r="D97" s="30">
        <v>25685943.06666667</v>
      </c>
      <c r="E97" s="187">
        <f t="shared" si="2"/>
        <v>316.2553474761653</v>
      </c>
      <c r="F97" s="188">
        <v>5.4147496095317111E-4</v>
      </c>
      <c r="G97" s="189">
        <v>0.17124435192588816</v>
      </c>
      <c r="H97" s="178"/>
      <c r="I97" s="124" t="str">
        <f t="shared" si="3"/>
        <v>(450, 500]</v>
      </c>
      <c r="J97" s="160">
        <v>1</v>
      </c>
      <c r="K97" s="205">
        <v>5.0000000000000001E-3</v>
      </c>
      <c r="L97" s="188">
        <v>2.7073748047658556E-6</v>
      </c>
      <c r="M97" s="208">
        <v>2707</v>
      </c>
      <c r="N97" s="195">
        <v>2.9010512235067259E-6</v>
      </c>
      <c r="O97" s="211">
        <v>9.1747296273627407E-4</v>
      </c>
      <c r="P97" s="1">
        <v>2.3874468047008801E-6</v>
      </c>
      <c r="Q97" s="183">
        <v>7.5504281880153735E-4</v>
      </c>
      <c r="Y97" s="1">
        <v>90</v>
      </c>
      <c r="Z97" s="1">
        <v>100</v>
      </c>
    </row>
    <row r="98" spans="1:26" ht="15.6">
      <c r="A98" s="201">
        <v>500</v>
      </c>
      <c r="B98" s="202">
        <v>550</v>
      </c>
      <c r="C98" s="160">
        <v>58928</v>
      </c>
      <c r="D98" s="30">
        <v>31120209.999999698</v>
      </c>
      <c r="E98" s="187">
        <f t="shared" si="2"/>
        <v>352.07043623857021</v>
      </c>
      <c r="F98" s="188">
        <v>5.8929628225627879E-4</v>
      </c>
      <c r="G98" s="189">
        <v>0.20747379916773567</v>
      </c>
      <c r="H98" s="178"/>
      <c r="I98" s="124" t="str">
        <f t="shared" si="3"/>
        <v>(500, 550]</v>
      </c>
      <c r="J98" s="160">
        <v>1</v>
      </c>
      <c r="K98" s="205">
        <v>0</v>
      </c>
      <c r="L98" s="188">
        <v>0</v>
      </c>
      <c r="M98" s="208">
        <v>0</v>
      </c>
      <c r="N98" s="195">
        <v>0</v>
      </c>
      <c r="O98" s="211">
        <v>0</v>
      </c>
      <c r="P98" s="1">
        <v>0</v>
      </c>
      <c r="Q98" s="183">
        <v>0</v>
      </c>
      <c r="Y98" s="1">
        <v>60</v>
      </c>
      <c r="Z98" s="1">
        <v>70</v>
      </c>
    </row>
    <row r="99" spans="1:26" ht="15.6">
      <c r="A99" s="201">
        <v>550</v>
      </c>
      <c r="B99" s="202">
        <v>600</v>
      </c>
      <c r="C99" s="160">
        <v>56948</v>
      </c>
      <c r="D99" s="30">
        <v>32652787.200000014</v>
      </c>
      <c r="E99" s="187">
        <f t="shared" si="2"/>
        <v>382.25266558966086</v>
      </c>
      <c r="F99" s="188">
        <v>5.6949573516716266E-4</v>
      </c>
      <c r="G99" s="189">
        <v>0.2176912628095915</v>
      </c>
      <c r="H99" s="178"/>
      <c r="I99" s="124" t="str">
        <f t="shared" si="3"/>
        <v>(550, 600]</v>
      </c>
      <c r="J99" s="160">
        <v>1</v>
      </c>
      <c r="K99" s="205">
        <v>0</v>
      </c>
      <c r="L99" s="188">
        <v>0</v>
      </c>
      <c r="M99" s="208">
        <v>0</v>
      </c>
      <c r="N99" s="195">
        <v>0</v>
      </c>
      <c r="O99" s="211">
        <v>0</v>
      </c>
      <c r="P99" s="1">
        <v>0</v>
      </c>
      <c r="Q99" s="183">
        <v>0</v>
      </c>
      <c r="Y99" s="1">
        <v>45</v>
      </c>
      <c r="Z99" s="1">
        <v>50</v>
      </c>
    </row>
    <row r="100" spans="1:26" ht="15.6">
      <c r="A100" s="201">
        <v>600</v>
      </c>
      <c r="B100" s="202">
        <v>650</v>
      </c>
      <c r="C100" s="160">
        <v>35869</v>
      </c>
      <c r="D100" s="30">
        <v>22405158.533333346</v>
      </c>
      <c r="E100" s="187">
        <f t="shared" si="2"/>
        <v>416.42566995331805</v>
      </c>
      <c r="F100" s="188">
        <v>3.5869991087853756E-4</v>
      </c>
      <c r="G100" s="189">
        <v>0.14937185069979048</v>
      </c>
      <c r="H100" s="178"/>
      <c r="I100" s="124" t="str">
        <f t="shared" si="3"/>
        <v>(600, 650]</v>
      </c>
      <c r="J100" s="160">
        <v>1</v>
      </c>
      <c r="K100" s="205">
        <v>0</v>
      </c>
      <c r="L100" s="188">
        <v>0</v>
      </c>
      <c r="M100" s="208">
        <v>0</v>
      </c>
      <c r="N100" s="195">
        <v>0</v>
      </c>
      <c r="O100" s="211">
        <v>0</v>
      </c>
      <c r="P100" s="1">
        <v>0</v>
      </c>
      <c r="Q100" s="183">
        <v>0</v>
      </c>
      <c r="Y100" s="1">
        <v>80</v>
      </c>
      <c r="Z100" s="1">
        <v>90</v>
      </c>
    </row>
    <row r="101" spans="1:26" ht="15.6">
      <c r="A101" s="201">
        <v>650</v>
      </c>
      <c r="B101" s="202">
        <v>700</v>
      </c>
      <c r="C101" s="160">
        <v>53000</v>
      </c>
      <c r="D101" s="30">
        <v>35851483.866666831</v>
      </c>
      <c r="E101" s="187">
        <f t="shared" si="2"/>
        <v>450.96206121593497</v>
      </c>
      <c r="F101" s="188">
        <v>5.3001464430462212E-4</v>
      </c>
      <c r="G101" s="189">
        <v>0.23901649647024301</v>
      </c>
      <c r="H101" s="178"/>
      <c r="I101" s="124" t="str">
        <f t="shared" si="3"/>
        <v>(650, 700]</v>
      </c>
      <c r="J101" s="160">
        <v>1</v>
      </c>
      <c r="K101" s="205">
        <v>0</v>
      </c>
      <c r="L101" s="188">
        <v>0</v>
      </c>
      <c r="M101" s="208">
        <v>0</v>
      </c>
      <c r="N101" s="195">
        <v>0</v>
      </c>
      <c r="O101" s="211">
        <v>0</v>
      </c>
      <c r="P101" s="1">
        <v>0</v>
      </c>
      <c r="Q101" s="183">
        <v>0</v>
      </c>
      <c r="Y101" s="1">
        <v>160</v>
      </c>
      <c r="Z101" s="1">
        <v>180</v>
      </c>
    </row>
    <row r="102" spans="1:26" ht="15.6">
      <c r="A102" s="201">
        <v>700</v>
      </c>
      <c r="B102" s="202">
        <v>750</v>
      </c>
      <c r="C102" s="160">
        <v>37360</v>
      </c>
      <c r="D102" s="30">
        <v>27021585.333333336</v>
      </c>
      <c r="E102" s="187">
        <f t="shared" si="2"/>
        <v>482.18389245776831</v>
      </c>
      <c r="F102" s="188">
        <v>3.7361032285322042E-4</v>
      </c>
      <c r="G102" s="189">
        <v>0.18014887973576932</v>
      </c>
      <c r="H102" s="178"/>
      <c r="I102" s="124" t="str">
        <f t="shared" si="3"/>
        <v>(700, 750]</v>
      </c>
      <c r="J102" s="160">
        <v>1</v>
      </c>
      <c r="K102" s="205">
        <v>0</v>
      </c>
      <c r="L102" s="188">
        <v>0</v>
      </c>
      <c r="M102" s="208">
        <v>0</v>
      </c>
      <c r="N102" s="195">
        <v>0</v>
      </c>
      <c r="O102" s="211">
        <v>0</v>
      </c>
      <c r="P102" s="1">
        <v>0</v>
      </c>
      <c r="Q102" s="183">
        <v>0</v>
      </c>
      <c r="Y102" s="1">
        <v>120</v>
      </c>
      <c r="Z102" s="1">
        <v>140</v>
      </c>
    </row>
    <row r="103" spans="1:26" ht="15.6">
      <c r="A103" s="201">
        <v>750</v>
      </c>
      <c r="B103" s="202">
        <v>800</v>
      </c>
      <c r="C103" s="160">
        <v>31872</v>
      </c>
      <c r="D103" s="30">
        <v>24864064.266666673</v>
      </c>
      <c r="E103" s="187">
        <f t="shared" si="2"/>
        <v>520.08166555109335</v>
      </c>
      <c r="F103" s="188">
        <v>3.1872880647692295E-4</v>
      </c>
      <c r="G103" s="189">
        <v>0.1657650085316302</v>
      </c>
      <c r="H103" s="178"/>
      <c r="I103" s="124" t="str">
        <f t="shared" si="3"/>
        <v>(750, 800]</v>
      </c>
      <c r="J103" s="160">
        <v>1</v>
      </c>
      <c r="K103" s="205">
        <v>0</v>
      </c>
      <c r="L103" s="188">
        <v>0</v>
      </c>
      <c r="M103" s="208">
        <v>0</v>
      </c>
      <c r="N103" s="195">
        <v>0</v>
      </c>
      <c r="O103" s="211">
        <v>0</v>
      </c>
      <c r="P103" s="1">
        <v>0</v>
      </c>
      <c r="Q103" s="183">
        <v>0</v>
      </c>
      <c r="Y103" s="1">
        <v>160</v>
      </c>
      <c r="Z103" s="1">
        <v>180</v>
      </c>
    </row>
    <row r="104" spans="1:26" ht="15.6">
      <c r="A104" s="201">
        <v>800</v>
      </c>
      <c r="B104" s="202">
        <v>850</v>
      </c>
      <c r="C104" s="160">
        <v>34577</v>
      </c>
      <c r="D104" s="30">
        <v>28589148.800000101</v>
      </c>
      <c r="E104" s="187">
        <f t="shared" si="2"/>
        <v>551.21706722195108</v>
      </c>
      <c r="F104" s="188">
        <v>3.4577955388907398E-4</v>
      </c>
      <c r="G104" s="189">
        <v>0.19059959160004994</v>
      </c>
      <c r="H104" s="178"/>
      <c r="I104" s="124" t="str">
        <f t="shared" si="3"/>
        <v>(800, 850]</v>
      </c>
      <c r="J104" s="160">
        <v>1</v>
      </c>
      <c r="K104" s="205">
        <v>0</v>
      </c>
      <c r="L104" s="188">
        <v>0</v>
      </c>
      <c r="M104" s="208">
        <v>0</v>
      </c>
      <c r="N104" s="195">
        <v>0</v>
      </c>
      <c r="O104" s="211">
        <v>0</v>
      </c>
      <c r="P104" s="1">
        <v>0</v>
      </c>
      <c r="Q104" s="183">
        <v>0</v>
      </c>
      <c r="Y104" s="1">
        <v>160</v>
      </c>
      <c r="Z104" s="1">
        <v>180</v>
      </c>
    </row>
    <row r="105" spans="1:26" ht="15.6">
      <c r="A105" s="201">
        <v>850</v>
      </c>
      <c r="B105" s="202">
        <v>900</v>
      </c>
      <c r="C105" s="160">
        <v>27647</v>
      </c>
      <c r="D105" s="30">
        <v>24145191.333333328</v>
      </c>
      <c r="E105" s="187">
        <f t="shared" si="2"/>
        <v>582.22571064571991</v>
      </c>
      <c r="F105" s="188">
        <v>2.7647763907716772E-4</v>
      </c>
      <c r="G105" s="189">
        <v>0.16097238988935483</v>
      </c>
      <c r="H105" s="178"/>
      <c r="I105" s="124" t="str">
        <f t="shared" si="3"/>
        <v>(850, 900]</v>
      </c>
      <c r="J105" s="160">
        <v>1</v>
      </c>
      <c r="K105" s="205">
        <v>0</v>
      </c>
      <c r="L105" s="188">
        <v>0</v>
      </c>
      <c r="M105" s="208">
        <v>0</v>
      </c>
      <c r="N105" s="195">
        <v>0</v>
      </c>
      <c r="O105" s="211">
        <v>0</v>
      </c>
      <c r="P105" s="1">
        <v>0</v>
      </c>
      <c r="Q105" s="183">
        <v>0</v>
      </c>
      <c r="Y105" s="1">
        <v>120</v>
      </c>
      <c r="Z105" s="1">
        <v>140</v>
      </c>
    </row>
    <row r="106" spans="1:26" ht="15.6">
      <c r="A106" s="201">
        <v>900</v>
      </c>
      <c r="B106" s="202">
        <v>950</v>
      </c>
      <c r="C106" s="160">
        <v>20628</v>
      </c>
      <c r="D106" s="30">
        <v>19069424.533333343</v>
      </c>
      <c r="E106" s="187">
        <f t="shared" si="2"/>
        <v>616.29579643634349</v>
      </c>
      <c r="F106" s="188">
        <v>2.0628569967388199E-4</v>
      </c>
      <c r="G106" s="189">
        <v>0.12713300957394347</v>
      </c>
      <c r="H106" s="178"/>
      <c r="I106" s="124" t="str">
        <f t="shared" si="3"/>
        <v>(900, 950]</v>
      </c>
      <c r="J106" s="160">
        <v>1</v>
      </c>
      <c r="K106" s="205">
        <v>0</v>
      </c>
      <c r="L106" s="188">
        <v>0</v>
      </c>
      <c r="M106" s="208">
        <v>0</v>
      </c>
      <c r="N106" s="195">
        <v>0</v>
      </c>
      <c r="O106" s="211">
        <v>0</v>
      </c>
      <c r="P106" s="1">
        <v>0</v>
      </c>
      <c r="Q106" s="183">
        <v>0</v>
      </c>
      <c r="Y106" s="1">
        <v>80</v>
      </c>
      <c r="Z106" s="1">
        <v>90</v>
      </c>
    </row>
    <row r="107" spans="1:26" ht="15.6">
      <c r="A107" s="201">
        <v>950</v>
      </c>
      <c r="B107" s="202">
        <v>1000</v>
      </c>
      <c r="C107" s="160">
        <v>25185</v>
      </c>
      <c r="D107" s="30">
        <v>24731080.400000006</v>
      </c>
      <c r="E107" s="187">
        <f t="shared" si="2"/>
        <v>654.65105949308463</v>
      </c>
      <c r="F107" s="188">
        <v>2.5185695880777185E-4</v>
      </c>
      <c r="G107" s="189">
        <v>0.16487842492421401</v>
      </c>
      <c r="H107" s="178"/>
      <c r="I107" s="124" t="str">
        <f t="shared" si="3"/>
        <v>(950, 1000]</v>
      </c>
      <c r="J107" s="160">
        <v>1</v>
      </c>
      <c r="K107" s="205">
        <v>0</v>
      </c>
      <c r="L107" s="188">
        <v>0</v>
      </c>
      <c r="M107" s="208">
        <v>0</v>
      </c>
      <c r="N107" s="195">
        <v>0</v>
      </c>
      <c r="O107" s="211">
        <v>0</v>
      </c>
      <c r="P107" s="1">
        <v>1.1937234023504401E-6</v>
      </c>
      <c r="Q107" s="183">
        <v>7.8147229009040533E-4</v>
      </c>
      <c r="Y107" s="1">
        <v>80</v>
      </c>
      <c r="Z107" s="1">
        <v>90</v>
      </c>
    </row>
    <row r="108" spans="1:26" ht="15.6">
      <c r="A108" s="201">
        <v>1000</v>
      </c>
      <c r="B108" s="202">
        <v>2000</v>
      </c>
      <c r="C108" s="160">
        <v>299183</v>
      </c>
      <c r="D108" s="30">
        <v>419253014.66666538</v>
      </c>
      <c r="E108" s="187">
        <f t="shared" si="2"/>
        <v>934.2175517251211</v>
      </c>
      <c r="F108" s="188">
        <v>2.9919126665469767E-3</v>
      </c>
      <c r="G108" s="189">
        <v>2.795097326316895</v>
      </c>
      <c r="H108" s="178"/>
      <c r="I108" s="124" t="str">
        <f t="shared" si="3"/>
        <v>(1000, 2000]</v>
      </c>
      <c r="J108" s="160">
        <v>1</v>
      </c>
      <c r="K108" s="205">
        <v>1.0999999999999999E-2</v>
      </c>
      <c r="L108" s="188">
        <v>3.291103933201674E-5</v>
      </c>
      <c r="M108" s="208">
        <v>32911</v>
      </c>
      <c r="N108" s="195">
        <v>3.5270224165803419E-5</v>
      </c>
      <c r="O108" s="211">
        <v>3.2950062468973071E-2</v>
      </c>
      <c r="P108" s="1">
        <v>0</v>
      </c>
      <c r="Q108" s="183">
        <v>0</v>
      </c>
      <c r="Y108" s="1">
        <v>180</v>
      </c>
      <c r="Z108" s="1">
        <v>200</v>
      </c>
    </row>
    <row r="109" spans="1:26" ht="15.6">
      <c r="A109" s="201">
        <v>2000</v>
      </c>
      <c r="B109" s="202">
        <v>3000</v>
      </c>
      <c r="C109" s="160">
        <v>112189</v>
      </c>
      <c r="D109" s="30">
        <v>273581340.53333306</v>
      </c>
      <c r="E109" s="187">
        <f t="shared" si="2"/>
        <v>1625.7169629424934</v>
      </c>
      <c r="F109" s="188">
        <v>1.1219209986771935E-3</v>
      </c>
      <c r="G109" s="189">
        <v>1.823925998630896</v>
      </c>
      <c r="H109" s="178"/>
      <c r="I109" s="124" t="str">
        <f t="shared" si="3"/>
        <v>(2000, 3000]</v>
      </c>
      <c r="J109" s="160">
        <v>1</v>
      </c>
      <c r="K109" s="205">
        <v>0</v>
      </c>
      <c r="L109" s="188">
        <v>0</v>
      </c>
      <c r="M109" s="208">
        <v>0</v>
      </c>
      <c r="N109" s="195">
        <v>0</v>
      </c>
      <c r="O109" s="211">
        <v>0</v>
      </c>
      <c r="P109" s="1">
        <v>0</v>
      </c>
      <c r="Q109" s="183">
        <v>0</v>
      </c>
      <c r="Y109" s="1">
        <v>160</v>
      </c>
      <c r="Z109" s="1">
        <v>180</v>
      </c>
    </row>
    <row r="110" spans="1:26" ht="15.6">
      <c r="A110" s="201">
        <v>3000</v>
      </c>
      <c r="B110" s="202">
        <v>4000</v>
      </c>
      <c r="C110" s="160">
        <v>46020</v>
      </c>
      <c r="D110" s="30">
        <v>158213585.86666664</v>
      </c>
      <c r="E110" s="187">
        <f t="shared" si="2"/>
        <v>2291.9540180597805</v>
      </c>
      <c r="F110" s="188">
        <v>4.6021271567733417E-4</v>
      </c>
      <c r="G110" s="189">
        <v>1.0547863828588695</v>
      </c>
      <c r="H110" s="178"/>
      <c r="I110" s="124" t="str">
        <f t="shared" si="3"/>
        <v>(3000, 4000]</v>
      </c>
      <c r="J110" s="160">
        <v>1</v>
      </c>
      <c r="K110" s="205">
        <v>0</v>
      </c>
      <c r="L110" s="188">
        <v>0</v>
      </c>
      <c r="M110" s="208">
        <v>0</v>
      </c>
      <c r="N110" s="195">
        <v>0</v>
      </c>
      <c r="O110" s="211">
        <v>0</v>
      </c>
      <c r="P110" s="1">
        <v>0</v>
      </c>
      <c r="Q110" s="183">
        <v>0</v>
      </c>
      <c r="Y110" s="1">
        <v>90</v>
      </c>
      <c r="Z110" s="1">
        <v>100</v>
      </c>
    </row>
    <row r="111" spans="1:26" ht="15.6">
      <c r="A111" s="201">
        <v>4000</v>
      </c>
      <c r="B111" s="202">
        <v>5000</v>
      </c>
      <c r="C111" s="160">
        <v>22947</v>
      </c>
      <c r="D111" s="30">
        <v>101825962.53333333</v>
      </c>
      <c r="E111" s="187">
        <f t="shared" si="2"/>
        <v>2958.29411348857</v>
      </c>
      <c r="F111" s="188">
        <v>2.294763404312861E-4</v>
      </c>
      <c r="G111" s="189">
        <v>0.67885850708277284</v>
      </c>
      <c r="H111" s="178"/>
      <c r="I111" s="124" t="str">
        <f t="shared" si="3"/>
        <v>(4000, 5000]</v>
      </c>
      <c r="J111" s="160">
        <v>1</v>
      </c>
      <c r="K111" s="205">
        <v>0</v>
      </c>
      <c r="L111" s="188">
        <v>0</v>
      </c>
      <c r="M111" s="208">
        <v>0</v>
      </c>
      <c r="N111" s="195">
        <v>0</v>
      </c>
      <c r="O111" s="211">
        <v>0</v>
      </c>
      <c r="P111" s="1">
        <v>0</v>
      </c>
      <c r="Q111" s="183">
        <v>0</v>
      </c>
      <c r="Y111" s="1">
        <v>40</v>
      </c>
      <c r="Z111" s="1">
        <v>45</v>
      </c>
    </row>
    <row r="112" spans="1:26" ht="15.6">
      <c r="A112" s="201">
        <v>5000</v>
      </c>
      <c r="B112" s="202">
        <v>6000</v>
      </c>
      <c r="C112" s="160">
        <v>11752</v>
      </c>
      <c r="D112" s="30">
        <v>64004405.20000001</v>
      </c>
      <c r="E112" s="187">
        <f t="shared" si="2"/>
        <v>3630.8375992738834</v>
      </c>
      <c r="F112" s="188">
        <v>1.1752324716731924E-4</v>
      </c>
      <c r="G112" s="189">
        <v>0.42670782460386059</v>
      </c>
      <c r="H112" s="178"/>
      <c r="I112" s="124" t="str">
        <f t="shared" si="3"/>
        <v>(5000, 6000]</v>
      </c>
      <c r="J112" s="160">
        <v>1</v>
      </c>
      <c r="K112" s="205">
        <v>0</v>
      </c>
      <c r="L112" s="188">
        <v>0</v>
      </c>
      <c r="M112" s="208">
        <v>0</v>
      </c>
      <c r="N112" s="195">
        <v>0</v>
      </c>
      <c r="O112" s="211">
        <v>0</v>
      </c>
      <c r="P112" s="1">
        <v>0</v>
      </c>
      <c r="Q112" s="183">
        <v>0</v>
      </c>
      <c r="Y112" s="1">
        <v>40</v>
      </c>
      <c r="Z112" s="1">
        <v>45</v>
      </c>
    </row>
    <row r="113" spans="1:26" ht="15.6">
      <c r="A113" s="201">
        <v>6000</v>
      </c>
      <c r="B113" s="202">
        <v>7000</v>
      </c>
      <c r="C113" s="160">
        <v>6126</v>
      </c>
      <c r="D113" s="30">
        <v>39630581.999999993</v>
      </c>
      <c r="E113" s="187">
        <f t="shared" si="2"/>
        <v>4312.8285994123398</v>
      </c>
      <c r="F113" s="188">
        <v>6.1261692660568207E-5</v>
      </c>
      <c r="G113" s="189">
        <v>0.26421118015490758</v>
      </c>
      <c r="H113" s="178"/>
      <c r="I113" s="124" t="str">
        <f t="shared" si="3"/>
        <v>(6000, 7000]</v>
      </c>
      <c r="J113" s="160">
        <v>0</v>
      </c>
      <c r="K113" s="205">
        <v>0</v>
      </c>
      <c r="L113" s="188">
        <v>0</v>
      </c>
      <c r="M113" s="208">
        <v>0</v>
      </c>
      <c r="N113" s="195">
        <v>0</v>
      </c>
      <c r="O113" s="211">
        <v>0</v>
      </c>
      <c r="P113" s="1">
        <v>0</v>
      </c>
      <c r="Q113" s="183">
        <v>0</v>
      </c>
      <c r="Y113" s="1">
        <v>80</v>
      </c>
      <c r="Z113" s="1">
        <v>90</v>
      </c>
    </row>
    <row r="114" spans="1:26" thickBot="1">
      <c r="A114" s="203">
        <v>7000</v>
      </c>
      <c r="B114" s="204">
        <v>8000</v>
      </c>
      <c r="C114" s="162">
        <v>7472</v>
      </c>
      <c r="D114" s="167">
        <v>60481604.93333333</v>
      </c>
      <c r="E114" s="190">
        <f t="shared" si="2"/>
        <v>5396.2888056150359</v>
      </c>
      <c r="F114" s="191">
        <v>7.4722064570644086E-5</v>
      </c>
      <c r="G114" s="192">
        <v>0.40322184057501059</v>
      </c>
      <c r="H114" s="178"/>
      <c r="I114" s="125" t="str">
        <f t="shared" si="3"/>
        <v>(7000, 8000]</v>
      </c>
      <c r="J114" s="162">
        <v>0</v>
      </c>
      <c r="K114" s="206">
        <v>0</v>
      </c>
      <c r="L114" s="191">
        <v>0</v>
      </c>
      <c r="M114" s="209">
        <v>0</v>
      </c>
      <c r="N114" s="196">
        <v>0</v>
      </c>
      <c r="O114" s="212">
        <v>0</v>
      </c>
      <c r="P114" s="1">
        <v>0</v>
      </c>
      <c r="Q114" s="183">
        <v>0</v>
      </c>
      <c r="Y114" s="1">
        <v>90</v>
      </c>
      <c r="Z114" s="1">
        <v>100</v>
      </c>
    </row>
    <row r="115" spans="1:26">
      <c r="Y115" s="1">
        <v>90</v>
      </c>
      <c r="Z115" s="1">
        <v>100</v>
      </c>
    </row>
    <row r="116" spans="1:26">
      <c r="Y116" s="1">
        <v>140</v>
      </c>
      <c r="Z116" s="1">
        <v>160</v>
      </c>
    </row>
    <row r="117" spans="1:26">
      <c r="Y117" s="1">
        <v>160</v>
      </c>
      <c r="Z117" s="1">
        <v>180</v>
      </c>
    </row>
    <row r="119" spans="1:26">
      <c r="D119" s="1" t="s">
        <v>183</v>
      </c>
      <c r="E119" s="1">
        <v>800</v>
      </c>
    </row>
    <row r="120" spans="1:26" ht="16.8" thickBot="1">
      <c r="A120" s="147" t="s">
        <v>115</v>
      </c>
      <c r="B120" s="147"/>
      <c r="C120" s="147"/>
      <c r="D120" s="147"/>
      <c r="E120" s="147"/>
      <c r="F120" s="223"/>
      <c r="G120" s="147"/>
      <c r="H120" s="147"/>
      <c r="I120" s="147"/>
      <c r="J120" s="147"/>
      <c r="K120" s="147"/>
      <c r="L120" s="147"/>
      <c r="M120" s="147"/>
      <c r="N120" s="147"/>
      <c r="O120" s="224">
        <f>SUM(_xlfn.ANCHORARRAY(O122))</f>
        <v>0.31268236163167618</v>
      </c>
    </row>
    <row r="121" spans="1:26" thickBot="1">
      <c r="A121" s="164" t="str" cm="1">
        <f t="array" ref="A121:G121">A62:G62</f>
        <v>Lower</v>
      </c>
      <c r="B121" s="165" t="str">
        <v>Upper</v>
      </c>
      <c r="C121" s="226" t="str">
        <v>Count</v>
      </c>
      <c r="D121" s="227" t="str">
        <v>Pay</v>
      </c>
      <c r="E121" s="227" t="str">
        <v>Multi.</v>
      </c>
      <c r="F121" s="227" t="str">
        <v>Prob.</v>
      </c>
      <c r="G121" s="228" t="str">
        <v>RTP</v>
      </c>
      <c r="I121" s="114" t="s">
        <v>159</v>
      </c>
      <c r="J121" s="164" t="s">
        <v>173</v>
      </c>
      <c r="K121" s="184" t="s">
        <v>161</v>
      </c>
      <c r="L121" s="184" t="s">
        <v>163</v>
      </c>
      <c r="M121" s="184" t="s">
        <v>162</v>
      </c>
      <c r="N121" s="184" t="s">
        <v>164</v>
      </c>
      <c r="O121" s="114" t="s">
        <v>165</v>
      </c>
    </row>
    <row r="122" spans="1:26" ht="15.6">
      <c r="A122" s="199" cm="1">
        <f t="array" ref="A122:B173">A63:B114</f>
        <v>-1</v>
      </c>
      <c r="B122" s="200">
        <v>0</v>
      </c>
      <c r="C122" s="158">
        <v>8559881</v>
      </c>
      <c r="D122" s="166">
        <v>0</v>
      </c>
      <c r="E122" s="187">
        <f>IFERROR((D122/$E$119)/(C122),0)</f>
        <v>0</v>
      </c>
      <c r="F122" s="185" cm="1">
        <f t="array" ref="F122:F173">C122:C173/SUM(C122:C173)</f>
        <v>0.85598810000000003</v>
      </c>
      <c r="G122" s="186" cm="1">
        <f t="array" ref="G122:G173">E122:E173*_xlfn.ANCHORARRAY(F122)</f>
        <v>0</v>
      </c>
      <c r="H122" s="178"/>
      <c r="I122" s="128" t="str">
        <f>"("&amp;$A122&amp;", "&amp;$B122&amp;"]"</f>
        <v>(-1, 0]</v>
      </c>
      <c r="J122" s="158" cm="1">
        <f t="array" ref="J122:J173">IFERROR(IF(1/F122:F173&lt;$J$2,1,0),0)</f>
        <v>1</v>
      </c>
      <c r="K122" s="217">
        <v>1.014521</v>
      </c>
      <c r="L122" s="185" cm="1">
        <f t="array" ref="L122:L173">K122:K173*_xlfn.ANCHORARRAY(J122)*_xlfn.ANCHORARRAY(F122)</f>
        <v>0.86841790320010004</v>
      </c>
      <c r="M122" s="207" cm="1">
        <f t="array" ref="M122:M173">INT(_xlfn.ANCHORARRAY(L122)*$M$2)</f>
        <v>868417903</v>
      </c>
      <c r="N122" s="194" cm="1">
        <f t="array" ref="N122:N173">M122:M173/SUM(M122:M173)</f>
        <v>0.92526831663311015</v>
      </c>
      <c r="O122" s="210" cm="1">
        <f t="array" ref="O122:O173">_xlfn.ANCHORARRAY(N122)*E122:E173</f>
        <v>0</v>
      </c>
    </row>
    <row r="123" spans="1:26" ht="15.6">
      <c r="A123" s="201">
        <v>0</v>
      </c>
      <c r="B123" s="202">
        <v>1</v>
      </c>
      <c r="C123" s="160">
        <v>0</v>
      </c>
      <c r="D123" s="30">
        <v>0</v>
      </c>
      <c r="E123" s="187">
        <f t="shared" ref="E123:E173" si="4">IFERROR((D123/$E$119)/(C123),0)</f>
        <v>0</v>
      </c>
      <c r="F123" s="188">
        <v>0</v>
      </c>
      <c r="G123" s="189">
        <v>0</v>
      </c>
      <c r="H123" s="178"/>
      <c r="I123" s="124" t="str">
        <f t="shared" ref="I123:I173" si="5">"("&amp;$A123&amp;", "&amp;$B123&amp;"]"</f>
        <v>(0, 1]</v>
      </c>
      <c r="J123" s="160">
        <v>0</v>
      </c>
      <c r="K123" s="205">
        <v>1.03</v>
      </c>
      <c r="L123" s="188">
        <v>0</v>
      </c>
      <c r="M123" s="208">
        <v>0</v>
      </c>
      <c r="N123" s="195">
        <v>0</v>
      </c>
      <c r="O123" s="211">
        <v>0</v>
      </c>
    </row>
    <row r="124" spans="1:26" ht="15.6">
      <c r="A124" s="201">
        <v>1</v>
      </c>
      <c r="B124" s="202">
        <v>2</v>
      </c>
      <c r="C124" s="160">
        <v>0</v>
      </c>
      <c r="D124" s="30">
        <v>0</v>
      </c>
      <c r="E124" s="187">
        <f t="shared" si="4"/>
        <v>0</v>
      </c>
      <c r="F124" s="188">
        <v>0</v>
      </c>
      <c r="G124" s="189">
        <v>0</v>
      </c>
      <c r="H124" s="178"/>
      <c r="I124" s="214" t="str">
        <f t="shared" si="5"/>
        <v>(1, 2]</v>
      </c>
      <c r="J124" s="160">
        <v>0</v>
      </c>
      <c r="K124" s="205">
        <v>0.85</v>
      </c>
      <c r="L124" s="188">
        <v>0</v>
      </c>
      <c r="M124" s="208">
        <v>0</v>
      </c>
      <c r="N124" s="195">
        <v>0</v>
      </c>
      <c r="O124" s="211">
        <v>0</v>
      </c>
    </row>
    <row r="125" spans="1:26" ht="15.6">
      <c r="A125" s="201">
        <v>2</v>
      </c>
      <c r="B125" s="202">
        <v>3</v>
      </c>
      <c r="C125" s="160">
        <v>0</v>
      </c>
      <c r="D125" s="30">
        <v>0</v>
      </c>
      <c r="E125" s="187">
        <f t="shared" si="4"/>
        <v>0</v>
      </c>
      <c r="F125" s="188">
        <v>0</v>
      </c>
      <c r="G125" s="189">
        <v>0</v>
      </c>
      <c r="H125" s="178"/>
      <c r="I125" s="124" t="str">
        <f t="shared" si="5"/>
        <v>(2, 3]</v>
      </c>
      <c r="J125" s="160">
        <v>0</v>
      </c>
      <c r="K125" s="205">
        <v>0.6</v>
      </c>
      <c r="L125" s="188">
        <v>0</v>
      </c>
      <c r="M125" s="208">
        <v>0</v>
      </c>
      <c r="N125" s="195">
        <v>0</v>
      </c>
      <c r="O125" s="211">
        <v>0</v>
      </c>
    </row>
    <row r="126" spans="1:26" ht="15.6">
      <c r="A126" s="201">
        <v>3</v>
      </c>
      <c r="B126" s="202">
        <v>4</v>
      </c>
      <c r="C126" s="160">
        <v>42658</v>
      </c>
      <c r="D126" s="30">
        <v>17063200</v>
      </c>
      <c r="E126" s="187">
        <f t="shared" si="4"/>
        <v>0.5</v>
      </c>
      <c r="F126" s="188">
        <v>4.2658000000000001E-3</v>
      </c>
      <c r="G126" s="189">
        <v>2.1329000000000001E-3</v>
      </c>
      <c r="H126" s="178"/>
      <c r="I126" s="124" t="str">
        <f t="shared" si="5"/>
        <v>(3, 4]</v>
      </c>
      <c r="J126" s="160">
        <v>1</v>
      </c>
      <c r="K126" s="205">
        <v>0.745</v>
      </c>
      <c r="L126" s="188">
        <v>3.1780210000000001E-3</v>
      </c>
      <c r="M126" s="208">
        <v>3178021</v>
      </c>
      <c r="N126" s="195">
        <v>3.3860680793618707E-3</v>
      </c>
      <c r="O126" s="211">
        <v>1.6930340396809353E-3</v>
      </c>
    </row>
    <row r="127" spans="1:26" ht="15.6">
      <c r="A127" s="201">
        <v>4</v>
      </c>
      <c r="B127" s="202">
        <v>5</v>
      </c>
      <c r="C127" s="160">
        <v>0</v>
      </c>
      <c r="D127" s="30">
        <v>0</v>
      </c>
      <c r="E127" s="187">
        <f t="shared" si="4"/>
        <v>0</v>
      </c>
      <c r="F127" s="188">
        <v>0</v>
      </c>
      <c r="G127" s="189">
        <v>0</v>
      </c>
      <c r="H127" s="178"/>
      <c r="I127" s="124" t="str">
        <f t="shared" si="5"/>
        <v>(4, 5]</v>
      </c>
      <c r="J127" s="160">
        <v>0</v>
      </c>
      <c r="K127" s="205">
        <v>0.8</v>
      </c>
      <c r="L127" s="188">
        <v>0</v>
      </c>
      <c r="M127" s="208">
        <v>0</v>
      </c>
      <c r="N127" s="195">
        <v>0</v>
      </c>
      <c r="O127" s="211">
        <v>0</v>
      </c>
    </row>
    <row r="128" spans="1:26" ht="15.6">
      <c r="A128" s="201">
        <v>5</v>
      </c>
      <c r="B128" s="202">
        <v>6</v>
      </c>
      <c r="C128" s="160">
        <v>21307</v>
      </c>
      <c r="D128" s="30">
        <v>12784200</v>
      </c>
      <c r="E128" s="187">
        <f t="shared" si="4"/>
        <v>0.75</v>
      </c>
      <c r="F128" s="188">
        <v>2.1307000000000001E-3</v>
      </c>
      <c r="G128" s="189">
        <v>1.5980250000000001E-3</v>
      </c>
      <c r="H128" s="178"/>
      <c r="I128" s="124" t="str">
        <f t="shared" si="5"/>
        <v>(5, 6]</v>
      </c>
      <c r="J128" s="160">
        <v>1</v>
      </c>
      <c r="K128" s="205">
        <v>0.45</v>
      </c>
      <c r="L128" s="188">
        <v>9.5881500000000012E-4</v>
      </c>
      <c r="M128" s="208">
        <v>958815</v>
      </c>
      <c r="N128" s="195">
        <v>1.0215832008389346E-3</v>
      </c>
      <c r="O128" s="211">
        <v>7.6618740062920103E-4</v>
      </c>
    </row>
    <row r="129" spans="1:15" ht="15.6">
      <c r="A129" s="201">
        <v>6</v>
      </c>
      <c r="B129" s="202">
        <v>7</v>
      </c>
      <c r="C129" s="160">
        <v>0</v>
      </c>
      <c r="D129" s="30">
        <v>0</v>
      </c>
      <c r="E129" s="187">
        <f t="shared" si="4"/>
        <v>0</v>
      </c>
      <c r="F129" s="188">
        <v>0</v>
      </c>
      <c r="G129" s="189">
        <v>0</v>
      </c>
      <c r="H129" s="178"/>
      <c r="I129" s="124" t="str">
        <f t="shared" si="5"/>
        <v>(6, 7]</v>
      </c>
      <c r="J129" s="160">
        <v>0</v>
      </c>
      <c r="K129" s="205">
        <v>0.35</v>
      </c>
      <c r="L129" s="188">
        <v>0</v>
      </c>
      <c r="M129" s="208">
        <v>0</v>
      </c>
      <c r="N129" s="195">
        <v>0</v>
      </c>
      <c r="O129" s="211">
        <v>0</v>
      </c>
    </row>
    <row r="130" spans="1:15" ht="15.6">
      <c r="A130" s="201">
        <v>7</v>
      </c>
      <c r="B130" s="202">
        <v>8</v>
      </c>
      <c r="C130" s="160">
        <v>24785</v>
      </c>
      <c r="D130" s="30">
        <v>19828000</v>
      </c>
      <c r="E130" s="187">
        <f t="shared" si="4"/>
        <v>1</v>
      </c>
      <c r="F130" s="188">
        <v>2.4784999999999998E-3</v>
      </c>
      <c r="G130" s="189">
        <v>2.4784999999999998E-3</v>
      </c>
      <c r="H130" s="178"/>
      <c r="I130" s="214" t="str">
        <f t="shared" si="5"/>
        <v>(7, 8]</v>
      </c>
      <c r="J130" s="160">
        <v>1</v>
      </c>
      <c r="K130" s="205">
        <v>0.79675830992990726</v>
      </c>
      <c r="L130" s="188">
        <v>1.9747654711612748E-3</v>
      </c>
      <c r="M130" s="208">
        <v>1974765</v>
      </c>
      <c r="N130" s="195">
        <v>2.1040417073207021E-3</v>
      </c>
      <c r="O130" s="211">
        <v>2.1040417073207021E-3</v>
      </c>
    </row>
    <row r="131" spans="1:15" ht="15.6">
      <c r="A131" s="201">
        <v>8</v>
      </c>
      <c r="B131" s="202">
        <v>9</v>
      </c>
      <c r="C131" s="160">
        <v>0</v>
      </c>
      <c r="D131" s="30">
        <v>0</v>
      </c>
      <c r="E131" s="187">
        <f t="shared" si="4"/>
        <v>0</v>
      </c>
      <c r="F131" s="188">
        <v>0</v>
      </c>
      <c r="G131" s="189">
        <v>0</v>
      </c>
      <c r="H131" s="178"/>
      <c r="I131" s="124" t="str">
        <f t="shared" si="5"/>
        <v>(8, 9]</v>
      </c>
      <c r="J131" s="160">
        <v>0</v>
      </c>
      <c r="K131" s="205">
        <v>0.12</v>
      </c>
      <c r="L131" s="188">
        <v>0</v>
      </c>
      <c r="M131" s="208">
        <v>0</v>
      </c>
      <c r="N131" s="195">
        <v>0</v>
      </c>
      <c r="O131" s="211">
        <v>0</v>
      </c>
    </row>
    <row r="132" spans="1:15" ht="15.6">
      <c r="A132" s="201">
        <v>9</v>
      </c>
      <c r="B132" s="202">
        <v>10</v>
      </c>
      <c r="C132" s="160">
        <v>66981</v>
      </c>
      <c r="D132" s="30">
        <v>66981000</v>
      </c>
      <c r="E132" s="187">
        <f t="shared" si="4"/>
        <v>1.25</v>
      </c>
      <c r="F132" s="188">
        <v>6.6981000000000002E-3</v>
      </c>
      <c r="G132" s="189">
        <v>8.3726249999999999E-3</v>
      </c>
      <c r="H132" s="178"/>
      <c r="I132" s="124" t="str">
        <f t="shared" si="5"/>
        <v>(9, 10]</v>
      </c>
      <c r="J132" s="160">
        <v>1</v>
      </c>
      <c r="K132" s="205">
        <v>1.0019290327970833</v>
      </c>
      <c r="L132" s="188">
        <v>6.7110208545781442E-3</v>
      </c>
      <c r="M132" s="208">
        <v>6711020</v>
      </c>
      <c r="N132" s="195">
        <v>7.1503525627927261E-3</v>
      </c>
      <c r="O132" s="211">
        <v>8.937940703490908E-3</v>
      </c>
    </row>
    <row r="133" spans="1:15" ht="15.6">
      <c r="A133" s="201">
        <v>10</v>
      </c>
      <c r="B133" s="202">
        <v>15</v>
      </c>
      <c r="C133" s="160">
        <v>48411</v>
      </c>
      <c r="D133" s="30">
        <v>67794900</v>
      </c>
      <c r="E133" s="187">
        <f t="shared" si="4"/>
        <v>1.7505035012703725</v>
      </c>
      <c r="F133" s="188">
        <v>4.8411000000000001E-3</v>
      </c>
      <c r="G133" s="189">
        <v>8.4743625000000006E-3</v>
      </c>
      <c r="H133" s="178"/>
      <c r="I133" s="214" t="str">
        <f t="shared" si="5"/>
        <v>(10, 15]</v>
      </c>
      <c r="J133" s="160">
        <v>1</v>
      </c>
      <c r="K133" s="205">
        <v>0.92808999999999997</v>
      </c>
      <c r="L133" s="188">
        <v>4.4929764990000003E-3</v>
      </c>
      <c r="M133" s="208">
        <v>4492976</v>
      </c>
      <c r="N133" s="195">
        <v>4.7871057538446038E-3</v>
      </c>
      <c r="O133" s="211">
        <v>8.3798453830565243E-3</v>
      </c>
    </row>
    <row r="134" spans="1:15" ht="15.6">
      <c r="A134" s="201">
        <v>15</v>
      </c>
      <c r="B134" s="202">
        <v>20</v>
      </c>
      <c r="C134" s="160">
        <v>159268</v>
      </c>
      <c r="D134" s="30">
        <v>292899000</v>
      </c>
      <c r="E134" s="187">
        <f t="shared" si="4"/>
        <v>2.2987904035964539</v>
      </c>
      <c r="F134" s="188">
        <v>1.5926800000000001E-2</v>
      </c>
      <c r="G134" s="189">
        <v>3.6612375000000003E-2</v>
      </c>
      <c r="H134" s="178"/>
      <c r="I134" s="124" t="str">
        <f t="shared" si="5"/>
        <v>(15, 20]</v>
      </c>
      <c r="J134" s="160">
        <v>1</v>
      </c>
      <c r="K134" s="205">
        <v>0.76135664514375612</v>
      </c>
      <c r="L134" s="188">
        <v>1.2125975015875576E-2</v>
      </c>
      <c r="M134" s="208">
        <v>12125975</v>
      </c>
      <c r="N134" s="195">
        <v>1.2919794072676065E-2</v>
      </c>
      <c r="O134" s="211">
        <v>2.9699898630710084E-2</v>
      </c>
    </row>
    <row r="135" spans="1:15" ht="15.6">
      <c r="A135" s="201">
        <v>20</v>
      </c>
      <c r="B135" s="202">
        <v>25</v>
      </c>
      <c r="C135" s="160">
        <v>82611</v>
      </c>
      <c r="D135" s="30">
        <v>198721800</v>
      </c>
      <c r="E135" s="187">
        <f t="shared" si="4"/>
        <v>3.0068907288375639</v>
      </c>
      <c r="F135" s="188">
        <v>8.2611000000000004E-3</v>
      </c>
      <c r="G135" s="189">
        <v>2.4840225E-2</v>
      </c>
      <c r="H135" s="178"/>
      <c r="I135" s="124" t="str">
        <f t="shared" si="5"/>
        <v>(20, 25]</v>
      </c>
      <c r="J135" s="160">
        <v>1</v>
      </c>
      <c r="K135" s="205">
        <v>0.7</v>
      </c>
      <c r="L135" s="188">
        <v>5.7827699999999996E-3</v>
      </c>
      <c r="M135" s="208">
        <v>5782770</v>
      </c>
      <c r="N135" s="195">
        <v>6.1613352798145279E-3</v>
      </c>
      <c r="O135" s="211">
        <v>1.8526461930134103E-2</v>
      </c>
    </row>
    <row r="136" spans="1:15" ht="15.6">
      <c r="A136" s="201">
        <v>25</v>
      </c>
      <c r="B136" s="202">
        <v>30</v>
      </c>
      <c r="C136" s="160">
        <v>96810</v>
      </c>
      <c r="D136" s="30">
        <v>289386200</v>
      </c>
      <c r="E136" s="187">
        <f t="shared" si="4"/>
        <v>3.7365225699824398</v>
      </c>
      <c r="F136" s="188">
        <v>9.6810000000000004E-3</v>
      </c>
      <c r="G136" s="189">
        <v>3.6173274999999998E-2</v>
      </c>
      <c r="H136" s="178"/>
      <c r="I136" s="124" t="str">
        <f t="shared" si="5"/>
        <v>(25, 30]</v>
      </c>
      <c r="J136" s="160">
        <v>1</v>
      </c>
      <c r="K136" s="205">
        <v>0.93564477717617389</v>
      </c>
      <c r="L136" s="188">
        <v>9.0579770878425406E-3</v>
      </c>
      <c r="M136" s="208">
        <v>9057977</v>
      </c>
      <c r="N136" s="195">
        <v>9.6509515775049948E-3</v>
      </c>
      <c r="O136" s="211">
        <v>3.6060998391155043E-2</v>
      </c>
    </row>
    <row r="137" spans="1:15" ht="15.6">
      <c r="A137" s="201">
        <v>30</v>
      </c>
      <c r="B137" s="202">
        <v>35</v>
      </c>
      <c r="C137" s="160">
        <v>39611</v>
      </c>
      <c r="D137" s="30">
        <v>128063600</v>
      </c>
      <c r="E137" s="187">
        <f t="shared" si="4"/>
        <v>4.0412890358738736</v>
      </c>
      <c r="F137" s="188">
        <v>3.9611000000000004E-3</v>
      </c>
      <c r="G137" s="189">
        <v>1.6007950000000003E-2</v>
      </c>
      <c r="H137" s="178"/>
      <c r="I137" s="124" t="str">
        <f t="shared" si="5"/>
        <v>(30, 35]</v>
      </c>
      <c r="J137" s="160">
        <v>1</v>
      </c>
      <c r="K137" s="205">
        <v>0.4745678375493817</v>
      </c>
      <c r="L137" s="188">
        <v>1.8798106613168561E-3</v>
      </c>
      <c r="M137" s="208">
        <v>1879810</v>
      </c>
      <c r="N137" s="195">
        <v>2.0028705399571739E-3</v>
      </c>
      <c r="O137" s="211">
        <v>8.0941787534037114E-3</v>
      </c>
    </row>
    <row r="138" spans="1:15" ht="15.6">
      <c r="A138" s="201">
        <v>35</v>
      </c>
      <c r="B138" s="202">
        <v>40</v>
      </c>
      <c r="C138" s="160">
        <v>111166</v>
      </c>
      <c r="D138" s="30">
        <v>434614400</v>
      </c>
      <c r="E138" s="187">
        <f t="shared" si="4"/>
        <v>4.8869978230754008</v>
      </c>
      <c r="F138" s="188">
        <v>1.1116600000000001E-2</v>
      </c>
      <c r="G138" s="189">
        <v>5.4326800000000001E-2</v>
      </c>
      <c r="H138" s="178"/>
      <c r="I138" s="214" t="str">
        <f t="shared" si="5"/>
        <v>(35, 40]</v>
      </c>
      <c r="J138" s="160">
        <v>1</v>
      </c>
      <c r="K138" s="205">
        <v>0.47054060341693471</v>
      </c>
      <c r="L138" s="188">
        <v>5.2308116719446971E-3</v>
      </c>
      <c r="M138" s="208">
        <v>5230811</v>
      </c>
      <c r="N138" s="195">
        <v>5.5732426425989462E-3</v>
      </c>
      <c r="O138" s="211">
        <v>2.7236424661852044E-2</v>
      </c>
    </row>
    <row r="139" spans="1:15" ht="15.6">
      <c r="A139" s="201">
        <v>40</v>
      </c>
      <c r="B139" s="202">
        <v>45</v>
      </c>
      <c r="C139" s="160">
        <v>32459</v>
      </c>
      <c r="D139" s="30">
        <v>145130200</v>
      </c>
      <c r="E139" s="187">
        <f t="shared" si="4"/>
        <v>5.5889814843340826</v>
      </c>
      <c r="F139" s="188">
        <v>3.2458999999999999E-3</v>
      </c>
      <c r="G139" s="189">
        <v>1.8141274999999998E-2</v>
      </c>
      <c r="H139" s="178"/>
      <c r="I139" s="124" t="str">
        <f t="shared" si="5"/>
        <v>(40, 45]</v>
      </c>
      <c r="J139" s="160">
        <v>1</v>
      </c>
      <c r="K139" s="205">
        <v>0.39765460800875296</v>
      </c>
      <c r="L139" s="188">
        <v>1.2907470921356113E-3</v>
      </c>
      <c r="M139" s="208">
        <v>1290747</v>
      </c>
      <c r="N139" s="195">
        <v>1.3752449134955675E-3</v>
      </c>
      <c r="O139" s="211">
        <v>7.6862183579513533E-3</v>
      </c>
    </row>
    <row r="140" spans="1:15" ht="15.6">
      <c r="A140" s="201">
        <v>45</v>
      </c>
      <c r="B140" s="202">
        <v>50</v>
      </c>
      <c r="C140" s="160">
        <v>64696</v>
      </c>
      <c r="D140" s="30">
        <v>314041600</v>
      </c>
      <c r="E140" s="187">
        <f t="shared" si="4"/>
        <v>6.0676394212934337</v>
      </c>
      <c r="F140" s="188">
        <v>6.4695999999999998E-3</v>
      </c>
      <c r="G140" s="189">
        <v>3.9255199999999997E-2</v>
      </c>
      <c r="H140" s="178"/>
      <c r="I140" s="124" t="str">
        <f t="shared" si="5"/>
        <v>(45, 50]</v>
      </c>
      <c r="J140" s="160">
        <v>1</v>
      </c>
      <c r="K140" s="205">
        <v>1.3500872579540419</v>
      </c>
      <c r="L140" s="188">
        <v>8.7345245240594699E-3</v>
      </c>
      <c r="M140" s="208">
        <v>8734524</v>
      </c>
      <c r="N140" s="195">
        <v>9.3063239370728395E-3</v>
      </c>
      <c r="O140" s="211">
        <v>5.6467417987909871E-2</v>
      </c>
    </row>
    <row r="141" spans="1:15" ht="15.6">
      <c r="A141" s="201">
        <v>50</v>
      </c>
      <c r="B141" s="202">
        <v>60</v>
      </c>
      <c r="C141" s="160">
        <v>83285</v>
      </c>
      <c r="D141" s="30">
        <v>492236400</v>
      </c>
      <c r="E141" s="187">
        <f t="shared" si="4"/>
        <v>7.3878309419463291</v>
      </c>
      <c r="F141" s="188">
        <v>8.3285000000000008E-3</v>
      </c>
      <c r="G141" s="189">
        <v>6.1529550000000009E-2</v>
      </c>
      <c r="H141" s="178"/>
      <c r="I141" s="214" t="str">
        <f t="shared" si="5"/>
        <v>(50, 60]</v>
      </c>
      <c r="J141" s="160">
        <v>1</v>
      </c>
      <c r="K141" s="205">
        <v>0.40119085199287829</v>
      </c>
      <c r="L141" s="188">
        <v>3.3413180108226872E-3</v>
      </c>
      <c r="M141" s="208">
        <v>3341318</v>
      </c>
      <c r="N141" s="195">
        <v>3.5600552113397763E-3</v>
      </c>
      <c r="O141" s="211">
        <v>2.6301086045373276E-2</v>
      </c>
    </row>
    <row r="142" spans="1:15" ht="15.6">
      <c r="A142" s="201">
        <v>60</v>
      </c>
      <c r="B142" s="202">
        <v>70</v>
      </c>
      <c r="C142" s="160">
        <v>22499</v>
      </c>
      <c r="D142" s="30">
        <v>148840400</v>
      </c>
      <c r="E142" s="187">
        <f t="shared" si="4"/>
        <v>8.2692786346059819</v>
      </c>
      <c r="F142" s="188">
        <v>2.2499E-3</v>
      </c>
      <c r="G142" s="189">
        <v>1.8605049999999998E-2</v>
      </c>
      <c r="H142" s="178"/>
      <c r="I142" s="124" t="str">
        <f t="shared" si="5"/>
        <v>(60, 70]</v>
      </c>
      <c r="J142" s="160">
        <v>1</v>
      </c>
      <c r="K142" s="205">
        <v>0.11495747630779093</v>
      </c>
      <c r="L142" s="188">
        <v>2.586428259448988E-4</v>
      </c>
      <c r="M142" s="208">
        <v>258642</v>
      </c>
      <c r="N142" s="195">
        <v>2.7557383043797163E-4</v>
      </c>
      <c r="O142" s="211">
        <v>2.2787967882972504E-3</v>
      </c>
    </row>
    <row r="143" spans="1:15" ht="15.6">
      <c r="A143" s="201">
        <v>70</v>
      </c>
      <c r="B143" s="202">
        <v>80</v>
      </c>
      <c r="C143" s="160">
        <v>69878</v>
      </c>
      <c r="D143" s="30">
        <v>537994700</v>
      </c>
      <c r="E143" s="187">
        <f t="shared" si="4"/>
        <v>9.6238211597355399</v>
      </c>
      <c r="F143" s="188">
        <v>6.9877999999999997E-3</v>
      </c>
      <c r="G143" s="189">
        <v>6.7249337500000006E-2</v>
      </c>
      <c r="H143" s="178"/>
      <c r="I143" s="214" t="str">
        <f t="shared" si="5"/>
        <v>(70, 80]</v>
      </c>
      <c r="J143" s="160">
        <v>1</v>
      </c>
      <c r="K143" s="205">
        <v>0.25014443372998008</v>
      </c>
      <c r="L143" s="188">
        <v>1.7479592740183548E-3</v>
      </c>
      <c r="M143" s="208">
        <v>1747959</v>
      </c>
      <c r="N143" s="195">
        <v>1.862387999932441E-3</v>
      </c>
      <c r="O143" s="211">
        <v>1.7923289041387378E-2</v>
      </c>
    </row>
    <row r="144" spans="1:15" ht="15.6">
      <c r="A144" s="201">
        <v>80</v>
      </c>
      <c r="B144" s="202">
        <v>90</v>
      </c>
      <c r="C144" s="160">
        <v>28965</v>
      </c>
      <c r="D144" s="30">
        <v>256403700</v>
      </c>
      <c r="E144" s="187">
        <f t="shared" si="4"/>
        <v>11.065238218539617</v>
      </c>
      <c r="F144" s="188">
        <v>2.8965000000000002E-3</v>
      </c>
      <c r="G144" s="189">
        <v>3.2050462500000002E-2</v>
      </c>
      <c r="H144" s="178"/>
      <c r="I144" s="124" t="str">
        <f t="shared" si="5"/>
        <v>(80, 90]</v>
      </c>
      <c r="J144" s="160">
        <v>1</v>
      </c>
      <c r="K144" s="205">
        <v>0.21858584022718872</v>
      </c>
      <c r="L144" s="188">
        <v>6.331338862180522E-4</v>
      </c>
      <c r="M144" s="208">
        <v>633133</v>
      </c>
      <c r="N144" s="195">
        <v>6.7458064037041266E-4</v>
      </c>
      <c r="O144" s="211">
        <v>7.4643954833136196E-3</v>
      </c>
    </row>
    <row r="145" spans="1:15" ht="15.6">
      <c r="A145" s="201">
        <v>90</v>
      </c>
      <c r="B145" s="202">
        <v>100</v>
      </c>
      <c r="C145" s="160">
        <v>33772</v>
      </c>
      <c r="D145" s="30">
        <v>331933800</v>
      </c>
      <c r="E145" s="187">
        <f t="shared" si="4"/>
        <v>12.285835899561768</v>
      </c>
      <c r="F145" s="188">
        <v>3.3771999999999999E-3</v>
      </c>
      <c r="G145" s="189">
        <v>4.1491725E-2</v>
      </c>
      <c r="H145" s="178"/>
      <c r="I145" s="124" t="str">
        <f t="shared" si="5"/>
        <v>(90, 100]</v>
      </c>
      <c r="J145" s="160">
        <v>1</v>
      </c>
      <c r="K145" s="205">
        <v>0.36223312289262632</v>
      </c>
      <c r="L145" s="188">
        <v>1.2233337026329777E-3</v>
      </c>
      <c r="M145" s="208">
        <v>1223333</v>
      </c>
      <c r="N145" s="195">
        <v>1.3034176997980805E-3</v>
      </c>
      <c r="O145" s="211">
        <v>1.6013575968303481E-2</v>
      </c>
    </row>
    <row r="146" spans="1:15" ht="15.6">
      <c r="A146" s="201">
        <v>100</v>
      </c>
      <c r="B146" s="202">
        <v>120</v>
      </c>
      <c r="C146" s="160">
        <v>48980</v>
      </c>
      <c r="D146" s="30">
        <v>566538800</v>
      </c>
      <c r="E146" s="187">
        <f t="shared" si="4"/>
        <v>14.458421804818293</v>
      </c>
      <c r="F146" s="188">
        <v>4.8979999999999996E-3</v>
      </c>
      <c r="G146" s="189">
        <v>7.0817350000000001E-2</v>
      </c>
      <c r="H146" s="178"/>
      <c r="I146" s="124" t="str">
        <f t="shared" si="5"/>
        <v>(100, 120]</v>
      </c>
      <c r="J146" s="160">
        <v>1</v>
      </c>
      <c r="K146" s="205">
        <v>0.16934830127210709</v>
      </c>
      <c r="L146" s="188">
        <v>8.2946797963078043E-4</v>
      </c>
      <c r="M146" s="208">
        <v>829467</v>
      </c>
      <c r="N146" s="195">
        <v>8.8376751808249621E-4</v>
      </c>
      <c r="O146" s="211">
        <v>1.2777883553834109E-2</v>
      </c>
    </row>
    <row r="147" spans="1:15" ht="15.6">
      <c r="A147" s="201">
        <v>120</v>
      </c>
      <c r="B147" s="202">
        <v>140</v>
      </c>
      <c r="C147" s="160">
        <v>20120</v>
      </c>
      <c r="D147" s="30">
        <v>268518600</v>
      </c>
      <c r="E147" s="187">
        <f t="shared" si="4"/>
        <v>16.682318588469183</v>
      </c>
      <c r="F147" s="188">
        <v>2.0119999999999999E-3</v>
      </c>
      <c r="G147" s="189">
        <v>3.3564824999999993E-2</v>
      </c>
      <c r="H147" s="178"/>
      <c r="I147" s="124" t="str">
        <f t="shared" si="5"/>
        <v>(120, 140]</v>
      </c>
      <c r="J147" s="160">
        <v>1</v>
      </c>
      <c r="K147" s="205">
        <v>8.6524033567055764E-2</v>
      </c>
      <c r="L147" s="188">
        <v>1.7408635553691618E-4</v>
      </c>
      <c r="M147" s="208">
        <v>174086</v>
      </c>
      <c r="N147" s="195">
        <v>1.8548242685110974E-4</v>
      </c>
      <c r="O147" s="211">
        <v>3.0942769372926436E-3</v>
      </c>
    </row>
    <row r="148" spans="1:15" ht="15.6">
      <c r="A148" s="201">
        <v>140</v>
      </c>
      <c r="B148" s="202">
        <v>160</v>
      </c>
      <c r="C148" s="160">
        <v>33692</v>
      </c>
      <c r="D148" s="30">
        <v>517512100</v>
      </c>
      <c r="E148" s="187">
        <f t="shared" si="4"/>
        <v>19.200110560370415</v>
      </c>
      <c r="F148" s="188">
        <v>3.3692000000000001E-3</v>
      </c>
      <c r="G148" s="189">
        <v>6.4689012500000004E-2</v>
      </c>
      <c r="H148" s="178"/>
      <c r="I148" s="124" t="str">
        <f t="shared" si="5"/>
        <v>(140, 160]</v>
      </c>
      <c r="J148" s="160">
        <v>1</v>
      </c>
      <c r="K148" s="205">
        <v>4.4242535821571879E-2</v>
      </c>
      <c r="L148" s="188">
        <v>1.4906195169003998E-4</v>
      </c>
      <c r="M148" s="208">
        <v>149061</v>
      </c>
      <c r="N148" s="195">
        <v>1.5881918148991458E-4</v>
      </c>
      <c r="O148" s="211">
        <v>3.0493458437138945E-3</v>
      </c>
    </row>
    <row r="149" spans="1:15" ht="15.6">
      <c r="A149" s="201">
        <v>160</v>
      </c>
      <c r="B149" s="202">
        <v>180</v>
      </c>
      <c r="C149" s="160">
        <v>19195</v>
      </c>
      <c r="D149" s="30">
        <v>335577800</v>
      </c>
      <c r="E149" s="187">
        <f t="shared" si="4"/>
        <v>21.853203959364418</v>
      </c>
      <c r="F149" s="188">
        <v>1.9195E-3</v>
      </c>
      <c r="G149" s="189">
        <v>4.1947224999999998E-2</v>
      </c>
      <c r="H149" s="178"/>
      <c r="I149" s="124" t="str">
        <f t="shared" si="5"/>
        <v>(160, 180]</v>
      </c>
      <c r="J149" s="160">
        <v>1</v>
      </c>
      <c r="K149" s="205">
        <v>7.6242594728517771E-2</v>
      </c>
      <c r="L149" s="188">
        <v>1.4634766058138987E-4</v>
      </c>
      <c r="M149" s="208">
        <v>146347</v>
      </c>
      <c r="N149" s="195">
        <v>1.5592751124374939E-4</v>
      </c>
      <c r="O149" s="211">
        <v>3.407515706085744E-3</v>
      </c>
    </row>
    <row r="150" spans="1:15" ht="15.6">
      <c r="A150" s="201">
        <v>180</v>
      </c>
      <c r="B150" s="202">
        <v>200</v>
      </c>
      <c r="C150" s="160">
        <v>27178</v>
      </c>
      <c r="D150" s="30">
        <v>535991700</v>
      </c>
      <c r="E150" s="187">
        <f t="shared" si="4"/>
        <v>24.651910552652883</v>
      </c>
      <c r="F150" s="188">
        <v>2.7177999999999998E-3</v>
      </c>
      <c r="G150" s="189">
        <v>6.6998962499999995E-2</v>
      </c>
      <c r="H150" s="178"/>
      <c r="I150" s="124" t="str">
        <f t="shared" si="5"/>
        <v>(180, 200]</v>
      </c>
      <c r="J150" s="160">
        <v>1</v>
      </c>
      <c r="K150" s="205">
        <v>2.2700615416364124E-2</v>
      </c>
      <c r="L150" s="188">
        <v>6.169573257859441E-5</v>
      </c>
      <c r="M150" s="208">
        <v>61695</v>
      </c>
      <c r="N150" s="195">
        <v>6.5733823079278144E-5</v>
      </c>
      <c r="O150" s="211">
        <v>1.6204643268342746E-3</v>
      </c>
    </row>
    <row r="151" spans="1:15" ht="15.6">
      <c r="A151" s="201">
        <v>200</v>
      </c>
      <c r="B151" s="202">
        <v>250</v>
      </c>
      <c r="C151" s="160">
        <v>34098</v>
      </c>
      <c r="D151" s="30">
        <v>781082100</v>
      </c>
      <c r="E151" s="187">
        <f t="shared" si="4"/>
        <v>28.633721185993313</v>
      </c>
      <c r="F151" s="188">
        <v>3.4098000000000002E-3</v>
      </c>
      <c r="G151" s="189">
        <v>9.76352625E-2</v>
      </c>
      <c r="H151" s="178"/>
      <c r="I151" s="124" t="str">
        <f t="shared" si="5"/>
        <v>(200, 250]</v>
      </c>
      <c r="J151" s="160">
        <v>1</v>
      </c>
      <c r="K151" s="205">
        <v>2.1778300029761548E-2</v>
      </c>
      <c r="L151" s="188">
        <v>7.4259647441480929E-5</v>
      </c>
      <c r="M151" s="208">
        <v>74259</v>
      </c>
      <c r="N151" s="195">
        <v>7.9120317173905766E-5</v>
      </c>
      <c r="O151" s="211">
        <v>2.2655091021049761E-3</v>
      </c>
    </row>
    <row r="152" spans="1:15" ht="15.6">
      <c r="A152" s="201">
        <v>250</v>
      </c>
      <c r="B152" s="202">
        <v>300</v>
      </c>
      <c r="C152" s="160">
        <v>29020</v>
      </c>
      <c r="D152" s="30">
        <v>815144500</v>
      </c>
      <c r="E152" s="187">
        <f t="shared" si="4"/>
        <v>35.111324086836667</v>
      </c>
      <c r="F152" s="188">
        <v>2.9020000000000001E-3</v>
      </c>
      <c r="G152" s="189">
        <v>0.10189306250000001</v>
      </c>
      <c r="H152" s="178"/>
      <c r="I152" s="124" t="str">
        <f t="shared" si="5"/>
        <v>(250, 300]</v>
      </c>
      <c r="J152" s="160">
        <v>1</v>
      </c>
      <c r="K152" s="205">
        <v>3.7954763247510211E-3</v>
      </c>
      <c r="L152" s="188">
        <v>1.1014472294427464E-5</v>
      </c>
      <c r="M152" s="208">
        <v>11014</v>
      </c>
      <c r="N152" s="195">
        <v>1.1735024351976165E-5</v>
      </c>
      <c r="O152" s="211">
        <v>4.1203224318915556E-4</v>
      </c>
    </row>
    <row r="153" spans="1:15" ht="15.6">
      <c r="A153" s="201">
        <v>300</v>
      </c>
      <c r="B153" s="202">
        <v>350</v>
      </c>
      <c r="C153" s="160">
        <v>17830</v>
      </c>
      <c r="D153" s="30">
        <v>582185600</v>
      </c>
      <c r="E153" s="187">
        <f t="shared" si="4"/>
        <v>40.815030846887268</v>
      </c>
      <c r="F153" s="188">
        <v>1.7830000000000001E-3</v>
      </c>
      <c r="G153" s="189">
        <v>7.2773199999999996E-2</v>
      </c>
      <c r="H153" s="178"/>
      <c r="I153" s="124" t="str">
        <f t="shared" si="5"/>
        <v>(300, 350]</v>
      </c>
      <c r="J153" s="160">
        <v>1</v>
      </c>
      <c r="K153" s="205">
        <v>3.240881407733192E-3</v>
      </c>
      <c r="L153" s="188">
        <v>5.7784915499882812E-6</v>
      </c>
      <c r="M153" s="208">
        <v>5778</v>
      </c>
      <c r="N153" s="195">
        <v>6.1562530148645613E-6</v>
      </c>
      <c r="O153" s="211">
        <v>2.5126765670293981E-4</v>
      </c>
    </row>
    <row r="154" spans="1:15" ht="15.6">
      <c r="A154" s="201">
        <v>350</v>
      </c>
      <c r="B154" s="202">
        <v>400</v>
      </c>
      <c r="C154" s="160">
        <v>21731</v>
      </c>
      <c r="D154" s="30">
        <v>833067400</v>
      </c>
      <c r="E154" s="187">
        <f t="shared" si="4"/>
        <v>47.91929731719663</v>
      </c>
      <c r="F154" s="188">
        <v>2.1730999999999999E-3</v>
      </c>
      <c r="G154" s="189">
        <v>0.10413342499999999</v>
      </c>
      <c r="H154" s="178"/>
      <c r="I154" s="124" t="str">
        <f t="shared" si="5"/>
        <v>(350, 400]</v>
      </c>
      <c r="J154" s="160">
        <v>1</v>
      </c>
      <c r="K154" s="205">
        <v>5.0000000000000001E-3</v>
      </c>
      <c r="L154" s="188">
        <v>1.08655E-5</v>
      </c>
      <c r="M154" s="208">
        <v>10865</v>
      </c>
      <c r="N154" s="195">
        <v>1.1576270163811606E-5</v>
      </c>
      <c r="O154" s="211">
        <v>5.5472673180388091E-4</v>
      </c>
    </row>
    <row r="155" spans="1:15" ht="15.6">
      <c r="A155" s="201">
        <v>400</v>
      </c>
      <c r="B155" s="202">
        <v>450</v>
      </c>
      <c r="C155" s="160">
        <v>11739</v>
      </c>
      <c r="D155" s="30">
        <v>503571900</v>
      </c>
      <c r="E155" s="187">
        <f t="shared" si="4"/>
        <v>53.621677740863788</v>
      </c>
      <c r="F155" s="188">
        <v>1.1739000000000001E-3</v>
      </c>
      <c r="G155" s="189">
        <v>6.2946487500000009E-2</v>
      </c>
      <c r="H155" s="178"/>
      <c r="I155" s="124" t="str">
        <f t="shared" si="5"/>
        <v>(400, 450]</v>
      </c>
      <c r="J155" s="160">
        <v>1</v>
      </c>
      <c r="K155" s="205">
        <v>0</v>
      </c>
      <c r="L155" s="188">
        <v>0</v>
      </c>
      <c r="M155" s="208">
        <v>0</v>
      </c>
      <c r="N155" s="195">
        <v>0</v>
      </c>
      <c r="O155" s="211">
        <v>0</v>
      </c>
    </row>
    <row r="156" spans="1:15" ht="15.6">
      <c r="A156" s="201">
        <v>450</v>
      </c>
      <c r="B156" s="202">
        <v>500</v>
      </c>
      <c r="C156" s="160">
        <v>17499</v>
      </c>
      <c r="D156" s="30">
        <v>851058500</v>
      </c>
      <c r="E156" s="187">
        <f t="shared" si="4"/>
        <v>60.793366763815072</v>
      </c>
      <c r="F156" s="188">
        <v>1.7499E-3</v>
      </c>
      <c r="G156" s="189">
        <v>0.10638231249999999</v>
      </c>
      <c r="H156" s="178"/>
      <c r="I156" s="124" t="str">
        <f t="shared" si="5"/>
        <v>(450, 500]</v>
      </c>
      <c r="J156" s="160">
        <v>1</v>
      </c>
      <c r="K156" s="205">
        <v>5.0000000000000001E-3</v>
      </c>
      <c r="L156" s="188">
        <v>8.7494999999999998E-6</v>
      </c>
      <c r="M156" s="208">
        <v>8749</v>
      </c>
      <c r="N156" s="195">
        <v>9.3217475990048539E-6</v>
      </c>
      <c r="O156" s="211">
        <v>5.6670042066601467E-4</v>
      </c>
    </row>
    <row r="157" spans="1:15" ht="15.6">
      <c r="A157" s="201">
        <v>500</v>
      </c>
      <c r="B157" s="202">
        <v>550</v>
      </c>
      <c r="C157" s="160">
        <v>8340</v>
      </c>
      <c r="D157" s="30">
        <v>438824400</v>
      </c>
      <c r="E157" s="187">
        <f t="shared" si="4"/>
        <v>65.771043165467631</v>
      </c>
      <c r="F157" s="188">
        <v>8.34E-4</v>
      </c>
      <c r="G157" s="189">
        <v>5.4853050000000007E-2</v>
      </c>
      <c r="H157" s="178"/>
      <c r="I157" s="124" t="str">
        <f t="shared" si="5"/>
        <v>(500, 550]</v>
      </c>
      <c r="J157" s="160">
        <v>1</v>
      </c>
      <c r="K157" s="205">
        <v>0</v>
      </c>
      <c r="L157" s="188">
        <v>0</v>
      </c>
      <c r="M157" s="208">
        <v>0</v>
      </c>
      <c r="N157" s="195">
        <v>0</v>
      </c>
      <c r="O157" s="211">
        <v>0</v>
      </c>
    </row>
    <row r="158" spans="1:15" ht="15.6">
      <c r="A158" s="201">
        <v>550</v>
      </c>
      <c r="B158" s="202">
        <v>600</v>
      </c>
      <c r="C158" s="160">
        <v>10936</v>
      </c>
      <c r="D158" s="30">
        <v>636783700</v>
      </c>
      <c r="E158" s="187">
        <f t="shared" si="4"/>
        <v>72.785261978785655</v>
      </c>
      <c r="F158" s="188">
        <v>1.0935999999999999E-3</v>
      </c>
      <c r="G158" s="189">
        <v>7.959796249999998E-2</v>
      </c>
      <c r="H158" s="178"/>
      <c r="I158" s="124" t="str">
        <f t="shared" si="5"/>
        <v>(550, 600]</v>
      </c>
      <c r="J158" s="160">
        <v>1</v>
      </c>
      <c r="K158" s="205">
        <v>0</v>
      </c>
      <c r="L158" s="188">
        <v>0</v>
      </c>
      <c r="M158" s="208">
        <v>0</v>
      </c>
      <c r="N158" s="195">
        <v>0</v>
      </c>
      <c r="O158" s="211">
        <v>0</v>
      </c>
    </row>
    <row r="159" spans="1:15" ht="15.6">
      <c r="A159" s="201">
        <v>600</v>
      </c>
      <c r="B159" s="202">
        <v>650</v>
      </c>
      <c r="C159" s="160">
        <v>5683</v>
      </c>
      <c r="D159" s="30">
        <v>357901300</v>
      </c>
      <c r="E159" s="187">
        <f t="shared" si="4"/>
        <v>78.721911842336795</v>
      </c>
      <c r="F159" s="188">
        <v>5.6829999999999999E-4</v>
      </c>
      <c r="G159" s="189">
        <v>4.4737662499999997E-2</v>
      </c>
      <c r="H159" s="178"/>
      <c r="I159" s="124" t="str">
        <f t="shared" si="5"/>
        <v>(600, 650]</v>
      </c>
      <c r="J159" s="160">
        <v>1</v>
      </c>
      <c r="K159" s="205">
        <v>0</v>
      </c>
      <c r="L159" s="188">
        <v>0</v>
      </c>
      <c r="M159" s="208">
        <v>0</v>
      </c>
      <c r="N159" s="195">
        <v>0</v>
      </c>
      <c r="O159" s="211">
        <v>0</v>
      </c>
    </row>
    <row r="160" spans="1:15" ht="15.6">
      <c r="A160" s="201">
        <v>650</v>
      </c>
      <c r="B160" s="202">
        <v>700</v>
      </c>
      <c r="C160" s="160">
        <v>5173</v>
      </c>
      <c r="D160" s="30">
        <v>350811200</v>
      </c>
      <c r="E160" s="187">
        <f t="shared" si="4"/>
        <v>84.769766093176102</v>
      </c>
      <c r="F160" s="188">
        <v>5.1730000000000005E-4</v>
      </c>
      <c r="G160" s="189">
        <v>4.3851399999999999E-2</v>
      </c>
      <c r="H160" s="178"/>
      <c r="I160" s="124" t="str">
        <f t="shared" si="5"/>
        <v>(650, 700]</v>
      </c>
      <c r="J160" s="160">
        <v>1</v>
      </c>
      <c r="K160" s="205">
        <v>0</v>
      </c>
      <c r="L160" s="188">
        <v>0</v>
      </c>
      <c r="M160" s="208">
        <v>0</v>
      </c>
      <c r="N160" s="195">
        <v>0</v>
      </c>
      <c r="O160" s="211">
        <v>0</v>
      </c>
    </row>
    <row r="161" spans="1:15" ht="15.6">
      <c r="A161" s="201">
        <v>700</v>
      </c>
      <c r="B161" s="202">
        <v>750</v>
      </c>
      <c r="C161" s="160">
        <v>4337</v>
      </c>
      <c r="D161" s="30">
        <v>315119900</v>
      </c>
      <c r="E161" s="187">
        <f t="shared" si="4"/>
        <v>90.823120820843897</v>
      </c>
      <c r="F161" s="188">
        <v>4.3370000000000003E-4</v>
      </c>
      <c r="G161" s="189">
        <v>3.9389987500000001E-2</v>
      </c>
      <c r="H161" s="178"/>
      <c r="I161" s="124" t="str">
        <f t="shared" si="5"/>
        <v>(700, 750]</v>
      </c>
      <c r="J161" s="160">
        <v>1</v>
      </c>
      <c r="K161" s="205">
        <v>0</v>
      </c>
      <c r="L161" s="188">
        <v>0</v>
      </c>
      <c r="M161" s="208">
        <v>0</v>
      </c>
      <c r="N161" s="195">
        <v>0</v>
      </c>
      <c r="O161" s="211">
        <v>0</v>
      </c>
    </row>
    <row r="162" spans="1:15" ht="15.6">
      <c r="A162" s="201">
        <v>750</v>
      </c>
      <c r="B162" s="202">
        <v>800</v>
      </c>
      <c r="C162" s="160">
        <v>10478</v>
      </c>
      <c r="D162" s="30">
        <v>830204800</v>
      </c>
      <c r="E162" s="187">
        <f t="shared" si="4"/>
        <v>99.041420118343197</v>
      </c>
      <c r="F162" s="188">
        <v>1.0478E-3</v>
      </c>
      <c r="G162" s="189">
        <v>0.1037756</v>
      </c>
      <c r="H162" s="178"/>
      <c r="I162" s="124" t="str">
        <f t="shared" si="5"/>
        <v>(750, 800]</v>
      </c>
      <c r="J162" s="160">
        <v>1</v>
      </c>
      <c r="K162" s="205">
        <v>0</v>
      </c>
      <c r="L162" s="188">
        <v>0</v>
      </c>
      <c r="M162" s="208">
        <v>0</v>
      </c>
      <c r="N162" s="195">
        <v>0</v>
      </c>
      <c r="O162" s="211">
        <v>0</v>
      </c>
    </row>
    <row r="163" spans="1:15" ht="15.6">
      <c r="A163" s="201">
        <v>800</v>
      </c>
      <c r="B163" s="202">
        <v>850</v>
      </c>
      <c r="C163" s="160">
        <v>3078</v>
      </c>
      <c r="D163" s="30">
        <v>255010600</v>
      </c>
      <c r="E163" s="187">
        <f t="shared" si="4"/>
        <v>103.56180961663418</v>
      </c>
      <c r="F163" s="188">
        <v>3.078E-4</v>
      </c>
      <c r="G163" s="189">
        <v>3.1876324999999997E-2</v>
      </c>
      <c r="H163" s="178"/>
      <c r="I163" s="124" t="str">
        <f t="shared" si="5"/>
        <v>(800, 850]</v>
      </c>
      <c r="J163" s="160">
        <v>1</v>
      </c>
      <c r="K163" s="205">
        <v>0</v>
      </c>
      <c r="L163" s="188">
        <v>0</v>
      </c>
      <c r="M163" s="208">
        <v>0</v>
      </c>
      <c r="N163" s="195">
        <v>0</v>
      </c>
      <c r="O163" s="211">
        <v>0</v>
      </c>
    </row>
    <row r="164" spans="1:15" ht="15.6">
      <c r="A164" s="201">
        <v>850</v>
      </c>
      <c r="B164" s="202">
        <v>900</v>
      </c>
      <c r="C164" s="160">
        <v>3634</v>
      </c>
      <c r="D164" s="30">
        <v>320209200</v>
      </c>
      <c r="E164" s="187">
        <f t="shared" si="4"/>
        <v>110.14350577875619</v>
      </c>
      <c r="F164" s="188">
        <v>3.634E-4</v>
      </c>
      <c r="G164" s="189">
        <v>4.0026150000000003E-2</v>
      </c>
      <c r="H164" s="178"/>
      <c r="I164" s="124" t="str">
        <f t="shared" si="5"/>
        <v>(850, 900]</v>
      </c>
      <c r="J164" s="160">
        <v>1</v>
      </c>
      <c r="K164" s="205">
        <v>0</v>
      </c>
      <c r="L164" s="188">
        <v>0</v>
      </c>
      <c r="M164" s="208">
        <v>0</v>
      </c>
      <c r="N164" s="195">
        <v>0</v>
      </c>
      <c r="O164" s="211">
        <v>0</v>
      </c>
    </row>
    <row r="165" spans="1:15" ht="15.6">
      <c r="A165" s="201">
        <v>900</v>
      </c>
      <c r="B165" s="202">
        <v>950</v>
      </c>
      <c r="C165" s="160">
        <v>2292</v>
      </c>
      <c r="D165" s="30">
        <v>212414100</v>
      </c>
      <c r="E165" s="187">
        <f t="shared" si="4"/>
        <v>115.84538612565446</v>
      </c>
      <c r="F165" s="188">
        <v>2.2919999999999999E-4</v>
      </c>
      <c r="G165" s="189">
        <v>2.6551762499999999E-2</v>
      </c>
      <c r="H165" s="178"/>
      <c r="I165" s="124" t="str">
        <f t="shared" si="5"/>
        <v>(900, 950]</v>
      </c>
      <c r="J165" s="160">
        <v>1</v>
      </c>
      <c r="K165" s="205">
        <v>0</v>
      </c>
      <c r="L165" s="188">
        <v>0</v>
      </c>
      <c r="M165" s="208">
        <v>0</v>
      </c>
      <c r="N165" s="195">
        <v>0</v>
      </c>
      <c r="O165" s="211">
        <v>0</v>
      </c>
    </row>
    <row r="166" spans="1:15" ht="15.6">
      <c r="A166" s="201">
        <v>950</v>
      </c>
      <c r="B166" s="202">
        <v>1000</v>
      </c>
      <c r="C166" s="160">
        <v>10528</v>
      </c>
      <c r="D166" s="30">
        <v>1045742700</v>
      </c>
      <c r="E166" s="187">
        <f t="shared" si="4"/>
        <v>124.16207969224924</v>
      </c>
      <c r="F166" s="188">
        <v>1.0528E-3</v>
      </c>
      <c r="G166" s="189">
        <v>0.13071783749999999</v>
      </c>
      <c r="H166" s="178"/>
      <c r="I166" s="124" t="str">
        <f t="shared" si="5"/>
        <v>(950, 1000]</v>
      </c>
      <c r="J166" s="160">
        <v>1</v>
      </c>
      <c r="K166" s="205">
        <v>0</v>
      </c>
      <c r="L166" s="188">
        <v>0</v>
      </c>
      <c r="M166" s="208">
        <v>0</v>
      </c>
      <c r="N166" s="195">
        <v>0</v>
      </c>
      <c r="O166" s="211">
        <v>0</v>
      </c>
    </row>
    <row r="167" spans="1:15" ht="15.6">
      <c r="A167" s="201">
        <v>1000</v>
      </c>
      <c r="B167" s="202">
        <v>2000</v>
      </c>
      <c r="C167" s="160">
        <v>41906</v>
      </c>
      <c r="D167" s="30">
        <v>6176711500</v>
      </c>
      <c r="E167" s="187">
        <f t="shared" si="4"/>
        <v>184.24305290411874</v>
      </c>
      <c r="F167" s="188">
        <v>4.1906000000000001E-3</v>
      </c>
      <c r="G167" s="189">
        <v>0.77208893749999996</v>
      </c>
      <c r="H167" s="178"/>
      <c r="I167" s="124" t="str">
        <f t="shared" si="5"/>
        <v>(1000, 2000]</v>
      </c>
      <c r="J167" s="160">
        <v>1</v>
      </c>
      <c r="K167" s="205">
        <v>1.0999999999999999E-2</v>
      </c>
      <c r="L167" s="188">
        <v>4.6096599999999995E-5</v>
      </c>
      <c r="M167" s="208">
        <v>46096</v>
      </c>
      <c r="N167" s="195">
        <v>4.9113644682103988E-5</v>
      </c>
      <c r="O167" s="211">
        <v>9.0488478354789747E-3</v>
      </c>
    </row>
    <row r="168" spans="1:15" ht="15.6">
      <c r="A168" s="201">
        <v>2000</v>
      </c>
      <c r="B168" s="202">
        <v>3000</v>
      </c>
      <c r="C168" s="160">
        <v>12704</v>
      </c>
      <c r="D168" s="30">
        <v>3203135900</v>
      </c>
      <c r="E168" s="187">
        <f t="shared" si="4"/>
        <v>315.17001534949623</v>
      </c>
      <c r="F168" s="188">
        <v>1.2704000000000001E-3</v>
      </c>
      <c r="G168" s="189">
        <v>0.40039198750000005</v>
      </c>
      <c r="H168" s="178"/>
      <c r="I168" s="124" t="str">
        <f t="shared" si="5"/>
        <v>(2000, 3000]</v>
      </c>
      <c r="J168" s="160">
        <v>1</v>
      </c>
      <c r="K168" s="205">
        <v>0</v>
      </c>
      <c r="L168" s="188">
        <v>0</v>
      </c>
      <c r="M168" s="208">
        <v>0</v>
      </c>
      <c r="N168" s="195">
        <v>0</v>
      </c>
      <c r="O168" s="211">
        <v>0</v>
      </c>
    </row>
    <row r="169" spans="1:15" ht="15.6">
      <c r="A169" s="201">
        <v>3000</v>
      </c>
      <c r="B169" s="202">
        <v>4000</v>
      </c>
      <c r="C169" s="160">
        <v>5543</v>
      </c>
      <c r="D169" s="30">
        <v>1995999900</v>
      </c>
      <c r="E169" s="187">
        <f t="shared" si="4"/>
        <v>450.11724246797763</v>
      </c>
      <c r="F169" s="188">
        <v>5.5429999999999998E-4</v>
      </c>
      <c r="G169" s="189">
        <v>0.24949998749999999</v>
      </c>
      <c r="H169" s="178"/>
      <c r="I169" s="124" t="str">
        <f t="shared" si="5"/>
        <v>(3000, 4000]</v>
      </c>
      <c r="J169" s="160">
        <v>1</v>
      </c>
      <c r="K169" s="205">
        <v>0</v>
      </c>
      <c r="L169" s="188">
        <v>0</v>
      </c>
      <c r="M169" s="208">
        <v>0</v>
      </c>
      <c r="N169" s="195">
        <v>0</v>
      </c>
      <c r="O169" s="211">
        <v>0</v>
      </c>
    </row>
    <row r="170" spans="1:15" ht="15.6">
      <c r="A170" s="201">
        <v>4000</v>
      </c>
      <c r="B170" s="202">
        <v>5000</v>
      </c>
      <c r="C170" s="160">
        <v>2485</v>
      </c>
      <c r="D170" s="30">
        <v>1122360600</v>
      </c>
      <c r="E170" s="187">
        <f t="shared" si="4"/>
        <v>564.56770623742455</v>
      </c>
      <c r="F170" s="188">
        <v>2.4850000000000002E-4</v>
      </c>
      <c r="G170" s="189">
        <v>0.14029507500000002</v>
      </c>
      <c r="H170" s="178"/>
      <c r="I170" s="124" t="str">
        <f t="shared" si="5"/>
        <v>(4000, 5000]</v>
      </c>
      <c r="J170" s="160">
        <v>1</v>
      </c>
      <c r="K170" s="205">
        <v>0</v>
      </c>
      <c r="L170" s="188">
        <v>0</v>
      </c>
      <c r="M170" s="208">
        <v>0</v>
      </c>
      <c r="N170" s="195">
        <v>0</v>
      </c>
      <c r="O170" s="211">
        <v>0</v>
      </c>
    </row>
    <row r="171" spans="1:15" ht="15.6">
      <c r="A171" s="201">
        <v>5000</v>
      </c>
      <c r="B171" s="202">
        <v>6000</v>
      </c>
      <c r="C171" s="160">
        <v>1397</v>
      </c>
      <c r="D171" s="30">
        <v>785936100</v>
      </c>
      <c r="E171" s="187">
        <f t="shared" si="4"/>
        <v>703.2355941302792</v>
      </c>
      <c r="F171" s="188">
        <v>1.3970000000000001E-4</v>
      </c>
      <c r="G171" s="189">
        <v>9.8242012500000003E-2</v>
      </c>
      <c r="H171" s="178"/>
      <c r="I171" s="124" t="str">
        <f t="shared" si="5"/>
        <v>(5000, 6000]</v>
      </c>
      <c r="J171" s="160">
        <v>1</v>
      </c>
      <c r="K171" s="205">
        <v>0</v>
      </c>
      <c r="L171" s="188">
        <v>0</v>
      </c>
      <c r="M171" s="208">
        <v>0</v>
      </c>
      <c r="N171" s="195">
        <v>0</v>
      </c>
      <c r="O171" s="211">
        <v>0</v>
      </c>
    </row>
    <row r="172" spans="1:15" ht="15.6">
      <c r="A172" s="201">
        <v>6000</v>
      </c>
      <c r="B172" s="202">
        <v>7000</v>
      </c>
      <c r="C172" s="160">
        <v>520</v>
      </c>
      <c r="D172" s="30">
        <v>337968900</v>
      </c>
      <c r="E172" s="187">
        <f t="shared" si="4"/>
        <v>812.42524038461534</v>
      </c>
      <c r="F172" s="188">
        <v>5.1999999999999997E-5</v>
      </c>
      <c r="G172" s="189">
        <v>4.2246112499999995E-2</v>
      </c>
      <c r="H172" s="178"/>
      <c r="I172" s="124" t="str">
        <f t="shared" si="5"/>
        <v>(6000, 7000]</v>
      </c>
      <c r="J172" s="160">
        <v>0</v>
      </c>
      <c r="K172" s="205">
        <v>0</v>
      </c>
      <c r="L172" s="188">
        <v>0</v>
      </c>
      <c r="M172" s="208">
        <v>0</v>
      </c>
      <c r="N172" s="195">
        <v>0</v>
      </c>
      <c r="O172" s="211">
        <v>0</v>
      </c>
    </row>
    <row r="173" spans="1:15" thickBot="1">
      <c r="A173" s="203">
        <v>7000</v>
      </c>
      <c r="B173" s="204">
        <v>8000</v>
      </c>
      <c r="C173" s="162">
        <v>841</v>
      </c>
      <c r="D173" s="167">
        <v>783147700</v>
      </c>
      <c r="E173" s="190">
        <f t="shared" si="4"/>
        <v>1164.0126337693223</v>
      </c>
      <c r="F173" s="191">
        <v>8.4099999999999998E-5</v>
      </c>
      <c r="G173" s="192">
        <v>9.78934625E-2</v>
      </c>
      <c r="H173" s="178"/>
      <c r="I173" s="125" t="str">
        <f t="shared" si="5"/>
        <v>(7000, 8000]</v>
      </c>
      <c r="J173" s="162">
        <v>0</v>
      </c>
      <c r="K173" s="206">
        <v>0</v>
      </c>
      <c r="L173" s="191">
        <v>0</v>
      </c>
      <c r="M173" s="209">
        <v>0</v>
      </c>
      <c r="N173" s="196">
        <v>0</v>
      </c>
      <c r="O173" s="212">
        <v>0</v>
      </c>
    </row>
    <row r="178" spans="1:15">
      <c r="D178" s="1" t="s">
        <v>183</v>
      </c>
      <c r="E178" s="1">
        <v>800</v>
      </c>
    </row>
    <row r="179" spans="1:15" ht="16.8" thickBot="1">
      <c r="A179" s="229" t="s">
        <v>129</v>
      </c>
      <c r="B179" s="229"/>
      <c r="C179" s="229"/>
      <c r="D179" s="229"/>
      <c r="E179" s="229"/>
      <c r="F179" s="230"/>
      <c r="G179" s="229"/>
      <c r="H179" s="229"/>
      <c r="I179" s="229"/>
      <c r="J179" s="229"/>
      <c r="K179" s="229"/>
      <c r="L179" s="229"/>
      <c r="M179" s="229"/>
      <c r="N179" s="229"/>
      <c r="O179" s="231">
        <f>SUM(_xlfn.ANCHORARRAY(O181))</f>
        <v>0.31268236163167618</v>
      </c>
    </row>
    <row r="180" spans="1:15" thickBot="1">
      <c r="A180" s="164" t="str" cm="1">
        <f t="array" ref="A180:G180">A121:G121</f>
        <v>Lower</v>
      </c>
      <c r="B180" s="165" t="str">
        <v>Upper</v>
      </c>
      <c r="C180" s="226" t="str">
        <v>Count</v>
      </c>
      <c r="D180" s="227" t="str">
        <v>Pay</v>
      </c>
      <c r="E180" s="227" t="str">
        <v>Multi.</v>
      </c>
      <c r="F180" s="227" t="str">
        <v>Prob.</v>
      </c>
      <c r="G180" s="228" t="str">
        <v>RTP</v>
      </c>
      <c r="I180" s="114" t="s">
        <v>159</v>
      </c>
      <c r="J180" s="164" t="s">
        <v>173</v>
      </c>
      <c r="K180" s="184" t="s">
        <v>161</v>
      </c>
      <c r="L180" s="184" t="s">
        <v>163</v>
      </c>
      <c r="M180" s="184" t="s">
        <v>162</v>
      </c>
      <c r="N180" s="184" t="s">
        <v>164</v>
      </c>
      <c r="O180" s="114" t="s">
        <v>165</v>
      </c>
    </row>
    <row r="181" spans="1:15" ht="15.6">
      <c r="A181" s="199" cm="1">
        <f t="array" ref="A181:B232">A122:B173</f>
        <v>-1</v>
      </c>
      <c r="B181" s="200">
        <v>0</v>
      </c>
      <c r="C181" s="158">
        <v>8559881</v>
      </c>
      <c r="D181" s="166">
        <v>0</v>
      </c>
      <c r="E181" s="187">
        <f>IFERROR((D181/$E$119)/(C181),0)</f>
        <v>0</v>
      </c>
      <c r="F181" s="185" cm="1">
        <f t="array" ref="F181:F232">C181:C232/SUM(C181:C232)</f>
        <v>0.85598810000000003</v>
      </c>
      <c r="G181" s="186" cm="1">
        <f t="array" ref="G181:G232">E181:E232*_xlfn.ANCHORARRAY(F181)</f>
        <v>0</v>
      </c>
      <c r="H181" s="178"/>
      <c r="I181" s="128" t="str">
        <f>"("&amp;$A181&amp;", "&amp;$B181&amp;"]"</f>
        <v>(-1, 0]</v>
      </c>
      <c r="J181" s="158" cm="1">
        <f t="array" ref="J181:J232">IFERROR(IF(1/F181:F232&lt;$J$2,1,0),0)</f>
        <v>1</v>
      </c>
      <c r="K181" s="217">
        <v>1.014521</v>
      </c>
      <c r="L181" s="185" cm="1">
        <f t="array" ref="L181:L232">K181:K232*_xlfn.ANCHORARRAY(J181)*_xlfn.ANCHORARRAY(F181)</f>
        <v>0.86841790320010004</v>
      </c>
      <c r="M181" s="207" cm="1">
        <f t="array" ref="M181:M232">INT(_xlfn.ANCHORARRAY(L181)*$M$2)</f>
        <v>868417903</v>
      </c>
      <c r="N181" s="194" cm="1">
        <f t="array" ref="N181:N232">M181:M232/SUM(M181:M232)</f>
        <v>0.92526831663311015</v>
      </c>
      <c r="O181" s="210" cm="1">
        <f t="array" ref="O181:O232">_xlfn.ANCHORARRAY(N181)*E181:E232</f>
        <v>0</v>
      </c>
    </row>
    <row r="182" spans="1:15" ht="15.6">
      <c r="A182" s="201">
        <v>0</v>
      </c>
      <c r="B182" s="202">
        <v>1</v>
      </c>
      <c r="C182" s="160">
        <v>0</v>
      </c>
      <c r="D182" s="30">
        <v>0</v>
      </c>
      <c r="E182" s="187">
        <f t="shared" ref="E182:E232" si="6">IFERROR((D182/$E$119)/(C182),0)</f>
        <v>0</v>
      </c>
      <c r="F182" s="188">
        <v>0</v>
      </c>
      <c r="G182" s="189">
        <v>0</v>
      </c>
      <c r="H182" s="178"/>
      <c r="I182" s="124" t="str">
        <f t="shared" ref="I182:I232" si="7">"("&amp;$A182&amp;", "&amp;$B182&amp;"]"</f>
        <v>(0, 1]</v>
      </c>
      <c r="J182" s="160">
        <v>0</v>
      </c>
      <c r="K182" s="205">
        <v>1.03</v>
      </c>
      <c r="L182" s="188">
        <v>0</v>
      </c>
      <c r="M182" s="208">
        <v>0</v>
      </c>
      <c r="N182" s="195">
        <v>0</v>
      </c>
      <c r="O182" s="211">
        <v>0</v>
      </c>
    </row>
    <row r="183" spans="1:15" ht="15.6">
      <c r="A183" s="201">
        <v>1</v>
      </c>
      <c r="B183" s="202">
        <v>2</v>
      </c>
      <c r="C183" s="160">
        <v>0</v>
      </c>
      <c r="D183" s="30">
        <v>0</v>
      </c>
      <c r="E183" s="187">
        <f t="shared" si="6"/>
        <v>0</v>
      </c>
      <c r="F183" s="188">
        <v>0</v>
      </c>
      <c r="G183" s="189">
        <v>0</v>
      </c>
      <c r="H183" s="178"/>
      <c r="I183" s="214" t="str">
        <f t="shared" si="7"/>
        <v>(1, 2]</v>
      </c>
      <c r="J183" s="160">
        <v>0</v>
      </c>
      <c r="K183" s="205">
        <v>0.85</v>
      </c>
      <c r="L183" s="188">
        <v>0</v>
      </c>
      <c r="M183" s="208">
        <v>0</v>
      </c>
      <c r="N183" s="195">
        <v>0</v>
      </c>
      <c r="O183" s="211">
        <v>0</v>
      </c>
    </row>
    <row r="184" spans="1:15" ht="15.6">
      <c r="A184" s="201">
        <v>2</v>
      </c>
      <c r="B184" s="202">
        <v>3</v>
      </c>
      <c r="C184" s="160">
        <v>0</v>
      </c>
      <c r="D184" s="30">
        <v>0</v>
      </c>
      <c r="E184" s="187">
        <f t="shared" si="6"/>
        <v>0</v>
      </c>
      <c r="F184" s="188">
        <v>0</v>
      </c>
      <c r="G184" s="189">
        <v>0</v>
      </c>
      <c r="H184" s="178"/>
      <c r="I184" s="124" t="str">
        <f t="shared" si="7"/>
        <v>(2, 3]</v>
      </c>
      <c r="J184" s="160">
        <v>0</v>
      </c>
      <c r="K184" s="205">
        <v>0.6</v>
      </c>
      <c r="L184" s="188">
        <v>0</v>
      </c>
      <c r="M184" s="208">
        <v>0</v>
      </c>
      <c r="N184" s="195">
        <v>0</v>
      </c>
      <c r="O184" s="211">
        <v>0</v>
      </c>
    </row>
    <row r="185" spans="1:15" ht="15.6">
      <c r="A185" s="201">
        <v>3</v>
      </c>
      <c r="B185" s="202">
        <v>4</v>
      </c>
      <c r="C185" s="160">
        <v>42658</v>
      </c>
      <c r="D185" s="30">
        <v>17063200</v>
      </c>
      <c r="E185" s="187">
        <f t="shared" si="6"/>
        <v>0.5</v>
      </c>
      <c r="F185" s="188">
        <v>4.2658000000000001E-3</v>
      </c>
      <c r="G185" s="189">
        <v>2.1329000000000001E-3</v>
      </c>
      <c r="H185" s="178"/>
      <c r="I185" s="124" t="str">
        <f t="shared" si="7"/>
        <v>(3, 4]</v>
      </c>
      <c r="J185" s="160">
        <v>1</v>
      </c>
      <c r="K185" s="205">
        <v>0.745</v>
      </c>
      <c r="L185" s="188">
        <v>3.1780210000000001E-3</v>
      </c>
      <c r="M185" s="208">
        <v>3178021</v>
      </c>
      <c r="N185" s="195">
        <v>3.3860680793618707E-3</v>
      </c>
      <c r="O185" s="211">
        <v>1.6930340396809353E-3</v>
      </c>
    </row>
    <row r="186" spans="1:15" ht="15.6">
      <c r="A186" s="201">
        <v>4</v>
      </c>
      <c r="B186" s="202">
        <v>5</v>
      </c>
      <c r="C186" s="160">
        <v>0</v>
      </c>
      <c r="D186" s="30">
        <v>0</v>
      </c>
      <c r="E186" s="187">
        <f t="shared" si="6"/>
        <v>0</v>
      </c>
      <c r="F186" s="188">
        <v>0</v>
      </c>
      <c r="G186" s="189">
        <v>0</v>
      </c>
      <c r="H186" s="178"/>
      <c r="I186" s="124" t="str">
        <f t="shared" si="7"/>
        <v>(4, 5]</v>
      </c>
      <c r="J186" s="160">
        <v>0</v>
      </c>
      <c r="K186" s="205">
        <v>0.8</v>
      </c>
      <c r="L186" s="188">
        <v>0</v>
      </c>
      <c r="M186" s="208">
        <v>0</v>
      </c>
      <c r="N186" s="195">
        <v>0</v>
      </c>
      <c r="O186" s="211">
        <v>0</v>
      </c>
    </row>
    <row r="187" spans="1:15" ht="15.6">
      <c r="A187" s="201">
        <v>5</v>
      </c>
      <c r="B187" s="202">
        <v>6</v>
      </c>
      <c r="C187" s="160">
        <v>21307</v>
      </c>
      <c r="D187" s="30">
        <v>12784200</v>
      </c>
      <c r="E187" s="187">
        <f t="shared" si="6"/>
        <v>0.75</v>
      </c>
      <c r="F187" s="188">
        <v>2.1307000000000001E-3</v>
      </c>
      <c r="G187" s="189">
        <v>1.5980250000000001E-3</v>
      </c>
      <c r="H187" s="178"/>
      <c r="I187" s="124" t="str">
        <f t="shared" si="7"/>
        <v>(5, 6]</v>
      </c>
      <c r="J187" s="160">
        <v>1</v>
      </c>
      <c r="K187" s="205">
        <v>0.45</v>
      </c>
      <c r="L187" s="188">
        <v>9.5881500000000012E-4</v>
      </c>
      <c r="M187" s="208">
        <v>958815</v>
      </c>
      <c r="N187" s="195">
        <v>1.0215832008389346E-3</v>
      </c>
      <c r="O187" s="211">
        <v>7.6618740062920103E-4</v>
      </c>
    </row>
    <row r="188" spans="1:15" ht="15.6">
      <c r="A188" s="201">
        <v>6</v>
      </c>
      <c r="B188" s="202">
        <v>7</v>
      </c>
      <c r="C188" s="160">
        <v>0</v>
      </c>
      <c r="D188" s="30">
        <v>0</v>
      </c>
      <c r="E188" s="187">
        <f t="shared" si="6"/>
        <v>0</v>
      </c>
      <c r="F188" s="188">
        <v>0</v>
      </c>
      <c r="G188" s="189">
        <v>0</v>
      </c>
      <c r="H188" s="178"/>
      <c r="I188" s="124" t="str">
        <f t="shared" si="7"/>
        <v>(6, 7]</v>
      </c>
      <c r="J188" s="160">
        <v>0</v>
      </c>
      <c r="K188" s="205">
        <v>0.35</v>
      </c>
      <c r="L188" s="188">
        <v>0</v>
      </c>
      <c r="M188" s="208">
        <v>0</v>
      </c>
      <c r="N188" s="195">
        <v>0</v>
      </c>
      <c r="O188" s="211">
        <v>0</v>
      </c>
    </row>
    <row r="189" spans="1:15" ht="15.6">
      <c r="A189" s="201">
        <v>7</v>
      </c>
      <c r="B189" s="202">
        <v>8</v>
      </c>
      <c r="C189" s="160">
        <v>24785</v>
      </c>
      <c r="D189" s="30">
        <v>19828000</v>
      </c>
      <c r="E189" s="187">
        <f t="shared" si="6"/>
        <v>1</v>
      </c>
      <c r="F189" s="188">
        <v>2.4784999999999998E-3</v>
      </c>
      <c r="G189" s="189">
        <v>2.4784999999999998E-3</v>
      </c>
      <c r="H189" s="178"/>
      <c r="I189" s="214" t="str">
        <f t="shared" si="7"/>
        <v>(7, 8]</v>
      </c>
      <c r="J189" s="160">
        <v>1</v>
      </c>
      <c r="K189" s="205">
        <v>0.79675830992990726</v>
      </c>
      <c r="L189" s="188">
        <v>1.9747654711612748E-3</v>
      </c>
      <c r="M189" s="208">
        <v>1974765</v>
      </c>
      <c r="N189" s="195">
        <v>2.1040417073207021E-3</v>
      </c>
      <c r="O189" s="211">
        <v>2.1040417073207021E-3</v>
      </c>
    </row>
    <row r="190" spans="1:15" ht="15.6">
      <c r="A190" s="201">
        <v>8</v>
      </c>
      <c r="B190" s="202">
        <v>9</v>
      </c>
      <c r="C190" s="160">
        <v>0</v>
      </c>
      <c r="D190" s="30">
        <v>0</v>
      </c>
      <c r="E190" s="187">
        <f t="shared" si="6"/>
        <v>0</v>
      </c>
      <c r="F190" s="188">
        <v>0</v>
      </c>
      <c r="G190" s="189">
        <v>0</v>
      </c>
      <c r="H190" s="178"/>
      <c r="I190" s="124" t="str">
        <f t="shared" si="7"/>
        <v>(8, 9]</v>
      </c>
      <c r="J190" s="160">
        <v>0</v>
      </c>
      <c r="K190" s="205">
        <v>0.12</v>
      </c>
      <c r="L190" s="188">
        <v>0</v>
      </c>
      <c r="M190" s="208">
        <v>0</v>
      </c>
      <c r="N190" s="195">
        <v>0</v>
      </c>
      <c r="O190" s="211">
        <v>0</v>
      </c>
    </row>
    <row r="191" spans="1:15" ht="15.6">
      <c r="A191" s="201">
        <v>9</v>
      </c>
      <c r="B191" s="202">
        <v>10</v>
      </c>
      <c r="C191" s="160">
        <v>66981</v>
      </c>
      <c r="D191" s="30">
        <v>66981000</v>
      </c>
      <c r="E191" s="187">
        <f t="shared" si="6"/>
        <v>1.25</v>
      </c>
      <c r="F191" s="188">
        <v>6.6981000000000002E-3</v>
      </c>
      <c r="G191" s="189">
        <v>8.3726249999999999E-3</v>
      </c>
      <c r="H191" s="178"/>
      <c r="I191" s="124" t="str">
        <f t="shared" si="7"/>
        <v>(9, 10]</v>
      </c>
      <c r="J191" s="160">
        <v>1</v>
      </c>
      <c r="K191" s="205">
        <v>1.0019290327970833</v>
      </c>
      <c r="L191" s="188">
        <v>6.7110208545781442E-3</v>
      </c>
      <c r="M191" s="208">
        <v>6711020</v>
      </c>
      <c r="N191" s="195">
        <v>7.1503525627927261E-3</v>
      </c>
      <c r="O191" s="211">
        <v>8.937940703490908E-3</v>
      </c>
    </row>
    <row r="192" spans="1:15" ht="15.6">
      <c r="A192" s="201">
        <v>10</v>
      </c>
      <c r="B192" s="202">
        <v>15</v>
      </c>
      <c r="C192" s="160">
        <v>48411</v>
      </c>
      <c r="D192" s="30">
        <v>67794900</v>
      </c>
      <c r="E192" s="187">
        <f t="shared" si="6"/>
        <v>1.7505035012703725</v>
      </c>
      <c r="F192" s="188">
        <v>4.8411000000000001E-3</v>
      </c>
      <c r="G192" s="189">
        <v>8.4743625000000006E-3</v>
      </c>
      <c r="H192" s="178"/>
      <c r="I192" s="214" t="str">
        <f t="shared" si="7"/>
        <v>(10, 15]</v>
      </c>
      <c r="J192" s="160">
        <v>1</v>
      </c>
      <c r="K192" s="205">
        <v>0.92808999999999997</v>
      </c>
      <c r="L192" s="188">
        <v>4.4929764990000003E-3</v>
      </c>
      <c r="M192" s="208">
        <v>4492976</v>
      </c>
      <c r="N192" s="195">
        <v>4.7871057538446038E-3</v>
      </c>
      <c r="O192" s="211">
        <v>8.3798453830565243E-3</v>
      </c>
    </row>
    <row r="193" spans="1:15" ht="15.6">
      <c r="A193" s="201">
        <v>15</v>
      </c>
      <c r="B193" s="202">
        <v>20</v>
      </c>
      <c r="C193" s="160">
        <v>159268</v>
      </c>
      <c r="D193" s="30">
        <v>292899000</v>
      </c>
      <c r="E193" s="187">
        <f t="shared" si="6"/>
        <v>2.2987904035964539</v>
      </c>
      <c r="F193" s="188">
        <v>1.5926800000000001E-2</v>
      </c>
      <c r="G193" s="189">
        <v>3.6612375000000003E-2</v>
      </c>
      <c r="H193" s="178"/>
      <c r="I193" s="124" t="str">
        <f t="shared" si="7"/>
        <v>(15, 20]</v>
      </c>
      <c r="J193" s="160">
        <v>1</v>
      </c>
      <c r="K193" s="205">
        <v>0.76135664514375612</v>
      </c>
      <c r="L193" s="188">
        <v>1.2125975015875576E-2</v>
      </c>
      <c r="M193" s="208">
        <v>12125975</v>
      </c>
      <c r="N193" s="195">
        <v>1.2919794072676065E-2</v>
      </c>
      <c r="O193" s="211">
        <v>2.9699898630710084E-2</v>
      </c>
    </row>
    <row r="194" spans="1:15" ht="15.6">
      <c r="A194" s="201">
        <v>20</v>
      </c>
      <c r="B194" s="202">
        <v>25</v>
      </c>
      <c r="C194" s="160">
        <v>82611</v>
      </c>
      <c r="D194" s="30">
        <v>198721800</v>
      </c>
      <c r="E194" s="187">
        <f t="shared" si="6"/>
        <v>3.0068907288375639</v>
      </c>
      <c r="F194" s="188">
        <v>8.2611000000000004E-3</v>
      </c>
      <c r="G194" s="189">
        <v>2.4840225E-2</v>
      </c>
      <c r="H194" s="178"/>
      <c r="I194" s="124" t="str">
        <f t="shared" si="7"/>
        <v>(20, 25]</v>
      </c>
      <c r="J194" s="160">
        <v>1</v>
      </c>
      <c r="K194" s="205">
        <v>0.7</v>
      </c>
      <c r="L194" s="188">
        <v>5.7827699999999996E-3</v>
      </c>
      <c r="M194" s="208">
        <v>5782770</v>
      </c>
      <c r="N194" s="195">
        <v>6.1613352798145279E-3</v>
      </c>
      <c r="O194" s="211">
        <v>1.8526461930134103E-2</v>
      </c>
    </row>
    <row r="195" spans="1:15" ht="15.6">
      <c r="A195" s="201">
        <v>25</v>
      </c>
      <c r="B195" s="202">
        <v>30</v>
      </c>
      <c r="C195" s="160">
        <v>96810</v>
      </c>
      <c r="D195" s="30">
        <v>289386200</v>
      </c>
      <c r="E195" s="187">
        <f t="shared" si="6"/>
        <v>3.7365225699824398</v>
      </c>
      <c r="F195" s="188">
        <v>9.6810000000000004E-3</v>
      </c>
      <c r="G195" s="189">
        <v>3.6173274999999998E-2</v>
      </c>
      <c r="H195" s="178"/>
      <c r="I195" s="124" t="str">
        <f t="shared" si="7"/>
        <v>(25, 30]</v>
      </c>
      <c r="J195" s="160">
        <v>1</v>
      </c>
      <c r="K195" s="205">
        <v>0.93564477717617389</v>
      </c>
      <c r="L195" s="188">
        <v>9.0579770878425406E-3</v>
      </c>
      <c r="M195" s="208">
        <v>9057977</v>
      </c>
      <c r="N195" s="195">
        <v>9.6509515775049948E-3</v>
      </c>
      <c r="O195" s="211">
        <v>3.6060998391155043E-2</v>
      </c>
    </row>
    <row r="196" spans="1:15" ht="15.6">
      <c r="A196" s="201">
        <v>30</v>
      </c>
      <c r="B196" s="202">
        <v>35</v>
      </c>
      <c r="C196" s="160">
        <v>39611</v>
      </c>
      <c r="D196" s="30">
        <v>128063600</v>
      </c>
      <c r="E196" s="187">
        <f t="shared" si="6"/>
        <v>4.0412890358738736</v>
      </c>
      <c r="F196" s="188">
        <v>3.9611000000000004E-3</v>
      </c>
      <c r="G196" s="189">
        <v>1.6007950000000003E-2</v>
      </c>
      <c r="H196" s="178"/>
      <c r="I196" s="124" t="str">
        <f t="shared" si="7"/>
        <v>(30, 35]</v>
      </c>
      <c r="J196" s="160">
        <v>1</v>
      </c>
      <c r="K196" s="205">
        <v>0.4745678375493817</v>
      </c>
      <c r="L196" s="188">
        <v>1.8798106613168561E-3</v>
      </c>
      <c r="M196" s="208">
        <v>1879810</v>
      </c>
      <c r="N196" s="195">
        <v>2.0028705399571739E-3</v>
      </c>
      <c r="O196" s="211">
        <v>8.0941787534037114E-3</v>
      </c>
    </row>
    <row r="197" spans="1:15" ht="15.6">
      <c r="A197" s="201">
        <v>35</v>
      </c>
      <c r="B197" s="202">
        <v>40</v>
      </c>
      <c r="C197" s="160">
        <v>111166</v>
      </c>
      <c r="D197" s="30">
        <v>434614400</v>
      </c>
      <c r="E197" s="187">
        <f t="shared" si="6"/>
        <v>4.8869978230754008</v>
      </c>
      <c r="F197" s="188">
        <v>1.1116600000000001E-2</v>
      </c>
      <c r="G197" s="189">
        <v>5.4326800000000001E-2</v>
      </c>
      <c r="H197" s="178"/>
      <c r="I197" s="214" t="str">
        <f t="shared" si="7"/>
        <v>(35, 40]</v>
      </c>
      <c r="J197" s="160">
        <v>1</v>
      </c>
      <c r="K197" s="205">
        <v>0.47054060341693471</v>
      </c>
      <c r="L197" s="188">
        <v>5.2308116719446971E-3</v>
      </c>
      <c r="M197" s="208">
        <v>5230811</v>
      </c>
      <c r="N197" s="195">
        <v>5.5732426425989462E-3</v>
      </c>
      <c r="O197" s="211">
        <v>2.7236424661852044E-2</v>
      </c>
    </row>
    <row r="198" spans="1:15" ht="15.6">
      <c r="A198" s="201">
        <v>40</v>
      </c>
      <c r="B198" s="202">
        <v>45</v>
      </c>
      <c r="C198" s="160">
        <v>32459</v>
      </c>
      <c r="D198" s="30">
        <v>145130200</v>
      </c>
      <c r="E198" s="187">
        <f t="shared" si="6"/>
        <v>5.5889814843340826</v>
      </c>
      <c r="F198" s="188">
        <v>3.2458999999999999E-3</v>
      </c>
      <c r="G198" s="189">
        <v>1.8141274999999998E-2</v>
      </c>
      <c r="H198" s="178"/>
      <c r="I198" s="124" t="str">
        <f t="shared" si="7"/>
        <v>(40, 45]</v>
      </c>
      <c r="J198" s="160">
        <v>1</v>
      </c>
      <c r="K198" s="205">
        <v>0.39765460800875296</v>
      </c>
      <c r="L198" s="188">
        <v>1.2907470921356113E-3</v>
      </c>
      <c r="M198" s="208">
        <v>1290747</v>
      </c>
      <c r="N198" s="195">
        <v>1.3752449134955675E-3</v>
      </c>
      <c r="O198" s="211">
        <v>7.6862183579513533E-3</v>
      </c>
    </row>
    <row r="199" spans="1:15" ht="15.6">
      <c r="A199" s="201">
        <v>45</v>
      </c>
      <c r="B199" s="202">
        <v>50</v>
      </c>
      <c r="C199" s="160">
        <v>64696</v>
      </c>
      <c r="D199" s="30">
        <v>314041600</v>
      </c>
      <c r="E199" s="187">
        <f t="shared" si="6"/>
        <v>6.0676394212934337</v>
      </c>
      <c r="F199" s="188">
        <v>6.4695999999999998E-3</v>
      </c>
      <c r="G199" s="189">
        <v>3.9255199999999997E-2</v>
      </c>
      <c r="H199" s="178"/>
      <c r="I199" s="124" t="str">
        <f t="shared" si="7"/>
        <v>(45, 50]</v>
      </c>
      <c r="J199" s="160">
        <v>1</v>
      </c>
      <c r="K199" s="205">
        <v>1.3500872579540419</v>
      </c>
      <c r="L199" s="188">
        <v>8.7345245240594699E-3</v>
      </c>
      <c r="M199" s="208">
        <v>8734524</v>
      </c>
      <c r="N199" s="195">
        <v>9.3063239370728395E-3</v>
      </c>
      <c r="O199" s="211">
        <v>5.6467417987909871E-2</v>
      </c>
    </row>
    <row r="200" spans="1:15" ht="15.6">
      <c r="A200" s="201">
        <v>50</v>
      </c>
      <c r="B200" s="202">
        <v>60</v>
      </c>
      <c r="C200" s="160">
        <v>83285</v>
      </c>
      <c r="D200" s="30">
        <v>492236400</v>
      </c>
      <c r="E200" s="187">
        <f t="shared" si="6"/>
        <v>7.3878309419463291</v>
      </c>
      <c r="F200" s="188">
        <v>8.3285000000000008E-3</v>
      </c>
      <c r="G200" s="189">
        <v>6.1529550000000009E-2</v>
      </c>
      <c r="H200" s="178"/>
      <c r="I200" s="214" t="str">
        <f t="shared" si="7"/>
        <v>(50, 60]</v>
      </c>
      <c r="J200" s="160">
        <v>1</v>
      </c>
      <c r="K200" s="205">
        <v>0.40119085199287829</v>
      </c>
      <c r="L200" s="188">
        <v>3.3413180108226872E-3</v>
      </c>
      <c r="M200" s="208">
        <v>3341318</v>
      </c>
      <c r="N200" s="195">
        <v>3.5600552113397763E-3</v>
      </c>
      <c r="O200" s="211">
        <v>2.6301086045373276E-2</v>
      </c>
    </row>
    <row r="201" spans="1:15" ht="15.6">
      <c r="A201" s="201">
        <v>60</v>
      </c>
      <c r="B201" s="202">
        <v>70</v>
      </c>
      <c r="C201" s="160">
        <v>22499</v>
      </c>
      <c r="D201" s="30">
        <v>148840400</v>
      </c>
      <c r="E201" s="187">
        <f t="shared" si="6"/>
        <v>8.2692786346059819</v>
      </c>
      <c r="F201" s="188">
        <v>2.2499E-3</v>
      </c>
      <c r="G201" s="189">
        <v>1.8605049999999998E-2</v>
      </c>
      <c r="H201" s="178"/>
      <c r="I201" s="124" t="str">
        <f t="shared" si="7"/>
        <v>(60, 70]</v>
      </c>
      <c r="J201" s="160">
        <v>1</v>
      </c>
      <c r="K201" s="205">
        <v>0.11495747630779093</v>
      </c>
      <c r="L201" s="188">
        <v>2.586428259448988E-4</v>
      </c>
      <c r="M201" s="208">
        <v>258642</v>
      </c>
      <c r="N201" s="195">
        <v>2.7557383043797163E-4</v>
      </c>
      <c r="O201" s="211">
        <v>2.2787967882972504E-3</v>
      </c>
    </row>
    <row r="202" spans="1:15" ht="15.6">
      <c r="A202" s="201">
        <v>70</v>
      </c>
      <c r="B202" s="202">
        <v>80</v>
      </c>
      <c r="C202" s="160">
        <v>69878</v>
      </c>
      <c r="D202" s="30">
        <v>537994700</v>
      </c>
      <c r="E202" s="187">
        <f t="shared" si="6"/>
        <v>9.6238211597355399</v>
      </c>
      <c r="F202" s="188">
        <v>6.9877999999999997E-3</v>
      </c>
      <c r="G202" s="189">
        <v>6.7249337500000006E-2</v>
      </c>
      <c r="H202" s="178"/>
      <c r="I202" s="214" t="str">
        <f t="shared" si="7"/>
        <v>(70, 80]</v>
      </c>
      <c r="J202" s="160">
        <v>1</v>
      </c>
      <c r="K202" s="205">
        <v>0.25014443372998008</v>
      </c>
      <c r="L202" s="188">
        <v>1.7479592740183548E-3</v>
      </c>
      <c r="M202" s="208">
        <v>1747959</v>
      </c>
      <c r="N202" s="195">
        <v>1.862387999932441E-3</v>
      </c>
      <c r="O202" s="211">
        <v>1.7923289041387378E-2</v>
      </c>
    </row>
    <row r="203" spans="1:15" ht="15.6">
      <c r="A203" s="201">
        <v>80</v>
      </c>
      <c r="B203" s="202">
        <v>90</v>
      </c>
      <c r="C203" s="160">
        <v>28965</v>
      </c>
      <c r="D203" s="30">
        <v>256403700</v>
      </c>
      <c r="E203" s="187">
        <f t="shared" si="6"/>
        <v>11.065238218539617</v>
      </c>
      <c r="F203" s="188">
        <v>2.8965000000000002E-3</v>
      </c>
      <c r="G203" s="189">
        <v>3.2050462500000002E-2</v>
      </c>
      <c r="H203" s="178"/>
      <c r="I203" s="124" t="str">
        <f t="shared" si="7"/>
        <v>(80, 90]</v>
      </c>
      <c r="J203" s="160">
        <v>1</v>
      </c>
      <c r="K203" s="205">
        <v>0.21858584022718872</v>
      </c>
      <c r="L203" s="188">
        <v>6.331338862180522E-4</v>
      </c>
      <c r="M203" s="208">
        <v>633133</v>
      </c>
      <c r="N203" s="195">
        <v>6.7458064037041266E-4</v>
      </c>
      <c r="O203" s="211">
        <v>7.4643954833136196E-3</v>
      </c>
    </row>
    <row r="204" spans="1:15" ht="15.6">
      <c r="A204" s="201">
        <v>90</v>
      </c>
      <c r="B204" s="202">
        <v>100</v>
      </c>
      <c r="C204" s="160">
        <v>33772</v>
      </c>
      <c r="D204" s="30">
        <v>331933800</v>
      </c>
      <c r="E204" s="187">
        <f t="shared" si="6"/>
        <v>12.285835899561768</v>
      </c>
      <c r="F204" s="188">
        <v>3.3771999999999999E-3</v>
      </c>
      <c r="G204" s="189">
        <v>4.1491725E-2</v>
      </c>
      <c r="H204" s="178"/>
      <c r="I204" s="124" t="str">
        <f t="shared" si="7"/>
        <v>(90, 100]</v>
      </c>
      <c r="J204" s="160">
        <v>1</v>
      </c>
      <c r="K204" s="205">
        <v>0.36223312289262632</v>
      </c>
      <c r="L204" s="188">
        <v>1.2233337026329777E-3</v>
      </c>
      <c r="M204" s="208">
        <v>1223333</v>
      </c>
      <c r="N204" s="195">
        <v>1.3034176997980805E-3</v>
      </c>
      <c r="O204" s="211">
        <v>1.6013575968303481E-2</v>
      </c>
    </row>
    <row r="205" spans="1:15" ht="15.6">
      <c r="A205" s="201">
        <v>100</v>
      </c>
      <c r="B205" s="202">
        <v>120</v>
      </c>
      <c r="C205" s="160">
        <v>48980</v>
      </c>
      <c r="D205" s="30">
        <v>566538800</v>
      </c>
      <c r="E205" s="187">
        <f t="shared" si="6"/>
        <v>14.458421804818293</v>
      </c>
      <c r="F205" s="188">
        <v>4.8979999999999996E-3</v>
      </c>
      <c r="G205" s="189">
        <v>7.0817350000000001E-2</v>
      </c>
      <c r="H205" s="178"/>
      <c r="I205" s="124" t="str">
        <f t="shared" si="7"/>
        <v>(100, 120]</v>
      </c>
      <c r="J205" s="160">
        <v>1</v>
      </c>
      <c r="K205" s="205">
        <v>0.16934830127210709</v>
      </c>
      <c r="L205" s="188">
        <v>8.2946797963078043E-4</v>
      </c>
      <c r="M205" s="208">
        <v>829467</v>
      </c>
      <c r="N205" s="195">
        <v>8.8376751808249621E-4</v>
      </c>
      <c r="O205" s="211">
        <v>1.2777883553834109E-2</v>
      </c>
    </row>
    <row r="206" spans="1:15" ht="15.6">
      <c r="A206" s="201">
        <v>120</v>
      </c>
      <c r="B206" s="202">
        <v>140</v>
      </c>
      <c r="C206" s="160">
        <v>20120</v>
      </c>
      <c r="D206" s="30">
        <v>268518600</v>
      </c>
      <c r="E206" s="187">
        <f t="shared" si="6"/>
        <v>16.682318588469183</v>
      </c>
      <c r="F206" s="188">
        <v>2.0119999999999999E-3</v>
      </c>
      <c r="G206" s="189">
        <v>3.3564824999999993E-2</v>
      </c>
      <c r="H206" s="178"/>
      <c r="I206" s="124" t="str">
        <f t="shared" si="7"/>
        <v>(120, 140]</v>
      </c>
      <c r="J206" s="160">
        <v>1</v>
      </c>
      <c r="K206" s="205">
        <v>8.6524033567055764E-2</v>
      </c>
      <c r="L206" s="188">
        <v>1.7408635553691618E-4</v>
      </c>
      <c r="M206" s="208">
        <v>174086</v>
      </c>
      <c r="N206" s="195">
        <v>1.8548242685110974E-4</v>
      </c>
      <c r="O206" s="211">
        <v>3.0942769372926436E-3</v>
      </c>
    </row>
    <row r="207" spans="1:15" ht="15.6">
      <c r="A207" s="201">
        <v>140</v>
      </c>
      <c r="B207" s="202">
        <v>160</v>
      </c>
      <c r="C207" s="160">
        <v>33692</v>
      </c>
      <c r="D207" s="30">
        <v>517512100</v>
      </c>
      <c r="E207" s="187">
        <f t="shared" si="6"/>
        <v>19.200110560370415</v>
      </c>
      <c r="F207" s="188">
        <v>3.3692000000000001E-3</v>
      </c>
      <c r="G207" s="189">
        <v>6.4689012500000004E-2</v>
      </c>
      <c r="H207" s="178"/>
      <c r="I207" s="124" t="str">
        <f t="shared" si="7"/>
        <v>(140, 160]</v>
      </c>
      <c r="J207" s="160">
        <v>1</v>
      </c>
      <c r="K207" s="205">
        <v>4.4242535821571879E-2</v>
      </c>
      <c r="L207" s="188">
        <v>1.4906195169003998E-4</v>
      </c>
      <c r="M207" s="208">
        <v>149061</v>
      </c>
      <c r="N207" s="195">
        <v>1.5881918148991458E-4</v>
      </c>
      <c r="O207" s="211">
        <v>3.0493458437138945E-3</v>
      </c>
    </row>
    <row r="208" spans="1:15" ht="15.6">
      <c r="A208" s="201">
        <v>160</v>
      </c>
      <c r="B208" s="202">
        <v>180</v>
      </c>
      <c r="C208" s="160">
        <v>19195</v>
      </c>
      <c r="D208" s="30">
        <v>335577800</v>
      </c>
      <c r="E208" s="187">
        <f t="shared" si="6"/>
        <v>21.853203959364418</v>
      </c>
      <c r="F208" s="188">
        <v>1.9195E-3</v>
      </c>
      <c r="G208" s="189">
        <v>4.1947224999999998E-2</v>
      </c>
      <c r="H208" s="178"/>
      <c r="I208" s="124" t="str">
        <f t="shared" si="7"/>
        <v>(160, 180]</v>
      </c>
      <c r="J208" s="160">
        <v>1</v>
      </c>
      <c r="K208" s="205">
        <v>7.6242594728517771E-2</v>
      </c>
      <c r="L208" s="188">
        <v>1.4634766058138987E-4</v>
      </c>
      <c r="M208" s="208">
        <v>146347</v>
      </c>
      <c r="N208" s="195">
        <v>1.5592751124374939E-4</v>
      </c>
      <c r="O208" s="211">
        <v>3.407515706085744E-3</v>
      </c>
    </row>
    <row r="209" spans="1:15" ht="15.6">
      <c r="A209" s="201">
        <v>180</v>
      </c>
      <c r="B209" s="202">
        <v>200</v>
      </c>
      <c r="C209" s="160">
        <v>27178</v>
      </c>
      <c r="D209" s="30">
        <v>535991700</v>
      </c>
      <c r="E209" s="187">
        <f t="shared" si="6"/>
        <v>24.651910552652883</v>
      </c>
      <c r="F209" s="188">
        <v>2.7177999999999998E-3</v>
      </c>
      <c r="G209" s="189">
        <v>6.6998962499999995E-2</v>
      </c>
      <c r="H209" s="178"/>
      <c r="I209" s="124" t="str">
        <f t="shared" si="7"/>
        <v>(180, 200]</v>
      </c>
      <c r="J209" s="160">
        <v>1</v>
      </c>
      <c r="K209" s="205">
        <v>2.2700615416364124E-2</v>
      </c>
      <c r="L209" s="188">
        <v>6.169573257859441E-5</v>
      </c>
      <c r="M209" s="208">
        <v>61695</v>
      </c>
      <c r="N209" s="195">
        <v>6.5733823079278144E-5</v>
      </c>
      <c r="O209" s="211">
        <v>1.6204643268342746E-3</v>
      </c>
    </row>
    <row r="210" spans="1:15" ht="15.6">
      <c r="A210" s="201">
        <v>200</v>
      </c>
      <c r="B210" s="202">
        <v>250</v>
      </c>
      <c r="C210" s="160">
        <v>34098</v>
      </c>
      <c r="D210" s="30">
        <v>781082100</v>
      </c>
      <c r="E210" s="187">
        <f t="shared" si="6"/>
        <v>28.633721185993313</v>
      </c>
      <c r="F210" s="188">
        <v>3.4098000000000002E-3</v>
      </c>
      <c r="G210" s="189">
        <v>9.76352625E-2</v>
      </c>
      <c r="H210" s="178"/>
      <c r="I210" s="124" t="str">
        <f t="shared" si="7"/>
        <v>(200, 250]</v>
      </c>
      <c r="J210" s="160">
        <v>1</v>
      </c>
      <c r="K210" s="205">
        <v>2.1778300029761548E-2</v>
      </c>
      <c r="L210" s="188">
        <v>7.4259647441480929E-5</v>
      </c>
      <c r="M210" s="208">
        <v>74259</v>
      </c>
      <c r="N210" s="195">
        <v>7.9120317173905766E-5</v>
      </c>
      <c r="O210" s="211">
        <v>2.2655091021049761E-3</v>
      </c>
    </row>
    <row r="211" spans="1:15" ht="15.6">
      <c r="A211" s="201">
        <v>250</v>
      </c>
      <c r="B211" s="202">
        <v>300</v>
      </c>
      <c r="C211" s="160">
        <v>29020</v>
      </c>
      <c r="D211" s="30">
        <v>815144500</v>
      </c>
      <c r="E211" s="187">
        <f t="shared" si="6"/>
        <v>35.111324086836667</v>
      </c>
      <c r="F211" s="188">
        <v>2.9020000000000001E-3</v>
      </c>
      <c r="G211" s="189">
        <v>0.10189306250000001</v>
      </c>
      <c r="H211" s="178"/>
      <c r="I211" s="124" t="str">
        <f t="shared" si="7"/>
        <v>(250, 300]</v>
      </c>
      <c r="J211" s="160">
        <v>1</v>
      </c>
      <c r="K211" s="205">
        <v>3.7954763247510211E-3</v>
      </c>
      <c r="L211" s="188">
        <v>1.1014472294427464E-5</v>
      </c>
      <c r="M211" s="208">
        <v>11014</v>
      </c>
      <c r="N211" s="195">
        <v>1.1735024351976165E-5</v>
      </c>
      <c r="O211" s="211">
        <v>4.1203224318915556E-4</v>
      </c>
    </row>
    <row r="212" spans="1:15" ht="15.6">
      <c r="A212" s="201">
        <v>300</v>
      </c>
      <c r="B212" s="202">
        <v>350</v>
      </c>
      <c r="C212" s="160">
        <v>17830</v>
      </c>
      <c r="D212" s="30">
        <v>582185600</v>
      </c>
      <c r="E212" s="187">
        <f t="shared" si="6"/>
        <v>40.815030846887268</v>
      </c>
      <c r="F212" s="188">
        <v>1.7830000000000001E-3</v>
      </c>
      <c r="G212" s="189">
        <v>7.2773199999999996E-2</v>
      </c>
      <c r="H212" s="178"/>
      <c r="I212" s="124" t="str">
        <f t="shared" si="7"/>
        <v>(300, 350]</v>
      </c>
      <c r="J212" s="160">
        <v>1</v>
      </c>
      <c r="K212" s="205">
        <v>3.240881407733192E-3</v>
      </c>
      <c r="L212" s="188">
        <v>5.7784915499882812E-6</v>
      </c>
      <c r="M212" s="208">
        <v>5778</v>
      </c>
      <c r="N212" s="195">
        <v>6.1562530148645613E-6</v>
      </c>
      <c r="O212" s="211">
        <v>2.5126765670293981E-4</v>
      </c>
    </row>
    <row r="213" spans="1:15" ht="15.6">
      <c r="A213" s="201">
        <v>350</v>
      </c>
      <c r="B213" s="202">
        <v>400</v>
      </c>
      <c r="C213" s="160">
        <v>21731</v>
      </c>
      <c r="D213" s="30">
        <v>833067400</v>
      </c>
      <c r="E213" s="187">
        <f t="shared" si="6"/>
        <v>47.91929731719663</v>
      </c>
      <c r="F213" s="188">
        <v>2.1730999999999999E-3</v>
      </c>
      <c r="G213" s="189">
        <v>0.10413342499999999</v>
      </c>
      <c r="H213" s="178"/>
      <c r="I213" s="124" t="str">
        <f t="shared" si="7"/>
        <v>(350, 400]</v>
      </c>
      <c r="J213" s="160">
        <v>1</v>
      </c>
      <c r="K213" s="205">
        <v>5.0000000000000001E-3</v>
      </c>
      <c r="L213" s="188">
        <v>1.08655E-5</v>
      </c>
      <c r="M213" s="208">
        <v>10865</v>
      </c>
      <c r="N213" s="195">
        <v>1.1576270163811606E-5</v>
      </c>
      <c r="O213" s="211">
        <v>5.5472673180388091E-4</v>
      </c>
    </row>
    <row r="214" spans="1:15" ht="15.6">
      <c r="A214" s="201">
        <v>400</v>
      </c>
      <c r="B214" s="202">
        <v>450</v>
      </c>
      <c r="C214" s="160">
        <v>11739</v>
      </c>
      <c r="D214" s="30">
        <v>503571900</v>
      </c>
      <c r="E214" s="187">
        <f t="shared" si="6"/>
        <v>53.621677740863788</v>
      </c>
      <c r="F214" s="188">
        <v>1.1739000000000001E-3</v>
      </c>
      <c r="G214" s="189">
        <v>6.2946487500000009E-2</v>
      </c>
      <c r="H214" s="178"/>
      <c r="I214" s="124" t="str">
        <f t="shared" si="7"/>
        <v>(400, 450]</v>
      </c>
      <c r="J214" s="160">
        <v>1</v>
      </c>
      <c r="K214" s="205">
        <v>0</v>
      </c>
      <c r="L214" s="188">
        <v>0</v>
      </c>
      <c r="M214" s="208">
        <v>0</v>
      </c>
      <c r="N214" s="195">
        <v>0</v>
      </c>
      <c r="O214" s="211">
        <v>0</v>
      </c>
    </row>
    <row r="215" spans="1:15" ht="15.6">
      <c r="A215" s="201">
        <v>450</v>
      </c>
      <c r="B215" s="202">
        <v>500</v>
      </c>
      <c r="C215" s="160">
        <v>17499</v>
      </c>
      <c r="D215" s="30">
        <v>851058500</v>
      </c>
      <c r="E215" s="187">
        <f t="shared" si="6"/>
        <v>60.793366763815072</v>
      </c>
      <c r="F215" s="188">
        <v>1.7499E-3</v>
      </c>
      <c r="G215" s="189">
        <v>0.10638231249999999</v>
      </c>
      <c r="H215" s="178"/>
      <c r="I215" s="124" t="str">
        <f t="shared" si="7"/>
        <v>(450, 500]</v>
      </c>
      <c r="J215" s="160">
        <v>1</v>
      </c>
      <c r="K215" s="205">
        <v>5.0000000000000001E-3</v>
      </c>
      <c r="L215" s="188">
        <v>8.7494999999999998E-6</v>
      </c>
      <c r="M215" s="208">
        <v>8749</v>
      </c>
      <c r="N215" s="195">
        <v>9.3217475990048539E-6</v>
      </c>
      <c r="O215" s="211">
        <v>5.6670042066601467E-4</v>
      </c>
    </row>
    <row r="216" spans="1:15" ht="15.6">
      <c r="A216" s="201">
        <v>500</v>
      </c>
      <c r="B216" s="202">
        <v>550</v>
      </c>
      <c r="C216" s="160">
        <v>8340</v>
      </c>
      <c r="D216" s="30">
        <v>438824400</v>
      </c>
      <c r="E216" s="187">
        <f t="shared" si="6"/>
        <v>65.771043165467631</v>
      </c>
      <c r="F216" s="188">
        <v>8.34E-4</v>
      </c>
      <c r="G216" s="189">
        <v>5.4853050000000007E-2</v>
      </c>
      <c r="H216" s="178"/>
      <c r="I216" s="124" t="str">
        <f t="shared" si="7"/>
        <v>(500, 550]</v>
      </c>
      <c r="J216" s="160">
        <v>1</v>
      </c>
      <c r="K216" s="205">
        <v>0</v>
      </c>
      <c r="L216" s="188">
        <v>0</v>
      </c>
      <c r="M216" s="208">
        <v>0</v>
      </c>
      <c r="N216" s="195">
        <v>0</v>
      </c>
      <c r="O216" s="211">
        <v>0</v>
      </c>
    </row>
    <row r="217" spans="1:15" ht="15.6">
      <c r="A217" s="201">
        <v>550</v>
      </c>
      <c r="B217" s="202">
        <v>600</v>
      </c>
      <c r="C217" s="160">
        <v>10936</v>
      </c>
      <c r="D217" s="30">
        <v>636783700</v>
      </c>
      <c r="E217" s="187">
        <f t="shared" si="6"/>
        <v>72.785261978785655</v>
      </c>
      <c r="F217" s="188">
        <v>1.0935999999999999E-3</v>
      </c>
      <c r="G217" s="189">
        <v>7.959796249999998E-2</v>
      </c>
      <c r="H217" s="178"/>
      <c r="I217" s="124" t="str">
        <f t="shared" si="7"/>
        <v>(550, 600]</v>
      </c>
      <c r="J217" s="160">
        <v>1</v>
      </c>
      <c r="K217" s="205">
        <v>0</v>
      </c>
      <c r="L217" s="188">
        <v>0</v>
      </c>
      <c r="M217" s="208">
        <v>0</v>
      </c>
      <c r="N217" s="195">
        <v>0</v>
      </c>
      <c r="O217" s="211">
        <v>0</v>
      </c>
    </row>
    <row r="218" spans="1:15" ht="15.6">
      <c r="A218" s="201">
        <v>600</v>
      </c>
      <c r="B218" s="202">
        <v>650</v>
      </c>
      <c r="C218" s="160">
        <v>5683</v>
      </c>
      <c r="D218" s="30">
        <v>357901300</v>
      </c>
      <c r="E218" s="187">
        <f t="shared" si="6"/>
        <v>78.721911842336795</v>
      </c>
      <c r="F218" s="188">
        <v>5.6829999999999999E-4</v>
      </c>
      <c r="G218" s="189">
        <v>4.4737662499999997E-2</v>
      </c>
      <c r="H218" s="178"/>
      <c r="I218" s="124" t="str">
        <f t="shared" si="7"/>
        <v>(600, 650]</v>
      </c>
      <c r="J218" s="160">
        <v>1</v>
      </c>
      <c r="K218" s="205">
        <v>0</v>
      </c>
      <c r="L218" s="188">
        <v>0</v>
      </c>
      <c r="M218" s="208">
        <v>0</v>
      </c>
      <c r="N218" s="195">
        <v>0</v>
      </c>
      <c r="O218" s="211">
        <v>0</v>
      </c>
    </row>
    <row r="219" spans="1:15" ht="15.6">
      <c r="A219" s="201">
        <v>650</v>
      </c>
      <c r="B219" s="202">
        <v>700</v>
      </c>
      <c r="C219" s="160">
        <v>5173</v>
      </c>
      <c r="D219" s="30">
        <v>350811200</v>
      </c>
      <c r="E219" s="187">
        <f t="shared" si="6"/>
        <v>84.769766093176102</v>
      </c>
      <c r="F219" s="188">
        <v>5.1730000000000005E-4</v>
      </c>
      <c r="G219" s="189">
        <v>4.3851399999999999E-2</v>
      </c>
      <c r="H219" s="178"/>
      <c r="I219" s="124" t="str">
        <f t="shared" si="7"/>
        <v>(650, 700]</v>
      </c>
      <c r="J219" s="160">
        <v>1</v>
      </c>
      <c r="K219" s="205">
        <v>0</v>
      </c>
      <c r="L219" s="188">
        <v>0</v>
      </c>
      <c r="M219" s="208">
        <v>0</v>
      </c>
      <c r="N219" s="195">
        <v>0</v>
      </c>
      <c r="O219" s="211">
        <v>0</v>
      </c>
    </row>
    <row r="220" spans="1:15" ht="15.6">
      <c r="A220" s="201">
        <v>700</v>
      </c>
      <c r="B220" s="202">
        <v>750</v>
      </c>
      <c r="C220" s="160">
        <v>4337</v>
      </c>
      <c r="D220" s="30">
        <v>315119900</v>
      </c>
      <c r="E220" s="187">
        <f t="shared" si="6"/>
        <v>90.823120820843897</v>
      </c>
      <c r="F220" s="188">
        <v>4.3370000000000003E-4</v>
      </c>
      <c r="G220" s="189">
        <v>3.9389987500000001E-2</v>
      </c>
      <c r="H220" s="178"/>
      <c r="I220" s="124" t="str">
        <f t="shared" si="7"/>
        <v>(700, 750]</v>
      </c>
      <c r="J220" s="160">
        <v>1</v>
      </c>
      <c r="K220" s="205">
        <v>0</v>
      </c>
      <c r="L220" s="188">
        <v>0</v>
      </c>
      <c r="M220" s="208">
        <v>0</v>
      </c>
      <c r="N220" s="195">
        <v>0</v>
      </c>
      <c r="O220" s="211">
        <v>0</v>
      </c>
    </row>
    <row r="221" spans="1:15" ht="15.6">
      <c r="A221" s="201">
        <v>750</v>
      </c>
      <c r="B221" s="202">
        <v>800</v>
      </c>
      <c r="C221" s="160">
        <v>10478</v>
      </c>
      <c r="D221" s="30">
        <v>830204800</v>
      </c>
      <c r="E221" s="187">
        <f t="shared" si="6"/>
        <v>99.041420118343197</v>
      </c>
      <c r="F221" s="188">
        <v>1.0478E-3</v>
      </c>
      <c r="G221" s="189">
        <v>0.1037756</v>
      </c>
      <c r="H221" s="178"/>
      <c r="I221" s="124" t="str">
        <f t="shared" si="7"/>
        <v>(750, 800]</v>
      </c>
      <c r="J221" s="160">
        <v>1</v>
      </c>
      <c r="K221" s="205">
        <v>0</v>
      </c>
      <c r="L221" s="188">
        <v>0</v>
      </c>
      <c r="M221" s="208">
        <v>0</v>
      </c>
      <c r="N221" s="195">
        <v>0</v>
      </c>
      <c r="O221" s="211">
        <v>0</v>
      </c>
    </row>
    <row r="222" spans="1:15" ht="15.6">
      <c r="A222" s="201">
        <v>800</v>
      </c>
      <c r="B222" s="202">
        <v>850</v>
      </c>
      <c r="C222" s="160">
        <v>3078</v>
      </c>
      <c r="D222" s="30">
        <v>255010600</v>
      </c>
      <c r="E222" s="187">
        <f t="shared" si="6"/>
        <v>103.56180961663418</v>
      </c>
      <c r="F222" s="188">
        <v>3.078E-4</v>
      </c>
      <c r="G222" s="189">
        <v>3.1876324999999997E-2</v>
      </c>
      <c r="H222" s="178"/>
      <c r="I222" s="124" t="str">
        <f t="shared" si="7"/>
        <v>(800, 850]</v>
      </c>
      <c r="J222" s="160">
        <v>1</v>
      </c>
      <c r="K222" s="205">
        <v>0</v>
      </c>
      <c r="L222" s="188">
        <v>0</v>
      </c>
      <c r="M222" s="208">
        <v>0</v>
      </c>
      <c r="N222" s="195">
        <v>0</v>
      </c>
      <c r="O222" s="211">
        <v>0</v>
      </c>
    </row>
    <row r="223" spans="1:15" ht="15.6">
      <c r="A223" s="201">
        <v>850</v>
      </c>
      <c r="B223" s="202">
        <v>900</v>
      </c>
      <c r="C223" s="160">
        <v>3634</v>
      </c>
      <c r="D223" s="30">
        <v>320209200</v>
      </c>
      <c r="E223" s="187">
        <f t="shared" si="6"/>
        <v>110.14350577875619</v>
      </c>
      <c r="F223" s="188">
        <v>3.634E-4</v>
      </c>
      <c r="G223" s="189">
        <v>4.0026150000000003E-2</v>
      </c>
      <c r="H223" s="178"/>
      <c r="I223" s="124" t="str">
        <f t="shared" si="7"/>
        <v>(850, 900]</v>
      </c>
      <c r="J223" s="160">
        <v>1</v>
      </c>
      <c r="K223" s="205">
        <v>0</v>
      </c>
      <c r="L223" s="188">
        <v>0</v>
      </c>
      <c r="M223" s="208">
        <v>0</v>
      </c>
      <c r="N223" s="195">
        <v>0</v>
      </c>
      <c r="O223" s="211">
        <v>0</v>
      </c>
    </row>
    <row r="224" spans="1:15" ht="15.6">
      <c r="A224" s="201">
        <v>900</v>
      </c>
      <c r="B224" s="202">
        <v>950</v>
      </c>
      <c r="C224" s="160">
        <v>2292</v>
      </c>
      <c r="D224" s="30">
        <v>212414100</v>
      </c>
      <c r="E224" s="187">
        <f t="shared" si="6"/>
        <v>115.84538612565446</v>
      </c>
      <c r="F224" s="188">
        <v>2.2919999999999999E-4</v>
      </c>
      <c r="G224" s="189">
        <v>2.6551762499999999E-2</v>
      </c>
      <c r="H224" s="178"/>
      <c r="I224" s="124" t="str">
        <f t="shared" si="7"/>
        <v>(900, 950]</v>
      </c>
      <c r="J224" s="160">
        <v>1</v>
      </c>
      <c r="K224" s="205">
        <v>0</v>
      </c>
      <c r="L224" s="188">
        <v>0</v>
      </c>
      <c r="M224" s="208">
        <v>0</v>
      </c>
      <c r="N224" s="195">
        <v>0</v>
      </c>
      <c r="O224" s="211">
        <v>0</v>
      </c>
    </row>
    <row r="225" spans="1:15" ht="15.6">
      <c r="A225" s="201">
        <v>950</v>
      </c>
      <c r="B225" s="202">
        <v>1000</v>
      </c>
      <c r="C225" s="160">
        <v>10528</v>
      </c>
      <c r="D225" s="30">
        <v>1045742700</v>
      </c>
      <c r="E225" s="187">
        <f t="shared" si="6"/>
        <v>124.16207969224924</v>
      </c>
      <c r="F225" s="188">
        <v>1.0528E-3</v>
      </c>
      <c r="G225" s="189">
        <v>0.13071783749999999</v>
      </c>
      <c r="H225" s="178"/>
      <c r="I225" s="124" t="str">
        <f t="shared" si="7"/>
        <v>(950, 1000]</v>
      </c>
      <c r="J225" s="160">
        <v>1</v>
      </c>
      <c r="K225" s="205">
        <v>0</v>
      </c>
      <c r="L225" s="188">
        <v>0</v>
      </c>
      <c r="M225" s="208">
        <v>0</v>
      </c>
      <c r="N225" s="195">
        <v>0</v>
      </c>
      <c r="O225" s="211">
        <v>0</v>
      </c>
    </row>
    <row r="226" spans="1:15" ht="15.6">
      <c r="A226" s="201">
        <v>1000</v>
      </c>
      <c r="B226" s="202">
        <v>2000</v>
      </c>
      <c r="C226" s="160">
        <v>41906</v>
      </c>
      <c r="D226" s="30">
        <v>6176711500</v>
      </c>
      <c r="E226" s="187">
        <f t="shared" si="6"/>
        <v>184.24305290411874</v>
      </c>
      <c r="F226" s="188">
        <v>4.1906000000000001E-3</v>
      </c>
      <c r="G226" s="189">
        <v>0.77208893749999996</v>
      </c>
      <c r="H226" s="178"/>
      <c r="I226" s="124" t="str">
        <f t="shared" si="7"/>
        <v>(1000, 2000]</v>
      </c>
      <c r="J226" s="160">
        <v>1</v>
      </c>
      <c r="K226" s="205">
        <v>1.0999999999999999E-2</v>
      </c>
      <c r="L226" s="188">
        <v>4.6096599999999995E-5</v>
      </c>
      <c r="M226" s="208">
        <v>46096</v>
      </c>
      <c r="N226" s="195">
        <v>4.9113644682103988E-5</v>
      </c>
      <c r="O226" s="211">
        <v>9.0488478354789747E-3</v>
      </c>
    </row>
    <row r="227" spans="1:15" ht="15.6">
      <c r="A227" s="201">
        <v>2000</v>
      </c>
      <c r="B227" s="202">
        <v>3000</v>
      </c>
      <c r="C227" s="160">
        <v>12704</v>
      </c>
      <c r="D227" s="30">
        <v>3203135900</v>
      </c>
      <c r="E227" s="187">
        <f t="shared" si="6"/>
        <v>315.17001534949623</v>
      </c>
      <c r="F227" s="188">
        <v>1.2704000000000001E-3</v>
      </c>
      <c r="G227" s="189">
        <v>0.40039198750000005</v>
      </c>
      <c r="H227" s="178"/>
      <c r="I227" s="124" t="str">
        <f t="shared" si="7"/>
        <v>(2000, 3000]</v>
      </c>
      <c r="J227" s="160">
        <v>1</v>
      </c>
      <c r="K227" s="205">
        <v>0</v>
      </c>
      <c r="L227" s="188">
        <v>0</v>
      </c>
      <c r="M227" s="208">
        <v>0</v>
      </c>
      <c r="N227" s="195">
        <v>0</v>
      </c>
      <c r="O227" s="211">
        <v>0</v>
      </c>
    </row>
    <row r="228" spans="1:15" ht="15.6">
      <c r="A228" s="201">
        <v>3000</v>
      </c>
      <c r="B228" s="202">
        <v>4000</v>
      </c>
      <c r="C228" s="160">
        <v>5543</v>
      </c>
      <c r="D228" s="30">
        <v>1995999900</v>
      </c>
      <c r="E228" s="187">
        <f t="shared" si="6"/>
        <v>450.11724246797763</v>
      </c>
      <c r="F228" s="188">
        <v>5.5429999999999998E-4</v>
      </c>
      <c r="G228" s="189">
        <v>0.24949998749999999</v>
      </c>
      <c r="H228" s="178"/>
      <c r="I228" s="124" t="str">
        <f t="shared" si="7"/>
        <v>(3000, 4000]</v>
      </c>
      <c r="J228" s="160">
        <v>1</v>
      </c>
      <c r="K228" s="205">
        <v>0</v>
      </c>
      <c r="L228" s="188">
        <v>0</v>
      </c>
      <c r="M228" s="208">
        <v>0</v>
      </c>
      <c r="N228" s="195">
        <v>0</v>
      </c>
      <c r="O228" s="211">
        <v>0</v>
      </c>
    </row>
    <row r="229" spans="1:15" ht="15.6">
      <c r="A229" s="201">
        <v>4000</v>
      </c>
      <c r="B229" s="202">
        <v>5000</v>
      </c>
      <c r="C229" s="160">
        <v>2485</v>
      </c>
      <c r="D229" s="30">
        <v>1122360600</v>
      </c>
      <c r="E229" s="187">
        <f t="shared" si="6"/>
        <v>564.56770623742455</v>
      </c>
      <c r="F229" s="188">
        <v>2.4850000000000002E-4</v>
      </c>
      <c r="G229" s="189">
        <v>0.14029507500000002</v>
      </c>
      <c r="H229" s="178"/>
      <c r="I229" s="124" t="str">
        <f t="shared" si="7"/>
        <v>(4000, 5000]</v>
      </c>
      <c r="J229" s="160">
        <v>1</v>
      </c>
      <c r="K229" s="205">
        <v>0</v>
      </c>
      <c r="L229" s="188">
        <v>0</v>
      </c>
      <c r="M229" s="208">
        <v>0</v>
      </c>
      <c r="N229" s="195">
        <v>0</v>
      </c>
      <c r="O229" s="211">
        <v>0</v>
      </c>
    </row>
    <row r="230" spans="1:15" ht="15.6">
      <c r="A230" s="201">
        <v>5000</v>
      </c>
      <c r="B230" s="202">
        <v>6000</v>
      </c>
      <c r="C230" s="160">
        <v>1397</v>
      </c>
      <c r="D230" s="30">
        <v>785936100</v>
      </c>
      <c r="E230" s="187">
        <f t="shared" si="6"/>
        <v>703.2355941302792</v>
      </c>
      <c r="F230" s="188">
        <v>1.3970000000000001E-4</v>
      </c>
      <c r="G230" s="189">
        <v>9.8242012500000003E-2</v>
      </c>
      <c r="H230" s="178"/>
      <c r="I230" s="124" t="str">
        <f t="shared" si="7"/>
        <v>(5000, 6000]</v>
      </c>
      <c r="J230" s="160">
        <v>1</v>
      </c>
      <c r="K230" s="205">
        <v>0</v>
      </c>
      <c r="L230" s="188">
        <v>0</v>
      </c>
      <c r="M230" s="208">
        <v>0</v>
      </c>
      <c r="N230" s="195">
        <v>0</v>
      </c>
      <c r="O230" s="211">
        <v>0</v>
      </c>
    </row>
    <row r="231" spans="1:15" ht="15.6">
      <c r="A231" s="201">
        <v>6000</v>
      </c>
      <c r="B231" s="202">
        <v>7000</v>
      </c>
      <c r="C231" s="160">
        <v>520</v>
      </c>
      <c r="D231" s="30">
        <v>337968900</v>
      </c>
      <c r="E231" s="187">
        <f t="shared" si="6"/>
        <v>812.42524038461534</v>
      </c>
      <c r="F231" s="188">
        <v>5.1999999999999997E-5</v>
      </c>
      <c r="G231" s="189">
        <v>4.2246112499999995E-2</v>
      </c>
      <c r="H231" s="178"/>
      <c r="I231" s="124" t="str">
        <f t="shared" si="7"/>
        <v>(6000, 7000]</v>
      </c>
      <c r="J231" s="160">
        <v>0</v>
      </c>
      <c r="K231" s="205">
        <v>0</v>
      </c>
      <c r="L231" s="188">
        <v>0</v>
      </c>
      <c r="M231" s="208">
        <v>0</v>
      </c>
      <c r="N231" s="195">
        <v>0</v>
      </c>
      <c r="O231" s="211">
        <v>0</v>
      </c>
    </row>
    <row r="232" spans="1:15" thickBot="1">
      <c r="A232" s="203">
        <v>7000</v>
      </c>
      <c r="B232" s="204">
        <v>8000</v>
      </c>
      <c r="C232" s="162">
        <v>841</v>
      </c>
      <c r="D232" s="167">
        <v>783147700</v>
      </c>
      <c r="E232" s="190">
        <f t="shared" si="6"/>
        <v>1164.0126337693223</v>
      </c>
      <c r="F232" s="191">
        <v>8.4099999999999998E-5</v>
      </c>
      <c r="G232" s="192">
        <v>9.78934625E-2</v>
      </c>
      <c r="H232" s="178"/>
      <c r="I232" s="125" t="str">
        <f t="shared" si="7"/>
        <v>(7000, 8000]</v>
      </c>
      <c r="J232" s="162">
        <v>0</v>
      </c>
      <c r="K232" s="206">
        <v>0</v>
      </c>
      <c r="L232" s="191">
        <v>0</v>
      </c>
      <c r="M232" s="209">
        <v>0</v>
      </c>
      <c r="N232" s="196">
        <v>0</v>
      </c>
      <c r="O232" s="212">
        <v>0</v>
      </c>
    </row>
  </sheetData>
  <phoneticPr fontId="2" type="noConversion"/>
  <conditionalFormatting sqref="O4:O55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{4E5876BA-E897-4772-B919-0D4AA8AF3147}</x14:id>
        </ext>
      </extLst>
    </cfRule>
  </conditionalFormatting>
  <conditionalFormatting sqref="N5:N55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{B0EBFB60-E0E6-4E34-8726-8D1E84C65C68}</x14:id>
        </ext>
      </extLst>
    </cfRule>
  </conditionalFormatting>
  <conditionalFormatting sqref="C4:G55 J4:O55">
    <cfRule type="cellIs" dxfId="56" priority="13" operator="equal">
      <formula>0</formula>
    </cfRule>
  </conditionalFormatting>
  <conditionalFormatting sqref="C122:G173 J123:O173 J122:L122 N122:O122">
    <cfRule type="cellIs" dxfId="55" priority="7" operator="equal">
      <formula>0</formula>
    </cfRule>
  </conditionalFormatting>
  <conditionalFormatting sqref="C63:G114 J64:O114 J63:L63 N63:O63">
    <cfRule type="cellIs" dxfId="54" priority="10" operator="equal">
      <formula>0</formula>
    </cfRule>
  </conditionalFormatting>
  <conditionalFormatting sqref="O122:O173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{3B7843E9-5C43-4B88-9BDF-B60ED4B12F14}</x14:id>
        </ext>
      </extLst>
    </cfRule>
  </conditionalFormatting>
  <conditionalFormatting sqref="N123:N173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{312C9551-A3D9-4A8F-993E-F4AAB7AE603C}</x14:id>
        </ext>
      </extLst>
    </cfRule>
  </conditionalFormatting>
  <conditionalFormatting sqref="O63:O114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{61D845AB-0C84-4B61-AC75-644C765681D5}</x14:id>
        </ext>
      </extLst>
    </cfRule>
  </conditionalFormatting>
  <conditionalFormatting sqref="N64:N11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{8D87AAFD-BCF7-4B00-9C8F-5CEA71E246ED}</x14:id>
        </ext>
      </extLst>
    </cfRule>
  </conditionalFormatting>
  <conditionalFormatting sqref="C181:G232 J182:O232 J181:L181 N181:O181">
    <cfRule type="cellIs" dxfId="53" priority="4" operator="equal">
      <formula>0</formula>
    </cfRule>
  </conditionalFormatting>
  <conditionalFormatting sqref="O181:O23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{E0267B40-E3CA-4A97-AA01-7516165BB3D4}</x14:id>
        </ext>
      </extLst>
    </cfRule>
  </conditionalFormatting>
  <conditionalFormatting sqref="N182:N23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{BDE0226D-DDD2-4E04-9612-81BC67BB81B7}</x14:id>
        </ext>
      </extLst>
    </cfRule>
  </conditionalFormatting>
  <conditionalFormatting sqref="M63">
    <cfRule type="cellIs" dxfId="52" priority="3" operator="equal">
      <formula>0</formula>
    </cfRule>
  </conditionalFormatting>
  <conditionalFormatting sqref="M122">
    <cfRule type="cellIs" dxfId="51" priority="2" operator="equal">
      <formula>0</formula>
    </cfRule>
  </conditionalFormatting>
  <conditionalFormatting sqref="M181">
    <cfRule type="cellIs" dxfId="50" priority="1" operator="equal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5876BA-E897-4772-B919-0D4AA8AF31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O4:O55</xm:sqref>
        </x14:conditionalFormatting>
        <x14:conditionalFormatting xmlns:xm="http://schemas.microsoft.com/office/excel/2006/main">
          <x14:cfRule type="dataBar" id="{B0EBFB60-E0E6-4E34-8726-8D1E84C65C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N5:N55</xm:sqref>
        </x14:conditionalFormatting>
        <x14:conditionalFormatting xmlns:xm="http://schemas.microsoft.com/office/excel/2006/main">
          <x14:cfRule type="dataBar" id="{3B7843E9-5C43-4B88-9BDF-B60ED4B12F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O122:O173</xm:sqref>
        </x14:conditionalFormatting>
        <x14:conditionalFormatting xmlns:xm="http://schemas.microsoft.com/office/excel/2006/main">
          <x14:cfRule type="dataBar" id="{312C9551-A3D9-4A8F-993E-F4AAB7AE60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N123:N173</xm:sqref>
        </x14:conditionalFormatting>
        <x14:conditionalFormatting xmlns:xm="http://schemas.microsoft.com/office/excel/2006/main">
          <x14:cfRule type="dataBar" id="{61D845AB-0C84-4B61-AC75-644C765681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O63:O114</xm:sqref>
        </x14:conditionalFormatting>
        <x14:conditionalFormatting xmlns:xm="http://schemas.microsoft.com/office/excel/2006/main">
          <x14:cfRule type="dataBar" id="{8D87AAFD-BCF7-4B00-9C8F-5CEA71E246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N64:N114</xm:sqref>
        </x14:conditionalFormatting>
        <x14:conditionalFormatting xmlns:xm="http://schemas.microsoft.com/office/excel/2006/main">
          <x14:cfRule type="dataBar" id="{E0267B40-E3CA-4A97-AA01-7516165BB3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O181:O232</xm:sqref>
        </x14:conditionalFormatting>
        <x14:conditionalFormatting xmlns:xm="http://schemas.microsoft.com/office/excel/2006/main">
          <x14:cfRule type="dataBar" id="{BDE0226D-DDD2-4E04-9612-81BC67BB81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N182:N232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G211"/>
  <sheetViews>
    <sheetView tabSelected="1" topLeftCell="G67" zoomScale="85" zoomScaleNormal="85" workbookViewId="0">
      <selection activeCell="AG206" sqref="AG206"/>
    </sheetView>
  </sheetViews>
  <sheetFormatPr defaultColWidth="9" defaultRowHeight="16.8" customHeight="1"/>
  <cols>
    <col min="1" max="1" width="9.5546875" style="1" customWidth="1"/>
    <col min="2" max="2" width="25.21875" style="1" customWidth="1"/>
    <col min="3" max="6" width="9" style="1"/>
    <col min="7" max="7" width="4.6640625" style="1" customWidth="1"/>
    <col min="8" max="8" width="9.5546875" style="1" customWidth="1"/>
    <col min="9" max="9" width="25.21875" style="1" customWidth="1"/>
    <col min="10" max="13" width="9" style="1"/>
    <col min="14" max="14" width="5.33203125" style="1" customWidth="1"/>
    <col min="15" max="15" width="9.5546875" style="1" customWidth="1"/>
    <col min="16" max="16" width="25.21875" style="1" customWidth="1"/>
    <col min="17" max="18" width="5.6640625" style="1" bestFit="1" customWidth="1"/>
    <col min="19" max="19" width="5.5546875" style="1" bestFit="1" customWidth="1"/>
    <col min="20" max="21" width="5.6640625" style="1" customWidth="1"/>
    <col min="22" max="22" width="9.33203125" style="23" customWidth="1"/>
    <col min="23" max="26" width="4.44140625" style="1" customWidth="1"/>
    <col min="27" max="37" width="4.33203125" style="1" customWidth="1"/>
    <col min="38" max="38" width="14" style="1" customWidth="1"/>
    <col min="39" max="49" width="4.33203125" style="1" customWidth="1"/>
    <col min="50" max="50" width="14" style="1" customWidth="1"/>
    <col min="51" max="61" width="4.33203125" style="1" customWidth="1"/>
    <col min="62" max="62" width="14" style="1" customWidth="1"/>
    <col min="63" max="73" width="4.33203125" style="1" customWidth="1"/>
    <col min="74" max="74" width="14" style="1" customWidth="1"/>
    <col min="75" max="77" width="4.33203125" style="26" customWidth="1"/>
    <col min="78" max="78" width="9" style="1" customWidth="1"/>
    <col min="79" max="81" width="12" style="1" customWidth="1"/>
    <col min="82" max="83" width="9" style="1" customWidth="1"/>
    <col min="84" max="85" width="9.5546875" style="1" bestFit="1" customWidth="1"/>
    <col min="86" max="16384" width="9" style="1"/>
  </cols>
  <sheetData>
    <row r="1" spans="1:85" s="2" customFormat="1" ht="16.8" customHeight="1" thickBot="1">
      <c r="A1" s="328" t="s">
        <v>138</v>
      </c>
      <c r="B1" s="328"/>
      <c r="C1" s="328"/>
      <c r="D1" s="328"/>
      <c r="E1" s="328"/>
      <c r="F1" s="328"/>
      <c r="G1" s="1"/>
      <c r="H1" s="328" t="s">
        <v>139</v>
      </c>
      <c r="I1" s="328"/>
      <c r="J1" s="328"/>
      <c r="K1" s="328"/>
      <c r="L1" s="328"/>
      <c r="M1" s="328"/>
      <c r="N1" s="1"/>
      <c r="O1" s="328" t="s">
        <v>140</v>
      </c>
      <c r="P1" s="328"/>
      <c r="Q1" s="328"/>
      <c r="R1" s="328"/>
      <c r="S1" s="328"/>
      <c r="T1" s="328"/>
      <c r="U1" s="1"/>
      <c r="V1" s="22" t="s">
        <v>11</v>
      </c>
      <c r="W1" s="1"/>
      <c r="X1" s="1"/>
      <c r="Y1" s="1"/>
      <c r="Z1" s="1"/>
      <c r="AA1" s="134" t="s">
        <v>141</v>
      </c>
      <c r="AB1" s="145"/>
      <c r="AC1" s="145"/>
      <c r="AD1" s="1"/>
      <c r="AE1" s="134" t="s">
        <v>143</v>
      </c>
      <c r="AF1" s="145"/>
      <c r="AG1" s="145"/>
      <c r="AH1" s="1"/>
      <c r="AI1" s="134" t="s">
        <v>142</v>
      </c>
      <c r="AJ1" s="145"/>
      <c r="AK1" s="145"/>
      <c r="AL1" s="1"/>
      <c r="AM1" s="143" t="s">
        <v>145</v>
      </c>
      <c r="AN1" s="146"/>
      <c r="AO1" s="146"/>
      <c r="AP1" s="1"/>
      <c r="AQ1" s="143" t="s">
        <v>146</v>
      </c>
      <c r="AR1" s="146"/>
      <c r="AS1" s="146"/>
      <c r="AT1" s="1"/>
      <c r="AU1" s="143" t="s">
        <v>147</v>
      </c>
      <c r="AV1" s="146"/>
      <c r="AW1" s="146"/>
      <c r="AX1" s="1"/>
      <c r="AY1" s="135" t="s">
        <v>148</v>
      </c>
      <c r="AZ1" s="147"/>
      <c r="BA1" s="147"/>
      <c r="BB1" s="1"/>
      <c r="BC1" s="135" t="s">
        <v>149</v>
      </c>
      <c r="BD1" s="147"/>
      <c r="BE1" s="147"/>
      <c r="BF1" s="1"/>
      <c r="BG1" s="135" t="s">
        <v>150</v>
      </c>
      <c r="BH1" s="147"/>
      <c r="BI1" s="147"/>
      <c r="BJ1" s="1"/>
      <c r="BK1" s="156" t="s">
        <v>151</v>
      </c>
      <c r="BL1" s="157"/>
      <c r="BM1" s="157"/>
      <c r="BN1" s="1"/>
      <c r="BO1" s="156" t="s">
        <v>152</v>
      </c>
      <c r="BP1" s="157"/>
      <c r="BQ1" s="157"/>
      <c r="BR1" s="1"/>
      <c r="BS1" s="156" t="s">
        <v>153</v>
      </c>
      <c r="BT1" s="157"/>
      <c r="BU1" s="157"/>
      <c r="BV1" s="1"/>
      <c r="BW1" s="21" t="s">
        <v>29</v>
      </c>
      <c r="BX1" s="26"/>
      <c r="BY1" s="26"/>
      <c r="CA1" s="2" t="s">
        <v>62</v>
      </c>
    </row>
    <row r="2" spans="1:85" ht="16.8" customHeight="1" thickBot="1">
      <c r="A2" s="86" t="s">
        <v>11</v>
      </c>
      <c r="B2" s="86" t="s">
        <v>12</v>
      </c>
      <c r="C2" s="64" t="s">
        <v>1</v>
      </c>
      <c r="D2" s="64" t="s">
        <v>2</v>
      </c>
      <c r="E2" s="64" t="s">
        <v>3</v>
      </c>
      <c r="F2" s="19" t="s">
        <v>29</v>
      </c>
      <c r="G2" s="2"/>
      <c r="H2" s="86" t="s">
        <v>11</v>
      </c>
      <c r="I2" s="86" t="s">
        <v>12</v>
      </c>
      <c r="J2" s="64" t="s">
        <v>1</v>
      </c>
      <c r="K2" s="64" t="s">
        <v>2</v>
      </c>
      <c r="L2" s="64" t="s">
        <v>3</v>
      </c>
      <c r="M2" s="19" t="s">
        <v>29</v>
      </c>
      <c r="O2" s="86" t="s">
        <v>11</v>
      </c>
      <c r="P2" s="86" t="s">
        <v>12</v>
      </c>
      <c r="Q2" s="64" t="s">
        <v>1</v>
      </c>
      <c r="R2" s="64" t="s">
        <v>2</v>
      </c>
      <c r="S2" s="64" t="s">
        <v>3</v>
      </c>
      <c r="T2" s="19" t="s">
        <v>29</v>
      </c>
      <c r="V2" s="27" t="s">
        <v>52</v>
      </c>
      <c r="W2" s="28" t="s">
        <v>1</v>
      </c>
      <c r="X2" s="24" t="s">
        <v>2</v>
      </c>
      <c r="Y2" s="28" t="s">
        <v>9</v>
      </c>
      <c r="Z2" s="12"/>
      <c r="AA2" s="28" t="s">
        <v>1</v>
      </c>
      <c r="AB2" s="24" t="s">
        <v>2</v>
      </c>
      <c r="AC2" s="28" t="s">
        <v>9</v>
      </c>
      <c r="AD2" s="12"/>
      <c r="AE2" s="28" t="s">
        <v>1</v>
      </c>
      <c r="AF2" s="24" t="s">
        <v>2</v>
      </c>
      <c r="AG2" s="28" t="s">
        <v>9</v>
      </c>
      <c r="AH2" s="12"/>
      <c r="AI2" s="28" t="s">
        <v>1</v>
      </c>
      <c r="AJ2" s="24" t="s">
        <v>2</v>
      </c>
      <c r="AK2" s="28" t="s">
        <v>9</v>
      </c>
      <c r="AL2" s="12"/>
      <c r="AM2" s="28" t="s">
        <v>1</v>
      </c>
      <c r="AN2" s="24" t="s">
        <v>2</v>
      </c>
      <c r="AO2" s="28" t="s">
        <v>9</v>
      </c>
      <c r="AP2" s="12"/>
      <c r="AQ2" s="28" t="s">
        <v>1</v>
      </c>
      <c r="AR2" s="24" t="s">
        <v>2</v>
      </c>
      <c r="AS2" s="28" t="s">
        <v>9</v>
      </c>
      <c r="AT2" s="12"/>
      <c r="AU2" s="28" t="s">
        <v>1</v>
      </c>
      <c r="AV2" s="24" t="s">
        <v>2</v>
      </c>
      <c r="AW2" s="28" t="s">
        <v>9</v>
      </c>
      <c r="AX2" s="12"/>
      <c r="AY2" s="28" t="s">
        <v>1</v>
      </c>
      <c r="AZ2" s="24" t="s">
        <v>2</v>
      </c>
      <c r="BA2" s="28" t="s">
        <v>9</v>
      </c>
      <c r="BB2" s="12"/>
      <c r="BC2" s="28" t="s">
        <v>1</v>
      </c>
      <c r="BD2" s="24" t="s">
        <v>2</v>
      </c>
      <c r="BE2" s="28" t="s">
        <v>9</v>
      </c>
      <c r="BF2" s="12"/>
      <c r="BG2" s="28" t="s">
        <v>1</v>
      </c>
      <c r="BH2" s="24" t="s">
        <v>2</v>
      </c>
      <c r="BI2" s="28" t="s">
        <v>9</v>
      </c>
      <c r="BJ2" s="12"/>
      <c r="BK2" s="28" t="s">
        <v>1</v>
      </c>
      <c r="BL2" s="24" t="s">
        <v>2</v>
      </c>
      <c r="BM2" s="28" t="s">
        <v>9</v>
      </c>
      <c r="BN2" s="12"/>
      <c r="BO2" s="28" t="s">
        <v>1</v>
      </c>
      <c r="BP2" s="24" t="s">
        <v>2</v>
      </c>
      <c r="BQ2" s="28" t="s">
        <v>9</v>
      </c>
      <c r="BR2" s="12"/>
      <c r="BS2" s="28" t="s">
        <v>1</v>
      </c>
      <c r="BT2" s="24" t="s">
        <v>2</v>
      </c>
      <c r="BU2" s="28" t="s">
        <v>9</v>
      </c>
      <c r="BV2" s="12"/>
      <c r="BW2" s="28" t="s">
        <v>1</v>
      </c>
      <c r="BX2" s="24" t="s">
        <v>2</v>
      </c>
      <c r="BY2" s="28" t="s">
        <v>9</v>
      </c>
      <c r="CA2" s="28" t="s">
        <v>1</v>
      </c>
      <c r="CB2" s="24" t="s">
        <v>2</v>
      </c>
      <c r="CC2" s="28" t="s">
        <v>9</v>
      </c>
      <c r="CE2" s="20"/>
      <c r="CF2" s="20"/>
      <c r="CG2" s="20"/>
    </row>
    <row r="3" spans="1:85" ht="16.8" customHeight="1">
      <c r="A3" s="75" t="s">
        <v>15</v>
      </c>
      <c r="B3" s="57" t="s">
        <v>54</v>
      </c>
      <c r="C3" s="76">
        <f>SUMIF(W$3:W$211, $A3, AA$3:AA$211)</f>
        <v>9</v>
      </c>
      <c r="D3" s="77">
        <f>SUMIF(X$3:X$211, $A3, AB$3:AB$211)</f>
        <v>21</v>
      </c>
      <c r="E3" s="77">
        <f>SUMIF(Y$3:Y$211, $A3, AC$3:AC$211)</f>
        <v>21</v>
      </c>
      <c r="F3" s="58">
        <v>0</v>
      </c>
      <c r="H3" s="75" t="str" cm="1">
        <f t="array" ref="H3:I10">A3:B10</f>
        <v>WW</v>
      </c>
      <c r="I3" s="57" t="str">
        <v>Wild</v>
      </c>
      <c r="J3" s="76">
        <f>SUMIF(W$3:W$211, $H3, AE$3:AE$211)</f>
        <v>9</v>
      </c>
      <c r="K3" s="77">
        <f ca="1">SUMIF(X$3:X$211, $H3, AF$3:AF$211)</f>
        <v>21</v>
      </c>
      <c r="L3" s="77">
        <f>SUMIF(Y$3:Y$211, $H3, AG$3:AG$211)</f>
        <v>21</v>
      </c>
      <c r="M3" s="58">
        <v>0</v>
      </c>
      <c r="O3" s="75" t="str" cm="1">
        <f t="array" ref="O3:P10">_xlfn.ANCHORARRAY(H3)</f>
        <v>WW</v>
      </c>
      <c r="P3" s="57" t="str">
        <v>Wild</v>
      </c>
      <c r="Q3" s="76">
        <f>SUMIF(W$3:W$211, $H3, AI$3:AI$211)</f>
        <v>9</v>
      </c>
      <c r="R3" s="77">
        <f t="shared" ref="R3:S3" ca="1" si="0">SUMIF(X$3:X$211, $H3, AJ$3:AJ$211)</f>
        <v>21</v>
      </c>
      <c r="S3" s="77">
        <f t="shared" si="0"/>
        <v>21</v>
      </c>
      <c r="T3" s="58">
        <v>0</v>
      </c>
      <c r="V3" s="27">
        <v>0</v>
      </c>
      <c r="W3" s="29" t="s">
        <v>39</v>
      </c>
      <c r="X3" s="29" t="s">
        <v>15</v>
      </c>
      <c r="Y3" s="29" t="s">
        <v>16</v>
      </c>
      <c r="Z3" s="65"/>
      <c r="AA3" s="29">
        <v>1</v>
      </c>
      <c r="AB3" s="29">
        <v>1</v>
      </c>
      <c r="AC3" s="29">
        <v>1</v>
      </c>
      <c r="AD3" s="65"/>
      <c r="AE3" s="29">
        <f ca="1">OFFSET(AA$2,COUNTA(AA$3:AA$211),0)</f>
        <v>1</v>
      </c>
      <c r="AF3" s="29">
        <f t="shared" ref="AF3:AG3" ca="1" si="1">OFFSET(AB$2,COUNTA(AB$3:AB$211),0)</f>
        <v>1</v>
      </c>
      <c r="AG3" s="29">
        <f t="shared" ca="1" si="1"/>
        <v>1</v>
      </c>
      <c r="AH3" s="65"/>
      <c r="AI3" s="29">
        <f ca="1">OFFSET(AA$2,COUNTA(AA$3:AA$211)-1,0)</f>
        <v>1</v>
      </c>
      <c r="AJ3" s="29">
        <f t="shared" ref="AJ3:AK3" ca="1" si="2">OFFSET(AB$2,COUNTA(AB$3:AB$211)-1,0)</f>
        <v>1</v>
      </c>
      <c r="AK3" s="29">
        <f t="shared" ca="1" si="2"/>
        <v>1</v>
      </c>
      <c r="AL3" s="65"/>
      <c r="AM3" s="29">
        <v>1</v>
      </c>
      <c r="AN3" s="29">
        <v>1</v>
      </c>
      <c r="AO3" s="29">
        <v>1</v>
      </c>
      <c r="AP3" s="65"/>
      <c r="AQ3" s="29">
        <f ca="1">OFFSET(AM$2,COUNTA(AM$3:AM$211),0)</f>
        <v>1</v>
      </c>
      <c r="AR3" s="29">
        <f t="shared" ref="AR3" ca="1" si="3">OFFSET(AN$2,COUNTA(AN$3:AN$211),0)</f>
        <v>1</v>
      </c>
      <c r="AS3" s="29">
        <f t="shared" ref="AS3" ca="1" si="4">OFFSET(AO$2,COUNTA(AO$3:AO$211),0)</f>
        <v>1</v>
      </c>
      <c r="AT3" s="65"/>
      <c r="AU3" s="29">
        <f ca="1">OFFSET(AM$2,COUNTA(AM$3:AM$211)-1,0)</f>
        <v>1</v>
      </c>
      <c r="AV3" s="29">
        <f t="shared" ref="AV3" ca="1" si="5">OFFSET(AN$2,COUNTA(AN$3:AN$211)-1,0)</f>
        <v>1</v>
      </c>
      <c r="AW3" s="29">
        <f t="shared" ref="AW3" ca="1" si="6">OFFSET(AO$2,COUNTA(AO$3:AO$211)-1,0)</f>
        <v>1</v>
      </c>
      <c r="AX3" s="65"/>
      <c r="AY3" s="29">
        <v>1</v>
      </c>
      <c r="AZ3" s="29">
        <v>1</v>
      </c>
      <c r="BA3" s="29">
        <v>1</v>
      </c>
      <c r="BB3" s="65"/>
      <c r="BC3" s="29">
        <f ca="1">OFFSET(AY$2,COUNTA(AY$3:AY$211),0)</f>
        <v>1</v>
      </c>
      <c r="BD3" s="29">
        <f t="shared" ref="BD3" ca="1" si="7">OFFSET(AZ$2,COUNTA(AZ$3:AZ$211),0)</f>
        <v>1</v>
      </c>
      <c r="BE3" s="29">
        <f t="shared" ref="BE3" ca="1" si="8">OFFSET(BA$2,COUNTA(BA$3:BA$211),0)</f>
        <v>1</v>
      </c>
      <c r="BF3" s="65"/>
      <c r="BG3" s="29">
        <f ca="1">OFFSET(AY$2,COUNTA(AY$3:AY$211)-1,0)</f>
        <v>1</v>
      </c>
      <c r="BH3" s="29">
        <f t="shared" ref="BH3" ca="1" si="9">OFFSET(AZ$2,COUNTA(AZ$3:AZ$211)-1,0)</f>
        <v>1</v>
      </c>
      <c r="BI3" s="29">
        <f t="shared" ref="BI3" ca="1" si="10">OFFSET(BA$2,COUNTA(BA$3:BA$211)-1,0)</f>
        <v>1</v>
      </c>
      <c r="BJ3" s="65"/>
      <c r="BK3" s="29">
        <v>100</v>
      </c>
      <c r="BL3" s="29">
        <v>467</v>
      </c>
      <c r="BM3" s="29">
        <v>100</v>
      </c>
      <c r="BN3" s="65"/>
      <c r="BO3" s="29">
        <f ca="1">OFFSET(BK$2,COUNTA(BK$3:BK$211),0)</f>
        <v>100</v>
      </c>
      <c r="BP3" s="29">
        <f t="shared" ref="BP3" ca="1" si="11">OFFSET(BL$2,COUNTA(BL$3:BL$211),0)</f>
        <v>584</v>
      </c>
      <c r="BQ3" s="29">
        <f t="shared" ref="BQ3" ca="1" si="12">OFFSET(BM$2,COUNTA(BM$3:BM$211),0)</f>
        <v>100</v>
      </c>
      <c r="BR3" s="65"/>
      <c r="BS3" s="29">
        <f ca="1">OFFSET(BK$2,COUNTA(BK$3:BK$211)-1,0)</f>
        <v>447</v>
      </c>
      <c r="BT3" s="29">
        <f t="shared" ref="BT3" ca="1" si="13">OFFSET(BL$2,COUNTA(BL$3:BL$211)-1,0)</f>
        <v>701</v>
      </c>
      <c r="BU3" s="29">
        <f t="shared" ref="BU3" ca="1" si="14">OFFSET(BM$2,COUNTA(BM$3:BM$211)-1,0)</f>
        <v>100</v>
      </c>
      <c r="BV3" s="65"/>
      <c r="BW3" s="8">
        <f>IF(W3="","",VLOOKUP('Regular Symbol'!W3,'Regular Symbol'!$O$3:$T$13,6,0))</f>
        <v>7</v>
      </c>
      <c r="BX3" s="8">
        <f>IF(X3="","",VLOOKUP('Regular Symbol'!X3,'Regular Symbol'!$O$3:$T$13,6,0))</f>
        <v>0</v>
      </c>
      <c r="BY3" s="8">
        <f>IF(Y3="","",VLOOKUP('Regular Symbol'!Y3,'Regular Symbol'!$O$3:$T$13,6,0))</f>
        <v>1</v>
      </c>
      <c r="CA3" s="8" t="str">
        <f t="shared" ref="CA3:CA66" si="15">IF(W3&lt;&gt;"", VLOOKUP(W3,$O$3:$P$13,2,0), "")</f>
        <v>J</v>
      </c>
      <c r="CB3" s="8" t="str">
        <f t="shared" ref="CB3:CB66" si="16">IF(X3&lt;&gt;"", VLOOKUP(X3,$O$3:$P$13,2,0), "")</f>
        <v>Wild</v>
      </c>
      <c r="CC3" s="8" t="str">
        <f t="shared" ref="CC3:CC66" si="17">IF(Y3&lt;&gt;"", VLOOKUP(Y3,$O$3:$P$13,2,0), "")</f>
        <v>M1</v>
      </c>
      <c r="CE3" s="20"/>
      <c r="CF3" s="20"/>
      <c r="CG3" s="20"/>
    </row>
    <row r="4" spans="1:85" ht="16.8" customHeight="1">
      <c r="A4" s="78" t="s">
        <v>16</v>
      </c>
      <c r="B4" s="106" t="s">
        <v>26</v>
      </c>
      <c r="C4" s="79">
        <f t="shared" ref="C4:C10" si="18">SUMIF(W$3:W$211, $A4, AA$3:AA$211)</f>
        <v>14</v>
      </c>
      <c r="D4" s="70">
        <f t="shared" ref="D4:D10" si="19">SUMIF(X$3:X$211, $A4, AB$3:AB$211)</f>
        <v>24</v>
      </c>
      <c r="E4" s="70">
        <f t="shared" ref="E4:E10" si="20">SUMIF(Y$3:Y$211, $A4, AC$3:AC$211)</f>
        <v>23</v>
      </c>
      <c r="F4" s="58">
        <v>1</v>
      </c>
      <c r="H4" s="78" t="str">
        <v>M1</v>
      </c>
      <c r="I4" s="155" t="str">
        <v>M1</v>
      </c>
      <c r="J4" s="79">
        <f t="shared" ref="J4:J10" si="21">SUMIF(W$3:W$211, $H4, AE$3:AE$211)</f>
        <v>14</v>
      </c>
      <c r="K4" s="70">
        <f t="shared" ref="K4:K10" si="22">SUMIF(X$3:X$211, $H4, AF$3:AF$211)</f>
        <v>24</v>
      </c>
      <c r="L4" s="70">
        <f t="shared" ref="L4:L10" ca="1" si="23">SUMIF(Y$3:Y$211, $H4, AG$3:AG$211)</f>
        <v>23</v>
      </c>
      <c r="M4" s="58">
        <v>1</v>
      </c>
      <c r="O4" s="78" t="str">
        <v>M1</v>
      </c>
      <c r="P4" s="155" t="str">
        <v>M1</v>
      </c>
      <c r="Q4" s="79">
        <f t="shared" ref="Q4:Q10" si="24">SUMIF(W$3:W$211, $H4, AI$3:AI$211)</f>
        <v>14</v>
      </c>
      <c r="R4" s="70">
        <f t="shared" ref="R4:R10" si="25">SUMIF(X$3:X$211, $H4, AJ$3:AJ$211)</f>
        <v>24</v>
      </c>
      <c r="S4" s="70">
        <f t="shared" ref="S4:S10" ca="1" si="26">SUMIF(Y$3:Y$211, $H4, AK$3:AK$211)</f>
        <v>23</v>
      </c>
      <c r="T4" s="58">
        <v>1</v>
      </c>
      <c r="V4" s="27">
        <v>1</v>
      </c>
      <c r="W4" s="29" t="s">
        <v>38</v>
      </c>
      <c r="X4" s="29" t="s">
        <v>15</v>
      </c>
      <c r="Y4" s="29" t="s">
        <v>16</v>
      </c>
      <c r="Z4" s="65"/>
      <c r="AA4" s="29">
        <v>1</v>
      </c>
      <c r="AB4" s="29">
        <v>1</v>
      </c>
      <c r="AC4" s="29">
        <v>1</v>
      </c>
      <c r="AD4" s="65"/>
      <c r="AE4" s="29">
        <f>IF(AA3="","",AA3)</f>
        <v>1</v>
      </c>
      <c r="AF4" s="29">
        <f t="shared" ref="AF4:AG4" si="27">IF(AB3="","",AB3)</f>
        <v>1</v>
      </c>
      <c r="AG4" s="29">
        <f t="shared" si="27"/>
        <v>1</v>
      </c>
      <c r="AH4" s="65"/>
      <c r="AI4" s="29">
        <f ca="1">OFFSET(AA$2,COUNTA(AA$3:AA$211),0)</f>
        <v>1</v>
      </c>
      <c r="AJ4" s="29">
        <f t="shared" ref="AJ4:AK4" ca="1" si="28">OFFSET(AB$2,COUNTA(AB$3:AB$211),0)</f>
        <v>1</v>
      </c>
      <c r="AK4" s="29">
        <f t="shared" ca="1" si="28"/>
        <v>1</v>
      </c>
      <c r="AL4" s="65"/>
      <c r="AM4" s="29">
        <v>1</v>
      </c>
      <c r="AN4" s="29">
        <v>1</v>
      </c>
      <c r="AO4" s="29">
        <v>1</v>
      </c>
      <c r="AP4" s="65"/>
      <c r="AQ4" s="29">
        <f>IF(AM3="","",AM3)</f>
        <v>1</v>
      </c>
      <c r="AR4" s="29">
        <f t="shared" ref="AR4:AR67" si="29">IF(AN3="","",AN3)</f>
        <v>1</v>
      </c>
      <c r="AS4" s="29">
        <f t="shared" ref="AS4:AS67" si="30">IF(AO3="","",AO3)</f>
        <v>1</v>
      </c>
      <c r="AT4" s="65"/>
      <c r="AU4" s="29">
        <f ca="1">OFFSET(AM$2,COUNTA(AM$3:AM$211),0)</f>
        <v>1</v>
      </c>
      <c r="AV4" s="29">
        <f t="shared" ref="AV4" ca="1" si="31">OFFSET(AN$2,COUNTA(AN$3:AN$211),0)</f>
        <v>1</v>
      </c>
      <c r="AW4" s="29">
        <f t="shared" ref="AW4" ca="1" si="32">OFFSET(AO$2,COUNTA(AO$3:AO$211),0)</f>
        <v>1</v>
      </c>
      <c r="AX4" s="65"/>
      <c r="AY4" s="29">
        <v>1</v>
      </c>
      <c r="AZ4" s="29">
        <v>1</v>
      </c>
      <c r="BA4" s="29">
        <v>1</v>
      </c>
      <c r="BB4" s="65"/>
      <c r="BC4" s="29">
        <f>IF(AY3="","",AY3)</f>
        <v>1</v>
      </c>
      <c r="BD4" s="29">
        <f t="shared" ref="BD4:BD67" si="33">IF(AZ3="","",AZ3)</f>
        <v>1</v>
      </c>
      <c r="BE4" s="29">
        <f t="shared" ref="BE4:BE67" si="34">IF(BA3="","",BA3)</f>
        <v>1</v>
      </c>
      <c r="BF4" s="65"/>
      <c r="BG4" s="29">
        <f ca="1">OFFSET(AY$2,COUNTA(AY$3:AY$211),0)</f>
        <v>1</v>
      </c>
      <c r="BH4" s="29">
        <f t="shared" ref="BH4" ca="1" si="35">OFFSET(AZ$2,COUNTA(AZ$3:AZ$211),0)</f>
        <v>1</v>
      </c>
      <c r="BI4" s="29">
        <f t="shared" ref="BI4" ca="1" si="36">OFFSET(BA$2,COUNTA(BA$3:BA$211),0)</f>
        <v>1</v>
      </c>
      <c r="BJ4" s="65"/>
      <c r="BK4" s="29">
        <v>447</v>
      </c>
      <c r="BL4" s="29">
        <v>584</v>
      </c>
      <c r="BM4" s="29">
        <v>677</v>
      </c>
      <c r="BN4" s="65"/>
      <c r="BO4" s="29">
        <f>IF(BK3="","",BK3)</f>
        <v>100</v>
      </c>
      <c r="BP4" s="29">
        <f t="shared" ref="BP4:BP67" si="37">IF(BL3="","",BL3)</f>
        <v>467</v>
      </c>
      <c r="BQ4" s="29">
        <f t="shared" ref="BQ4:BQ67" si="38">IF(BM3="","",BM3)</f>
        <v>100</v>
      </c>
      <c r="BR4" s="65"/>
      <c r="BS4" s="29">
        <f ca="1">OFFSET(BK$2,COUNTA(BK$3:BK$211),0)</f>
        <v>100</v>
      </c>
      <c r="BT4" s="29">
        <f t="shared" ref="BT4" ca="1" si="39">OFFSET(BL$2,COUNTA(BL$3:BL$211),0)</f>
        <v>584</v>
      </c>
      <c r="BU4" s="29">
        <f t="shared" ref="BU4" ca="1" si="40">OFFSET(BM$2,COUNTA(BM$3:BM$211),0)</f>
        <v>100</v>
      </c>
      <c r="BV4" s="65"/>
      <c r="BW4" s="8">
        <f>IF(W4="","",VLOOKUP('Regular Symbol'!W4,'Regular Symbol'!$O$3:$T$13,6,0))</f>
        <v>5</v>
      </c>
      <c r="BX4" s="8">
        <f>IF(X4="","",VLOOKUP('Regular Symbol'!X4,'Regular Symbol'!$O$3:$T$13,6,0))</f>
        <v>0</v>
      </c>
      <c r="BY4" s="8">
        <f>IF(Y4="","",VLOOKUP('Regular Symbol'!Y4,'Regular Symbol'!$O$3:$T$13,6,0))</f>
        <v>1</v>
      </c>
      <c r="CA4" s="8" t="str">
        <f t="shared" si="15"/>
        <v>K</v>
      </c>
      <c r="CB4" s="8" t="str">
        <f t="shared" si="16"/>
        <v>Wild</v>
      </c>
      <c r="CC4" s="8" t="str">
        <f t="shared" si="17"/>
        <v>M1</v>
      </c>
      <c r="CE4" s="20"/>
      <c r="CF4" s="20"/>
      <c r="CG4" s="20"/>
    </row>
    <row r="5" spans="1:85" ht="16.8" customHeight="1">
      <c r="A5" s="78" t="s">
        <v>17</v>
      </c>
      <c r="B5" s="58" t="s">
        <v>27</v>
      </c>
      <c r="C5" s="79">
        <f t="shared" si="18"/>
        <v>13</v>
      </c>
      <c r="D5" s="70">
        <f t="shared" si="19"/>
        <v>26</v>
      </c>
      <c r="E5" s="70">
        <f t="shared" si="20"/>
        <v>27</v>
      </c>
      <c r="F5" s="58">
        <v>2</v>
      </c>
      <c r="H5" s="78" t="str">
        <v>M2</v>
      </c>
      <c r="I5" s="58" t="str">
        <v>M2</v>
      </c>
      <c r="J5" s="79">
        <f t="shared" si="21"/>
        <v>13</v>
      </c>
      <c r="K5" s="70">
        <f t="shared" si="22"/>
        <v>26</v>
      </c>
      <c r="L5" s="70">
        <f t="shared" si="23"/>
        <v>27</v>
      </c>
      <c r="M5" s="58">
        <v>2</v>
      </c>
      <c r="O5" s="78" t="str">
        <v>M2</v>
      </c>
      <c r="P5" s="58" t="str">
        <v>M2</v>
      </c>
      <c r="Q5" s="79">
        <f t="shared" si="24"/>
        <v>13</v>
      </c>
      <c r="R5" s="70">
        <f t="shared" si="25"/>
        <v>26</v>
      </c>
      <c r="S5" s="70">
        <f t="shared" si="26"/>
        <v>27</v>
      </c>
      <c r="T5" s="58">
        <v>2</v>
      </c>
      <c r="V5" s="27">
        <v>2</v>
      </c>
      <c r="W5" s="29" t="s">
        <v>38</v>
      </c>
      <c r="X5" s="29" t="s">
        <v>15</v>
      </c>
      <c r="Y5" s="29" t="s">
        <v>16</v>
      </c>
      <c r="Z5" s="65"/>
      <c r="AA5" s="29">
        <v>1</v>
      </c>
      <c r="AB5" s="29">
        <v>1</v>
      </c>
      <c r="AC5" s="29">
        <v>1</v>
      </c>
      <c r="AD5" s="65"/>
      <c r="AE5" s="29">
        <f t="shared" ref="AE5:AE68" si="41">IF(AA4="","",AA4)</f>
        <v>1</v>
      </c>
      <c r="AF5" s="29">
        <f t="shared" ref="AF5:AF68" si="42">IF(AB4="","",AB4)</f>
        <v>1</v>
      </c>
      <c r="AG5" s="29">
        <f t="shared" ref="AG5:AG68" si="43">IF(AC4="","",AC4)</f>
        <v>1</v>
      </c>
      <c r="AH5" s="65"/>
      <c r="AI5" s="29">
        <f>IF(AA3="","",AA3)</f>
        <v>1</v>
      </c>
      <c r="AJ5" s="29">
        <f t="shared" ref="AJ5:AK5" si="44">IF(AB3="","",AB3)</f>
        <v>1</v>
      </c>
      <c r="AK5" s="29">
        <f t="shared" si="44"/>
        <v>1</v>
      </c>
      <c r="AL5" s="65"/>
      <c r="AM5" s="29">
        <v>1</v>
      </c>
      <c r="AN5" s="29">
        <v>1</v>
      </c>
      <c r="AO5" s="29">
        <v>1</v>
      </c>
      <c r="AP5" s="65"/>
      <c r="AQ5" s="29">
        <f t="shared" ref="AQ5:AQ68" si="45">IF(AM4="","",AM4)</f>
        <v>1</v>
      </c>
      <c r="AR5" s="29">
        <f t="shared" si="29"/>
        <v>1</v>
      </c>
      <c r="AS5" s="29">
        <f t="shared" si="30"/>
        <v>1</v>
      </c>
      <c r="AT5" s="65"/>
      <c r="AU5" s="29">
        <f>IF(AM3="","",AM3)</f>
        <v>1</v>
      </c>
      <c r="AV5" s="29">
        <f t="shared" ref="AV5:AV68" si="46">IF(AN3="","",AN3)</f>
        <v>1</v>
      </c>
      <c r="AW5" s="29">
        <f t="shared" ref="AW5:AW68" si="47">IF(AO3="","",AO3)</f>
        <v>1</v>
      </c>
      <c r="AX5" s="65"/>
      <c r="AY5" s="29">
        <v>1</v>
      </c>
      <c r="AZ5" s="29">
        <v>1</v>
      </c>
      <c r="BA5" s="29">
        <v>1</v>
      </c>
      <c r="BB5" s="65"/>
      <c r="BC5" s="29">
        <f t="shared" ref="BC5:BC68" si="48">IF(AY4="","",AY4)</f>
        <v>1</v>
      </c>
      <c r="BD5" s="29">
        <f t="shared" si="33"/>
        <v>1</v>
      </c>
      <c r="BE5" s="29">
        <f t="shared" si="34"/>
        <v>1</v>
      </c>
      <c r="BF5" s="65"/>
      <c r="BG5" s="29">
        <f>IF(AY3="","",AY3)</f>
        <v>1</v>
      </c>
      <c r="BH5" s="29">
        <f t="shared" ref="BH5:BH68" si="49">IF(AZ3="","",AZ3)</f>
        <v>1</v>
      </c>
      <c r="BI5" s="29">
        <f t="shared" ref="BI5:BI68" si="50">IF(BA3="","",BA3)</f>
        <v>1</v>
      </c>
      <c r="BJ5" s="65"/>
      <c r="BK5" s="29">
        <v>373</v>
      </c>
      <c r="BL5" s="29">
        <v>701</v>
      </c>
      <c r="BM5" s="29">
        <v>564</v>
      </c>
      <c r="BN5" s="65"/>
      <c r="BO5" s="29">
        <f t="shared" ref="BO5:BO68" si="51">IF(BK4="","",BK4)</f>
        <v>447</v>
      </c>
      <c r="BP5" s="29">
        <f t="shared" si="37"/>
        <v>584</v>
      </c>
      <c r="BQ5" s="29">
        <f t="shared" si="38"/>
        <v>677</v>
      </c>
      <c r="BR5" s="65"/>
      <c r="BS5" s="29">
        <f>IF(BK3="","",BK3)</f>
        <v>100</v>
      </c>
      <c r="BT5" s="29">
        <f t="shared" ref="BT5:BT68" si="52">IF(BL3="","",BL3)</f>
        <v>467</v>
      </c>
      <c r="BU5" s="29">
        <f t="shared" ref="BU5:BU68" si="53">IF(BM3="","",BM3)</f>
        <v>100</v>
      </c>
      <c r="BV5" s="65"/>
      <c r="BW5" s="8">
        <f>IF(W5="","",VLOOKUP('Regular Symbol'!W5,'Regular Symbol'!$O$3:$T$13,6,0))</f>
        <v>5</v>
      </c>
      <c r="BX5" s="8">
        <f>IF(X5="","",VLOOKUP('Regular Symbol'!X5,'Regular Symbol'!$O$3:$T$13,6,0))</f>
        <v>0</v>
      </c>
      <c r="BY5" s="8">
        <f>IF(Y5="","",VLOOKUP('Regular Symbol'!Y5,'Regular Symbol'!$O$3:$T$13,6,0))</f>
        <v>1</v>
      </c>
      <c r="CA5" s="8" t="str">
        <f t="shared" si="15"/>
        <v>K</v>
      </c>
      <c r="CB5" s="8" t="str">
        <f t="shared" si="16"/>
        <v>Wild</v>
      </c>
      <c r="CC5" s="8" t="str">
        <f t="shared" si="17"/>
        <v>M1</v>
      </c>
      <c r="CE5" s="20"/>
      <c r="CF5" s="20"/>
      <c r="CG5" s="20"/>
    </row>
    <row r="6" spans="1:85" ht="16.8" customHeight="1">
      <c r="A6" s="78" t="s">
        <v>18</v>
      </c>
      <c r="B6" s="58" t="s">
        <v>28</v>
      </c>
      <c r="C6" s="79">
        <f t="shared" si="18"/>
        <v>14</v>
      </c>
      <c r="D6" s="70">
        <f t="shared" si="19"/>
        <v>25</v>
      </c>
      <c r="E6" s="70">
        <f t="shared" si="20"/>
        <v>28</v>
      </c>
      <c r="F6" s="58">
        <v>3</v>
      </c>
      <c r="H6" s="78" t="str">
        <v>M3</v>
      </c>
      <c r="I6" s="58" t="str">
        <v>M3</v>
      </c>
      <c r="J6" s="79">
        <f t="shared" si="21"/>
        <v>14</v>
      </c>
      <c r="K6" s="70">
        <f t="shared" si="22"/>
        <v>25</v>
      </c>
      <c r="L6" s="70">
        <f t="shared" si="23"/>
        <v>28</v>
      </c>
      <c r="M6" s="58">
        <v>3</v>
      </c>
      <c r="O6" s="78" t="str">
        <v>M3</v>
      </c>
      <c r="P6" s="58" t="str">
        <v>M3</v>
      </c>
      <c r="Q6" s="79">
        <f t="shared" si="24"/>
        <v>14</v>
      </c>
      <c r="R6" s="70">
        <f t="shared" si="25"/>
        <v>25</v>
      </c>
      <c r="S6" s="70">
        <f t="shared" si="26"/>
        <v>28</v>
      </c>
      <c r="T6" s="58">
        <v>3</v>
      </c>
      <c r="V6" s="27">
        <v>3</v>
      </c>
      <c r="W6" s="29" t="s">
        <v>15</v>
      </c>
      <c r="X6" s="29" t="s">
        <v>84</v>
      </c>
      <c r="Y6" s="29" t="s">
        <v>25</v>
      </c>
      <c r="Z6" s="65"/>
      <c r="AA6" s="29">
        <v>1</v>
      </c>
      <c r="AB6" s="29">
        <v>1</v>
      </c>
      <c r="AC6" s="29">
        <v>1</v>
      </c>
      <c r="AD6" s="65"/>
      <c r="AE6" s="29">
        <f t="shared" si="41"/>
        <v>1</v>
      </c>
      <c r="AF6" s="29">
        <f t="shared" si="42"/>
        <v>1</v>
      </c>
      <c r="AG6" s="29">
        <f t="shared" si="43"/>
        <v>1</v>
      </c>
      <c r="AH6" s="65"/>
      <c r="AI6" s="29">
        <f t="shared" ref="AI6:AI69" si="54">IF(AA4="","",AA4)</f>
        <v>1</v>
      </c>
      <c r="AJ6" s="29">
        <f t="shared" ref="AJ6:AJ69" si="55">IF(AB4="","",AB4)</f>
        <v>1</v>
      </c>
      <c r="AK6" s="29">
        <f t="shared" ref="AK6:AK69" si="56">IF(AC4="","",AC4)</f>
        <v>1</v>
      </c>
      <c r="AL6" s="65"/>
      <c r="AM6" s="29">
        <v>1</v>
      </c>
      <c r="AN6" s="29">
        <v>1</v>
      </c>
      <c r="AO6" s="29">
        <v>1</v>
      </c>
      <c r="AP6" s="65"/>
      <c r="AQ6" s="29">
        <f t="shared" si="45"/>
        <v>1</v>
      </c>
      <c r="AR6" s="29">
        <f t="shared" si="29"/>
        <v>1</v>
      </c>
      <c r="AS6" s="29">
        <f t="shared" si="30"/>
        <v>1</v>
      </c>
      <c r="AT6" s="65"/>
      <c r="AU6" s="29">
        <f t="shared" ref="AU6:AU69" si="57">IF(AM4="","",AM4)</f>
        <v>1</v>
      </c>
      <c r="AV6" s="29">
        <f t="shared" si="46"/>
        <v>1</v>
      </c>
      <c r="AW6" s="29">
        <f t="shared" si="47"/>
        <v>1</v>
      </c>
      <c r="AX6" s="65"/>
      <c r="AY6" s="29">
        <v>1</v>
      </c>
      <c r="AZ6" s="29">
        <v>1</v>
      </c>
      <c r="BA6" s="29">
        <v>1</v>
      </c>
      <c r="BB6" s="65"/>
      <c r="BC6" s="29">
        <f t="shared" si="48"/>
        <v>1</v>
      </c>
      <c r="BD6" s="29">
        <f t="shared" si="33"/>
        <v>1</v>
      </c>
      <c r="BE6" s="29">
        <f t="shared" si="34"/>
        <v>1</v>
      </c>
      <c r="BF6" s="65"/>
      <c r="BG6" s="29">
        <f t="shared" ref="BG6:BG69" si="58">IF(AY4="","",AY4)</f>
        <v>1</v>
      </c>
      <c r="BH6" s="29">
        <f t="shared" si="49"/>
        <v>1</v>
      </c>
      <c r="BI6" s="29">
        <f t="shared" si="50"/>
        <v>1</v>
      </c>
      <c r="BJ6" s="65"/>
      <c r="BK6" s="29">
        <v>298</v>
      </c>
      <c r="BL6" s="29">
        <v>100</v>
      </c>
      <c r="BM6" s="29">
        <v>451</v>
      </c>
      <c r="BN6" s="65"/>
      <c r="BO6" s="29">
        <f t="shared" si="51"/>
        <v>373</v>
      </c>
      <c r="BP6" s="29">
        <f t="shared" si="37"/>
        <v>701</v>
      </c>
      <c r="BQ6" s="29">
        <f t="shared" si="38"/>
        <v>564</v>
      </c>
      <c r="BR6" s="65"/>
      <c r="BS6" s="29">
        <f t="shared" ref="BS6:BS69" si="59">IF(BK4="","",BK4)</f>
        <v>447</v>
      </c>
      <c r="BT6" s="29">
        <f t="shared" si="52"/>
        <v>584</v>
      </c>
      <c r="BU6" s="29">
        <f t="shared" si="53"/>
        <v>677</v>
      </c>
      <c r="BV6" s="65"/>
      <c r="BW6" s="8">
        <f>IF(W6="","",VLOOKUP('Regular Symbol'!W6,'Regular Symbol'!$O$3:$T$13,6,0))</f>
        <v>0</v>
      </c>
      <c r="BX6" s="8">
        <f>IF(X6="","",VLOOKUP('Regular Symbol'!X6,'Regular Symbol'!$O$3:$T$13,6,0))</f>
        <v>7</v>
      </c>
      <c r="BY6" s="8">
        <f>IF(Y6="","",VLOOKUP('Regular Symbol'!Y6,'Regular Symbol'!$O$3:$T$13,6,0))</f>
        <v>0</v>
      </c>
      <c r="CA6" s="8" t="str">
        <f t="shared" si="15"/>
        <v>Wild</v>
      </c>
      <c r="CB6" s="8" t="str">
        <f t="shared" si="16"/>
        <v>J</v>
      </c>
      <c r="CC6" s="8" t="str">
        <f t="shared" si="17"/>
        <v>Wild</v>
      </c>
      <c r="CE6" s="20"/>
      <c r="CF6" s="20"/>
      <c r="CG6" s="20"/>
    </row>
    <row r="7" spans="1:85" ht="16.8" customHeight="1">
      <c r="A7" s="78" t="s">
        <v>41</v>
      </c>
      <c r="B7" s="58" t="s">
        <v>41</v>
      </c>
      <c r="C7" s="79">
        <f t="shared" si="18"/>
        <v>18</v>
      </c>
      <c r="D7" s="70">
        <f t="shared" si="19"/>
        <v>30</v>
      </c>
      <c r="E7" s="70">
        <f t="shared" si="20"/>
        <v>23</v>
      </c>
      <c r="F7" s="58">
        <v>4</v>
      </c>
      <c r="H7" s="78" t="str">
        <v>A</v>
      </c>
      <c r="I7" s="58" t="str">
        <v>A</v>
      </c>
      <c r="J7" s="79">
        <f t="shared" si="21"/>
        <v>18</v>
      </c>
      <c r="K7" s="70">
        <f t="shared" si="22"/>
        <v>30</v>
      </c>
      <c r="L7" s="70">
        <f t="shared" si="23"/>
        <v>23</v>
      </c>
      <c r="M7" s="58">
        <v>4</v>
      </c>
      <c r="O7" s="78" t="str">
        <v>A</v>
      </c>
      <c r="P7" s="58" t="str">
        <v>A</v>
      </c>
      <c r="Q7" s="79">
        <f t="shared" si="24"/>
        <v>18</v>
      </c>
      <c r="R7" s="70">
        <f t="shared" si="25"/>
        <v>30</v>
      </c>
      <c r="S7" s="70">
        <f t="shared" si="26"/>
        <v>23</v>
      </c>
      <c r="T7" s="58">
        <v>4</v>
      </c>
      <c r="V7" s="27">
        <v>4</v>
      </c>
      <c r="W7" s="29" t="s">
        <v>15</v>
      </c>
      <c r="X7" s="29" t="s">
        <v>84</v>
      </c>
      <c r="Y7" s="29" t="s">
        <v>25</v>
      </c>
      <c r="Z7" s="65"/>
      <c r="AA7" s="29">
        <v>1</v>
      </c>
      <c r="AB7" s="29">
        <v>1</v>
      </c>
      <c r="AC7" s="29">
        <v>1</v>
      </c>
      <c r="AD7" s="65"/>
      <c r="AE7" s="29">
        <f t="shared" si="41"/>
        <v>1</v>
      </c>
      <c r="AF7" s="29">
        <f t="shared" si="42"/>
        <v>1</v>
      </c>
      <c r="AG7" s="29">
        <f t="shared" si="43"/>
        <v>1</v>
      </c>
      <c r="AH7" s="65"/>
      <c r="AI7" s="29">
        <f t="shared" si="54"/>
        <v>1</v>
      </c>
      <c r="AJ7" s="29">
        <f t="shared" si="55"/>
        <v>1</v>
      </c>
      <c r="AK7" s="29">
        <f t="shared" si="56"/>
        <v>1</v>
      </c>
      <c r="AL7" s="65"/>
      <c r="AM7" s="29">
        <v>1</v>
      </c>
      <c r="AN7" s="29">
        <v>1</v>
      </c>
      <c r="AO7" s="29">
        <v>1</v>
      </c>
      <c r="AP7" s="65"/>
      <c r="AQ7" s="29">
        <f t="shared" si="45"/>
        <v>1</v>
      </c>
      <c r="AR7" s="29">
        <f t="shared" si="29"/>
        <v>1</v>
      </c>
      <c r="AS7" s="29">
        <f t="shared" si="30"/>
        <v>1</v>
      </c>
      <c r="AT7" s="65"/>
      <c r="AU7" s="29">
        <f t="shared" si="57"/>
        <v>1</v>
      </c>
      <c r="AV7" s="29">
        <f t="shared" si="46"/>
        <v>1</v>
      </c>
      <c r="AW7" s="29">
        <f t="shared" si="47"/>
        <v>1</v>
      </c>
      <c r="AX7" s="65"/>
      <c r="AY7" s="29">
        <v>1</v>
      </c>
      <c r="AZ7" s="29">
        <v>1</v>
      </c>
      <c r="BA7" s="29">
        <v>1</v>
      </c>
      <c r="BB7" s="65"/>
      <c r="BC7" s="29">
        <f t="shared" si="48"/>
        <v>1</v>
      </c>
      <c r="BD7" s="29">
        <f t="shared" si="33"/>
        <v>1</v>
      </c>
      <c r="BE7" s="29">
        <f t="shared" si="34"/>
        <v>1</v>
      </c>
      <c r="BF7" s="65"/>
      <c r="BG7" s="29">
        <f t="shared" si="58"/>
        <v>1</v>
      </c>
      <c r="BH7" s="29">
        <f t="shared" si="49"/>
        <v>1</v>
      </c>
      <c r="BI7" s="29">
        <f t="shared" si="50"/>
        <v>1</v>
      </c>
      <c r="BJ7" s="65"/>
      <c r="BK7" s="29">
        <v>373</v>
      </c>
      <c r="BL7" s="29">
        <v>100</v>
      </c>
      <c r="BM7" s="29">
        <v>564</v>
      </c>
      <c r="BN7" s="65"/>
      <c r="BO7" s="29">
        <f t="shared" si="51"/>
        <v>298</v>
      </c>
      <c r="BP7" s="29">
        <f t="shared" si="37"/>
        <v>100</v>
      </c>
      <c r="BQ7" s="29">
        <f t="shared" si="38"/>
        <v>451</v>
      </c>
      <c r="BR7" s="65"/>
      <c r="BS7" s="29">
        <f t="shared" si="59"/>
        <v>373</v>
      </c>
      <c r="BT7" s="29">
        <f t="shared" si="52"/>
        <v>701</v>
      </c>
      <c r="BU7" s="29">
        <f t="shared" si="53"/>
        <v>564</v>
      </c>
      <c r="BV7" s="65"/>
      <c r="BW7" s="8">
        <f>IF(W7="","",VLOOKUP('Regular Symbol'!W7,'Regular Symbol'!$O$3:$T$13,6,0))</f>
        <v>0</v>
      </c>
      <c r="BX7" s="8">
        <f>IF(X7="","",VLOOKUP('Regular Symbol'!X7,'Regular Symbol'!$O$3:$T$13,6,0))</f>
        <v>7</v>
      </c>
      <c r="BY7" s="8">
        <f>IF(Y7="","",VLOOKUP('Regular Symbol'!Y7,'Regular Symbol'!$O$3:$T$13,6,0))</f>
        <v>0</v>
      </c>
      <c r="CA7" s="8" t="str">
        <f t="shared" si="15"/>
        <v>Wild</v>
      </c>
      <c r="CB7" s="8" t="str">
        <f t="shared" si="16"/>
        <v>J</v>
      </c>
      <c r="CC7" s="8" t="str">
        <f t="shared" si="17"/>
        <v>Wild</v>
      </c>
      <c r="CE7" s="20"/>
      <c r="CF7" s="20"/>
      <c r="CG7" s="20"/>
    </row>
    <row r="8" spans="1:85" ht="16.8" customHeight="1">
      <c r="A8" s="78" t="s">
        <v>38</v>
      </c>
      <c r="B8" s="58" t="s">
        <v>38</v>
      </c>
      <c r="C8" s="79">
        <f t="shared" si="18"/>
        <v>19</v>
      </c>
      <c r="D8" s="70">
        <f t="shared" si="19"/>
        <v>28</v>
      </c>
      <c r="E8" s="70">
        <f t="shared" si="20"/>
        <v>27</v>
      </c>
      <c r="F8" s="58">
        <v>5</v>
      </c>
      <c r="H8" s="78" t="str">
        <v>K</v>
      </c>
      <c r="I8" s="58" t="str">
        <v>K</v>
      </c>
      <c r="J8" s="79">
        <f t="shared" si="21"/>
        <v>19</v>
      </c>
      <c r="K8" s="70">
        <f t="shared" si="22"/>
        <v>28</v>
      </c>
      <c r="L8" s="70">
        <f t="shared" si="23"/>
        <v>27</v>
      </c>
      <c r="M8" s="58">
        <v>5</v>
      </c>
      <c r="O8" s="78" t="str">
        <v>K</v>
      </c>
      <c r="P8" s="58" t="str">
        <v>K</v>
      </c>
      <c r="Q8" s="79">
        <f t="shared" ca="1" si="24"/>
        <v>19</v>
      </c>
      <c r="R8" s="70">
        <f t="shared" si="25"/>
        <v>28</v>
      </c>
      <c r="S8" s="70">
        <f t="shared" si="26"/>
        <v>27</v>
      </c>
      <c r="T8" s="58">
        <v>5</v>
      </c>
      <c r="V8" s="27">
        <v>5</v>
      </c>
      <c r="W8" s="29" t="s">
        <v>15</v>
      </c>
      <c r="X8" s="29" t="s">
        <v>81</v>
      </c>
      <c r="Y8" s="29" t="s">
        <v>25</v>
      </c>
      <c r="Z8" s="65"/>
      <c r="AA8" s="29">
        <v>1</v>
      </c>
      <c r="AB8" s="29">
        <v>1</v>
      </c>
      <c r="AC8" s="29">
        <v>1</v>
      </c>
      <c r="AD8" s="65"/>
      <c r="AE8" s="29">
        <f t="shared" si="41"/>
        <v>1</v>
      </c>
      <c r="AF8" s="29">
        <f t="shared" si="42"/>
        <v>1</v>
      </c>
      <c r="AG8" s="29">
        <f t="shared" si="43"/>
        <v>1</v>
      </c>
      <c r="AH8" s="65"/>
      <c r="AI8" s="29">
        <f t="shared" si="54"/>
        <v>1</v>
      </c>
      <c r="AJ8" s="29">
        <f t="shared" si="55"/>
        <v>1</v>
      </c>
      <c r="AK8" s="29">
        <f t="shared" si="56"/>
        <v>1</v>
      </c>
      <c r="AL8" s="65"/>
      <c r="AM8" s="29">
        <v>1</v>
      </c>
      <c r="AN8" s="29">
        <v>1</v>
      </c>
      <c r="AO8" s="29">
        <v>1</v>
      </c>
      <c r="AP8" s="65"/>
      <c r="AQ8" s="29">
        <f t="shared" si="45"/>
        <v>1</v>
      </c>
      <c r="AR8" s="29">
        <f t="shared" si="29"/>
        <v>1</v>
      </c>
      <c r="AS8" s="29">
        <f t="shared" si="30"/>
        <v>1</v>
      </c>
      <c r="AT8" s="65"/>
      <c r="AU8" s="29">
        <f t="shared" si="57"/>
        <v>1</v>
      </c>
      <c r="AV8" s="29">
        <f t="shared" si="46"/>
        <v>1</v>
      </c>
      <c r="AW8" s="29">
        <f t="shared" si="47"/>
        <v>1</v>
      </c>
      <c r="AX8" s="65"/>
      <c r="AY8" s="29">
        <v>1</v>
      </c>
      <c r="AZ8" s="29">
        <v>1</v>
      </c>
      <c r="BA8" s="29">
        <v>1</v>
      </c>
      <c r="BB8" s="65"/>
      <c r="BC8" s="29">
        <f t="shared" si="48"/>
        <v>1</v>
      </c>
      <c r="BD8" s="29">
        <f t="shared" si="33"/>
        <v>1</v>
      </c>
      <c r="BE8" s="29">
        <f t="shared" si="34"/>
        <v>1</v>
      </c>
      <c r="BF8" s="65"/>
      <c r="BG8" s="29">
        <f t="shared" si="58"/>
        <v>1</v>
      </c>
      <c r="BH8" s="29">
        <f t="shared" si="49"/>
        <v>1</v>
      </c>
      <c r="BI8" s="29">
        <f t="shared" si="50"/>
        <v>1</v>
      </c>
      <c r="BJ8" s="65"/>
      <c r="BK8" s="29">
        <v>447</v>
      </c>
      <c r="BL8" s="29">
        <v>100</v>
      </c>
      <c r="BM8" s="29">
        <v>677</v>
      </c>
      <c r="BN8" s="65"/>
      <c r="BO8" s="29">
        <f t="shared" si="51"/>
        <v>373</v>
      </c>
      <c r="BP8" s="29">
        <f t="shared" si="37"/>
        <v>100</v>
      </c>
      <c r="BQ8" s="29">
        <f t="shared" si="38"/>
        <v>564</v>
      </c>
      <c r="BR8" s="65"/>
      <c r="BS8" s="29">
        <f t="shared" si="59"/>
        <v>298</v>
      </c>
      <c r="BT8" s="29">
        <f t="shared" si="52"/>
        <v>100</v>
      </c>
      <c r="BU8" s="29">
        <f t="shared" si="53"/>
        <v>451</v>
      </c>
      <c r="BV8" s="65"/>
      <c r="BW8" s="8">
        <f>IF(W8="","",VLOOKUP('Regular Symbol'!W8,'Regular Symbol'!$O$3:$T$13,6,0))</f>
        <v>0</v>
      </c>
      <c r="BX8" s="8">
        <f>IF(X8="","",VLOOKUP('Regular Symbol'!X8,'Regular Symbol'!$O$3:$T$13,6,0))</f>
        <v>4</v>
      </c>
      <c r="BY8" s="8">
        <f>IF(Y8="","",VLOOKUP('Regular Symbol'!Y8,'Regular Symbol'!$O$3:$T$13,6,0))</f>
        <v>0</v>
      </c>
      <c r="CA8" s="8" t="str">
        <f t="shared" si="15"/>
        <v>Wild</v>
      </c>
      <c r="CB8" s="8" t="str">
        <f t="shared" si="16"/>
        <v>A</v>
      </c>
      <c r="CC8" s="8" t="str">
        <f t="shared" si="17"/>
        <v>Wild</v>
      </c>
      <c r="CE8" s="20"/>
      <c r="CF8" s="20"/>
      <c r="CG8" s="20"/>
    </row>
    <row r="9" spans="1:85" ht="16.8" customHeight="1">
      <c r="A9" s="78" t="s">
        <v>40</v>
      </c>
      <c r="B9" s="58" t="s">
        <v>40</v>
      </c>
      <c r="C9" s="79">
        <f t="shared" si="18"/>
        <v>17</v>
      </c>
      <c r="D9" s="70">
        <f t="shared" si="19"/>
        <v>29</v>
      </c>
      <c r="E9" s="70">
        <f t="shared" si="20"/>
        <v>27</v>
      </c>
      <c r="F9" s="58">
        <v>6</v>
      </c>
      <c r="H9" s="78" t="str">
        <v>Q</v>
      </c>
      <c r="I9" s="58" t="str">
        <v>Q</v>
      </c>
      <c r="J9" s="79">
        <f t="shared" si="21"/>
        <v>17</v>
      </c>
      <c r="K9" s="70">
        <f t="shared" si="22"/>
        <v>29</v>
      </c>
      <c r="L9" s="70">
        <f t="shared" si="23"/>
        <v>27</v>
      </c>
      <c r="M9" s="58">
        <v>6</v>
      </c>
      <c r="O9" s="78" t="str">
        <v>Q</v>
      </c>
      <c r="P9" s="58" t="str">
        <v>Q</v>
      </c>
      <c r="Q9" s="79">
        <f t="shared" si="24"/>
        <v>17</v>
      </c>
      <c r="R9" s="70">
        <f t="shared" si="25"/>
        <v>29</v>
      </c>
      <c r="S9" s="70">
        <f t="shared" si="26"/>
        <v>27</v>
      </c>
      <c r="T9" s="58">
        <v>6</v>
      </c>
      <c r="V9" s="27">
        <v>6</v>
      </c>
      <c r="W9" s="29" t="s">
        <v>81</v>
      </c>
      <c r="X9" s="29" t="s">
        <v>81</v>
      </c>
      <c r="Y9" s="29" t="s">
        <v>81</v>
      </c>
      <c r="Z9" s="65"/>
      <c r="AA9" s="29">
        <v>1</v>
      </c>
      <c r="AB9" s="29">
        <v>1</v>
      </c>
      <c r="AC9" s="29">
        <v>1</v>
      </c>
      <c r="AD9" s="65"/>
      <c r="AE9" s="29">
        <f t="shared" si="41"/>
        <v>1</v>
      </c>
      <c r="AF9" s="29">
        <f t="shared" si="42"/>
        <v>1</v>
      </c>
      <c r="AG9" s="29">
        <f t="shared" si="43"/>
        <v>1</v>
      </c>
      <c r="AH9" s="65"/>
      <c r="AI9" s="29">
        <f t="shared" si="54"/>
        <v>1</v>
      </c>
      <c r="AJ9" s="29">
        <f t="shared" si="55"/>
        <v>1</v>
      </c>
      <c r="AK9" s="29">
        <f t="shared" si="56"/>
        <v>1</v>
      </c>
      <c r="AL9" s="65"/>
      <c r="AM9" s="29">
        <v>1</v>
      </c>
      <c r="AN9" s="29">
        <v>1</v>
      </c>
      <c r="AO9" s="29">
        <v>1</v>
      </c>
      <c r="AP9" s="65"/>
      <c r="AQ9" s="29">
        <f t="shared" si="45"/>
        <v>1</v>
      </c>
      <c r="AR9" s="29">
        <f t="shared" si="29"/>
        <v>1</v>
      </c>
      <c r="AS9" s="29">
        <f t="shared" si="30"/>
        <v>1</v>
      </c>
      <c r="AT9" s="65"/>
      <c r="AU9" s="29">
        <f t="shared" si="57"/>
        <v>1</v>
      </c>
      <c r="AV9" s="29">
        <f t="shared" si="46"/>
        <v>1</v>
      </c>
      <c r="AW9" s="29">
        <f t="shared" si="47"/>
        <v>1</v>
      </c>
      <c r="AX9" s="65"/>
      <c r="AY9" s="29">
        <v>1</v>
      </c>
      <c r="AZ9" s="29">
        <v>1</v>
      </c>
      <c r="BA9" s="29">
        <v>1</v>
      </c>
      <c r="BB9" s="65"/>
      <c r="BC9" s="29">
        <f t="shared" si="48"/>
        <v>1</v>
      </c>
      <c r="BD9" s="29">
        <f t="shared" si="33"/>
        <v>1</v>
      </c>
      <c r="BE9" s="29">
        <f t="shared" si="34"/>
        <v>1</v>
      </c>
      <c r="BF9" s="65"/>
      <c r="BG9" s="29">
        <f t="shared" si="58"/>
        <v>1</v>
      </c>
      <c r="BH9" s="29">
        <f t="shared" si="49"/>
        <v>1</v>
      </c>
      <c r="BI9" s="29">
        <f t="shared" si="50"/>
        <v>1</v>
      </c>
      <c r="BJ9" s="65"/>
      <c r="BK9" s="29">
        <v>100</v>
      </c>
      <c r="BL9" s="29">
        <v>100</v>
      </c>
      <c r="BM9" s="29">
        <v>100</v>
      </c>
      <c r="BN9" s="65"/>
      <c r="BO9" s="29">
        <f t="shared" si="51"/>
        <v>447</v>
      </c>
      <c r="BP9" s="29">
        <f t="shared" si="37"/>
        <v>100</v>
      </c>
      <c r="BQ9" s="29">
        <f t="shared" si="38"/>
        <v>677</v>
      </c>
      <c r="BR9" s="65"/>
      <c r="BS9" s="29">
        <f t="shared" si="59"/>
        <v>373</v>
      </c>
      <c r="BT9" s="29">
        <f t="shared" si="52"/>
        <v>100</v>
      </c>
      <c r="BU9" s="29">
        <f t="shared" si="53"/>
        <v>564</v>
      </c>
      <c r="BV9" s="65"/>
      <c r="BW9" s="8">
        <f>IF(W9="","",VLOOKUP('Regular Symbol'!W9,'Regular Symbol'!$O$3:$T$13,6,0))</f>
        <v>4</v>
      </c>
      <c r="BX9" s="8">
        <f>IF(X9="","",VLOOKUP('Regular Symbol'!X9,'Regular Symbol'!$O$3:$T$13,6,0))</f>
        <v>4</v>
      </c>
      <c r="BY9" s="8">
        <f>IF(Y9="","",VLOOKUP('Regular Symbol'!Y9,'Regular Symbol'!$O$3:$T$13,6,0))</f>
        <v>4</v>
      </c>
      <c r="CA9" s="8" t="str">
        <f t="shared" si="15"/>
        <v>A</v>
      </c>
      <c r="CB9" s="8" t="str">
        <f t="shared" si="16"/>
        <v>A</v>
      </c>
      <c r="CC9" s="8" t="str">
        <f t="shared" si="17"/>
        <v>A</v>
      </c>
      <c r="CE9" s="20"/>
      <c r="CF9" s="20"/>
      <c r="CG9" s="20"/>
    </row>
    <row r="10" spans="1:85" ht="16.8" customHeight="1">
      <c r="A10" s="78" t="s">
        <v>39</v>
      </c>
      <c r="B10" s="58" t="s">
        <v>39</v>
      </c>
      <c r="C10" s="79">
        <f t="shared" si="18"/>
        <v>19</v>
      </c>
      <c r="D10" s="70">
        <f t="shared" si="19"/>
        <v>26</v>
      </c>
      <c r="E10" s="70">
        <f t="shared" si="20"/>
        <v>27</v>
      </c>
      <c r="F10" s="58">
        <v>7</v>
      </c>
      <c r="H10" s="78" t="str">
        <v>J</v>
      </c>
      <c r="I10" s="58" t="str">
        <v>J</v>
      </c>
      <c r="J10" s="79">
        <f t="shared" ca="1" si="21"/>
        <v>19</v>
      </c>
      <c r="K10" s="70">
        <f t="shared" si="22"/>
        <v>26</v>
      </c>
      <c r="L10" s="70">
        <f t="shared" si="23"/>
        <v>27</v>
      </c>
      <c r="M10" s="58">
        <v>7</v>
      </c>
      <c r="O10" s="78" t="str">
        <v>J</v>
      </c>
      <c r="P10" s="58" t="str">
        <v>J</v>
      </c>
      <c r="Q10" s="79">
        <f t="shared" ca="1" si="24"/>
        <v>19</v>
      </c>
      <c r="R10" s="70">
        <f t="shared" si="25"/>
        <v>26</v>
      </c>
      <c r="S10" s="70">
        <f t="shared" si="26"/>
        <v>27</v>
      </c>
      <c r="T10" s="58">
        <v>7</v>
      </c>
      <c r="V10" s="27">
        <v>7</v>
      </c>
      <c r="W10" s="29" t="s">
        <v>81</v>
      </c>
      <c r="X10" s="29" t="s">
        <v>81</v>
      </c>
      <c r="Y10" s="29" t="s">
        <v>81</v>
      </c>
      <c r="Z10" s="65"/>
      <c r="AA10" s="29">
        <v>1</v>
      </c>
      <c r="AB10" s="29">
        <v>1</v>
      </c>
      <c r="AC10" s="29">
        <v>1</v>
      </c>
      <c r="AD10" s="65"/>
      <c r="AE10" s="29">
        <f t="shared" si="41"/>
        <v>1</v>
      </c>
      <c r="AF10" s="29">
        <f t="shared" si="42"/>
        <v>1</v>
      </c>
      <c r="AG10" s="29">
        <f t="shared" si="43"/>
        <v>1</v>
      </c>
      <c r="AH10" s="65"/>
      <c r="AI10" s="29">
        <f t="shared" si="54"/>
        <v>1</v>
      </c>
      <c r="AJ10" s="29">
        <f t="shared" si="55"/>
        <v>1</v>
      </c>
      <c r="AK10" s="29">
        <f t="shared" si="56"/>
        <v>1</v>
      </c>
      <c r="AL10" s="65"/>
      <c r="AM10" s="29">
        <v>1</v>
      </c>
      <c r="AN10" s="29">
        <v>1</v>
      </c>
      <c r="AO10" s="29">
        <v>1</v>
      </c>
      <c r="AP10" s="65"/>
      <c r="AQ10" s="29">
        <f t="shared" si="45"/>
        <v>1</v>
      </c>
      <c r="AR10" s="29">
        <f t="shared" si="29"/>
        <v>1</v>
      </c>
      <c r="AS10" s="29">
        <f t="shared" si="30"/>
        <v>1</v>
      </c>
      <c r="AT10" s="65"/>
      <c r="AU10" s="29">
        <f t="shared" si="57"/>
        <v>1</v>
      </c>
      <c r="AV10" s="29">
        <f t="shared" si="46"/>
        <v>1</v>
      </c>
      <c r="AW10" s="29">
        <f t="shared" si="47"/>
        <v>1</v>
      </c>
      <c r="AX10" s="65"/>
      <c r="AY10" s="29">
        <v>1</v>
      </c>
      <c r="AZ10" s="29">
        <v>1</v>
      </c>
      <c r="BA10" s="29">
        <v>1</v>
      </c>
      <c r="BB10" s="65"/>
      <c r="BC10" s="29">
        <f t="shared" si="48"/>
        <v>1</v>
      </c>
      <c r="BD10" s="29">
        <f t="shared" si="33"/>
        <v>1</v>
      </c>
      <c r="BE10" s="29">
        <f t="shared" si="34"/>
        <v>1</v>
      </c>
      <c r="BF10" s="65"/>
      <c r="BG10" s="29">
        <f t="shared" si="58"/>
        <v>1</v>
      </c>
      <c r="BH10" s="29">
        <f t="shared" si="49"/>
        <v>1</v>
      </c>
      <c r="BI10" s="29">
        <f t="shared" si="50"/>
        <v>1</v>
      </c>
      <c r="BJ10" s="65"/>
      <c r="BK10" s="29">
        <v>100</v>
      </c>
      <c r="BL10" s="29">
        <v>100</v>
      </c>
      <c r="BM10" s="29">
        <v>100</v>
      </c>
      <c r="BN10" s="65"/>
      <c r="BO10" s="29">
        <f t="shared" si="51"/>
        <v>100</v>
      </c>
      <c r="BP10" s="29">
        <f t="shared" si="37"/>
        <v>100</v>
      </c>
      <c r="BQ10" s="29">
        <f t="shared" si="38"/>
        <v>100</v>
      </c>
      <c r="BR10" s="65"/>
      <c r="BS10" s="29">
        <f t="shared" si="59"/>
        <v>447</v>
      </c>
      <c r="BT10" s="29">
        <f t="shared" si="52"/>
        <v>100</v>
      </c>
      <c r="BU10" s="29">
        <f t="shared" si="53"/>
        <v>677</v>
      </c>
      <c r="BV10" s="65"/>
      <c r="BW10" s="8">
        <f>IF(W10="","",VLOOKUP('Regular Symbol'!W10,'Regular Symbol'!$O$3:$T$13,6,0))</f>
        <v>4</v>
      </c>
      <c r="BX10" s="8">
        <f>IF(X10="","",VLOOKUP('Regular Symbol'!X10,'Regular Symbol'!$O$3:$T$13,6,0))</f>
        <v>4</v>
      </c>
      <c r="BY10" s="8">
        <f>IF(Y10="","",VLOOKUP('Regular Symbol'!Y10,'Regular Symbol'!$O$3:$T$13,6,0))</f>
        <v>4</v>
      </c>
      <c r="CA10" s="8" t="str">
        <f t="shared" si="15"/>
        <v>A</v>
      </c>
      <c r="CB10" s="8" t="str">
        <f t="shared" si="16"/>
        <v>A</v>
      </c>
      <c r="CC10" s="8" t="str">
        <f t="shared" si="17"/>
        <v>A</v>
      </c>
      <c r="CE10" s="20"/>
      <c r="CF10" s="20"/>
      <c r="CG10" s="20"/>
    </row>
    <row r="11" spans="1:85" ht="16.8" customHeight="1">
      <c r="A11" s="78"/>
      <c r="B11" s="58"/>
      <c r="C11" s="79"/>
      <c r="D11" s="70"/>
      <c r="E11" s="70"/>
      <c r="F11" s="58"/>
      <c r="H11" s="78"/>
      <c r="I11" s="58"/>
      <c r="J11" s="79"/>
      <c r="K11" s="70"/>
      <c r="L11" s="70"/>
      <c r="M11" s="58"/>
      <c r="O11" s="78"/>
      <c r="P11" s="58"/>
      <c r="Q11" s="79"/>
      <c r="R11" s="70"/>
      <c r="S11" s="70"/>
      <c r="T11" s="58"/>
      <c r="V11" s="27">
        <v>8</v>
      </c>
      <c r="W11" s="29" t="s">
        <v>81</v>
      </c>
      <c r="X11" s="29" t="s">
        <v>17</v>
      </c>
      <c r="Y11" s="29" t="s">
        <v>81</v>
      </c>
      <c r="Z11" s="65"/>
      <c r="AA11" s="29">
        <v>1</v>
      </c>
      <c r="AB11" s="29">
        <v>1</v>
      </c>
      <c r="AC11" s="29">
        <v>1</v>
      </c>
      <c r="AD11" s="65"/>
      <c r="AE11" s="29">
        <f t="shared" si="41"/>
        <v>1</v>
      </c>
      <c r="AF11" s="29">
        <f t="shared" si="42"/>
        <v>1</v>
      </c>
      <c r="AG11" s="29">
        <f t="shared" si="43"/>
        <v>1</v>
      </c>
      <c r="AH11" s="65"/>
      <c r="AI11" s="29">
        <f t="shared" si="54"/>
        <v>1</v>
      </c>
      <c r="AJ11" s="29">
        <f t="shared" si="55"/>
        <v>1</v>
      </c>
      <c r="AK11" s="29">
        <f t="shared" si="56"/>
        <v>1</v>
      </c>
      <c r="AL11" s="65"/>
      <c r="AM11" s="29">
        <v>1</v>
      </c>
      <c r="AN11" s="29">
        <v>1</v>
      </c>
      <c r="AO11" s="29">
        <v>1</v>
      </c>
      <c r="AP11" s="65"/>
      <c r="AQ11" s="29">
        <f t="shared" si="45"/>
        <v>1</v>
      </c>
      <c r="AR11" s="29">
        <f t="shared" si="29"/>
        <v>1</v>
      </c>
      <c r="AS11" s="29">
        <f t="shared" si="30"/>
        <v>1</v>
      </c>
      <c r="AT11" s="65"/>
      <c r="AU11" s="29">
        <f t="shared" si="57"/>
        <v>1</v>
      </c>
      <c r="AV11" s="29">
        <f t="shared" si="46"/>
        <v>1</v>
      </c>
      <c r="AW11" s="29">
        <f t="shared" si="47"/>
        <v>1</v>
      </c>
      <c r="AX11" s="65"/>
      <c r="AY11" s="29">
        <v>1</v>
      </c>
      <c r="AZ11" s="29">
        <v>1</v>
      </c>
      <c r="BA11" s="29">
        <v>1</v>
      </c>
      <c r="BB11" s="65"/>
      <c r="BC11" s="29">
        <f t="shared" si="48"/>
        <v>1</v>
      </c>
      <c r="BD11" s="29">
        <f t="shared" si="33"/>
        <v>1</v>
      </c>
      <c r="BE11" s="29">
        <f t="shared" si="34"/>
        <v>1</v>
      </c>
      <c r="BF11" s="65"/>
      <c r="BG11" s="29">
        <f t="shared" si="58"/>
        <v>1</v>
      </c>
      <c r="BH11" s="29">
        <f t="shared" si="49"/>
        <v>1</v>
      </c>
      <c r="BI11" s="29">
        <f t="shared" si="50"/>
        <v>1</v>
      </c>
      <c r="BJ11" s="65"/>
      <c r="BK11" s="29">
        <v>100</v>
      </c>
      <c r="BL11" s="29">
        <v>100</v>
      </c>
      <c r="BM11" s="29">
        <v>100</v>
      </c>
      <c r="BN11" s="65"/>
      <c r="BO11" s="29">
        <f t="shared" si="51"/>
        <v>100</v>
      </c>
      <c r="BP11" s="29">
        <f t="shared" si="37"/>
        <v>100</v>
      </c>
      <c r="BQ11" s="29">
        <f t="shared" si="38"/>
        <v>100</v>
      </c>
      <c r="BR11" s="65"/>
      <c r="BS11" s="29">
        <f t="shared" si="59"/>
        <v>100</v>
      </c>
      <c r="BT11" s="29">
        <f t="shared" si="52"/>
        <v>100</v>
      </c>
      <c r="BU11" s="29">
        <f t="shared" si="53"/>
        <v>100</v>
      </c>
      <c r="BV11" s="65"/>
      <c r="BW11" s="8">
        <f>IF(W11="","",VLOOKUP('Regular Symbol'!W11,'Regular Symbol'!$O$3:$T$13,6,0))</f>
        <v>4</v>
      </c>
      <c r="BX11" s="8">
        <f>IF(X11="","",VLOOKUP('Regular Symbol'!X11,'Regular Symbol'!$O$3:$T$13,6,0))</f>
        <v>2</v>
      </c>
      <c r="BY11" s="8">
        <f>IF(Y11="","",VLOOKUP('Regular Symbol'!Y11,'Regular Symbol'!$O$3:$T$13,6,0))</f>
        <v>4</v>
      </c>
      <c r="CA11" s="8" t="str">
        <f t="shared" si="15"/>
        <v>A</v>
      </c>
      <c r="CB11" s="8" t="str">
        <f t="shared" si="16"/>
        <v>M2</v>
      </c>
      <c r="CC11" s="8" t="str">
        <f t="shared" si="17"/>
        <v>A</v>
      </c>
      <c r="CE11" s="20"/>
      <c r="CF11" s="20"/>
      <c r="CG11" s="20"/>
    </row>
    <row r="12" spans="1:85" ht="16.8" customHeight="1">
      <c r="A12" s="78"/>
      <c r="B12" s="58"/>
      <c r="C12" s="79"/>
      <c r="D12" s="70"/>
      <c r="E12" s="70"/>
      <c r="F12" s="58"/>
      <c r="H12" s="78"/>
      <c r="I12" s="58"/>
      <c r="J12" s="79"/>
      <c r="K12" s="70"/>
      <c r="L12" s="70"/>
      <c r="M12" s="58"/>
      <c r="O12" s="78"/>
      <c r="P12" s="58"/>
      <c r="Q12" s="79"/>
      <c r="R12" s="70"/>
      <c r="S12" s="70"/>
      <c r="T12" s="58"/>
      <c r="V12" s="27">
        <v>9</v>
      </c>
      <c r="W12" s="29" t="s">
        <v>17</v>
      </c>
      <c r="X12" s="29" t="s">
        <v>17</v>
      </c>
      <c r="Y12" s="29" t="s">
        <v>17</v>
      </c>
      <c r="Z12" s="65"/>
      <c r="AA12" s="29">
        <v>1</v>
      </c>
      <c r="AB12" s="29">
        <v>1</v>
      </c>
      <c r="AC12" s="29">
        <v>1</v>
      </c>
      <c r="AD12" s="65"/>
      <c r="AE12" s="29">
        <f t="shared" si="41"/>
        <v>1</v>
      </c>
      <c r="AF12" s="29">
        <f t="shared" si="42"/>
        <v>1</v>
      </c>
      <c r="AG12" s="29">
        <f t="shared" si="43"/>
        <v>1</v>
      </c>
      <c r="AH12" s="65"/>
      <c r="AI12" s="29">
        <f t="shared" si="54"/>
        <v>1</v>
      </c>
      <c r="AJ12" s="29">
        <f t="shared" si="55"/>
        <v>1</v>
      </c>
      <c r="AK12" s="29">
        <f t="shared" si="56"/>
        <v>1</v>
      </c>
      <c r="AL12" s="65"/>
      <c r="AM12" s="29">
        <v>1</v>
      </c>
      <c r="AN12" s="29">
        <v>1</v>
      </c>
      <c r="AO12" s="29">
        <v>1</v>
      </c>
      <c r="AP12" s="65"/>
      <c r="AQ12" s="29">
        <f t="shared" si="45"/>
        <v>1</v>
      </c>
      <c r="AR12" s="29">
        <f t="shared" si="29"/>
        <v>1</v>
      </c>
      <c r="AS12" s="29">
        <f t="shared" si="30"/>
        <v>1</v>
      </c>
      <c r="AT12" s="65"/>
      <c r="AU12" s="29">
        <f t="shared" si="57"/>
        <v>1</v>
      </c>
      <c r="AV12" s="29">
        <f t="shared" si="46"/>
        <v>1</v>
      </c>
      <c r="AW12" s="29">
        <f t="shared" si="47"/>
        <v>1</v>
      </c>
      <c r="AX12" s="65"/>
      <c r="AY12" s="29">
        <v>1</v>
      </c>
      <c r="AZ12" s="29">
        <v>1</v>
      </c>
      <c r="BA12" s="29">
        <v>1</v>
      </c>
      <c r="BB12" s="65"/>
      <c r="BC12" s="29">
        <f t="shared" si="48"/>
        <v>1</v>
      </c>
      <c r="BD12" s="29">
        <f t="shared" si="33"/>
        <v>1</v>
      </c>
      <c r="BE12" s="29">
        <f t="shared" si="34"/>
        <v>1</v>
      </c>
      <c r="BF12" s="65"/>
      <c r="BG12" s="29">
        <f t="shared" si="58"/>
        <v>1</v>
      </c>
      <c r="BH12" s="29">
        <f t="shared" si="49"/>
        <v>1</v>
      </c>
      <c r="BI12" s="29">
        <f t="shared" si="50"/>
        <v>1</v>
      </c>
      <c r="BJ12" s="65"/>
      <c r="BK12" s="29">
        <v>100</v>
      </c>
      <c r="BL12" s="29">
        <v>100</v>
      </c>
      <c r="BM12" s="29">
        <v>100</v>
      </c>
      <c r="BN12" s="65"/>
      <c r="BO12" s="29">
        <f t="shared" si="51"/>
        <v>100</v>
      </c>
      <c r="BP12" s="29">
        <f t="shared" si="37"/>
        <v>100</v>
      </c>
      <c r="BQ12" s="29">
        <f t="shared" si="38"/>
        <v>100</v>
      </c>
      <c r="BR12" s="65"/>
      <c r="BS12" s="29">
        <f t="shared" si="59"/>
        <v>100</v>
      </c>
      <c r="BT12" s="29">
        <f t="shared" si="52"/>
        <v>100</v>
      </c>
      <c r="BU12" s="29">
        <f t="shared" si="53"/>
        <v>100</v>
      </c>
      <c r="BV12" s="65"/>
      <c r="BW12" s="8">
        <f>IF(W12="","",VLOOKUP('Regular Symbol'!W12,'Regular Symbol'!$O$3:$T$13,6,0))</f>
        <v>2</v>
      </c>
      <c r="BX12" s="8">
        <f>IF(X12="","",VLOOKUP('Regular Symbol'!X12,'Regular Symbol'!$O$3:$T$13,6,0))</f>
        <v>2</v>
      </c>
      <c r="BY12" s="8">
        <f>IF(Y12="","",VLOOKUP('Regular Symbol'!Y12,'Regular Symbol'!$O$3:$T$13,6,0))</f>
        <v>2</v>
      </c>
      <c r="CA12" s="8" t="str">
        <f t="shared" si="15"/>
        <v>M2</v>
      </c>
      <c r="CB12" s="8" t="str">
        <f t="shared" si="16"/>
        <v>M2</v>
      </c>
      <c r="CC12" s="8" t="str">
        <f t="shared" si="17"/>
        <v>M2</v>
      </c>
    </row>
    <row r="13" spans="1:85" ht="16.8" customHeight="1" thickBot="1">
      <c r="A13" s="73"/>
      <c r="B13" s="59"/>
      <c r="C13" s="80"/>
      <c r="D13" s="74"/>
      <c r="E13" s="74"/>
      <c r="F13" s="59"/>
      <c r="H13" s="73"/>
      <c r="I13" s="59"/>
      <c r="J13" s="80"/>
      <c r="K13" s="74"/>
      <c r="L13" s="74"/>
      <c r="M13" s="59"/>
      <c r="O13" s="73"/>
      <c r="P13" s="59"/>
      <c r="Q13" s="80"/>
      <c r="R13" s="74"/>
      <c r="S13" s="74"/>
      <c r="T13" s="59"/>
      <c r="V13" s="27">
        <v>10</v>
      </c>
      <c r="W13" s="29" t="s">
        <v>17</v>
      </c>
      <c r="X13" s="29" t="s">
        <v>17</v>
      </c>
      <c r="Y13" s="29" t="s">
        <v>17</v>
      </c>
      <c r="Z13" s="65"/>
      <c r="AA13" s="29">
        <v>1</v>
      </c>
      <c r="AB13" s="29">
        <v>1</v>
      </c>
      <c r="AC13" s="29">
        <v>1</v>
      </c>
      <c r="AD13" s="65"/>
      <c r="AE13" s="29">
        <f t="shared" si="41"/>
        <v>1</v>
      </c>
      <c r="AF13" s="29">
        <f t="shared" si="42"/>
        <v>1</v>
      </c>
      <c r="AG13" s="29">
        <f t="shared" si="43"/>
        <v>1</v>
      </c>
      <c r="AH13" s="65"/>
      <c r="AI13" s="29">
        <f t="shared" si="54"/>
        <v>1</v>
      </c>
      <c r="AJ13" s="29">
        <f t="shared" si="55"/>
        <v>1</v>
      </c>
      <c r="AK13" s="29">
        <f t="shared" si="56"/>
        <v>1</v>
      </c>
      <c r="AL13" s="65"/>
      <c r="AM13" s="29">
        <v>1</v>
      </c>
      <c r="AN13" s="29">
        <v>1</v>
      </c>
      <c r="AO13" s="29">
        <v>1</v>
      </c>
      <c r="AP13" s="65"/>
      <c r="AQ13" s="29">
        <f t="shared" si="45"/>
        <v>1</v>
      </c>
      <c r="AR13" s="29">
        <f t="shared" si="29"/>
        <v>1</v>
      </c>
      <c r="AS13" s="29">
        <f t="shared" si="30"/>
        <v>1</v>
      </c>
      <c r="AT13" s="65"/>
      <c r="AU13" s="29">
        <f t="shared" si="57"/>
        <v>1</v>
      </c>
      <c r="AV13" s="29">
        <f t="shared" si="46"/>
        <v>1</v>
      </c>
      <c r="AW13" s="29">
        <f t="shared" si="47"/>
        <v>1</v>
      </c>
      <c r="AX13" s="65"/>
      <c r="AY13" s="29">
        <v>1</v>
      </c>
      <c r="AZ13" s="29">
        <v>1</v>
      </c>
      <c r="BA13" s="29">
        <v>1</v>
      </c>
      <c r="BB13" s="65"/>
      <c r="BC13" s="29">
        <f t="shared" si="48"/>
        <v>1</v>
      </c>
      <c r="BD13" s="29">
        <f t="shared" si="33"/>
        <v>1</v>
      </c>
      <c r="BE13" s="29">
        <f t="shared" si="34"/>
        <v>1</v>
      </c>
      <c r="BF13" s="65"/>
      <c r="BG13" s="29">
        <f t="shared" si="58"/>
        <v>1</v>
      </c>
      <c r="BH13" s="29">
        <f t="shared" si="49"/>
        <v>1</v>
      </c>
      <c r="BI13" s="29">
        <f t="shared" si="50"/>
        <v>1</v>
      </c>
      <c r="BJ13" s="65"/>
      <c r="BK13" s="29">
        <v>100</v>
      </c>
      <c r="BL13" s="29">
        <v>100</v>
      </c>
      <c r="BM13" s="29">
        <v>100</v>
      </c>
      <c r="BN13" s="65"/>
      <c r="BO13" s="29">
        <f t="shared" si="51"/>
        <v>100</v>
      </c>
      <c r="BP13" s="29">
        <f t="shared" si="37"/>
        <v>100</v>
      </c>
      <c r="BQ13" s="29">
        <f t="shared" si="38"/>
        <v>100</v>
      </c>
      <c r="BR13" s="65"/>
      <c r="BS13" s="29">
        <f t="shared" si="59"/>
        <v>100</v>
      </c>
      <c r="BT13" s="29">
        <f t="shared" si="52"/>
        <v>100</v>
      </c>
      <c r="BU13" s="29">
        <f t="shared" si="53"/>
        <v>100</v>
      </c>
      <c r="BV13" s="65"/>
      <c r="BW13" s="8">
        <f>IF(W13="","",VLOOKUP('Regular Symbol'!W13,'Regular Symbol'!$O$3:$T$13,6,0))</f>
        <v>2</v>
      </c>
      <c r="BX13" s="8">
        <f>IF(X13="","",VLOOKUP('Regular Symbol'!X13,'Regular Symbol'!$O$3:$T$13,6,0))</f>
        <v>2</v>
      </c>
      <c r="BY13" s="8">
        <f>IF(Y13="","",VLOOKUP('Regular Symbol'!Y13,'Regular Symbol'!$O$3:$T$13,6,0))</f>
        <v>2</v>
      </c>
      <c r="CA13" s="8" t="str">
        <f t="shared" si="15"/>
        <v>M2</v>
      </c>
      <c r="CB13" s="8" t="str">
        <f t="shared" si="16"/>
        <v>M2</v>
      </c>
      <c r="CC13" s="8" t="str">
        <f t="shared" si="17"/>
        <v>M2</v>
      </c>
    </row>
    <row r="14" spans="1:85" ht="16.8" customHeight="1">
      <c r="A14" s="60" t="s">
        <v>10</v>
      </c>
      <c r="B14" s="106"/>
      <c r="C14" s="106">
        <f>SUM(C3:C13)</f>
        <v>123</v>
      </c>
      <c r="D14" s="106">
        <f>SUM(D3:D13)</f>
        <v>209</v>
      </c>
      <c r="E14" s="106">
        <f>SUM(E3:E13)</f>
        <v>203</v>
      </c>
      <c r="F14" s="106"/>
      <c r="H14" s="60" t="s">
        <v>10</v>
      </c>
      <c r="I14" s="155"/>
      <c r="J14" s="155">
        <f ca="1">SUM(J3:J13)</f>
        <v>123</v>
      </c>
      <c r="K14" s="155">
        <f ca="1">SUM(K3:K13)</f>
        <v>209</v>
      </c>
      <c r="L14" s="155">
        <f ca="1">SUM(L3:L13)</f>
        <v>203</v>
      </c>
      <c r="M14" s="155"/>
      <c r="O14" s="60" t="s">
        <v>10</v>
      </c>
      <c r="P14" s="155"/>
      <c r="Q14" s="155">
        <f ca="1">SUM(Q3:Q13)</f>
        <v>123</v>
      </c>
      <c r="R14" s="155">
        <f ca="1">SUM(R3:R13)</f>
        <v>209</v>
      </c>
      <c r="S14" s="155">
        <f ca="1">SUM(S3:S13)</f>
        <v>203</v>
      </c>
      <c r="T14" s="155"/>
      <c r="V14" s="27">
        <v>11</v>
      </c>
      <c r="W14" s="29" t="s">
        <v>82</v>
      </c>
      <c r="X14" s="29" t="s">
        <v>82</v>
      </c>
      <c r="Y14" s="29" t="s">
        <v>17</v>
      </c>
      <c r="Z14" s="65"/>
      <c r="AA14" s="29">
        <v>1</v>
      </c>
      <c r="AB14" s="29">
        <v>1</v>
      </c>
      <c r="AC14" s="29">
        <v>1</v>
      </c>
      <c r="AD14" s="65"/>
      <c r="AE14" s="29">
        <f t="shared" si="41"/>
        <v>1</v>
      </c>
      <c r="AF14" s="29">
        <f t="shared" si="42"/>
        <v>1</v>
      </c>
      <c r="AG14" s="29">
        <f t="shared" si="43"/>
        <v>1</v>
      </c>
      <c r="AH14" s="65"/>
      <c r="AI14" s="29">
        <f t="shared" si="54"/>
        <v>1</v>
      </c>
      <c r="AJ14" s="29">
        <f t="shared" si="55"/>
        <v>1</v>
      </c>
      <c r="AK14" s="29">
        <f t="shared" si="56"/>
        <v>1</v>
      </c>
      <c r="AL14" s="65"/>
      <c r="AM14" s="29">
        <v>1</v>
      </c>
      <c r="AN14" s="29">
        <v>1</v>
      </c>
      <c r="AO14" s="29">
        <v>1</v>
      </c>
      <c r="AP14" s="65"/>
      <c r="AQ14" s="29">
        <f t="shared" si="45"/>
        <v>1</v>
      </c>
      <c r="AR14" s="29">
        <f t="shared" si="29"/>
        <v>1</v>
      </c>
      <c r="AS14" s="29">
        <f t="shared" si="30"/>
        <v>1</v>
      </c>
      <c r="AT14" s="65"/>
      <c r="AU14" s="29">
        <f t="shared" si="57"/>
        <v>1</v>
      </c>
      <c r="AV14" s="29">
        <f t="shared" si="46"/>
        <v>1</v>
      </c>
      <c r="AW14" s="29">
        <f t="shared" si="47"/>
        <v>1</v>
      </c>
      <c r="AX14" s="65"/>
      <c r="AY14" s="29">
        <v>1</v>
      </c>
      <c r="AZ14" s="29">
        <v>1</v>
      </c>
      <c r="BA14" s="29">
        <v>1</v>
      </c>
      <c r="BB14" s="65"/>
      <c r="BC14" s="29">
        <f t="shared" si="48"/>
        <v>1</v>
      </c>
      <c r="BD14" s="29">
        <f t="shared" si="33"/>
        <v>1</v>
      </c>
      <c r="BE14" s="29">
        <f t="shared" si="34"/>
        <v>1</v>
      </c>
      <c r="BF14" s="65"/>
      <c r="BG14" s="29">
        <f t="shared" si="58"/>
        <v>1</v>
      </c>
      <c r="BH14" s="29">
        <f t="shared" si="49"/>
        <v>1</v>
      </c>
      <c r="BI14" s="29">
        <f t="shared" si="50"/>
        <v>1</v>
      </c>
      <c r="BJ14" s="65"/>
      <c r="BK14" s="29">
        <v>100</v>
      </c>
      <c r="BL14" s="29">
        <v>100</v>
      </c>
      <c r="BM14" s="29">
        <v>100</v>
      </c>
      <c r="BN14" s="65"/>
      <c r="BO14" s="29">
        <f t="shared" si="51"/>
        <v>100</v>
      </c>
      <c r="BP14" s="29">
        <f t="shared" si="37"/>
        <v>100</v>
      </c>
      <c r="BQ14" s="29">
        <f t="shared" si="38"/>
        <v>100</v>
      </c>
      <c r="BR14" s="65"/>
      <c r="BS14" s="29">
        <f t="shared" si="59"/>
        <v>100</v>
      </c>
      <c r="BT14" s="29">
        <f t="shared" si="52"/>
        <v>100</v>
      </c>
      <c r="BU14" s="29">
        <f t="shared" si="53"/>
        <v>100</v>
      </c>
      <c r="BV14" s="65"/>
      <c r="BW14" s="8">
        <f>IF(W14="","",VLOOKUP('Regular Symbol'!W14,'Regular Symbol'!$O$3:$T$13,6,0))</f>
        <v>5</v>
      </c>
      <c r="BX14" s="8">
        <f>IF(X14="","",VLOOKUP('Regular Symbol'!X14,'Regular Symbol'!$O$3:$T$13,6,0))</f>
        <v>5</v>
      </c>
      <c r="BY14" s="8">
        <f>IF(Y14="","",VLOOKUP('Regular Symbol'!Y14,'Regular Symbol'!$O$3:$T$13,6,0))</f>
        <v>2</v>
      </c>
      <c r="CA14" s="8" t="str">
        <f t="shared" si="15"/>
        <v>K</v>
      </c>
      <c r="CB14" s="8" t="str">
        <f t="shared" si="16"/>
        <v>K</v>
      </c>
      <c r="CC14" s="8" t="str">
        <f t="shared" si="17"/>
        <v>M2</v>
      </c>
    </row>
    <row r="15" spans="1:85" ht="16.8" customHeight="1">
      <c r="B15" s="30"/>
      <c r="C15" s="70"/>
      <c r="D15" s="70"/>
      <c r="E15" s="70"/>
      <c r="I15" s="30"/>
      <c r="J15" s="70"/>
      <c r="K15" s="70"/>
      <c r="L15" s="70"/>
      <c r="P15" s="30"/>
      <c r="Q15" s="70"/>
      <c r="R15" s="70"/>
      <c r="S15" s="70"/>
      <c r="V15" s="27">
        <v>12</v>
      </c>
      <c r="W15" s="29" t="s">
        <v>82</v>
      </c>
      <c r="X15" s="29" t="s">
        <v>82</v>
      </c>
      <c r="Y15" s="29" t="s">
        <v>82</v>
      </c>
      <c r="Z15" s="65"/>
      <c r="AA15" s="29">
        <v>1</v>
      </c>
      <c r="AB15" s="29">
        <v>1</v>
      </c>
      <c r="AC15" s="29">
        <v>1</v>
      </c>
      <c r="AD15" s="65"/>
      <c r="AE15" s="29">
        <f t="shared" si="41"/>
        <v>1</v>
      </c>
      <c r="AF15" s="29">
        <f t="shared" si="42"/>
        <v>1</v>
      </c>
      <c r="AG15" s="29">
        <f t="shared" si="43"/>
        <v>1</v>
      </c>
      <c r="AH15" s="65"/>
      <c r="AI15" s="29">
        <f t="shared" si="54"/>
        <v>1</v>
      </c>
      <c r="AJ15" s="29">
        <f t="shared" si="55"/>
        <v>1</v>
      </c>
      <c r="AK15" s="29">
        <f t="shared" si="56"/>
        <v>1</v>
      </c>
      <c r="AL15" s="65"/>
      <c r="AM15" s="29">
        <v>1</v>
      </c>
      <c r="AN15" s="29">
        <v>1</v>
      </c>
      <c r="AO15" s="29">
        <v>1</v>
      </c>
      <c r="AP15" s="65"/>
      <c r="AQ15" s="29">
        <f t="shared" si="45"/>
        <v>1</v>
      </c>
      <c r="AR15" s="29">
        <f t="shared" si="29"/>
        <v>1</v>
      </c>
      <c r="AS15" s="29">
        <f t="shared" si="30"/>
        <v>1</v>
      </c>
      <c r="AT15" s="65"/>
      <c r="AU15" s="29">
        <f t="shared" si="57"/>
        <v>1</v>
      </c>
      <c r="AV15" s="29">
        <f t="shared" si="46"/>
        <v>1</v>
      </c>
      <c r="AW15" s="29">
        <f t="shared" si="47"/>
        <v>1</v>
      </c>
      <c r="AX15" s="65"/>
      <c r="AY15" s="29">
        <v>1</v>
      </c>
      <c r="AZ15" s="29">
        <v>1</v>
      </c>
      <c r="BA15" s="29">
        <v>1</v>
      </c>
      <c r="BB15" s="65"/>
      <c r="BC15" s="29">
        <f t="shared" si="48"/>
        <v>1</v>
      </c>
      <c r="BD15" s="29">
        <f t="shared" si="33"/>
        <v>1</v>
      </c>
      <c r="BE15" s="29">
        <f t="shared" si="34"/>
        <v>1</v>
      </c>
      <c r="BF15" s="65"/>
      <c r="BG15" s="29">
        <f t="shared" si="58"/>
        <v>1</v>
      </c>
      <c r="BH15" s="29">
        <f t="shared" si="49"/>
        <v>1</v>
      </c>
      <c r="BI15" s="29">
        <f t="shared" si="50"/>
        <v>1</v>
      </c>
      <c r="BJ15" s="65"/>
      <c r="BK15" s="29">
        <v>100</v>
      </c>
      <c r="BL15" s="29">
        <v>100</v>
      </c>
      <c r="BM15" s="29">
        <v>100</v>
      </c>
      <c r="BN15" s="65"/>
      <c r="BO15" s="29">
        <f t="shared" si="51"/>
        <v>100</v>
      </c>
      <c r="BP15" s="29">
        <f t="shared" si="37"/>
        <v>100</v>
      </c>
      <c r="BQ15" s="29">
        <f t="shared" si="38"/>
        <v>100</v>
      </c>
      <c r="BR15" s="65"/>
      <c r="BS15" s="29">
        <f t="shared" si="59"/>
        <v>100</v>
      </c>
      <c r="BT15" s="29">
        <f t="shared" si="52"/>
        <v>100</v>
      </c>
      <c r="BU15" s="29">
        <f t="shared" si="53"/>
        <v>100</v>
      </c>
      <c r="BV15" s="65"/>
      <c r="BW15" s="8">
        <f>IF(W15="","",VLOOKUP('Regular Symbol'!W15,'Regular Symbol'!$O$3:$T$13,6,0))</f>
        <v>5</v>
      </c>
      <c r="BX15" s="8">
        <f>IF(X15="","",VLOOKUP('Regular Symbol'!X15,'Regular Symbol'!$O$3:$T$13,6,0))</f>
        <v>5</v>
      </c>
      <c r="BY15" s="8">
        <f>IF(Y15="","",VLOOKUP('Regular Symbol'!Y15,'Regular Symbol'!$O$3:$T$13,6,0))</f>
        <v>5</v>
      </c>
      <c r="CA15" s="8" t="str">
        <f t="shared" si="15"/>
        <v>K</v>
      </c>
      <c r="CB15" s="8" t="str">
        <f t="shared" si="16"/>
        <v>K</v>
      </c>
      <c r="CC15" s="8" t="str">
        <f t="shared" si="17"/>
        <v>K</v>
      </c>
    </row>
    <row r="16" spans="1:85" ht="16.8" customHeight="1" thickBot="1">
      <c r="A16" s="83" t="s">
        <v>4</v>
      </c>
      <c r="B16" s="81"/>
      <c r="C16" s="81"/>
      <c r="D16" s="81"/>
      <c r="E16" s="81"/>
      <c r="F16" s="23"/>
      <c r="H16" s="83" t="s">
        <v>4</v>
      </c>
      <c r="I16" s="81"/>
      <c r="J16" s="81"/>
      <c r="K16" s="81"/>
      <c r="L16" s="81"/>
      <c r="M16" s="23"/>
      <c r="O16" s="83" t="s">
        <v>4</v>
      </c>
      <c r="P16" s="81"/>
      <c r="Q16" s="81"/>
      <c r="R16" s="81"/>
      <c r="S16" s="81"/>
      <c r="T16" s="23"/>
      <c r="V16" s="27">
        <v>13</v>
      </c>
      <c r="W16" s="29" t="s">
        <v>16</v>
      </c>
      <c r="X16" s="29" t="s">
        <v>82</v>
      </c>
      <c r="Y16" s="29" t="s">
        <v>82</v>
      </c>
      <c r="Z16" s="65"/>
      <c r="AA16" s="29">
        <v>1</v>
      </c>
      <c r="AB16" s="29">
        <v>1</v>
      </c>
      <c r="AC16" s="29">
        <v>1</v>
      </c>
      <c r="AD16" s="65"/>
      <c r="AE16" s="29">
        <f t="shared" si="41"/>
        <v>1</v>
      </c>
      <c r="AF16" s="29">
        <f t="shared" si="42"/>
        <v>1</v>
      </c>
      <c r="AG16" s="29">
        <f t="shared" si="43"/>
        <v>1</v>
      </c>
      <c r="AH16" s="65"/>
      <c r="AI16" s="29">
        <f t="shared" si="54"/>
        <v>1</v>
      </c>
      <c r="AJ16" s="29">
        <f t="shared" si="55"/>
        <v>1</v>
      </c>
      <c r="AK16" s="29">
        <f t="shared" si="56"/>
        <v>1</v>
      </c>
      <c r="AL16" s="65"/>
      <c r="AM16" s="29">
        <v>1</v>
      </c>
      <c r="AN16" s="29">
        <v>1</v>
      </c>
      <c r="AO16" s="29">
        <v>1</v>
      </c>
      <c r="AP16" s="65"/>
      <c r="AQ16" s="29">
        <f t="shared" si="45"/>
        <v>1</v>
      </c>
      <c r="AR16" s="29">
        <f t="shared" si="29"/>
        <v>1</v>
      </c>
      <c r="AS16" s="29">
        <f t="shared" si="30"/>
        <v>1</v>
      </c>
      <c r="AT16" s="65"/>
      <c r="AU16" s="29">
        <f t="shared" si="57"/>
        <v>1</v>
      </c>
      <c r="AV16" s="29">
        <f t="shared" si="46"/>
        <v>1</v>
      </c>
      <c r="AW16" s="29">
        <f t="shared" si="47"/>
        <v>1</v>
      </c>
      <c r="AX16" s="65"/>
      <c r="AY16" s="29">
        <v>1</v>
      </c>
      <c r="AZ16" s="29">
        <v>1</v>
      </c>
      <c r="BA16" s="29">
        <v>1</v>
      </c>
      <c r="BB16" s="65"/>
      <c r="BC16" s="29">
        <f t="shared" si="48"/>
        <v>1</v>
      </c>
      <c r="BD16" s="29">
        <f t="shared" si="33"/>
        <v>1</v>
      </c>
      <c r="BE16" s="29">
        <f t="shared" si="34"/>
        <v>1</v>
      </c>
      <c r="BF16" s="65"/>
      <c r="BG16" s="29">
        <f t="shared" si="58"/>
        <v>1</v>
      </c>
      <c r="BH16" s="29">
        <f t="shared" si="49"/>
        <v>1</v>
      </c>
      <c r="BI16" s="29">
        <f t="shared" si="50"/>
        <v>1</v>
      </c>
      <c r="BJ16" s="65"/>
      <c r="BK16" s="29">
        <v>100</v>
      </c>
      <c r="BL16" s="29">
        <v>100</v>
      </c>
      <c r="BM16" s="29">
        <v>100</v>
      </c>
      <c r="BN16" s="65"/>
      <c r="BO16" s="29">
        <f t="shared" si="51"/>
        <v>100</v>
      </c>
      <c r="BP16" s="29">
        <f t="shared" si="37"/>
        <v>100</v>
      </c>
      <c r="BQ16" s="29">
        <f t="shared" si="38"/>
        <v>100</v>
      </c>
      <c r="BR16" s="65"/>
      <c r="BS16" s="29">
        <f t="shared" si="59"/>
        <v>100</v>
      </c>
      <c r="BT16" s="29">
        <f t="shared" si="52"/>
        <v>100</v>
      </c>
      <c r="BU16" s="29">
        <f t="shared" si="53"/>
        <v>100</v>
      </c>
      <c r="BV16" s="65"/>
      <c r="BW16" s="8">
        <f>IF(W16="","",VLOOKUP('Regular Symbol'!W16,'Regular Symbol'!$O$3:$T$13,6,0))</f>
        <v>1</v>
      </c>
      <c r="BX16" s="8">
        <f>IF(X16="","",VLOOKUP('Regular Symbol'!X16,'Regular Symbol'!$O$3:$T$13,6,0))</f>
        <v>5</v>
      </c>
      <c r="BY16" s="8">
        <f>IF(Y16="","",VLOOKUP('Regular Symbol'!Y16,'Regular Symbol'!$O$3:$T$13,6,0))</f>
        <v>5</v>
      </c>
      <c r="CA16" s="8" t="str">
        <f t="shared" si="15"/>
        <v>M1</v>
      </c>
      <c r="CB16" s="8" t="str">
        <f t="shared" si="16"/>
        <v>K</v>
      </c>
      <c r="CC16" s="8" t="str">
        <f t="shared" si="17"/>
        <v>K</v>
      </c>
    </row>
    <row r="17" spans="1:81" ht="16.8" customHeight="1" thickBot="1">
      <c r="A17" s="61" t="s">
        <v>0</v>
      </c>
      <c r="B17" s="62" t="s">
        <v>5</v>
      </c>
      <c r="C17" s="14" t="s">
        <v>1</v>
      </c>
      <c r="D17" s="14" t="s">
        <v>2</v>
      </c>
      <c r="E17" s="15" t="s">
        <v>3</v>
      </c>
      <c r="F17" s="63"/>
      <c r="H17" s="61" t="s">
        <v>0</v>
      </c>
      <c r="I17" s="62" t="s">
        <v>5</v>
      </c>
      <c r="J17" s="14" t="s">
        <v>1</v>
      </c>
      <c r="K17" s="14" t="s">
        <v>2</v>
      </c>
      <c r="L17" s="15" t="s">
        <v>3</v>
      </c>
      <c r="M17" s="63"/>
      <c r="O17" s="61" t="s">
        <v>0</v>
      </c>
      <c r="P17" s="62" t="s">
        <v>5</v>
      </c>
      <c r="Q17" s="14" t="s">
        <v>1</v>
      </c>
      <c r="R17" s="14" t="s">
        <v>2</v>
      </c>
      <c r="S17" s="15" t="s">
        <v>3</v>
      </c>
      <c r="T17" s="63"/>
      <c r="V17" s="27">
        <v>14</v>
      </c>
      <c r="W17" s="29" t="s">
        <v>16</v>
      </c>
      <c r="X17" s="29" t="s">
        <v>81</v>
      </c>
      <c r="Y17" s="29" t="s">
        <v>82</v>
      </c>
      <c r="Z17" s="65"/>
      <c r="AA17" s="29">
        <v>1</v>
      </c>
      <c r="AB17" s="29">
        <v>1</v>
      </c>
      <c r="AC17" s="29">
        <v>1</v>
      </c>
      <c r="AD17" s="65"/>
      <c r="AE17" s="29">
        <f t="shared" si="41"/>
        <v>1</v>
      </c>
      <c r="AF17" s="29">
        <f t="shared" si="42"/>
        <v>1</v>
      </c>
      <c r="AG17" s="29">
        <f t="shared" si="43"/>
        <v>1</v>
      </c>
      <c r="AH17" s="65"/>
      <c r="AI17" s="29">
        <f t="shared" si="54"/>
        <v>1</v>
      </c>
      <c r="AJ17" s="29">
        <f t="shared" si="55"/>
        <v>1</v>
      </c>
      <c r="AK17" s="29">
        <f t="shared" si="56"/>
        <v>1</v>
      </c>
      <c r="AL17" s="65"/>
      <c r="AM17" s="29">
        <v>1</v>
      </c>
      <c r="AN17" s="29">
        <v>1</v>
      </c>
      <c r="AO17" s="29">
        <v>1</v>
      </c>
      <c r="AP17" s="65"/>
      <c r="AQ17" s="29">
        <f t="shared" si="45"/>
        <v>1</v>
      </c>
      <c r="AR17" s="29">
        <f t="shared" si="29"/>
        <v>1</v>
      </c>
      <c r="AS17" s="29">
        <f t="shared" si="30"/>
        <v>1</v>
      </c>
      <c r="AT17" s="65"/>
      <c r="AU17" s="29">
        <f t="shared" si="57"/>
        <v>1</v>
      </c>
      <c r="AV17" s="29">
        <f t="shared" si="46"/>
        <v>1</v>
      </c>
      <c r="AW17" s="29">
        <f t="shared" si="47"/>
        <v>1</v>
      </c>
      <c r="AX17" s="65"/>
      <c r="AY17" s="29">
        <v>1</v>
      </c>
      <c r="AZ17" s="29">
        <v>1</v>
      </c>
      <c r="BA17" s="29">
        <v>1</v>
      </c>
      <c r="BB17" s="65"/>
      <c r="BC17" s="29">
        <f t="shared" si="48"/>
        <v>1</v>
      </c>
      <c r="BD17" s="29">
        <f t="shared" si="33"/>
        <v>1</v>
      </c>
      <c r="BE17" s="29">
        <f t="shared" si="34"/>
        <v>1</v>
      </c>
      <c r="BF17" s="65"/>
      <c r="BG17" s="29">
        <f t="shared" si="58"/>
        <v>1</v>
      </c>
      <c r="BH17" s="29">
        <f t="shared" si="49"/>
        <v>1</v>
      </c>
      <c r="BI17" s="29">
        <f t="shared" si="50"/>
        <v>1</v>
      </c>
      <c r="BJ17" s="65"/>
      <c r="BK17" s="29">
        <v>100</v>
      </c>
      <c r="BL17" s="29">
        <v>100</v>
      </c>
      <c r="BM17" s="29">
        <v>100</v>
      </c>
      <c r="BN17" s="65"/>
      <c r="BO17" s="29">
        <f t="shared" si="51"/>
        <v>100</v>
      </c>
      <c r="BP17" s="29">
        <f t="shared" si="37"/>
        <v>100</v>
      </c>
      <c r="BQ17" s="29">
        <f t="shared" si="38"/>
        <v>100</v>
      </c>
      <c r="BR17" s="65"/>
      <c r="BS17" s="29">
        <f t="shared" si="59"/>
        <v>100</v>
      </c>
      <c r="BT17" s="29">
        <f t="shared" si="52"/>
        <v>100</v>
      </c>
      <c r="BU17" s="29">
        <f t="shared" si="53"/>
        <v>100</v>
      </c>
      <c r="BV17" s="65"/>
      <c r="BW17" s="8">
        <f>IF(W17="","",VLOOKUP('Regular Symbol'!W17,'Regular Symbol'!$O$3:$T$13,6,0))</f>
        <v>1</v>
      </c>
      <c r="BX17" s="8">
        <f>IF(X17="","",VLOOKUP('Regular Symbol'!X17,'Regular Symbol'!$O$3:$T$13,6,0))</f>
        <v>4</v>
      </c>
      <c r="BY17" s="8">
        <f>IF(Y17="","",VLOOKUP('Regular Symbol'!Y17,'Regular Symbol'!$O$3:$T$13,6,0))</f>
        <v>5</v>
      </c>
      <c r="CA17" s="8" t="str">
        <f t="shared" si="15"/>
        <v>M1</v>
      </c>
      <c r="CB17" s="8" t="str">
        <f t="shared" si="16"/>
        <v>A</v>
      </c>
      <c r="CC17" s="8" t="str">
        <f t="shared" si="17"/>
        <v>K</v>
      </c>
    </row>
    <row r="18" spans="1:81" ht="16.8" customHeight="1">
      <c r="A18" s="41" t="s">
        <v>6</v>
      </c>
      <c r="B18" s="43" t="s">
        <v>33</v>
      </c>
      <c r="C18" s="106">
        <f>SUM(C3:C13)</f>
        <v>123</v>
      </c>
      <c r="D18" s="106">
        <f>SUM(D3:D13)</f>
        <v>209</v>
      </c>
      <c r="E18" s="84">
        <f>SUM(E3:E13)</f>
        <v>203</v>
      </c>
      <c r="F18" s="69"/>
      <c r="H18" s="41" t="str" cm="1">
        <f t="array" ref="H18:I25">A18:B25</f>
        <v>--</v>
      </c>
      <c r="I18" s="43" t="str">
        <v>WW,C1,M1,M2,M3,M4,A,K,Q,J,TE,NI</v>
      </c>
      <c r="J18" s="155">
        <f ca="1">SUM(J3:J13)</f>
        <v>123</v>
      </c>
      <c r="K18" s="155">
        <f ca="1">SUM(K3:K13)</f>
        <v>209</v>
      </c>
      <c r="L18" s="84">
        <f ca="1">SUM(L3:L13)</f>
        <v>203</v>
      </c>
      <c r="M18" s="69"/>
      <c r="O18" s="41" t="str" cm="1">
        <f t="array" ref="O18:P25">_xlfn.ANCHORARRAY(H18)</f>
        <v>--</v>
      </c>
      <c r="P18" s="43" t="str">
        <v>WW,C1,M1,M2,M3,M4,A,K,Q,J,TE,NI</v>
      </c>
      <c r="Q18" s="155">
        <f ca="1">SUM(Q3:Q13)</f>
        <v>123</v>
      </c>
      <c r="R18" s="155">
        <f ca="1">SUM(R3:R13)</f>
        <v>209</v>
      </c>
      <c r="S18" s="84">
        <f ca="1">SUM(S3:S13)</f>
        <v>203</v>
      </c>
      <c r="T18" s="69"/>
      <c r="V18" s="27">
        <v>15</v>
      </c>
      <c r="W18" s="29" t="s">
        <v>16</v>
      </c>
      <c r="X18" s="29" t="s">
        <v>81</v>
      </c>
      <c r="Y18" s="29" t="s">
        <v>16</v>
      </c>
      <c r="Z18" s="65"/>
      <c r="AA18" s="29">
        <v>1</v>
      </c>
      <c r="AB18" s="29">
        <v>1</v>
      </c>
      <c r="AC18" s="29">
        <v>1</v>
      </c>
      <c r="AD18" s="65"/>
      <c r="AE18" s="29">
        <f t="shared" si="41"/>
        <v>1</v>
      </c>
      <c r="AF18" s="29">
        <f t="shared" si="42"/>
        <v>1</v>
      </c>
      <c r="AG18" s="29">
        <f t="shared" si="43"/>
        <v>1</v>
      </c>
      <c r="AH18" s="65"/>
      <c r="AI18" s="29">
        <f t="shared" si="54"/>
        <v>1</v>
      </c>
      <c r="AJ18" s="29">
        <f t="shared" si="55"/>
        <v>1</v>
      </c>
      <c r="AK18" s="29">
        <f t="shared" si="56"/>
        <v>1</v>
      </c>
      <c r="AL18" s="65"/>
      <c r="AM18" s="29">
        <v>1</v>
      </c>
      <c r="AN18" s="29">
        <v>1</v>
      </c>
      <c r="AO18" s="29">
        <v>1</v>
      </c>
      <c r="AP18" s="65"/>
      <c r="AQ18" s="29">
        <f t="shared" si="45"/>
        <v>1</v>
      </c>
      <c r="AR18" s="29">
        <f t="shared" si="29"/>
        <v>1</v>
      </c>
      <c r="AS18" s="29">
        <f t="shared" si="30"/>
        <v>1</v>
      </c>
      <c r="AT18" s="65"/>
      <c r="AU18" s="29">
        <f t="shared" si="57"/>
        <v>1</v>
      </c>
      <c r="AV18" s="29">
        <f t="shared" si="46"/>
        <v>1</v>
      </c>
      <c r="AW18" s="29">
        <f t="shared" si="47"/>
        <v>1</v>
      </c>
      <c r="AX18" s="65"/>
      <c r="AY18" s="29">
        <v>1</v>
      </c>
      <c r="AZ18" s="29">
        <v>1</v>
      </c>
      <c r="BA18" s="29">
        <v>1</v>
      </c>
      <c r="BB18" s="65"/>
      <c r="BC18" s="29">
        <f t="shared" si="48"/>
        <v>1</v>
      </c>
      <c r="BD18" s="29">
        <f t="shared" si="33"/>
        <v>1</v>
      </c>
      <c r="BE18" s="29">
        <f t="shared" si="34"/>
        <v>1</v>
      </c>
      <c r="BF18" s="65"/>
      <c r="BG18" s="29">
        <f t="shared" si="58"/>
        <v>1</v>
      </c>
      <c r="BH18" s="29">
        <f t="shared" si="49"/>
        <v>1</v>
      </c>
      <c r="BI18" s="29">
        <f t="shared" si="50"/>
        <v>1</v>
      </c>
      <c r="BJ18" s="65"/>
      <c r="BK18" s="29">
        <v>100</v>
      </c>
      <c r="BL18" s="29">
        <v>100</v>
      </c>
      <c r="BM18" s="29">
        <v>100</v>
      </c>
      <c r="BN18" s="65"/>
      <c r="BO18" s="29">
        <f t="shared" si="51"/>
        <v>100</v>
      </c>
      <c r="BP18" s="29">
        <f t="shared" si="37"/>
        <v>100</v>
      </c>
      <c r="BQ18" s="29">
        <f t="shared" si="38"/>
        <v>100</v>
      </c>
      <c r="BR18" s="65"/>
      <c r="BS18" s="29">
        <f t="shared" si="59"/>
        <v>100</v>
      </c>
      <c r="BT18" s="29">
        <f t="shared" si="52"/>
        <v>100</v>
      </c>
      <c r="BU18" s="29">
        <f t="shared" si="53"/>
        <v>100</v>
      </c>
      <c r="BV18" s="65"/>
      <c r="BW18" s="8">
        <f>IF(W18="","",VLOOKUP('Regular Symbol'!W18,'Regular Symbol'!$O$3:$T$13,6,0))</f>
        <v>1</v>
      </c>
      <c r="BX18" s="8">
        <f>IF(X18="","",VLOOKUP('Regular Symbol'!X18,'Regular Symbol'!$O$3:$T$13,6,0))</f>
        <v>4</v>
      </c>
      <c r="BY18" s="8">
        <f>IF(Y18="","",VLOOKUP('Regular Symbol'!Y18,'Regular Symbol'!$O$3:$T$13,6,0))</f>
        <v>1</v>
      </c>
      <c r="CA18" s="8" t="str">
        <f t="shared" si="15"/>
        <v>M1</v>
      </c>
      <c r="CB18" s="8" t="str">
        <f t="shared" si="16"/>
        <v>A</v>
      </c>
      <c r="CC18" s="8" t="str">
        <f t="shared" si="17"/>
        <v>M1</v>
      </c>
    </row>
    <row r="19" spans="1:81" ht="16.8" customHeight="1">
      <c r="A19" s="78" t="s">
        <v>19</v>
      </c>
      <c r="B19" s="48" t="s">
        <v>20</v>
      </c>
      <c r="C19" s="106">
        <f>C$3+C$4</f>
        <v>23</v>
      </c>
      <c r="D19" s="106">
        <f>D$3+D$4</f>
        <v>45</v>
      </c>
      <c r="E19" s="84">
        <f>E$3+E$4</f>
        <v>44</v>
      </c>
      <c r="F19" s="69"/>
      <c r="H19" s="78" t="str">
        <v>W1</v>
      </c>
      <c r="I19" s="48" t="str">
        <v>WW,M1</v>
      </c>
      <c r="J19" s="155">
        <f>J$3+J$4</f>
        <v>23</v>
      </c>
      <c r="K19" s="155">
        <f ca="1">K$3+K$4</f>
        <v>45</v>
      </c>
      <c r="L19" s="84">
        <f ca="1">L$3+L$4</f>
        <v>44</v>
      </c>
      <c r="M19" s="69"/>
      <c r="O19" s="78" t="str">
        <v>W1</v>
      </c>
      <c r="P19" s="48" t="str">
        <v>WW,M1</v>
      </c>
      <c r="Q19" s="155">
        <f>Q$3+Q$4</f>
        <v>23</v>
      </c>
      <c r="R19" s="155">
        <f ca="1">R$3+R$4</f>
        <v>45</v>
      </c>
      <c r="S19" s="84">
        <f ca="1">S$3+S$4</f>
        <v>44</v>
      </c>
      <c r="T19" s="69"/>
      <c r="V19" s="27">
        <v>16</v>
      </c>
      <c r="W19" s="29" t="s">
        <v>84</v>
      </c>
      <c r="X19" s="29" t="s">
        <v>81</v>
      </c>
      <c r="Y19" s="29" t="s">
        <v>16</v>
      </c>
      <c r="Z19" s="65"/>
      <c r="AA19" s="29">
        <v>1</v>
      </c>
      <c r="AB19" s="29">
        <v>1</v>
      </c>
      <c r="AC19" s="29">
        <v>1</v>
      </c>
      <c r="AD19" s="65"/>
      <c r="AE19" s="29">
        <f t="shared" si="41"/>
        <v>1</v>
      </c>
      <c r="AF19" s="29">
        <f t="shared" si="42"/>
        <v>1</v>
      </c>
      <c r="AG19" s="29">
        <f t="shared" si="43"/>
        <v>1</v>
      </c>
      <c r="AH19" s="65"/>
      <c r="AI19" s="29">
        <f t="shared" si="54"/>
        <v>1</v>
      </c>
      <c r="AJ19" s="29">
        <f t="shared" si="55"/>
        <v>1</v>
      </c>
      <c r="AK19" s="29">
        <f t="shared" si="56"/>
        <v>1</v>
      </c>
      <c r="AL19" s="65"/>
      <c r="AM19" s="29">
        <v>1</v>
      </c>
      <c r="AN19" s="29">
        <v>1</v>
      </c>
      <c r="AO19" s="29">
        <v>1</v>
      </c>
      <c r="AP19" s="65"/>
      <c r="AQ19" s="29">
        <f t="shared" si="45"/>
        <v>1</v>
      </c>
      <c r="AR19" s="29">
        <f t="shared" si="29"/>
        <v>1</v>
      </c>
      <c r="AS19" s="29">
        <f t="shared" si="30"/>
        <v>1</v>
      </c>
      <c r="AT19" s="65"/>
      <c r="AU19" s="29">
        <f t="shared" si="57"/>
        <v>1</v>
      </c>
      <c r="AV19" s="29">
        <f t="shared" si="46"/>
        <v>1</v>
      </c>
      <c r="AW19" s="29">
        <f t="shared" si="47"/>
        <v>1</v>
      </c>
      <c r="AX19" s="65"/>
      <c r="AY19" s="29">
        <v>1</v>
      </c>
      <c r="AZ19" s="29">
        <v>1</v>
      </c>
      <c r="BA19" s="29">
        <v>1</v>
      </c>
      <c r="BB19" s="65"/>
      <c r="BC19" s="29">
        <f t="shared" si="48"/>
        <v>1</v>
      </c>
      <c r="BD19" s="29">
        <f t="shared" si="33"/>
        <v>1</v>
      </c>
      <c r="BE19" s="29">
        <f t="shared" si="34"/>
        <v>1</v>
      </c>
      <c r="BF19" s="65"/>
      <c r="BG19" s="29">
        <f t="shared" si="58"/>
        <v>1</v>
      </c>
      <c r="BH19" s="29">
        <f t="shared" si="49"/>
        <v>1</v>
      </c>
      <c r="BI19" s="29">
        <f t="shared" si="50"/>
        <v>1</v>
      </c>
      <c r="BJ19" s="65"/>
      <c r="BK19" s="29">
        <v>100</v>
      </c>
      <c r="BL19" s="29">
        <v>100</v>
      </c>
      <c r="BM19" s="29">
        <v>100</v>
      </c>
      <c r="BN19" s="65"/>
      <c r="BO19" s="29">
        <f t="shared" si="51"/>
        <v>100</v>
      </c>
      <c r="BP19" s="29">
        <f t="shared" si="37"/>
        <v>100</v>
      </c>
      <c r="BQ19" s="29">
        <f t="shared" si="38"/>
        <v>100</v>
      </c>
      <c r="BR19" s="65"/>
      <c r="BS19" s="29">
        <f t="shared" si="59"/>
        <v>100</v>
      </c>
      <c r="BT19" s="29">
        <f t="shared" si="52"/>
        <v>100</v>
      </c>
      <c r="BU19" s="29">
        <f t="shared" si="53"/>
        <v>100</v>
      </c>
      <c r="BV19" s="65"/>
      <c r="BW19" s="8">
        <f>IF(W19="","",VLOOKUP('Regular Symbol'!W19,'Regular Symbol'!$O$3:$T$13,6,0))</f>
        <v>7</v>
      </c>
      <c r="BX19" s="8">
        <f>IF(X19="","",VLOOKUP('Regular Symbol'!X19,'Regular Symbol'!$O$3:$T$13,6,0))</f>
        <v>4</v>
      </c>
      <c r="BY19" s="8">
        <f>IF(Y19="","",VLOOKUP('Regular Symbol'!Y19,'Regular Symbol'!$O$3:$T$13,6,0))</f>
        <v>1</v>
      </c>
      <c r="CA19" s="8" t="str">
        <f t="shared" si="15"/>
        <v>J</v>
      </c>
      <c r="CB19" s="8" t="str">
        <f t="shared" si="16"/>
        <v>A</v>
      </c>
      <c r="CC19" s="8" t="str">
        <f t="shared" si="17"/>
        <v>M1</v>
      </c>
    </row>
    <row r="20" spans="1:81" ht="16.8" customHeight="1">
      <c r="A20" s="78" t="s">
        <v>21</v>
      </c>
      <c r="B20" s="48" t="s">
        <v>22</v>
      </c>
      <c r="C20" s="106">
        <f>C$3+C$5</f>
        <v>22</v>
      </c>
      <c r="D20" s="106">
        <f>D$3+D$5</f>
        <v>47</v>
      </c>
      <c r="E20" s="84">
        <f>E$3+E$5</f>
        <v>48</v>
      </c>
      <c r="F20" s="69"/>
      <c r="H20" s="78" t="str">
        <v>W2</v>
      </c>
      <c r="I20" s="48" t="str">
        <v>WW,M2</v>
      </c>
      <c r="J20" s="155">
        <f>J$3+J$5</f>
        <v>22</v>
      </c>
      <c r="K20" s="155">
        <f ca="1">K$3+K$5</f>
        <v>47</v>
      </c>
      <c r="L20" s="84">
        <f>L$3+L$5</f>
        <v>48</v>
      </c>
      <c r="M20" s="69"/>
      <c r="O20" s="78" t="str">
        <v>W2</v>
      </c>
      <c r="P20" s="48" t="str">
        <v>WW,M2</v>
      </c>
      <c r="Q20" s="155">
        <f>Q$3+Q$5</f>
        <v>22</v>
      </c>
      <c r="R20" s="155">
        <f ca="1">R$3+R$5</f>
        <v>47</v>
      </c>
      <c r="S20" s="84">
        <f>S$3+S$5</f>
        <v>48</v>
      </c>
      <c r="T20" s="69"/>
      <c r="V20" s="27">
        <v>17</v>
      </c>
      <c r="W20" s="29" t="s">
        <v>84</v>
      </c>
      <c r="X20" s="29" t="s">
        <v>17</v>
      </c>
      <c r="Y20" s="29" t="s">
        <v>16</v>
      </c>
      <c r="Z20" s="65"/>
      <c r="AA20" s="29">
        <v>1</v>
      </c>
      <c r="AB20" s="29">
        <v>1</v>
      </c>
      <c r="AC20" s="29">
        <v>1</v>
      </c>
      <c r="AD20" s="65"/>
      <c r="AE20" s="29">
        <f t="shared" si="41"/>
        <v>1</v>
      </c>
      <c r="AF20" s="29">
        <f t="shared" si="42"/>
        <v>1</v>
      </c>
      <c r="AG20" s="29">
        <f t="shared" si="43"/>
        <v>1</v>
      </c>
      <c r="AH20" s="65"/>
      <c r="AI20" s="29">
        <f t="shared" si="54"/>
        <v>1</v>
      </c>
      <c r="AJ20" s="29">
        <f t="shared" si="55"/>
        <v>1</v>
      </c>
      <c r="AK20" s="29">
        <f t="shared" si="56"/>
        <v>1</v>
      </c>
      <c r="AL20" s="65"/>
      <c r="AM20" s="29">
        <v>1</v>
      </c>
      <c r="AN20" s="29">
        <v>1</v>
      </c>
      <c r="AO20" s="29">
        <v>1</v>
      </c>
      <c r="AP20" s="65"/>
      <c r="AQ20" s="29">
        <f t="shared" si="45"/>
        <v>1</v>
      </c>
      <c r="AR20" s="29">
        <f t="shared" si="29"/>
        <v>1</v>
      </c>
      <c r="AS20" s="29">
        <f t="shared" si="30"/>
        <v>1</v>
      </c>
      <c r="AT20" s="65"/>
      <c r="AU20" s="29">
        <f t="shared" si="57"/>
        <v>1</v>
      </c>
      <c r="AV20" s="29">
        <f t="shared" si="46"/>
        <v>1</v>
      </c>
      <c r="AW20" s="29">
        <f t="shared" si="47"/>
        <v>1</v>
      </c>
      <c r="AX20" s="65"/>
      <c r="AY20" s="29">
        <v>1</v>
      </c>
      <c r="AZ20" s="29">
        <v>1</v>
      </c>
      <c r="BA20" s="29">
        <v>1</v>
      </c>
      <c r="BB20" s="65"/>
      <c r="BC20" s="29">
        <f t="shared" si="48"/>
        <v>1</v>
      </c>
      <c r="BD20" s="29">
        <f t="shared" si="33"/>
        <v>1</v>
      </c>
      <c r="BE20" s="29">
        <f t="shared" si="34"/>
        <v>1</v>
      </c>
      <c r="BF20" s="65"/>
      <c r="BG20" s="29">
        <f t="shared" si="58"/>
        <v>1</v>
      </c>
      <c r="BH20" s="29">
        <f t="shared" si="49"/>
        <v>1</v>
      </c>
      <c r="BI20" s="29">
        <f t="shared" si="50"/>
        <v>1</v>
      </c>
      <c r="BJ20" s="65"/>
      <c r="BK20" s="29">
        <v>100</v>
      </c>
      <c r="BL20" s="29">
        <v>100</v>
      </c>
      <c r="BM20" s="29">
        <v>100</v>
      </c>
      <c r="BN20" s="65"/>
      <c r="BO20" s="29">
        <f t="shared" si="51"/>
        <v>100</v>
      </c>
      <c r="BP20" s="29">
        <f t="shared" si="37"/>
        <v>100</v>
      </c>
      <c r="BQ20" s="29">
        <f t="shared" si="38"/>
        <v>100</v>
      </c>
      <c r="BR20" s="65"/>
      <c r="BS20" s="29">
        <f t="shared" si="59"/>
        <v>100</v>
      </c>
      <c r="BT20" s="29">
        <f t="shared" si="52"/>
        <v>100</v>
      </c>
      <c r="BU20" s="29">
        <f t="shared" si="53"/>
        <v>100</v>
      </c>
      <c r="BV20" s="65"/>
      <c r="BW20" s="8">
        <f>IF(W20="","",VLOOKUP('Regular Symbol'!W20,'Regular Symbol'!$O$3:$T$13,6,0))</f>
        <v>7</v>
      </c>
      <c r="BX20" s="8">
        <f>IF(X20="","",VLOOKUP('Regular Symbol'!X20,'Regular Symbol'!$O$3:$T$13,6,0))</f>
        <v>2</v>
      </c>
      <c r="BY20" s="8">
        <f>IF(Y20="","",VLOOKUP('Regular Symbol'!Y20,'Regular Symbol'!$O$3:$T$13,6,0))</f>
        <v>1</v>
      </c>
      <c r="CA20" s="8" t="str">
        <f t="shared" si="15"/>
        <v>J</v>
      </c>
      <c r="CB20" s="8" t="str">
        <f t="shared" si="16"/>
        <v>M2</v>
      </c>
      <c r="CC20" s="8" t="str">
        <f t="shared" si="17"/>
        <v>M1</v>
      </c>
    </row>
    <row r="21" spans="1:81" ht="16.8" customHeight="1">
      <c r="A21" s="78" t="s">
        <v>23</v>
      </c>
      <c r="B21" s="48" t="s">
        <v>24</v>
      </c>
      <c r="C21" s="106">
        <f>C$3+C$6</f>
        <v>23</v>
      </c>
      <c r="D21" s="106">
        <f>D$3+D$6</f>
        <v>46</v>
      </c>
      <c r="E21" s="84">
        <f>E$3+E$6</f>
        <v>49</v>
      </c>
      <c r="F21" s="69"/>
      <c r="H21" s="78" t="str">
        <v>W3</v>
      </c>
      <c r="I21" s="48" t="str">
        <v>WW,M3</v>
      </c>
      <c r="J21" s="155">
        <f>J$3+J$6</f>
        <v>23</v>
      </c>
      <c r="K21" s="155">
        <f ca="1">K$3+K$6</f>
        <v>46</v>
      </c>
      <c r="L21" s="84">
        <f>L$3+L$6</f>
        <v>49</v>
      </c>
      <c r="M21" s="69"/>
      <c r="O21" s="78" t="str">
        <v>W3</v>
      </c>
      <c r="P21" s="48" t="str">
        <v>WW,M3</v>
      </c>
      <c r="Q21" s="155">
        <f>Q$3+Q$6</f>
        <v>23</v>
      </c>
      <c r="R21" s="155">
        <f ca="1">R$3+R$6</f>
        <v>46</v>
      </c>
      <c r="S21" s="84">
        <f>S$3+S$6</f>
        <v>49</v>
      </c>
      <c r="T21" s="69"/>
      <c r="V21" s="27">
        <v>18</v>
      </c>
      <c r="W21" s="29" t="s">
        <v>17</v>
      </c>
      <c r="X21" s="29" t="s">
        <v>17</v>
      </c>
      <c r="Y21" s="29" t="s">
        <v>18</v>
      </c>
      <c r="Z21" s="65"/>
      <c r="AA21" s="29">
        <v>1</v>
      </c>
      <c r="AB21" s="29">
        <v>1</v>
      </c>
      <c r="AC21" s="29">
        <v>1</v>
      </c>
      <c r="AD21" s="65"/>
      <c r="AE21" s="29">
        <f t="shared" si="41"/>
        <v>1</v>
      </c>
      <c r="AF21" s="29">
        <f t="shared" si="42"/>
        <v>1</v>
      </c>
      <c r="AG21" s="29">
        <f t="shared" si="43"/>
        <v>1</v>
      </c>
      <c r="AH21" s="65"/>
      <c r="AI21" s="29">
        <f t="shared" si="54"/>
        <v>1</v>
      </c>
      <c r="AJ21" s="29">
        <f t="shared" si="55"/>
        <v>1</v>
      </c>
      <c r="AK21" s="29">
        <f t="shared" si="56"/>
        <v>1</v>
      </c>
      <c r="AL21" s="65"/>
      <c r="AM21" s="29">
        <v>1</v>
      </c>
      <c r="AN21" s="29">
        <v>1</v>
      </c>
      <c r="AO21" s="29">
        <v>1</v>
      </c>
      <c r="AP21" s="65"/>
      <c r="AQ21" s="29">
        <f t="shared" si="45"/>
        <v>1</v>
      </c>
      <c r="AR21" s="29">
        <f t="shared" si="29"/>
        <v>1</v>
      </c>
      <c r="AS21" s="29">
        <f t="shared" si="30"/>
        <v>1</v>
      </c>
      <c r="AT21" s="65"/>
      <c r="AU21" s="29">
        <f t="shared" si="57"/>
        <v>1</v>
      </c>
      <c r="AV21" s="29">
        <f t="shared" si="46"/>
        <v>1</v>
      </c>
      <c r="AW21" s="29">
        <f t="shared" si="47"/>
        <v>1</v>
      </c>
      <c r="AX21" s="65"/>
      <c r="AY21" s="29">
        <v>1</v>
      </c>
      <c r="AZ21" s="29">
        <v>1</v>
      </c>
      <c r="BA21" s="29">
        <v>1</v>
      </c>
      <c r="BB21" s="65"/>
      <c r="BC21" s="29">
        <f t="shared" si="48"/>
        <v>1</v>
      </c>
      <c r="BD21" s="29">
        <f t="shared" si="33"/>
        <v>1</v>
      </c>
      <c r="BE21" s="29">
        <f t="shared" si="34"/>
        <v>1</v>
      </c>
      <c r="BF21" s="65"/>
      <c r="BG21" s="29">
        <f t="shared" si="58"/>
        <v>1</v>
      </c>
      <c r="BH21" s="29">
        <f t="shared" si="49"/>
        <v>1</v>
      </c>
      <c r="BI21" s="29">
        <f t="shared" si="50"/>
        <v>1</v>
      </c>
      <c r="BJ21" s="65"/>
      <c r="BK21" s="29">
        <v>100</v>
      </c>
      <c r="BL21" s="29">
        <v>100</v>
      </c>
      <c r="BM21" s="29">
        <v>100</v>
      </c>
      <c r="BN21" s="65"/>
      <c r="BO21" s="29">
        <f t="shared" si="51"/>
        <v>100</v>
      </c>
      <c r="BP21" s="29">
        <f t="shared" si="37"/>
        <v>100</v>
      </c>
      <c r="BQ21" s="29">
        <f t="shared" si="38"/>
        <v>100</v>
      </c>
      <c r="BR21" s="65"/>
      <c r="BS21" s="29">
        <f t="shared" si="59"/>
        <v>100</v>
      </c>
      <c r="BT21" s="29">
        <f t="shared" si="52"/>
        <v>100</v>
      </c>
      <c r="BU21" s="29">
        <f t="shared" si="53"/>
        <v>100</v>
      </c>
      <c r="BV21" s="65"/>
      <c r="BW21" s="8">
        <f>IF(W21="","",VLOOKUP('Regular Symbol'!W21,'Regular Symbol'!$O$3:$T$13,6,0))</f>
        <v>2</v>
      </c>
      <c r="BX21" s="8">
        <f>IF(X21="","",VLOOKUP('Regular Symbol'!X21,'Regular Symbol'!$O$3:$T$13,6,0))</f>
        <v>2</v>
      </c>
      <c r="BY21" s="8">
        <f>IF(Y21="","",VLOOKUP('Regular Symbol'!Y21,'Regular Symbol'!$O$3:$T$13,6,0))</f>
        <v>3</v>
      </c>
      <c r="CA21" s="8" t="str">
        <f t="shared" si="15"/>
        <v>M2</v>
      </c>
      <c r="CB21" s="8" t="str">
        <f t="shared" si="16"/>
        <v>M2</v>
      </c>
      <c r="CC21" s="8" t="str">
        <f t="shared" si="17"/>
        <v>M3</v>
      </c>
    </row>
    <row r="22" spans="1:81" ht="16.8" customHeight="1">
      <c r="A22" s="78" t="s">
        <v>55</v>
      </c>
      <c r="B22" s="48" t="s">
        <v>34</v>
      </c>
      <c r="C22" s="106">
        <f>C$3+C$7</f>
        <v>27</v>
      </c>
      <c r="D22" s="106">
        <f>D$3+D$7</f>
        <v>51</v>
      </c>
      <c r="E22" s="84">
        <f>E$3+E$7</f>
        <v>44</v>
      </c>
      <c r="F22" s="69"/>
      <c r="H22" s="78" t="str">
        <v>WA</v>
      </c>
      <c r="I22" s="48" t="str">
        <v>WW,A</v>
      </c>
      <c r="J22" s="155">
        <f>J$3+J$7</f>
        <v>27</v>
      </c>
      <c r="K22" s="155">
        <f ca="1">K$3+K$7</f>
        <v>51</v>
      </c>
      <c r="L22" s="84">
        <f>L$3+L$7</f>
        <v>44</v>
      </c>
      <c r="M22" s="69"/>
      <c r="O22" s="78" t="str">
        <v>WA</v>
      </c>
      <c r="P22" s="48" t="str">
        <v>WW,A</v>
      </c>
      <c r="Q22" s="155">
        <f>Q$3+Q$7</f>
        <v>27</v>
      </c>
      <c r="R22" s="155">
        <f ca="1">R$3+R$7</f>
        <v>51</v>
      </c>
      <c r="S22" s="84">
        <f>S$3+S$7</f>
        <v>44</v>
      </c>
      <c r="T22" s="69"/>
      <c r="V22" s="27">
        <v>19</v>
      </c>
      <c r="W22" s="29" t="s">
        <v>17</v>
      </c>
      <c r="X22" s="29" t="s">
        <v>17</v>
      </c>
      <c r="Y22" s="29" t="s">
        <v>18</v>
      </c>
      <c r="Z22" s="65"/>
      <c r="AA22" s="29">
        <v>1</v>
      </c>
      <c r="AB22" s="29">
        <v>1</v>
      </c>
      <c r="AC22" s="29">
        <v>1</v>
      </c>
      <c r="AD22" s="65"/>
      <c r="AE22" s="29">
        <f t="shared" si="41"/>
        <v>1</v>
      </c>
      <c r="AF22" s="29">
        <f t="shared" si="42"/>
        <v>1</v>
      </c>
      <c r="AG22" s="29">
        <f t="shared" si="43"/>
        <v>1</v>
      </c>
      <c r="AH22" s="65"/>
      <c r="AI22" s="29">
        <f t="shared" si="54"/>
        <v>1</v>
      </c>
      <c r="AJ22" s="29">
        <f t="shared" si="55"/>
        <v>1</v>
      </c>
      <c r="AK22" s="29">
        <f t="shared" si="56"/>
        <v>1</v>
      </c>
      <c r="AL22" s="65"/>
      <c r="AM22" s="29">
        <v>1</v>
      </c>
      <c r="AN22" s="29">
        <v>1</v>
      </c>
      <c r="AO22" s="29">
        <v>1</v>
      </c>
      <c r="AP22" s="65"/>
      <c r="AQ22" s="29">
        <f t="shared" si="45"/>
        <v>1</v>
      </c>
      <c r="AR22" s="29">
        <f t="shared" si="29"/>
        <v>1</v>
      </c>
      <c r="AS22" s="29">
        <f t="shared" si="30"/>
        <v>1</v>
      </c>
      <c r="AT22" s="65"/>
      <c r="AU22" s="29">
        <f t="shared" si="57"/>
        <v>1</v>
      </c>
      <c r="AV22" s="29">
        <f t="shared" si="46"/>
        <v>1</v>
      </c>
      <c r="AW22" s="29">
        <f t="shared" si="47"/>
        <v>1</v>
      </c>
      <c r="AX22" s="65"/>
      <c r="AY22" s="29">
        <v>1</v>
      </c>
      <c r="AZ22" s="29">
        <v>1</v>
      </c>
      <c r="BA22" s="29">
        <v>1</v>
      </c>
      <c r="BB22" s="65"/>
      <c r="BC22" s="29">
        <f t="shared" si="48"/>
        <v>1</v>
      </c>
      <c r="BD22" s="29">
        <f t="shared" si="33"/>
        <v>1</v>
      </c>
      <c r="BE22" s="29">
        <f t="shared" si="34"/>
        <v>1</v>
      </c>
      <c r="BF22" s="65"/>
      <c r="BG22" s="29">
        <f t="shared" si="58"/>
        <v>1</v>
      </c>
      <c r="BH22" s="29">
        <f t="shared" si="49"/>
        <v>1</v>
      </c>
      <c r="BI22" s="29">
        <f t="shared" si="50"/>
        <v>1</v>
      </c>
      <c r="BJ22" s="65"/>
      <c r="BK22" s="29">
        <v>100</v>
      </c>
      <c r="BL22" s="29">
        <v>100</v>
      </c>
      <c r="BM22" s="29">
        <v>100</v>
      </c>
      <c r="BN22" s="65"/>
      <c r="BO22" s="29">
        <f t="shared" si="51"/>
        <v>100</v>
      </c>
      <c r="BP22" s="29">
        <f t="shared" si="37"/>
        <v>100</v>
      </c>
      <c r="BQ22" s="29">
        <f t="shared" si="38"/>
        <v>100</v>
      </c>
      <c r="BR22" s="65"/>
      <c r="BS22" s="29">
        <f t="shared" si="59"/>
        <v>100</v>
      </c>
      <c r="BT22" s="29">
        <f t="shared" si="52"/>
        <v>100</v>
      </c>
      <c r="BU22" s="29">
        <f t="shared" si="53"/>
        <v>100</v>
      </c>
      <c r="BV22" s="65"/>
      <c r="BW22" s="8">
        <f>IF(W22="","",VLOOKUP('Regular Symbol'!W22,'Regular Symbol'!$O$3:$T$13,6,0))</f>
        <v>2</v>
      </c>
      <c r="BX22" s="8">
        <f>IF(X22="","",VLOOKUP('Regular Symbol'!X22,'Regular Symbol'!$O$3:$T$13,6,0))</f>
        <v>2</v>
      </c>
      <c r="BY22" s="8">
        <f>IF(Y22="","",VLOOKUP('Regular Symbol'!Y22,'Regular Symbol'!$O$3:$T$13,6,0))</f>
        <v>3</v>
      </c>
      <c r="CA22" s="8" t="str">
        <f t="shared" si="15"/>
        <v>M2</v>
      </c>
      <c r="CB22" s="8" t="str">
        <f t="shared" si="16"/>
        <v>M2</v>
      </c>
      <c r="CC22" s="8" t="str">
        <f t="shared" si="17"/>
        <v>M3</v>
      </c>
    </row>
    <row r="23" spans="1:81" ht="16.8" customHeight="1">
      <c r="A23" s="78" t="s">
        <v>56</v>
      </c>
      <c r="B23" s="48" t="s">
        <v>35</v>
      </c>
      <c r="C23" s="106">
        <f>C$3+C$8</f>
        <v>28</v>
      </c>
      <c r="D23" s="106">
        <f>D$3+D$8</f>
        <v>49</v>
      </c>
      <c r="E23" s="84">
        <f>E$3+E$8</f>
        <v>48</v>
      </c>
      <c r="F23" s="69"/>
      <c r="H23" s="78" t="str">
        <v>WK</v>
      </c>
      <c r="I23" s="48" t="str">
        <v>WW,K</v>
      </c>
      <c r="J23" s="155">
        <f>J$3+J$8</f>
        <v>28</v>
      </c>
      <c r="K23" s="155">
        <f ca="1">K$3+K$8</f>
        <v>49</v>
      </c>
      <c r="L23" s="84">
        <f>L$3+L$8</f>
        <v>48</v>
      </c>
      <c r="M23" s="69"/>
      <c r="O23" s="78" t="str">
        <v>WK</v>
      </c>
      <c r="P23" s="48" t="str">
        <v>WW,K</v>
      </c>
      <c r="Q23" s="155">
        <f ca="1">Q$3+Q$8</f>
        <v>28</v>
      </c>
      <c r="R23" s="155">
        <f ca="1">R$3+R$8</f>
        <v>49</v>
      </c>
      <c r="S23" s="84">
        <f>S$3+S$8</f>
        <v>48</v>
      </c>
      <c r="T23" s="69"/>
      <c r="V23" s="27">
        <v>20</v>
      </c>
      <c r="W23" s="29" t="s">
        <v>81</v>
      </c>
      <c r="X23" s="29" t="s">
        <v>81</v>
      </c>
      <c r="Y23" s="29" t="s">
        <v>83</v>
      </c>
      <c r="Z23" s="65"/>
      <c r="AA23" s="29">
        <v>1</v>
      </c>
      <c r="AB23" s="29">
        <v>1</v>
      </c>
      <c r="AC23" s="29">
        <v>1</v>
      </c>
      <c r="AD23" s="65"/>
      <c r="AE23" s="29">
        <f t="shared" si="41"/>
        <v>1</v>
      </c>
      <c r="AF23" s="29">
        <f t="shared" si="42"/>
        <v>1</v>
      </c>
      <c r="AG23" s="29">
        <f t="shared" si="43"/>
        <v>1</v>
      </c>
      <c r="AH23" s="65"/>
      <c r="AI23" s="29">
        <f t="shared" si="54"/>
        <v>1</v>
      </c>
      <c r="AJ23" s="29">
        <f t="shared" si="55"/>
        <v>1</v>
      </c>
      <c r="AK23" s="29">
        <f t="shared" si="56"/>
        <v>1</v>
      </c>
      <c r="AL23" s="65"/>
      <c r="AM23" s="29">
        <v>1</v>
      </c>
      <c r="AN23" s="29">
        <v>1</v>
      </c>
      <c r="AO23" s="29">
        <v>1</v>
      </c>
      <c r="AP23" s="65"/>
      <c r="AQ23" s="29">
        <f t="shared" si="45"/>
        <v>1</v>
      </c>
      <c r="AR23" s="29">
        <f t="shared" si="29"/>
        <v>1</v>
      </c>
      <c r="AS23" s="29">
        <f t="shared" si="30"/>
        <v>1</v>
      </c>
      <c r="AT23" s="65"/>
      <c r="AU23" s="29">
        <f t="shared" si="57"/>
        <v>1</v>
      </c>
      <c r="AV23" s="29">
        <f t="shared" si="46"/>
        <v>1</v>
      </c>
      <c r="AW23" s="29">
        <f t="shared" si="47"/>
        <v>1</v>
      </c>
      <c r="AX23" s="65"/>
      <c r="AY23" s="29">
        <v>1</v>
      </c>
      <c r="AZ23" s="29">
        <v>1</v>
      </c>
      <c r="BA23" s="29">
        <v>1</v>
      </c>
      <c r="BB23" s="65"/>
      <c r="BC23" s="29">
        <f t="shared" si="48"/>
        <v>1</v>
      </c>
      <c r="BD23" s="29">
        <f t="shared" si="33"/>
        <v>1</v>
      </c>
      <c r="BE23" s="29">
        <f t="shared" si="34"/>
        <v>1</v>
      </c>
      <c r="BF23" s="65"/>
      <c r="BG23" s="29">
        <f t="shared" si="58"/>
        <v>1</v>
      </c>
      <c r="BH23" s="29">
        <f t="shared" si="49"/>
        <v>1</v>
      </c>
      <c r="BI23" s="29">
        <f t="shared" si="50"/>
        <v>1</v>
      </c>
      <c r="BJ23" s="65"/>
      <c r="BK23" s="29">
        <v>100</v>
      </c>
      <c r="BL23" s="29">
        <v>701</v>
      </c>
      <c r="BM23" s="29">
        <v>100</v>
      </c>
      <c r="BN23" s="65"/>
      <c r="BO23" s="29">
        <f t="shared" si="51"/>
        <v>100</v>
      </c>
      <c r="BP23" s="29">
        <f t="shared" si="37"/>
        <v>100</v>
      </c>
      <c r="BQ23" s="29">
        <f t="shared" si="38"/>
        <v>100</v>
      </c>
      <c r="BR23" s="65"/>
      <c r="BS23" s="29">
        <f t="shared" si="59"/>
        <v>100</v>
      </c>
      <c r="BT23" s="29">
        <f t="shared" si="52"/>
        <v>100</v>
      </c>
      <c r="BU23" s="29">
        <f t="shared" si="53"/>
        <v>100</v>
      </c>
      <c r="BV23" s="65"/>
      <c r="BW23" s="8">
        <f>IF(W23="","",VLOOKUP('Regular Symbol'!W23,'Regular Symbol'!$O$3:$T$13,6,0))</f>
        <v>4</v>
      </c>
      <c r="BX23" s="8">
        <f>IF(X23="","",VLOOKUP('Regular Symbol'!X23,'Regular Symbol'!$O$3:$T$13,6,0))</f>
        <v>4</v>
      </c>
      <c r="BY23" s="8">
        <f>IF(Y23="","",VLOOKUP('Regular Symbol'!Y23,'Regular Symbol'!$O$3:$T$13,6,0))</f>
        <v>6</v>
      </c>
      <c r="CA23" s="8" t="str">
        <f t="shared" si="15"/>
        <v>A</v>
      </c>
      <c r="CB23" s="8" t="str">
        <f t="shared" si="16"/>
        <v>A</v>
      </c>
      <c r="CC23" s="8" t="str">
        <f t="shared" si="17"/>
        <v>Q</v>
      </c>
    </row>
    <row r="24" spans="1:81" ht="16.8" customHeight="1">
      <c r="A24" s="78" t="s">
        <v>57</v>
      </c>
      <c r="B24" s="48" t="s">
        <v>36</v>
      </c>
      <c r="C24" s="106">
        <f>C$3+C$9</f>
        <v>26</v>
      </c>
      <c r="D24" s="106">
        <f>D$3+D$9</f>
        <v>50</v>
      </c>
      <c r="E24" s="84">
        <f>E$3+E$9</f>
        <v>48</v>
      </c>
      <c r="F24" s="69"/>
      <c r="H24" s="78" t="str">
        <v>WQ</v>
      </c>
      <c r="I24" s="48" t="str">
        <v>WW,Q</v>
      </c>
      <c r="J24" s="155">
        <f>J$3+J$9</f>
        <v>26</v>
      </c>
      <c r="K24" s="155">
        <f ca="1">K$3+K$9</f>
        <v>50</v>
      </c>
      <c r="L24" s="84">
        <f>L$3+L$9</f>
        <v>48</v>
      </c>
      <c r="M24" s="69"/>
      <c r="O24" s="78" t="str">
        <v>WQ</v>
      </c>
      <c r="P24" s="48" t="str">
        <v>WW,Q</v>
      </c>
      <c r="Q24" s="155">
        <f>Q$3+Q$9</f>
        <v>26</v>
      </c>
      <c r="R24" s="155">
        <f ca="1">R$3+R$9</f>
        <v>50</v>
      </c>
      <c r="S24" s="84">
        <f>S$3+S$9</f>
        <v>48</v>
      </c>
      <c r="T24" s="69"/>
      <c r="V24" s="27">
        <v>21</v>
      </c>
      <c r="W24" s="29" t="s">
        <v>81</v>
      </c>
      <c r="X24" s="29" t="s">
        <v>81</v>
      </c>
      <c r="Y24" s="29" t="s">
        <v>83</v>
      </c>
      <c r="Z24" s="65"/>
      <c r="AA24" s="29">
        <v>1</v>
      </c>
      <c r="AB24" s="29">
        <v>1</v>
      </c>
      <c r="AC24" s="29">
        <v>1</v>
      </c>
      <c r="AD24" s="65"/>
      <c r="AE24" s="29">
        <f t="shared" si="41"/>
        <v>1</v>
      </c>
      <c r="AF24" s="29">
        <f t="shared" si="42"/>
        <v>1</v>
      </c>
      <c r="AG24" s="29">
        <f t="shared" si="43"/>
        <v>1</v>
      </c>
      <c r="AH24" s="65"/>
      <c r="AI24" s="29">
        <f t="shared" si="54"/>
        <v>1</v>
      </c>
      <c r="AJ24" s="29">
        <f t="shared" si="55"/>
        <v>1</v>
      </c>
      <c r="AK24" s="29">
        <f t="shared" si="56"/>
        <v>1</v>
      </c>
      <c r="AL24" s="65"/>
      <c r="AM24" s="29">
        <v>1</v>
      </c>
      <c r="AN24" s="29">
        <v>1</v>
      </c>
      <c r="AO24" s="29">
        <v>1</v>
      </c>
      <c r="AP24" s="65"/>
      <c r="AQ24" s="29">
        <f t="shared" si="45"/>
        <v>1</v>
      </c>
      <c r="AR24" s="29">
        <f t="shared" si="29"/>
        <v>1</v>
      </c>
      <c r="AS24" s="29">
        <f t="shared" si="30"/>
        <v>1</v>
      </c>
      <c r="AT24" s="65"/>
      <c r="AU24" s="29">
        <f t="shared" si="57"/>
        <v>1</v>
      </c>
      <c r="AV24" s="29">
        <f t="shared" si="46"/>
        <v>1</v>
      </c>
      <c r="AW24" s="29">
        <f t="shared" si="47"/>
        <v>1</v>
      </c>
      <c r="AX24" s="65"/>
      <c r="AY24" s="29">
        <v>1</v>
      </c>
      <c r="AZ24" s="29">
        <v>1</v>
      </c>
      <c r="BA24" s="29">
        <v>1</v>
      </c>
      <c r="BB24" s="65"/>
      <c r="BC24" s="29">
        <f t="shared" si="48"/>
        <v>1</v>
      </c>
      <c r="BD24" s="29">
        <f t="shared" si="33"/>
        <v>1</v>
      </c>
      <c r="BE24" s="29">
        <f t="shared" si="34"/>
        <v>1</v>
      </c>
      <c r="BF24" s="65"/>
      <c r="BG24" s="29">
        <f t="shared" si="58"/>
        <v>1</v>
      </c>
      <c r="BH24" s="29">
        <f t="shared" si="49"/>
        <v>1</v>
      </c>
      <c r="BI24" s="29">
        <f t="shared" si="50"/>
        <v>1</v>
      </c>
      <c r="BJ24" s="65"/>
      <c r="BK24" s="29">
        <v>100</v>
      </c>
      <c r="BL24" s="29">
        <v>584</v>
      </c>
      <c r="BM24" s="29">
        <v>100</v>
      </c>
      <c r="BN24" s="65"/>
      <c r="BO24" s="29">
        <f t="shared" si="51"/>
        <v>100</v>
      </c>
      <c r="BP24" s="29">
        <f t="shared" si="37"/>
        <v>701</v>
      </c>
      <c r="BQ24" s="29">
        <f t="shared" si="38"/>
        <v>100</v>
      </c>
      <c r="BR24" s="65"/>
      <c r="BS24" s="29">
        <f t="shared" si="59"/>
        <v>100</v>
      </c>
      <c r="BT24" s="29">
        <f t="shared" si="52"/>
        <v>100</v>
      </c>
      <c r="BU24" s="29">
        <f t="shared" si="53"/>
        <v>100</v>
      </c>
      <c r="BV24" s="65"/>
      <c r="BW24" s="8">
        <f>IF(W24="","",VLOOKUP('Regular Symbol'!W24,'Regular Symbol'!$O$3:$T$13,6,0))</f>
        <v>4</v>
      </c>
      <c r="BX24" s="8">
        <f>IF(X24="","",VLOOKUP('Regular Symbol'!X24,'Regular Symbol'!$O$3:$T$13,6,0))</f>
        <v>4</v>
      </c>
      <c r="BY24" s="8">
        <f>IF(Y24="","",VLOOKUP('Regular Symbol'!Y24,'Regular Symbol'!$O$3:$T$13,6,0))</f>
        <v>6</v>
      </c>
      <c r="CA24" s="8" t="str">
        <f t="shared" si="15"/>
        <v>A</v>
      </c>
      <c r="CB24" s="8" t="str">
        <f t="shared" si="16"/>
        <v>A</v>
      </c>
      <c r="CC24" s="8" t="str">
        <f t="shared" si="17"/>
        <v>Q</v>
      </c>
    </row>
    <row r="25" spans="1:81" ht="16.8" customHeight="1" thickBot="1">
      <c r="A25" s="73" t="s">
        <v>58</v>
      </c>
      <c r="B25" s="53" t="s">
        <v>37</v>
      </c>
      <c r="C25" s="105">
        <f>C$3+C$10</f>
        <v>28</v>
      </c>
      <c r="D25" s="105">
        <f>D$3+D$10</f>
        <v>47</v>
      </c>
      <c r="E25" s="17">
        <f>E$3+E$10</f>
        <v>48</v>
      </c>
      <c r="F25" s="69"/>
      <c r="H25" s="73" t="str">
        <v>WJ</v>
      </c>
      <c r="I25" s="53" t="str">
        <v>WW,J</v>
      </c>
      <c r="J25" s="154">
        <f ca="1">J$3+J$10</f>
        <v>28</v>
      </c>
      <c r="K25" s="154">
        <f ca="1">K$3+K$10</f>
        <v>47</v>
      </c>
      <c r="L25" s="17">
        <f>L$3+L$10</f>
        <v>48</v>
      </c>
      <c r="M25" s="69"/>
      <c r="O25" s="73" t="str">
        <v>WJ</v>
      </c>
      <c r="P25" s="53" t="str">
        <v>WW,J</v>
      </c>
      <c r="Q25" s="154">
        <f ca="1">Q$3+Q$10</f>
        <v>28</v>
      </c>
      <c r="R25" s="154">
        <f ca="1">R$3+R$10</f>
        <v>47</v>
      </c>
      <c r="S25" s="17">
        <f>S$3+S$10</f>
        <v>48</v>
      </c>
      <c r="T25" s="69"/>
      <c r="V25" s="27">
        <v>22</v>
      </c>
      <c r="W25" s="29" t="s">
        <v>81</v>
      </c>
      <c r="X25" s="29" t="s">
        <v>25</v>
      </c>
      <c r="Y25" s="29" t="s">
        <v>83</v>
      </c>
      <c r="Z25" s="65"/>
      <c r="AA25" s="29">
        <v>1</v>
      </c>
      <c r="AB25" s="29">
        <v>1</v>
      </c>
      <c r="AC25" s="29">
        <v>1</v>
      </c>
      <c r="AD25" s="65"/>
      <c r="AE25" s="29">
        <f t="shared" si="41"/>
        <v>1</v>
      </c>
      <c r="AF25" s="29">
        <f t="shared" si="42"/>
        <v>1</v>
      </c>
      <c r="AG25" s="29">
        <f t="shared" si="43"/>
        <v>1</v>
      </c>
      <c r="AH25" s="65"/>
      <c r="AI25" s="29">
        <f t="shared" si="54"/>
        <v>1</v>
      </c>
      <c r="AJ25" s="29">
        <f t="shared" si="55"/>
        <v>1</v>
      </c>
      <c r="AK25" s="29">
        <f t="shared" si="56"/>
        <v>1</v>
      </c>
      <c r="AL25" s="65"/>
      <c r="AM25" s="29">
        <v>1</v>
      </c>
      <c r="AN25" s="29">
        <v>1</v>
      </c>
      <c r="AO25" s="29">
        <v>1</v>
      </c>
      <c r="AP25" s="65"/>
      <c r="AQ25" s="29">
        <f t="shared" si="45"/>
        <v>1</v>
      </c>
      <c r="AR25" s="29">
        <f t="shared" si="29"/>
        <v>1</v>
      </c>
      <c r="AS25" s="29">
        <f t="shared" si="30"/>
        <v>1</v>
      </c>
      <c r="AT25" s="65"/>
      <c r="AU25" s="29">
        <f t="shared" si="57"/>
        <v>1</v>
      </c>
      <c r="AV25" s="29">
        <f t="shared" si="46"/>
        <v>1</v>
      </c>
      <c r="AW25" s="29">
        <f t="shared" si="47"/>
        <v>1</v>
      </c>
      <c r="AX25" s="65"/>
      <c r="AY25" s="29">
        <v>1</v>
      </c>
      <c r="AZ25" s="29">
        <v>1</v>
      </c>
      <c r="BA25" s="29">
        <v>1</v>
      </c>
      <c r="BB25" s="65"/>
      <c r="BC25" s="29">
        <f t="shared" si="48"/>
        <v>1</v>
      </c>
      <c r="BD25" s="29">
        <f t="shared" si="33"/>
        <v>1</v>
      </c>
      <c r="BE25" s="29">
        <f t="shared" si="34"/>
        <v>1</v>
      </c>
      <c r="BF25" s="65"/>
      <c r="BG25" s="29">
        <f t="shared" si="58"/>
        <v>1</v>
      </c>
      <c r="BH25" s="29">
        <f t="shared" si="49"/>
        <v>1</v>
      </c>
      <c r="BI25" s="29">
        <f t="shared" si="50"/>
        <v>1</v>
      </c>
      <c r="BJ25" s="65"/>
      <c r="BK25" s="29">
        <v>100</v>
      </c>
      <c r="BL25" s="29">
        <v>467</v>
      </c>
      <c r="BM25" s="29">
        <v>100</v>
      </c>
      <c r="BN25" s="65"/>
      <c r="BO25" s="29">
        <f t="shared" si="51"/>
        <v>100</v>
      </c>
      <c r="BP25" s="29">
        <f t="shared" si="37"/>
        <v>584</v>
      </c>
      <c r="BQ25" s="29">
        <f t="shared" si="38"/>
        <v>100</v>
      </c>
      <c r="BR25" s="65"/>
      <c r="BS25" s="29">
        <f t="shared" si="59"/>
        <v>100</v>
      </c>
      <c r="BT25" s="29">
        <f t="shared" si="52"/>
        <v>701</v>
      </c>
      <c r="BU25" s="29">
        <f t="shared" si="53"/>
        <v>100</v>
      </c>
      <c r="BV25" s="65"/>
      <c r="BW25" s="8">
        <f>IF(W25="","",VLOOKUP('Regular Symbol'!W25,'Regular Symbol'!$O$3:$T$13,6,0))</f>
        <v>4</v>
      </c>
      <c r="BX25" s="8">
        <f>IF(X25="","",VLOOKUP('Regular Symbol'!X25,'Regular Symbol'!$O$3:$T$13,6,0))</f>
        <v>0</v>
      </c>
      <c r="BY25" s="8">
        <f>IF(Y25="","",VLOOKUP('Regular Symbol'!Y25,'Regular Symbol'!$O$3:$T$13,6,0))</f>
        <v>6</v>
      </c>
      <c r="CA25" s="8" t="str">
        <f t="shared" si="15"/>
        <v>A</v>
      </c>
      <c r="CB25" s="8" t="str">
        <f t="shared" si="16"/>
        <v>Wild</v>
      </c>
      <c r="CC25" s="8" t="str">
        <f t="shared" si="17"/>
        <v>Q</v>
      </c>
    </row>
    <row r="26" spans="1:81" ht="16.8" customHeight="1">
      <c r="V26" s="27">
        <v>23</v>
      </c>
      <c r="W26" s="29" t="s">
        <v>18</v>
      </c>
      <c r="X26" s="29" t="s">
        <v>25</v>
      </c>
      <c r="Y26" s="29" t="s">
        <v>81</v>
      </c>
      <c r="Z26" s="65"/>
      <c r="AA26" s="29">
        <v>1</v>
      </c>
      <c r="AB26" s="29">
        <v>1</v>
      </c>
      <c r="AC26" s="29">
        <v>1</v>
      </c>
      <c r="AD26" s="65"/>
      <c r="AE26" s="29">
        <f t="shared" si="41"/>
        <v>1</v>
      </c>
      <c r="AF26" s="29">
        <f t="shared" si="42"/>
        <v>1</v>
      </c>
      <c r="AG26" s="29">
        <f t="shared" si="43"/>
        <v>1</v>
      </c>
      <c r="AH26" s="65"/>
      <c r="AI26" s="29">
        <f t="shared" si="54"/>
        <v>1</v>
      </c>
      <c r="AJ26" s="29">
        <f t="shared" si="55"/>
        <v>1</v>
      </c>
      <c r="AK26" s="29">
        <f t="shared" si="56"/>
        <v>1</v>
      </c>
      <c r="AL26" s="65"/>
      <c r="AM26" s="29">
        <v>1</v>
      </c>
      <c r="AN26" s="29">
        <v>1</v>
      </c>
      <c r="AO26" s="29">
        <v>1</v>
      </c>
      <c r="AP26" s="65"/>
      <c r="AQ26" s="29">
        <f t="shared" si="45"/>
        <v>1</v>
      </c>
      <c r="AR26" s="29">
        <f t="shared" si="29"/>
        <v>1</v>
      </c>
      <c r="AS26" s="29">
        <f t="shared" si="30"/>
        <v>1</v>
      </c>
      <c r="AT26" s="65"/>
      <c r="AU26" s="29">
        <f t="shared" si="57"/>
        <v>1</v>
      </c>
      <c r="AV26" s="29">
        <f t="shared" si="46"/>
        <v>1</v>
      </c>
      <c r="AW26" s="29">
        <f t="shared" si="47"/>
        <v>1</v>
      </c>
      <c r="AX26" s="65"/>
      <c r="AY26" s="29">
        <v>1</v>
      </c>
      <c r="AZ26" s="29">
        <v>1</v>
      </c>
      <c r="BA26" s="29">
        <v>1</v>
      </c>
      <c r="BB26" s="65"/>
      <c r="BC26" s="29">
        <f t="shared" si="48"/>
        <v>1</v>
      </c>
      <c r="BD26" s="29">
        <f t="shared" si="33"/>
        <v>1</v>
      </c>
      <c r="BE26" s="29">
        <f t="shared" si="34"/>
        <v>1</v>
      </c>
      <c r="BF26" s="65"/>
      <c r="BG26" s="29">
        <f t="shared" si="58"/>
        <v>1</v>
      </c>
      <c r="BH26" s="29">
        <f t="shared" si="49"/>
        <v>1</v>
      </c>
      <c r="BI26" s="29">
        <f t="shared" si="50"/>
        <v>1</v>
      </c>
      <c r="BJ26" s="65"/>
      <c r="BK26" s="29">
        <v>100</v>
      </c>
      <c r="BL26" s="29">
        <v>584</v>
      </c>
      <c r="BM26" s="29">
        <v>100</v>
      </c>
      <c r="BN26" s="65"/>
      <c r="BO26" s="29">
        <f t="shared" si="51"/>
        <v>100</v>
      </c>
      <c r="BP26" s="29">
        <f t="shared" si="37"/>
        <v>467</v>
      </c>
      <c r="BQ26" s="29">
        <f t="shared" si="38"/>
        <v>100</v>
      </c>
      <c r="BR26" s="65"/>
      <c r="BS26" s="29">
        <f t="shared" si="59"/>
        <v>100</v>
      </c>
      <c r="BT26" s="29">
        <f t="shared" si="52"/>
        <v>584</v>
      </c>
      <c r="BU26" s="29">
        <f t="shared" si="53"/>
        <v>100</v>
      </c>
      <c r="BV26" s="65"/>
      <c r="BW26" s="8">
        <f>IF(W26="","",VLOOKUP('Regular Symbol'!W26,'Regular Symbol'!$O$3:$T$13,6,0))</f>
        <v>3</v>
      </c>
      <c r="BX26" s="8">
        <f>IF(X26="","",VLOOKUP('Regular Symbol'!X26,'Regular Symbol'!$O$3:$T$13,6,0))</f>
        <v>0</v>
      </c>
      <c r="BY26" s="8">
        <f>IF(Y26="","",VLOOKUP('Regular Symbol'!Y26,'Regular Symbol'!$O$3:$T$13,6,0))</f>
        <v>4</v>
      </c>
      <c r="CA26" s="8" t="str">
        <f t="shared" si="15"/>
        <v>M3</v>
      </c>
      <c r="CB26" s="8" t="str">
        <f t="shared" si="16"/>
        <v>Wild</v>
      </c>
      <c r="CC26" s="8" t="str">
        <f t="shared" si="17"/>
        <v>A</v>
      </c>
    </row>
    <row r="27" spans="1:81" ht="16.8" customHeight="1" thickBot="1">
      <c r="A27" s="329" t="s">
        <v>145</v>
      </c>
      <c r="B27" s="329"/>
      <c r="C27" s="329"/>
      <c r="D27" s="329"/>
      <c r="E27" s="329"/>
      <c r="F27" s="329"/>
      <c r="H27" s="329" t="s">
        <v>146</v>
      </c>
      <c r="I27" s="329"/>
      <c r="J27" s="329"/>
      <c r="K27" s="329"/>
      <c r="L27" s="329"/>
      <c r="M27" s="329"/>
      <c r="O27" s="329" t="s">
        <v>147</v>
      </c>
      <c r="P27" s="329"/>
      <c r="Q27" s="329"/>
      <c r="R27" s="329"/>
      <c r="S27" s="329"/>
      <c r="T27" s="329"/>
      <c r="V27" s="27">
        <v>24</v>
      </c>
      <c r="W27" s="29" t="s">
        <v>18</v>
      </c>
      <c r="X27" s="29" t="s">
        <v>25</v>
      </c>
      <c r="Y27" s="29" t="s">
        <v>81</v>
      </c>
      <c r="Z27" s="65"/>
      <c r="AA27" s="29">
        <v>1</v>
      </c>
      <c r="AB27" s="29">
        <v>1</v>
      </c>
      <c r="AC27" s="29">
        <v>1</v>
      </c>
      <c r="AD27" s="65"/>
      <c r="AE27" s="29">
        <f t="shared" si="41"/>
        <v>1</v>
      </c>
      <c r="AF27" s="29">
        <f t="shared" si="42"/>
        <v>1</v>
      </c>
      <c r="AG27" s="29">
        <f t="shared" si="43"/>
        <v>1</v>
      </c>
      <c r="AH27" s="65"/>
      <c r="AI27" s="29">
        <f t="shared" si="54"/>
        <v>1</v>
      </c>
      <c r="AJ27" s="29">
        <f t="shared" si="55"/>
        <v>1</v>
      </c>
      <c r="AK27" s="29">
        <f t="shared" si="56"/>
        <v>1</v>
      </c>
      <c r="AL27" s="65"/>
      <c r="AM27" s="29">
        <v>1</v>
      </c>
      <c r="AN27" s="29">
        <v>1</v>
      </c>
      <c r="AO27" s="29">
        <v>1</v>
      </c>
      <c r="AP27" s="65"/>
      <c r="AQ27" s="29">
        <f t="shared" si="45"/>
        <v>1</v>
      </c>
      <c r="AR27" s="29">
        <f t="shared" si="29"/>
        <v>1</v>
      </c>
      <c r="AS27" s="29">
        <f t="shared" si="30"/>
        <v>1</v>
      </c>
      <c r="AT27" s="65"/>
      <c r="AU27" s="29">
        <f t="shared" si="57"/>
        <v>1</v>
      </c>
      <c r="AV27" s="29">
        <f t="shared" si="46"/>
        <v>1</v>
      </c>
      <c r="AW27" s="29">
        <f t="shared" si="47"/>
        <v>1</v>
      </c>
      <c r="AX27" s="65"/>
      <c r="AY27" s="29">
        <v>1</v>
      </c>
      <c r="AZ27" s="29">
        <v>1</v>
      </c>
      <c r="BA27" s="29">
        <v>1</v>
      </c>
      <c r="BB27" s="65"/>
      <c r="BC27" s="29">
        <f t="shared" si="48"/>
        <v>1</v>
      </c>
      <c r="BD27" s="29">
        <f t="shared" si="33"/>
        <v>1</v>
      </c>
      <c r="BE27" s="29">
        <f t="shared" si="34"/>
        <v>1</v>
      </c>
      <c r="BF27" s="65"/>
      <c r="BG27" s="29">
        <f t="shared" si="58"/>
        <v>1</v>
      </c>
      <c r="BH27" s="29">
        <f t="shared" si="49"/>
        <v>1</v>
      </c>
      <c r="BI27" s="29">
        <f t="shared" si="50"/>
        <v>1</v>
      </c>
      <c r="BJ27" s="65"/>
      <c r="BK27" s="29">
        <v>100</v>
      </c>
      <c r="BL27" s="29">
        <v>701</v>
      </c>
      <c r="BM27" s="29">
        <v>100</v>
      </c>
      <c r="BN27" s="65"/>
      <c r="BO27" s="29">
        <f t="shared" si="51"/>
        <v>100</v>
      </c>
      <c r="BP27" s="29">
        <f t="shared" si="37"/>
        <v>584</v>
      </c>
      <c r="BQ27" s="29">
        <f t="shared" si="38"/>
        <v>100</v>
      </c>
      <c r="BR27" s="65"/>
      <c r="BS27" s="29">
        <f t="shared" si="59"/>
        <v>100</v>
      </c>
      <c r="BT27" s="29">
        <f t="shared" si="52"/>
        <v>467</v>
      </c>
      <c r="BU27" s="29">
        <f t="shared" si="53"/>
        <v>100</v>
      </c>
      <c r="BV27" s="65"/>
      <c r="BW27" s="8">
        <f>IF(W27="","",VLOOKUP('Regular Symbol'!W27,'Regular Symbol'!$O$3:$T$13,6,0))</f>
        <v>3</v>
      </c>
      <c r="BX27" s="8">
        <f>IF(X27="","",VLOOKUP('Regular Symbol'!X27,'Regular Symbol'!$O$3:$T$13,6,0))</f>
        <v>0</v>
      </c>
      <c r="BY27" s="8">
        <f>IF(Y27="","",VLOOKUP('Regular Symbol'!Y27,'Regular Symbol'!$O$3:$T$13,6,0))</f>
        <v>4</v>
      </c>
      <c r="CA27" s="8" t="str">
        <f t="shared" si="15"/>
        <v>M3</v>
      </c>
      <c r="CB27" s="8" t="str">
        <f t="shared" si="16"/>
        <v>Wild</v>
      </c>
      <c r="CC27" s="8" t="str">
        <f t="shared" si="17"/>
        <v>A</v>
      </c>
    </row>
    <row r="28" spans="1:81" ht="16.8" customHeight="1" thickBot="1">
      <c r="A28" s="86" t="s">
        <v>11</v>
      </c>
      <c r="B28" s="86" t="s">
        <v>12</v>
      </c>
      <c r="C28" s="64" t="s">
        <v>1</v>
      </c>
      <c r="D28" s="64" t="s">
        <v>2</v>
      </c>
      <c r="E28" s="64" t="s">
        <v>3</v>
      </c>
      <c r="F28" s="19" t="s">
        <v>29</v>
      </c>
      <c r="G28" s="2"/>
      <c r="H28" s="86" t="s">
        <v>11</v>
      </c>
      <c r="I28" s="86" t="s">
        <v>12</v>
      </c>
      <c r="J28" s="64" t="s">
        <v>1</v>
      </c>
      <c r="K28" s="64" t="s">
        <v>2</v>
      </c>
      <c r="L28" s="64" t="s">
        <v>3</v>
      </c>
      <c r="M28" s="19" t="s">
        <v>29</v>
      </c>
      <c r="O28" s="86" t="s">
        <v>11</v>
      </c>
      <c r="P28" s="86" t="s">
        <v>12</v>
      </c>
      <c r="Q28" s="64" t="s">
        <v>1</v>
      </c>
      <c r="R28" s="64" t="s">
        <v>2</v>
      </c>
      <c r="S28" s="64" t="s">
        <v>3</v>
      </c>
      <c r="T28" s="19" t="s">
        <v>29</v>
      </c>
      <c r="V28" s="27">
        <v>25</v>
      </c>
      <c r="W28" s="29" t="s">
        <v>83</v>
      </c>
      <c r="X28" s="29" t="s">
        <v>83</v>
      </c>
      <c r="Y28" s="29" t="s">
        <v>81</v>
      </c>
      <c r="Z28" s="65"/>
      <c r="AA28" s="29">
        <v>1</v>
      </c>
      <c r="AB28" s="29">
        <v>1</v>
      </c>
      <c r="AC28" s="29">
        <v>1</v>
      </c>
      <c r="AD28" s="65"/>
      <c r="AE28" s="29">
        <f t="shared" si="41"/>
        <v>1</v>
      </c>
      <c r="AF28" s="29">
        <f t="shared" si="42"/>
        <v>1</v>
      </c>
      <c r="AG28" s="29">
        <f t="shared" si="43"/>
        <v>1</v>
      </c>
      <c r="AH28" s="65"/>
      <c r="AI28" s="29">
        <f t="shared" si="54"/>
        <v>1</v>
      </c>
      <c r="AJ28" s="29">
        <f t="shared" si="55"/>
        <v>1</v>
      </c>
      <c r="AK28" s="29">
        <f t="shared" si="56"/>
        <v>1</v>
      </c>
      <c r="AL28" s="65"/>
      <c r="AM28" s="29">
        <v>1</v>
      </c>
      <c r="AN28" s="29">
        <v>1</v>
      </c>
      <c r="AO28" s="29">
        <v>1</v>
      </c>
      <c r="AP28" s="65"/>
      <c r="AQ28" s="29">
        <f t="shared" si="45"/>
        <v>1</v>
      </c>
      <c r="AR28" s="29">
        <f t="shared" si="29"/>
        <v>1</v>
      </c>
      <c r="AS28" s="29">
        <f t="shared" si="30"/>
        <v>1</v>
      </c>
      <c r="AT28" s="65"/>
      <c r="AU28" s="29">
        <f t="shared" si="57"/>
        <v>1</v>
      </c>
      <c r="AV28" s="29">
        <f t="shared" si="46"/>
        <v>1</v>
      </c>
      <c r="AW28" s="29">
        <f t="shared" si="47"/>
        <v>1</v>
      </c>
      <c r="AX28" s="65"/>
      <c r="AY28" s="29">
        <v>1</v>
      </c>
      <c r="AZ28" s="29">
        <v>1</v>
      </c>
      <c r="BA28" s="29">
        <v>1</v>
      </c>
      <c r="BB28" s="65"/>
      <c r="BC28" s="29">
        <f t="shared" si="48"/>
        <v>1</v>
      </c>
      <c r="BD28" s="29">
        <f t="shared" si="33"/>
        <v>1</v>
      </c>
      <c r="BE28" s="29">
        <f t="shared" si="34"/>
        <v>1</v>
      </c>
      <c r="BF28" s="65"/>
      <c r="BG28" s="29">
        <f t="shared" si="58"/>
        <v>1</v>
      </c>
      <c r="BH28" s="29">
        <f t="shared" si="49"/>
        <v>1</v>
      </c>
      <c r="BI28" s="29">
        <f t="shared" si="50"/>
        <v>1</v>
      </c>
      <c r="BJ28" s="65"/>
      <c r="BK28" s="29">
        <v>100</v>
      </c>
      <c r="BL28" s="29">
        <v>100</v>
      </c>
      <c r="BM28" s="29">
        <v>100</v>
      </c>
      <c r="BN28" s="65"/>
      <c r="BO28" s="29">
        <f t="shared" si="51"/>
        <v>100</v>
      </c>
      <c r="BP28" s="29">
        <f t="shared" si="37"/>
        <v>701</v>
      </c>
      <c r="BQ28" s="29">
        <f t="shared" si="38"/>
        <v>100</v>
      </c>
      <c r="BR28" s="65"/>
      <c r="BS28" s="29">
        <f t="shared" si="59"/>
        <v>100</v>
      </c>
      <c r="BT28" s="29">
        <f t="shared" si="52"/>
        <v>584</v>
      </c>
      <c r="BU28" s="29">
        <f t="shared" si="53"/>
        <v>100</v>
      </c>
      <c r="BV28" s="65"/>
      <c r="BW28" s="8">
        <f>IF(W28="","",VLOOKUP('Regular Symbol'!W28,'Regular Symbol'!$O$3:$T$13,6,0))</f>
        <v>6</v>
      </c>
      <c r="BX28" s="8">
        <f>IF(X28="","",VLOOKUP('Regular Symbol'!X28,'Regular Symbol'!$O$3:$T$13,6,0))</f>
        <v>6</v>
      </c>
      <c r="BY28" s="8">
        <f>IF(Y28="","",VLOOKUP('Regular Symbol'!Y28,'Regular Symbol'!$O$3:$T$13,6,0))</f>
        <v>4</v>
      </c>
      <c r="CA28" s="8" t="str">
        <f t="shared" si="15"/>
        <v>Q</v>
      </c>
      <c r="CB28" s="8" t="str">
        <f t="shared" si="16"/>
        <v>Q</v>
      </c>
      <c r="CC28" s="8" t="str">
        <f t="shared" si="17"/>
        <v>A</v>
      </c>
    </row>
    <row r="29" spans="1:81" ht="16.8" customHeight="1">
      <c r="A29" s="75" t="s">
        <v>15</v>
      </c>
      <c r="B29" s="57" t="s">
        <v>54</v>
      </c>
      <c r="C29" s="76">
        <f>SUMIF(W$3:W$211, $A29, AM$3:AM$211)</f>
        <v>9</v>
      </c>
      <c r="D29" s="77">
        <f>SUMIF(X$3:X$211, $A29, AN$3:AN$211)</f>
        <v>21</v>
      </c>
      <c r="E29" s="77">
        <f>SUMIF(Y$3:Y$211, $A29, AO$3:AO$211)</f>
        <v>21</v>
      </c>
      <c r="F29" s="58">
        <v>0</v>
      </c>
      <c r="H29" s="75" t="str" cm="1">
        <f t="array" ref="H29:I36">A29:B36</f>
        <v>WW</v>
      </c>
      <c r="I29" s="57" t="str">
        <v>Wild</v>
      </c>
      <c r="J29" s="76">
        <f>SUMIF(W$3:W$211, $H29, AQ$3:AQ$211)</f>
        <v>9</v>
      </c>
      <c r="K29" s="77">
        <f ca="1">SUMIF(X$3:X$211, $H29, AR$3:AR$211)</f>
        <v>21</v>
      </c>
      <c r="L29" s="77">
        <f>SUMIF(Y$3:Y$211, $H29, AS$3:AS$211)</f>
        <v>21</v>
      </c>
      <c r="M29" s="58">
        <v>0</v>
      </c>
      <c r="O29" s="75" t="str" cm="1">
        <f t="array" ref="O29:P36">_xlfn.ANCHORARRAY(H29)</f>
        <v>WW</v>
      </c>
      <c r="P29" s="57" t="str">
        <v>Wild</v>
      </c>
      <c r="Q29" s="76">
        <f>SUMIF(W$3:W$211, $H29, AU$3:AU$211)</f>
        <v>9</v>
      </c>
      <c r="R29" s="77">
        <f ca="1">SUMIF(X$3:X$211, $H29, AV$3:AV$211)</f>
        <v>21</v>
      </c>
      <c r="S29" s="77">
        <f>SUMIF(Y$3:Y$211, $H29, AW$3:AW$211)</f>
        <v>21</v>
      </c>
      <c r="T29" s="58">
        <v>0</v>
      </c>
      <c r="V29" s="27">
        <v>26</v>
      </c>
      <c r="W29" s="29" t="s">
        <v>83</v>
      </c>
      <c r="X29" s="29" t="s">
        <v>83</v>
      </c>
      <c r="Y29" s="29" t="s">
        <v>17</v>
      </c>
      <c r="Z29" s="65"/>
      <c r="AA29" s="29">
        <v>1</v>
      </c>
      <c r="AB29" s="29">
        <v>1</v>
      </c>
      <c r="AC29" s="29">
        <v>1</v>
      </c>
      <c r="AD29" s="65"/>
      <c r="AE29" s="29">
        <f t="shared" si="41"/>
        <v>1</v>
      </c>
      <c r="AF29" s="29">
        <f t="shared" si="42"/>
        <v>1</v>
      </c>
      <c r="AG29" s="29">
        <f t="shared" si="43"/>
        <v>1</v>
      </c>
      <c r="AH29" s="65"/>
      <c r="AI29" s="29">
        <f t="shared" si="54"/>
        <v>1</v>
      </c>
      <c r="AJ29" s="29">
        <f t="shared" si="55"/>
        <v>1</v>
      </c>
      <c r="AK29" s="29">
        <f t="shared" si="56"/>
        <v>1</v>
      </c>
      <c r="AL29" s="65"/>
      <c r="AM29" s="29">
        <v>1</v>
      </c>
      <c r="AN29" s="29">
        <v>1</v>
      </c>
      <c r="AO29" s="29">
        <v>1</v>
      </c>
      <c r="AP29" s="65"/>
      <c r="AQ29" s="29">
        <f t="shared" si="45"/>
        <v>1</v>
      </c>
      <c r="AR29" s="29">
        <f t="shared" si="29"/>
        <v>1</v>
      </c>
      <c r="AS29" s="29">
        <f t="shared" si="30"/>
        <v>1</v>
      </c>
      <c r="AT29" s="65"/>
      <c r="AU29" s="29">
        <f t="shared" si="57"/>
        <v>1</v>
      </c>
      <c r="AV29" s="29">
        <f t="shared" si="46"/>
        <v>1</v>
      </c>
      <c r="AW29" s="29">
        <f t="shared" si="47"/>
        <v>1</v>
      </c>
      <c r="AX29" s="65"/>
      <c r="AY29" s="29">
        <v>1</v>
      </c>
      <c r="AZ29" s="29">
        <v>1</v>
      </c>
      <c r="BA29" s="29">
        <v>1</v>
      </c>
      <c r="BB29" s="65"/>
      <c r="BC29" s="29">
        <f t="shared" si="48"/>
        <v>1</v>
      </c>
      <c r="BD29" s="29">
        <f t="shared" si="33"/>
        <v>1</v>
      </c>
      <c r="BE29" s="29">
        <f t="shared" si="34"/>
        <v>1</v>
      </c>
      <c r="BF29" s="65"/>
      <c r="BG29" s="29">
        <f t="shared" si="58"/>
        <v>1</v>
      </c>
      <c r="BH29" s="29">
        <f t="shared" si="49"/>
        <v>1</v>
      </c>
      <c r="BI29" s="29">
        <f t="shared" si="50"/>
        <v>1</v>
      </c>
      <c r="BJ29" s="65"/>
      <c r="BK29" s="29">
        <v>100</v>
      </c>
      <c r="BL29" s="29">
        <v>100</v>
      </c>
      <c r="BM29" s="29">
        <v>100</v>
      </c>
      <c r="BN29" s="65"/>
      <c r="BO29" s="29">
        <f t="shared" si="51"/>
        <v>100</v>
      </c>
      <c r="BP29" s="29">
        <f t="shared" si="37"/>
        <v>100</v>
      </c>
      <c r="BQ29" s="29">
        <f t="shared" si="38"/>
        <v>100</v>
      </c>
      <c r="BR29" s="65"/>
      <c r="BS29" s="29">
        <f t="shared" si="59"/>
        <v>100</v>
      </c>
      <c r="BT29" s="29">
        <f t="shared" si="52"/>
        <v>701</v>
      </c>
      <c r="BU29" s="29">
        <f t="shared" si="53"/>
        <v>100</v>
      </c>
      <c r="BV29" s="65"/>
      <c r="BW29" s="8">
        <f>IF(W29="","",VLOOKUP('Regular Symbol'!W29,'Regular Symbol'!$O$3:$T$13,6,0))</f>
        <v>6</v>
      </c>
      <c r="BX29" s="8">
        <f>IF(X29="","",VLOOKUP('Regular Symbol'!X29,'Regular Symbol'!$O$3:$T$13,6,0))</f>
        <v>6</v>
      </c>
      <c r="BY29" s="8">
        <f>IF(Y29="","",VLOOKUP('Regular Symbol'!Y29,'Regular Symbol'!$O$3:$T$13,6,0))</f>
        <v>2</v>
      </c>
      <c r="CA29" s="8" t="str">
        <f t="shared" si="15"/>
        <v>Q</v>
      </c>
      <c r="CB29" s="8" t="str">
        <f t="shared" si="16"/>
        <v>Q</v>
      </c>
      <c r="CC29" s="8" t="str">
        <f t="shared" si="17"/>
        <v>M2</v>
      </c>
    </row>
    <row r="30" spans="1:81" ht="16.8" customHeight="1">
      <c r="A30" s="78" t="s">
        <v>16</v>
      </c>
      <c r="B30" s="155" t="s">
        <v>26</v>
      </c>
      <c r="C30" s="79">
        <f t="shared" ref="C30:C36" si="60">SUMIF(W$3:W$211, $A30, AM$3:AM$211)</f>
        <v>14</v>
      </c>
      <c r="D30" s="70">
        <f t="shared" ref="D30:D36" si="61">SUMIF(X$3:X$211, $A30, AN$3:AN$211)</f>
        <v>24</v>
      </c>
      <c r="E30" s="70">
        <f t="shared" ref="E30:E36" si="62">SUMIF(Y$3:Y$211, $A30, AO$3:AO$211)</f>
        <v>23</v>
      </c>
      <c r="F30" s="58">
        <v>1</v>
      </c>
      <c r="H30" s="78" t="str">
        <v>M1</v>
      </c>
      <c r="I30" s="155" t="str">
        <v>M1</v>
      </c>
      <c r="J30" s="79">
        <f t="shared" ref="J30:J36" si="63">SUMIF(W$3:W$211, $H30, AQ$3:AQ$211)</f>
        <v>14</v>
      </c>
      <c r="K30" s="70">
        <f t="shared" ref="K30:K36" si="64">SUMIF(X$3:X$211, $H30, AR$3:AR$211)</f>
        <v>24</v>
      </c>
      <c r="L30" s="70">
        <f t="shared" ref="L30:L36" ca="1" si="65">SUMIF(Y$3:Y$211, $H30, AS$3:AS$211)</f>
        <v>23</v>
      </c>
      <c r="M30" s="58">
        <v>1</v>
      </c>
      <c r="O30" s="78" t="str">
        <v>M1</v>
      </c>
      <c r="P30" s="155" t="str">
        <v>M1</v>
      </c>
      <c r="Q30" s="79">
        <f t="shared" ref="Q30:Q36" si="66">SUMIF(W$3:W$211, $H30, AU$3:AU$211)</f>
        <v>14</v>
      </c>
      <c r="R30" s="70">
        <f t="shared" ref="R30:R36" si="67">SUMIF(X$3:X$211, $H30, AV$3:AV$211)</f>
        <v>24</v>
      </c>
      <c r="S30" s="70">
        <f t="shared" ref="S30:S36" ca="1" si="68">SUMIF(Y$3:Y$211, $H30, AW$3:AW$211)</f>
        <v>23</v>
      </c>
      <c r="T30" s="58">
        <v>1</v>
      </c>
      <c r="V30" s="27">
        <v>27</v>
      </c>
      <c r="W30" s="29" t="s">
        <v>16</v>
      </c>
      <c r="X30" s="29" t="s">
        <v>18</v>
      </c>
      <c r="Y30" s="29" t="s">
        <v>17</v>
      </c>
      <c r="Z30" s="65"/>
      <c r="AA30" s="29">
        <v>1</v>
      </c>
      <c r="AB30" s="29">
        <v>1</v>
      </c>
      <c r="AC30" s="29">
        <v>1</v>
      </c>
      <c r="AD30" s="65"/>
      <c r="AE30" s="29">
        <f t="shared" si="41"/>
        <v>1</v>
      </c>
      <c r="AF30" s="29">
        <f t="shared" si="42"/>
        <v>1</v>
      </c>
      <c r="AG30" s="29">
        <f t="shared" si="43"/>
        <v>1</v>
      </c>
      <c r="AH30" s="65"/>
      <c r="AI30" s="29">
        <f t="shared" si="54"/>
        <v>1</v>
      </c>
      <c r="AJ30" s="29">
        <f t="shared" si="55"/>
        <v>1</v>
      </c>
      <c r="AK30" s="29">
        <f t="shared" si="56"/>
        <v>1</v>
      </c>
      <c r="AL30" s="65"/>
      <c r="AM30" s="29">
        <v>1</v>
      </c>
      <c r="AN30" s="29">
        <v>1</v>
      </c>
      <c r="AO30" s="29">
        <v>1</v>
      </c>
      <c r="AP30" s="65"/>
      <c r="AQ30" s="29">
        <f t="shared" si="45"/>
        <v>1</v>
      </c>
      <c r="AR30" s="29">
        <f t="shared" si="29"/>
        <v>1</v>
      </c>
      <c r="AS30" s="29">
        <f t="shared" si="30"/>
        <v>1</v>
      </c>
      <c r="AT30" s="65"/>
      <c r="AU30" s="29">
        <f t="shared" si="57"/>
        <v>1</v>
      </c>
      <c r="AV30" s="29">
        <f t="shared" si="46"/>
        <v>1</v>
      </c>
      <c r="AW30" s="29">
        <f t="shared" si="47"/>
        <v>1</v>
      </c>
      <c r="AX30" s="65"/>
      <c r="AY30" s="29">
        <v>1</v>
      </c>
      <c r="AZ30" s="29">
        <v>1</v>
      </c>
      <c r="BA30" s="29">
        <v>1</v>
      </c>
      <c r="BB30" s="65"/>
      <c r="BC30" s="29">
        <f t="shared" si="48"/>
        <v>1</v>
      </c>
      <c r="BD30" s="29">
        <f t="shared" si="33"/>
        <v>1</v>
      </c>
      <c r="BE30" s="29">
        <f t="shared" si="34"/>
        <v>1</v>
      </c>
      <c r="BF30" s="65"/>
      <c r="BG30" s="29">
        <f t="shared" si="58"/>
        <v>1</v>
      </c>
      <c r="BH30" s="29">
        <f t="shared" si="49"/>
        <v>1</v>
      </c>
      <c r="BI30" s="29">
        <f t="shared" si="50"/>
        <v>1</v>
      </c>
      <c r="BJ30" s="65"/>
      <c r="BK30" s="29">
        <v>100</v>
      </c>
      <c r="BL30" s="29">
        <v>100</v>
      </c>
      <c r="BM30" s="29">
        <v>100</v>
      </c>
      <c r="BN30" s="65"/>
      <c r="BO30" s="29">
        <f t="shared" si="51"/>
        <v>100</v>
      </c>
      <c r="BP30" s="29">
        <f t="shared" si="37"/>
        <v>100</v>
      </c>
      <c r="BQ30" s="29">
        <f t="shared" si="38"/>
        <v>100</v>
      </c>
      <c r="BR30" s="65"/>
      <c r="BS30" s="29">
        <f t="shared" si="59"/>
        <v>100</v>
      </c>
      <c r="BT30" s="29">
        <f t="shared" si="52"/>
        <v>100</v>
      </c>
      <c r="BU30" s="29">
        <f t="shared" si="53"/>
        <v>100</v>
      </c>
      <c r="BV30" s="65"/>
      <c r="BW30" s="8">
        <f>IF(W30="","",VLOOKUP('Regular Symbol'!W30,'Regular Symbol'!$O$3:$T$13,6,0))</f>
        <v>1</v>
      </c>
      <c r="BX30" s="8">
        <f>IF(X30="","",VLOOKUP('Regular Symbol'!X30,'Regular Symbol'!$O$3:$T$13,6,0))</f>
        <v>3</v>
      </c>
      <c r="BY30" s="8">
        <f>IF(Y30="","",VLOOKUP('Regular Symbol'!Y30,'Regular Symbol'!$O$3:$T$13,6,0))</f>
        <v>2</v>
      </c>
      <c r="CA30" s="8" t="str">
        <f t="shared" si="15"/>
        <v>M1</v>
      </c>
      <c r="CB30" s="8" t="str">
        <f t="shared" si="16"/>
        <v>M3</v>
      </c>
      <c r="CC30" s="8" t="str">
        <f t="shared" si="17"/>
        <v>M2</v>
      </c>
    </row>
    <row r="31" spans="1:81" ht="16.8" customHeight="1">
      <c r="A31" s="78" t="s">
        <v>17</v>
      </c>
      <c r="B31" s="58" t="s">
        <v>27</v>
      </c>
      <c r="C31" s="79">
        <f t="shared" si="60"/>
        <v>13</v>
      </c>
      <c r="D31" s="70">
        <f t="shared" si="61"/>
        <v>26</v>
      </c>
      <c r="E31" s="70">
        <f t="shared" si="62"/>
        <v>27</v>
      </c>
      <c r="F31" s="58">
        <v>2</v>
      </c>
      <c r="H31" s="78" t="str">
        <v>M2</v>
      </c>
      <c r="I31" s="58" t="str">
        <v>M2</v>
      </c>
      <c r="J31" s="79">
        <f t="shared" si="63"/>
        <v>13</v>
      </c>
      <c r="K31" s="70">
        <f t="shared" si="64"/>
        <v>26</v>
      </c>
      <c r="L31" s="70">
        <f t="shared" si="65"/>
        <v>27</v>
      </c>
      <c r="M31" s="58">
        <v>2</v>
      </c>
      <c r="O31" s="78" t="str">
        <v>M2</v>
      </c>
      <c r="P31" s="58" t="str">
        <v>M2</v>
      </c>
      <c r="Q31" s="79">
        <f t="shared" si="66"/>
        <v>13</v>
      </c>
      <c r="R31" s="70">
        <f t="shared" si="67"/>
        <v>26</v>
      </c>
      <c r="S31" s="70">
        <f t="shared" si="68"/>
        <v>27</v>
      </c>
      <c r="T31" s="58">
        <v>2</v>
      </c>
      <c r="V31" s="27">
        <v>28</v>
      </c>
      <c r="W31" s="29" t="s">
        <v>16</v>
      </c>
      <c r="X31" s="29" t="s">
        <v>18</v>
      </c>
      <c r="Y31" s="29" t="s">
        <v>84</v>
      </c>
      <c r="Z31" s="65"/>
      <c r="AA31" s="29">
        <v>1</v>
      </c>
      <c r="AB31" s="29">
        <v>1</v>
      </c>
      <c r="AC31" s="29">
        <v>1</v>
      </c>
      <c r="AD31" s="65"/>
      <c r="AE31" s="29">
        <f t="shared" si="41"/>
        <v>1</v>
      </c>
      <c r="AF31" s="29">
        <f t="shared" si="42"/>
        <v>1</v>
      </c>
      <c r="AG31" s="29">
        <f t="shared" si="43"/>
        <v>1</v>
      </c>
      <c r="AH31" s="65"/>
      <c r="AI31" s="29">
        <f t="shared" si="54"/>
        <v>1</v>
      </c>
      <c r="AJ31" s="29">
        <f t="shared" si="55"/>
        <v>1</v>
      </c>
      <c r="AK31" s="29">
        <f t="shared" si="56"/>
        <v>1</v>
      </c>
      <c r="AL31" s="65"/>
      <c r="AM31" s="29">
        <v>1</v>
      </c>
      <c r="AN31" s="29">
        <v>1</v>
      </c>
      <c r="AO31" s="29">
        <v>1</v>
      </c>
      <c r="AP31" s="65"/>
      <c r="AQ31" s="29">
        <f t="shared" si="45"/>
        <v>1</v>
      </c>
      <c r="AR31" s="29">
        <f t="shared" si="29"/>
        <v>1</v>
      </c>
      <c r="AS31" s="29">
        <f t="shared" si="30"/>
        <v>1</v>
      </c>
      <c r="AT31" s="65"/>
      <c r="AU31" s="29">
        <f t="shared" si="57"/>
        <v>1</v>
      </c>
      <c r="AV31" s="29">
        <f t="shared" si="46"/>
        <v>1</v>
      </c>
      <c r="AW31" s="29">
        <f t="shared" si="47"/>
        <v>1</v>
      </c>
      <c r="AX31" s="65"/>
      <c r="AY31" s="29">
        <v>1</v>
      </c>
      <c r="AZ31" s="29">
        <v>1</v>
      </c>
      <c r="BA31" s="29">
        <v>1</v>
      </c>
      <c r="BB31" s="65"/>
      <c r="BC31" s="29">
        <f t="shared" si="48"/>
        <v>1</v>
      </c>
      <c r="BD31" s="29">
        <f t="shared" si="33"/>
        <v>1</v>
      </c>
      <c r="BE31" s="29">
        <f t="shared" si="34"/>
        <v>1</v>
      </c>
      <c r="BF31" s="65"/>
      <c r="BG31" s="29">
        <f t="shared" si="58"/>
        <v>1</v>
      </c>
      <c r="BH31" s="29">
        <f t="shared" si="49"/>
        <v>1</v>
      </c>
      <c r="BI31" s="29">
        <f t="shared" si="50"/>
        <v>1</v>
      </c>
      <c r="BJ31" s="65"/>
      <c r="BK31" s="29">
        <v>100</v>
      </c>
      <c r="BL31" s="29">
        <v>100</v>
      </c>
      <c r="BM31" s="29">
        <v>100</v>
      </c>
      <c r="BN31" s="65"/>
      <c r="BO31" s="29">
        <f t="shared" si="51"/>
        <v>100</v>
      </c>
      <c r="BP31" s="29">
        <f t="shared" si="37"/>
        <v>100</v>
      </c>
      <c r="BQ31" s="29">
        <f t="shared" si="38"/>
        <v>100</v>
      </c>
      <c r="BR31" s="65"/>
      <c r="BS31" s="29">
        <f t="shared" si="59"/>
        <v>100</v>
      </c>
      <c r="BT31" s="29">
        <f t="shared" si="52"/>
        <v>100</v>
      </c>
      <c r="BU31" s="29">
        <f t="shared" si="53"/>
        <v>100</v>
      </c>
      <c r="BV31" s="65"/>
      <c r="BW31" s="8">
        <f>IF(W31="","",VLOOKUP('Regular Symbol'!W31,'Regular Symbol'!$O$3:$T$13,6,0))</f>
        <v>1</v>
      </c>
      <c r="BX31" s="8">
        <f>IF(X31="","",VLOOKUP('Regular Symbol'!X31,'Regular Symbol'!$O$3:$T$13,6,0))</f>
        <v>3</v>
      </c>
      <c r="BY31" s="8">
        <f>IF(Y31="","",VLOOKUP('Regular Symbol'!Y31,'Regular Symbol'!$O$3:$T$13,6,0))</f>
        <v>7</v>
      </c>
      <c r="CA31" s="8" t="str">
        <f t="shared" si="15"/>
        <v>M1</v>
      </c>
      <c r="CB31" s="8" t="str">
        <f t="shared" si="16"/>
        <v>M3</v>
      </c>
      <c r="CC31" s="8" t="str">
        <f t="shared" si="17"/>
        <v>J</v>
      </c>
    </row>
    <row r="32" spans="1:81" ht="16.8" customHeight="1">
      <c r="A32" s="78" t="s">
        <v>18</v>
      </c>
      <c r="B32" s="58" t="s">
        <v>28</v>
      </c>
      <c r="C32" s="79">
        <f t="shared" si="60"/>
        <v>14</v>
      </c>
      <c r="D32" s="70">
        <f t="shared" si="61"/>
        <v>25</v>
      </c>
      <c r="E32" s="70">
        <f t="shared" si="62"/>
        <v>28</v>
      </c>
      <c r="F32" s="58">
        <v>3</v>
      </c>
      <c r="H32" s="78" t="str">
        <v>M3</v>
      </c>
      <c r="I32" s="58" t="str">
        <v>M3</v>
      </c>
      <c r="J32" s="79">
        <f t="shared" si="63"/>
        <v>14</v>
      </c>
      <c r="K32" s="70">
        <f t="shared" si="64"/>
        <v>25</v>
      </c>
      <c r="L32" s="70">
        <f t="shared" si="65"/>
        <v>28</v>
      </c>
      <c r="M32" s="58">
        <v>3</v>
      </c>
      <c r="O32" s="78" t="str">
        <v>M3</v>
      </c>
      <c r="P32" s="58" t="str">
        <v>M3</v>
      </c>
      <c r="Q32" s="79">
        <f t="shared" si="66"/>
        <v>14</v>
      </c>
      <c r="R32" s="70">
        <f t="shared" si="67"/>
        <v>25</v>
      </c>
      <c r="S32" s="70">
        <f t="shared" si="68"/>
        <v>28</v>
      </c>
      <c r="T32" s="58">
        <v>3</v>
      </c>
      <c r="V32" s="27">
        <v>29</v>
      </c>
      <c r="W32" s="29" t="s">
        <v>84</v>
      </c>
      <c r="X32" s="29" t="s">
        <v>18</v>
      </c>
      <c r="Y32" s="29" t="s">
        <v>84</v>
      </c>
      <c r="Z32" s="65"/>
      <c r="AA32" s="29">
        <v>1</v>
      </c>
      <c r="AB32" s="29">
        <v>1</v>
      </c>
      <c r="AC32" s="29">
        <v>1</v>
      </c>
      <c r="AD32" s="65"/>
      <c r="AE32" s="29">
        <f t="shared" si="41"/>
        <v>1</v>
      </c>
      <c r="AF32" s="29">
        <f t="shared" si="42"/>
        <v>1</v>
      </c>
      <c r="AG32" s="29">
        <f t="shared" si="43"/>
        <v>1</v>
      </c>
      <c r="AH32" s="65"/>
      <c r="AI32" s="29">
        <f t="shared" si="54"/>
        <v>1</v>
      </c>
      <c r="AJ32" s="29">
        <f t="shared" si="55"/>
        <v>1</v>
      </c>
      <c r="AK32" s="29">
        <f t="shared" si="56"/>
        <v>1</v>
      </c>
      <c r="AL32" s="65"/>
      <c r="AM32" s="29">
        <v>1</v>
      </c>
      <c r="AN32" s="29">
        <v>1</v>
      </c>
      <c r="AO32" s="29">
        <v>1</v>
      </c>
      <c r="AP32" s="65"/>
      <c r="AQ32" s="29">
        <f t="shared" si="45"/>
        <v>1</v>
      </c>
      <c r="AR32" s="29">
        <f t="shared" si="29"/>
        <v>1</v>
      </c>
      <c r="AS32" s="29">
        <f t="shared" si="30"/>
        <v>1</v>
      </c>
      <c r="AT32" s="65"/>
      <c r="AU32" s="29">
        <f t="shared" si="57"/>
        <v>1</v>
      </c>
      <c r="AV32" s="29">
        <f t="shared" si="46"/>
        <v>1</v>
      </c>
      <c r="AW32" s="29">
        <f t="shared" si="47"/>
        <v>1</v>
      </c>
      <c r="AX32" s="65"/>
      <c r="AY32" s="29">
        <v>1</v>
      </c>
      <c r="AZ32" s="29">
        <v>1</v>
      </c>
      <c r="BA32" s="29">
        <v>1</v>
      </c>
      <c r="BB32" s="65"/>
      <c r="BC32" s="29">
        <f t="shared" si="48"/>
        <v>1</v>
      </c>
      <c r="BD32" s="29">
        <f t="shared" si="33"/>
        <v>1</v>
      </c>
      <c r="BE32" s="29">
        <f t="shared" si="34"/>
        <v>1</v>
      </c>
      <c r="BF32" s="65"/>
      <c r="BG32" s="29">
        <f t="shared" si="58"/>
        <v>1</v>
      </c>
      <c r="BH32" s="29">
        <f t="shared" si="49"/>
        <v>1</v>
      </c>
      <c r="BI32" s="29">
        <f t="shared" si="50"/>
        <v>1</v>
      </c>
      <c r="BJ32" s="65"/>
      <c r="BK32" s="29">
        <v>100</v>
      </c>
      <c r="BL32" s="29">
        <v>100</v>
      </c>
      <c r="BM32" s="29">
        <v>677</v>
      </c>
      <c r="BN32" s="65"/>
      <c r="BO32" s="29">
        <f t="shared" si="51"/>
        <v>100</v>
      </c>
      <c r="BP32" s="29">
        <f t="shared" si="37"/>
        <v>100</v>
      </c>
      <c r="BQ32" s="29">
        <f t="shared" si="38"/>
        <v>100</v>
      </c>
      <c r="BR32" s="65"/>
      <c r="BS32" s="29">
        <f t="shared" si="59"/>
        <v>100</v>
      </c>
      <c r="BT32" s="29">
        <f t="shared" si="52"/>
        <v>100</v>
      </c>
      <c r="BU32" s="29">
        <f t="shared" si="53"/>
        <v>100</v>
      </c>
      <c r="BV32" s="65"/>
      <c r="BW32" s="8">
        <f>IF(W32="","",VLOOKUP('Regular Symbol'!W32,'Regular Symbol'!$O$3:$T$13,6,0))</f>
        <v>7</v>
      </c>
      <c r="BX32" s="8">
        <f>IF(X32="","",VLOOKUP('Regular Symbol'!X32,'Regular Symbol'!$O$3:$T$13,6,0))</f>
        <v>3</v>
      </c>
      <c r="BY32" s="8">
        <f>IF(Y32="","",VLOOKUP('Regular Symbol'!Y32,'Regular Symbol'!$O$3:$T$13,6,0))</f>
        <v>7</v>
      </c>
      <c r="CA32" s="8" t="str">
        <f t="shared" si="15"/>
        <v>J</v>
      </c>
      <c r="CB32" s="8" t="str">
        <f t="shared" si="16"/>
        <v>M3</v>
      </c>
      <c r="CC32" s="8" t="str">
        <f t="shared" si="17"/>
        <v>J</v>
      </c>
    </row>
    <row r="33" spans="1:81" ht="16.8" customHeight="1">
      <c r="A33" s="78" t="s">
        <v>41</v>
      </c>
      <c r="B33" s="58" t="s">
        <v>41</v>
      </c>
      <c r="C33" s="79">
        <f t="shared" si="60"/>
        <v>18</v>
      </c>
      <c r="D33" s="70">
        <f t="shared" si="61"/>
        <v>30</v>
      </c>
      <c r="E33" s="70">
        <f t="shared" si="62"/>
        <v>23</v>
      </c>
      <c r="F33" s="58">
        <v>4</v>
      </c>
      <c r="H33" s="78" t="str">
        <v>A</v>
      </c>
      <c r="I33" s="58" t="str">
        <v>A</v>
      </c>
      <c r="J33" s="79">
        <f t="shared" si="63"/>
        <v>18</v>
      </c>
      <c r="K33" s="70">
        <f t="shared" si="64"/>
        <v>30</v>
      </c>
      <c r="L33" s="70">
        <f t="shared" si="65"/>
        <v>23</v>
      </c>
      <c r="M33" s="58">
        <v>4</v>
      </c>
      <c r="O33" s="78" t="str">
        <v>A</v>
      </c>
      <c r="P33" s="58" t="str">
        <v>A</v>
      </c>
      <c r="Q33" s="79">
        <f t="shared" si="66"/>
        <v>18</v>
      </c>
      <c r="R33" s="70">
        <f t="shared" si="67"/>
        <v>30</v>
      </c>
      <c r="S33" s="70">
        <f t="shared" si="68"/>
        <v>23</v>
      </c>
      <c r="T33" s="58">
        <v>4</v>
      </c>
      <c r="V33" s="27">
        <v>30</v>
      </c>
      <c r="W33" s="29" t="s">
        <v>84</v>
      </c>
      <c r="X33" s="29" t="s">
        <v>83</v>
      </c>
      <c r="Y33" s="29" t="s">
        <v>84</v>
      </c>
      <c r="Z33" s="65"/>
      <c r="AA33" s="29">
        <v>1</v>
      </c>
      <c r="AB33" s="29">
        <v>1</v>
      </c>
      <c r="AC33" s="29">
        <v>1</v>
      </c>
      <c r="AD33" s="65"/>
      <c r="AE33" s="29">
        <f t="shared" si="41"/>
        <v>1</v>
      </c>
      <c r="AF33" s="29">
        <f t="shared" si="42"/>
        <v>1</v>
      </c>
      <c r="AG33" s="29">
        <f t="shared" si="43"/>
        <v>1</v>
      </c>
      <c r="AH33" s="65"/>
      <c r="AI33" s="29">
        <f t="shared" si="54"/>
        <v>1</v>
      </c>
      <c r="AJ33" s="29">
        <f t="shared" si="55"/>
        <v>1</v>
      </c>
      <c r="AK33" s="29">
        <f t="shared" si="56"/>
        <v>1</v>
      </c>
      <c r="AL33" s="65"/>
      <c r="AM33" s="29">
        <v>1</v>
      </c>
      <c r="AN33" s="29">
        <v>1</v>
      </c>
      <c r="AO33" s="29">
        <v>1</v>
      </c>
      <c r="AP33" s="65"/>
      <c r="AQ33" s="29">
        <f t="shared" si="45"/>
        <v>1</v>
      </c>
      <c r="AR33" s="29">
        <f t="shared" si="29"/>
        <v>1</v>
      </c>
      <c r="AS33" s="29">
        <f t="shared" si="30"/>
        <v>1</v>
      </c>
      <c r="AT33" s="65"/>
      <c r="AU33" s="29">
        <f t="shared" si="57"/>
        <v>1</v>
      </c>
      <c r="AV33" s="29">
        <f t="shared" si="46"/>
        <v>1</v>
      </c>
      <c r="AW33" s="29">
        <f t="shared" si="47"/>
        <v>1</v>
      </c>
      <c r="AX33" s="65"/>
      <c r="AY33" s="29">
        <v>1</v>
      </c>
      <c r="AZ33" s="29">
        <v>1</v>
      </c>
      <c r="BA33" s="29">
        <v>1</v>
      </c>
      <c r="BB33" s="65"/>
      <c r="BC33" s="29">
        <f t="shared" si="48"/>
        <v>1</v>
      </c>
      <c r="BD33" s="29">
        <f t="shared" si="33"/>
        <v>1</v>
      </c>
      <c r="BE33" s="29">
        <f t="shared" si="34"/>
        <v>1</v>
      </c>
      <c r="BF33" s="65"/>
      <c r="BG33" s="29">
        <f t="shared" si="58"/>
        <v>1</v>
      </c>
      <c r="BH33" s="29">
        <f t="shared" si="49"/>
        <v>1</v>
      </c>
      <c r="BI33" s="29">
        <f t="shared" si="50"/>
        <v>1</v>
      </c>
      <c r="BJ33" s="65"/>
      <c r="BK33" s="29">
        <v>100</v>
      </c>
      <c r="BL33" s="29">
        <v>100</v>
      </c>
      <c r="BM33" s="29">
        <v>564</v>
      </c>
      <c r="BN33" s="65"/>
      <c r="BO33" s="29">
        <f t="shared" si="51"/>
        <v>100</v>
      </c>
      <c r="BP33" s="29">
        <f t="shared" si="37"/>
        <v>100</v>
      </c>
      <c r="BQ33" s="29">
        <f t="shared" si="38"/>
        <v>677</v>
      </c>
      <c r="BR33" s="65"/>
      <c r="BS33" s="29">
        <f t="shared" si="59"/>
        <v>100</v>
      </c>
      <c r="BT33" s="29">
        <f t="shared" si="52"/>
        <v>100</v>
      </c>
      <c r="BU33" s="29">
        <f t="shared" si="53"/>
        <v>100</v>
      </c>
      <c r="BV33" s="65"/>
      <c r="BW33" s="8">
        <f>IF(W33="","",VLOOKUP('Regular Symbol'!W33,'Regular Symbol'!$O$3:$T$13,6,0))</f>
        <v>7</v>
      </c>
      <c r="BX33" s="8">
        <f>IF(X33="","",VLOOKUP('Regular Symbol'!X33,'Regular Symbol'!$O$3:$T$13,6,0))</f>
        <v>6</v>
      </c>
      <c r="BY33" s="8">
        <f>IF(Y33="","",VLOOKUP('Regular Symbol'!Y33,'Regular Symbol'!$O$3:$T$13,6,0))</f>
        <v>7</v>
      </c>
      <c r="CA33" s="8" t="str">
        <f t="shared" si="15"/>
        <v>J</v>
      </c>
      <c r="CB33" s="8" t="str">
        <f t="shared" si="16"/>
        <v>Q</v>
      </c>
      <c r="CC33" s="8" t="str">
        <f t="shared" si="17"/>
        <v>J</v>
      </c>
    </row>
    <row r="34" spans="1:81" ht="16.8" customHeight="1">
      <c r="A34" s="78" t="s">
        <v>38</v>
      </c>
      <c r="B34" s="58" t="s">
        <v>38</v>
      </c>
      <c r="C34" s="79">
        <f t="shared" si="60"/>
        <v>19</v>
      </c>
      <c r="D34" s="70">
        <f t="shared" si="61"/>
        <v>28</v>
      </c>
      <c r="E34" s="70">
        <f t="shared" si="62"/>
        <v>27</v>
      </c>
      <c r="F34" s="58">
        <v>5</v>
      </c>
      <c r="H34" s="78" t="str">
        <v>K</v>
      </c>
      <c r="I34" s="58" t="str">
        <v>K</v>
      </c>
      <c r="J34" s="79">
        <f t="shared" si="63"/>
        <v>19</v>
      </c>
      <c r="K34" s="70">
        <f t="shared" si="64"/>
        <v>28</v>
      </c>
      <c r="L34" s="70">
        <f t="shared" si="65"/>
        <v>27</v>
      </c>
      <c r="M34" s="58">
        <v>5</v>
      </c>
      <c r="O34" s="78" t="str">
        <v>K</v>
      </c>
      <c r="P34" s="58" t="str">
        <v>K</v>
      </c>
      <c r="Q34" s="79">
        <f t="shared" ca="1" si="66"/>
        <v>19</v>
      </c>
      <c r="R34" s="70">
        <f t="shared" si="67"/>
        <v>28</v>
      </c>
      <c r="S34" s="70">
        <f t="shared" si="68"/>
        <v>27</v>
      </c>
      <c r="T34" s="58">
        <v>5</v>
      </c>
      <c r="V34" s="27">
        <v>31</v>
      </c>
      <c r="W34" s="29" t="s">
        <v>17</v>
      </c>
      <c r="X34" s="29" t="s">
        <v>83</v>
      </c>
      <c r="Y34" s="29" t="s">
        <v>25</v>
      </c>
      <c r="Z34" s="65"/>
      <c r="AA34" s="29">
        <v>1</v>
      </c>
      <c r="AB34" s="29">
        <v>1</v>
      </c>
      <c r="AC34" s="29">
        <v>1</v>
      </c>
      <c r="AD34" s="65"/>
      <c r="AE34" s="29">
        <f t="shared" si="41"/>
        <v>1</v>
      </c>
      <c r="AF34" s="29">
        <f t="shared" si="42"/>
        <v>1</v>
      </c>
      <c r="AG34" s="29">
        <f t="shared" si="43"/>
        <v>1</v>
      </c>
      <c r="AH34" s="65"/>
      <c r="AI34" s="29">
        <f t="shared" si="54"/>
        <v>1</v>
      </c>
      <c r="AJ34" s="29">
        <f t="shared" si="55"/>
        <v>1</v>
      </c>
      <c r="AK34" s="29">
        <f t="shared" si="56"/>
        <v>1</v>
      </c>
      <c r="AL34" s="65"/>
      <c r="AM34" s="29">
        <v>1</v>
      </c>
      <c r="AN34" s="29">
        <v>1</v>
      </c>
      <c r="AO34" s="29">
        <v>1</v>
      </c>
      <c r="AP34" s="65"/>
      <c r="AQ34" s="29">
        <f t="shared" si="45"/>
        <v>1</v>
      </c>
      <c r="AR34" s="29">
        <f t="shared" si="29"/>
        <v>1</v>
      </c>
      <c r="AS34" s="29">
        <f t="shared" si="30"/>
        <v>1</v>
      </c>
      <c r="AT34" s="65"/>
      <c r="AU34" s="29">
        <f t="shared" si="57"/>
        <v>1</v>
      </c>
      <c r="AV34" s="29">
        <f t="shared" si="46"/>
        <v>1</v>
      </c>
      <c r="AW34" s="29">
        <f t="shared" si="47"/>
        <v>1</v>
      </c>
      <c r="AX34" s="65"/>
      <c r="AY34" s="29">
        <v>1</v>
      </c>
      <c r="AZ34" s="29">
        <v>1</v>
      </c>
      <c r="BA34" s="29">
        <v>1</v>
      </c>
      <c r="BB34" s="65"/>
      <c r="BC34" s="29">
        <f t="shared" si="48"/>
        <v>1</v>
      </c>
      <c r="BD34" s="29">
        <f t="shared" si="33"/>
        <v>1</v>
      </c>
      <c r="BE34" s="29">
        <f t="shared" si="34"/>
        <v>1</v>
      </c>
      <c r="BF34" s="65"/>
      <c r="BG34" s="29">
        <f t="shared" si="58"/>
        <v>1</v>
      </c>
      <c r="BH34" s="29">
        <f t="shared" si="49"/>
        <v>1</v>
      </c>
      <c r="BI34" s="29">
        <f t="shared" si="50"/>
        <v>1</v>
      </c>
      <c r="BJ34" s="65"/>
      <c r="BK34" s="29">
        <v>100</v>
      </c>
      <c r="BL34" s="29">
        <v>100</v>
      </c>
      <c r="BM34" s="29">
        <v>451</v>
      </c>
      <c r="BN34" s="65"/>
      <c r="BO34" s="29">
        <f t="shared" si="51"/>
        <v>100</v>
      </c>
      <c r="BP34" s="29">
        <f t="shared" si="37"/>
        <v>100</v>
      </c>
      <c r="BQ34" s="29">
        <f t="shared" si="38"/>
        <v>564</v>
      </c>
      <c r="BR34" s="65"/>
      <c r="BS34" s="29">
        <f t="shared" si="59"/>
        <v>100</v>
      </c>
      <c r="BT34" s="29">
        <f t="shared" si="52"/>
        <v>100</v>
      </c>
      <c r="BU34" s="29">
        <f t="shared" si="53"/>
        <v>677</v>
      </c>
      <c r="BV34" s="65"/>
      <c r="BW34" s="8">
        <f>IF(W34="","",VLOOKUP('Regular Symbol'!W34,'Regular Symbol'!$O$3:$T$13,6,0))</f>
        <v>2</v>
      </c>
      <c r="BX34" s="8">
        <f>IF(X34="","",VLOOKUP('Regular Symbol'!X34,'Regular Symbol'!$O$3:$T$13,6,0))</f>
        <v>6</v>
      </c>
      <c r="BY34" s="8">
        <f>IF(Y34="","",VLOOKUP('Regular Symbol'!Y34,'Regular Symbol'!$O$3:$T$13,6,0))</f>
        <v>0</v>
      </c>
      <c r="CA34" s="8" t="str">
        <f t="shared" si="15"/>
        <v>M2</v>
      </c>
      <c r="CB34" s="8" t="str">
        <f t="shared" si="16"/>
        <v>Q</v>
      </c>
      <c r="CC34" s="8" t="str">
        <f t="shared" si="17"/>
        <v>Wild</v>
      </c>
    </row>
    <row r="35" spans="1:81" ht="16.8" customHeight="1">
      <c r="A35" s="78" t="s">
        <v>40</v>
      </c>
      <c r="B35" s="58" t="s">
        <v>40</v>
      </c>
      <c r="C35" s="79">
        <f t="shared" si="60"/>
        <v>17</v>
      </c>
      <c r="D35" s="70">
        <f t="shared" si="61"/>
        <v>29</v>
      </c>
      <c r="E35" s="70">
        <f t="shared" si="62"/>
        <v>27</v>
      </c>
      <c r="F35" s="58">
        <v>6</v>
      </c>
      <c r="H35" s="78" t="str">
        <v>Q</v>
      </c>
      <c r="I35" s="58" t="str">
        <v>Q</v>
      </c>
      <c r="J35" s="79">
        <f t="shared" si="63"/>
        <v>17</v>
      </c>
      <c r="K35" s="70">
        <f t="shared" si="64"/>
        <v>29</v>
      </c>
      <c r="L35" s="70">
        <f t="shared" si="65"/>
        <v>27</v>
      </c>
      <c r="M35" s="58">
        <v>6</v>
      </c>
      <c r="O35" s="78" t="str">
        <v>Q</v>
      </c>
      <c r="P35" s="58" t="str">
        <v>Q</v>
      </c>
      <c r="Q35" s="79">
        <f t="shared" si="66"/>
        <v>17</v>
      </c>
      <c r="R35" s="70">
        <f t="shared" si="67"/>
        <v>29</v>
      </c>
      <c r="S35" s="70">
        <f t="shared" si="68"/>
        <v>27</v>
      </c>
      <c r="T35" s="58">
        <v>6</v>
      </c>
      <c r="V35" s="27">
        <v>32</v>
      </c>
      <c r="W35" s="29" t="s">
        <v>17</v>
      </c>
      <c r="X35" s="29" t="s">
        <v>83</v>
      </c>
      <c r="Y35" s="29" t="s">
        <v>25</v>
      </c>
      <c r="Z35" s="65"/>
      <c r="AA35" s="29">
        <v>1</v>
      </c>
      <c r="AB35" s="29">
        <v>1</v>
      </c>
      <c r="AC35" s="29">
        <v>1</v>
      </c>
      <c r="AD35" s="65"/>
      <c r="AE35" s="29">
        <f t="shared" si="41"/>
        <v>1</v>
      </c>
      <c r="AF35" s="29">
        <f t="shared" si="42"/>
        <v>1</v>
      </c>
      <c r="AG35" s="29">
        <f t="shared" si="43"/>
        <v>1</v>
      </c>
      <c r="AH35" s="65"/>
      <c r="AI35" s="29">
        <f t="shared" si="54"/>
        <v>1</v>
      </c>
      <c r="AJ35" s="29">
        <f t="shared" si="55"/>
        <v>1</v>
      </c>
      <c r="AK35" s="29">
        <f t="shared" si="56"/>
        <v>1</v>
      </c>
      <c r="AL35" s="65"/>
      <c r="AM35" s="29">
        <v>1</v>
      </c>
      <c r="AN35" s="29">
        <v>1</v>
      </c>
      <c r="AO35" s="29">
        <v>1</v>
      </c>
      <c r="AP35" s="65"/>
      <c r="AQ35" s="29">
        <f t="shared" si="45"/>
        <v>1</v>
      </c>
      <c r="AR35" s="29">
        <f t="shared" si="29"/>
        <v>1</v>
      </c>
      <c r="AS35" s="29">
        <f t="shared" si="30"/>
        <v>1</v>
      </c>
      <c r="AT35" s="65"/>
      <c r="AU35" s="29">
        <f t="shared" si="57"/>
        <v>1</v>
      </c>
      <c r="AV35" s="29">
        <f t="shared" si="46"/>
        <v>1</v>
      </c>
      <c r="AW35" s="29">
        <f t="shared" si="47"/>
        <v>1</v>
      </c>
      <c r="AX35" s="65"/>
      <c r="AY35" s="29">
        <v>1</v>
      </c>
      <c r="AZ35" s="29">
        <v>1</v>
      </c>
      <c r="BA35" s="29">
        <v>1</v>
      </c>
      <c r="BB35" s="65"/>
      <c r="BC35" s="29">
        <f t="shared" si="48"/>
        <v>1</v>
      </c>
      <c r="BD35" s="29">
        <f t="shared" si="33"/>
        <v>1</v>
      </c>
      <c r="BE35" s="29">
        <f t="shared" si="34"/>
        <v>1</v>
      </c>
      <c r="BF35" s="65"/>
      <c r="BG35" s="29">
        <f t="shared" si="58"/>
        <v>1</v>
      </c>
      <c r="BH35" s="29">
        <f t="shared" si="49"/>
        <v>1</v>
      </c>
      <c r="BI35" s="29">
        <f t="shared" si="50"/>
        <v>1</v>
      </c>
      <c r="BJ35" s="65"/>
      <c r="BK35" s="29">
        <v>100</v>
      </c>
      <c r="BL35" s="29">
        <v>100</v>
      </c>
      <c r="BM35" s="29">
        <v>564</v>
      </c>
      <c r="BN35" s="65"/>
      <c r="BO35" s="29">
        <f t="shared" si="51"/>
        <v>100</v>
      </c>
      <c r="BP35" s="29">
        <f t="shared" si="37"/>
        <v>100</v>
      </c>
      <c r="BQ35" s="29">
        <f t="shared" si="38"/>
        <v>451</v>
      </c>
      <c r="BR35" s="65"/>
      <c r="BS35" s="29">
        <f t="shared" si="59"/>
        <v>100</v>
      </c>
      <c r="BT35" s="29">
        <f t="shared" si="52"/>
        <v>100</v>
      </c>
      <c r="BU35" s="29">
        <f t="shared" si="53"/>
        <v>564</v>
      </c>
      <c r="BV35" s="65"/>
      <c r="BW35" s="8">
        <f>IF(W35="","",VLOOKUP('Regular Symbol'!W35,'Regular Symbol'!$O$3:$T$13,6,0))</f>
        <v>2</v>
      </c>
      <c r="BX35" s="8">
        <f>IF(X35="","",VLOOKUP('Regular Symbol'!X35,'Regular Symbol'!$O$3:$T$13,6,0))</f>
        <v>6</v>
      </c>
      <c r="BY35" s="8">
        <f>IF(Y35="","",VLOOKUP('Regular Symbol'!Y35,'Regular Symbol'!$O$3:$T$13,6,0))</f>
        <v>0</v>
      </c>
      <c r="CA35" s="8" t="str">
        <f t="shared" si="15"/>
        <v>M2</v>
      </c>
      <c r="CB35" s="8" t="str">
        <f t="shared" si="16"/>
        <v>Q</v>
      </c>
      <c r="CC35" s="8" t="str">
        <f t="shared" si="17"/>
        <v>Wild</v>
      </c>
    </row>
    <row r="36" spans="1:81" ht="16.8" customHeight="1">
      <c r="A36" s="78" t="s">
        <v>39</v>
      </c>
      <c r="B36" s="58" t="s">
        <v>39</v>
      </c>
      <c r="C36" s="79">
        <f t="shared" si="60"/>
        <v>19</v>
      </c>
      <c r="D36" s="70">
        <f t="shared" si="61"/>
        <v>26</v>
      </c>
      <c r="E36" s="70">
        <f t="shared" si="62"/>
        <v>27</v>
      </c>
      <c r="F36" s="58">
        <v>7</v>
      </c>
      <c r="H36" s="78" t="str">
        <v>J</v>
      </c>
      <c r="I36" s="58" t="str">
        <v>J</v>
      </c>
      <c r="J36" s="79">
        <f t="shared" ca="1" si="63"/>
        <v>19</v>
      </c>
      <c r="K36" s="70">
        <f t="shared" si="64"/>
        <v>26</v>
      </c>
      <c r="L36" s="70">
        <f t="shared" si="65"/>
        <v>27</v>
      </c>
      <c r="M36" s="58">
        <v>7</v>
      </c>
      <c r="O36" s="78" t="str">
        <v>J</v>
      </c>
      <c r="P36" s="58" t="str">
        <v>J</v>
      </c>
      <c r="Q36" s="79">
        <f t="shared" ca="1" si="66"/>
        <v>19</v>
      </c>
      <c r="R36" s="70">
        <f t="shared" si="67"/>
        <v>26</v>
      </c>
      <c r="S36" s="70">
        <f t="shared" si="68"/>
        <v>27</v>
      </c>
      <c r="T36" s="58">
        <v>7</v>
      </c>
      <c r="V36" s="27">
        <v>33</v>
      </c>
      <c r="W36" s="29" t="s">
        <v>82</v>
      </c>
      <c r="X36" s="29" t="s">
        <v>17</v>
      </c>
      <c r="Y36" s="29" t="s">
        <v>25</v>
      </c>
      <c r="Z36" s="65"/>
      <c r="AA36" s="29">
        <v>1</v>
      </c>
      <c r="AB36" s="29">
        <v>1</v>
      </c>
      <c r="AC36" s="29">
        <v>1</v>
      </c>
      <c r="AD36" s="65"/>
      <c r="AE36" s="29">
        <f t="shared" si="41"/>
        <v>1</v>
      </c>
      <c r="AF36" s="29">
        <f t="shared" si="42"/>
        <v>1</v>
      </c>
      <c r="AG36" s="29">
        <f t="shared" si="43"/>
        <v>1</v>
      </c>
      <c r="AH36" s="65"/>
      <c r="AI36" s="29">
        <f t="shared" si="54"/>
        <v>1</v>
      </c>
      <c r="AJ36" s="29">
        <f t="shared" si="55"/>
        <v>1</v>
      </c>
      <c r="AK36" s="29">
        <f t="shared" si="56"/>
        <v>1</v>
      </c>
      <c r="AL36" s="65"/>
      <c r="AM36" s="29">
        <v>1</v>
      </c>
      <c r="AN36" s="29">
        <v>1</v>
      </c>
      <c r="AO36" s="29">
        <v>1</v>
      </c>
      <c r="AP36" s="65"/>
      <c r="AQ36" s="29">
        <f t="shared" si="45"/>
        <v>1</v>
      </c>
      <c r="AR36" s="29">
        <f t="shared" si="29"/>
        <v>1</v>
      </c>
      <c r="AS36" s="29">
        <f t="shared" si="30"/>
        <v>1</v>
      </c>
      <c r="AT36" s="65"/>
      <c r="AU36" s="29">
        <f t="shared" si="57"/>
        <v>1</v>
      </c>
      <c r="AV36" s="29">
        <f t="shared" si="46"/>
        <v>1</v>
      </c>
      <c r="AW36" s="29">
        <f t="shared" si="47"/>
        <v>1</v>
      </c>
      <c r="AX36" s="65"/>
      <c r="AY36" s="29">
        <v>1</v>
      </c>
      <c r="AZ36" s="29">
        <v>1</v>
      </c>
      <c r="BA36" s="29">
        <v>1</v>
      </c>
      <c r="BB36" s="65"/>
      <c r="BC36" s="29">
        <f t="shared" si="48"/>
        <v>1</v>
      </c>
      <c r="BD36" s="29">
        <f t="shared" si="33"/>
        <v>1</v>
      </c>
      <c r="BE36" s="29">
        <f t="shared" si="34"/>
        <v>1</v>
      </c>
      <c r="BF36" s="65"/>
      <c r="BG36" s="29">
        <f t="shared" si="58"/>
        <v>1</v>
      </c>
      <c r="BH36" s="29">
        <f t="shared" si="49"/>
        <v>1</v>
      </c>
      <c r="BI36" s="29">
        <f t="shared" si="50"/>
        <v>1</v>
      </c>
      <c r="BJ36" s="65"/>
      <c r="BK36" s="29">
        <v>100</v>
      </c>
      <c r="BL36" s="29">
        <v>100</v>
      </c>
      <c r="BM36" s="29">
        <v>677</v>
      </c>
      <c r="BN36" s="65"/>
      <c r="BO36" s="29">
        <f t="shared" si="51"/>
        <v>100</v>
      </c>
      <c r="BP36" s="29">
        <f t="shared" si="37"/>
        <v>100</v>
      </c>
      <c r="BQ36" s="29">
        <f t="shared" si="38"/>
        <v>564</v>
      </c>
      <c r="BR36" s="65"/>
      <c r="BS36" s="29">
        <f t="shared" si="59"/>
        <v>100</v>
      </c>
      <c r="BT36" s="29">
        <f t="shared" si="52"/>
        <v>100</v>
      </c>
      <c r="BU36" s="29">
        <f t="shared" si="53"/>
        <v>451</v>
      </c>
      <c r="BV36" s="65"/>
      <c r="BW36" s="8">
        <f>IF(W36="","",VLOOKUP('Regular Symbol'!W36,'Regular Symbol'!$O$3:$T$13,6,0))</f>
        <v>5</v>
      </c>
      <c r="BX36" s="8">
        <f>IF(X36="","",VLOOKUP('Regular Symbol'!X36,'Regular Symbol'!$O$3:$T$13,6,0))</f>
        <v>2</v>
      </c>
      <c r="BY36" s="8">
        <f>IF(Y36="","",VLOOKUP('Regular Symbol'!Y36,'Regular Symbol'!$O$3:$T$13,6,0))</f>
        <v>0</v>
      </c>
      <c r="CA36" s="8" t="str">
        <f t="shared" si="15"/>
        <v>K</v>
      </c>
      <c r="CB36" s="8" t="str">
        <f t="shared" si="16"/>
        <v>M2</v>
      </c>
      <c r="CC36" s="8" t="str">
        <f t="shared" si="17"/>
        <v>Wild</v>
      </c>
    </row>
    <row r="37" spans="1:81" ht="16.8" customHeight="1">
      <c r="A37" s="78"/>
      <c r="B37" s="58"/>
      <c r="C37" s="79"/>
      <c r="D37" s="70"/>
      <c r="E37" s="70"/>
      <c r="F37" s="58"/>
      <c r="H37" s="78"/>
      <c r="I37" s="58"/>
      <c r="J37" s="79"/>
      <c r="K37" s="70"/>
      <c r="L37" s="70"/>
      <c r="M37" s="58"/>
      <c r="O37" s="78"/>
      <c r="P37" s="58"/>
      <c r="Q37" s="79"/>
      <c r="R37" s="70"/>
      <c r="S37" s="70"/>
      <c r="T37" s="58"/>
      <c r="V37" s="27">
        <v>34</v>
      </c>
      <c r="W37" s="29" t="s">
        <v>82</v>
      </c>
      <c r="X37" s="29" t="s">
        <v>17</v>
      </c>
      <c r="Y37" s="29" t="s">
        <v>83</v>
      </c>
      <c r="Z37" s="65"/>
      <c r="AA37" s="29">
        <v>1</v>
      </c>
      <c r="AB37" s="29">
        <v>1</v>
      </c>
      <c r="AC37" s="29">
        <v>1</v>
      </c>
      <c r="AD37" s="65"/>
      <c r="AE37" s="29">
        <f t="shared" si="41"/>
        <v>1</v>
      </c>
      <c r="AF37" s="29">
        <f t="shared" si="42"/>
        <v>1</v>
      </c>
      <c r="AG37" s="29">
        <f t="shared" si="43"/>
        <v>1</v>
      </c>
      <c r="AH37" s="65"/>
      <c r="AI37" s="29">
        <f t="shared" si="54"/>
        <v>1</v>
      </c>
      <c r="AJ37" s="29">
        <f t="shared" si="55"/>
        <v>1</v>
      </c>
      <c r="AK37" s="29">
        <f t="shared" si="56"/>
        <v>1</v>
      </c>
      <c r="AL37" s="65"/>
      <c r="AM37" s="29">
        <v>1</v>
      </c>
      <c r="AN37" s="29">
        <v>1</v>
      </c>
      <c r="AO37" s="29">
        <v>1</v>
      </c>
      <c r="AP37" s="65"/>
      <c r="AQ37" s="29">
        <f t="shared" si="45"/>
        <v>1</v>
      </c>
      <c r="AR37" s="29">
        <f t="shared" si="29"/>
        <v>1</v>
      </c>
      <c r="AS37" s="29">
        <f t="shared" si="30"/>
        <v>1</v>
      </c>
      <c r="AT37" s="65"/>
      <c r="AU37" s="29">
        <f t="shared" si="57"/>
        <v>1</v>
      </c>
      <c r="AV37" s="29">
        <f t="shared" si="46"/>
        <v>1</v>
      </c>
      <c r="AW37" s="29">
        <f t="shared" si="47"/>
        <v>1</v>
      </c>
      <c r="AX37" s="65"/>
      <c r="AY37" s="29">
        <v>1</v>
      </c>
      <c r="AZ37" s="29">
        <v>1</v>
      </c>
      <c r="BA37" s="29">
        <v>1</v>
      </c>
      <c r="BB37" s="65"/>
      <c r="BC37" s="29">
        <f t="shared" si="48"/>
        <v>1</v>
      </c>
      <c r="BD37" s="29">
        <f t="shared" si="33"/>
        <v>1</v>
      </c>
      <c r="BE37" s="29">
        <f t="shared" si="34"/>
        <v>1</v>
      </c>
      <c r="BF37" s="65"/>
      <c r="BG37" s="29">
        <f t="shared" si="58"/>
        <v>1</v>
      </c>
      <c r="BH37" s="29">
        <f t="shared" si="49"/>
        <v>1</v>
      </c>
      <c r="BI37" s="29">
        <f t="shared" si="50"/>
        <v>1</v>
      </c>
      <c r="BJ37" s="65"/>
      <c r="BK37" s="29">
        <v>100</v>
      </c>
      <c r="BL37" s="29">
        <v>100</v>
      </c>
      <c r="BM37" s="29">
        <v>100</v>
      </c>
      <c r="BN37" s="65"/>
      <c r="BO37" s="29">
        <f t="shared" si="51"/>
        <v>100</v>
      </c>
      <c r="BP37" s="29">
        <f t="shared" si="37"/>
        <v>100</v>
      </c>
      <c r="BQ37" s="29">
        <f t="shared" si="38"/>
        <v>677</v>
      </c>
      <c r="BR37" s="65"/>
      <c r="BS37" s="29">
        <f t="shared" si="59"/>
        <v>100</v>
      </c>
      <c r="BT37" s="29">
        <f t="shared" si="52"/>
        <v>100</v>
      </c>
      <c r="BU37" s="29">
        <f t="shared" si="53"/>
        <v>564</v>
      </c>
      <c r="BV37" s="65"/>
      <c r="BW37" s="8">
        <f>IF(W37="","",VLOOKUP('Regular Symbol'!W37,'Regular Symbol'!$O$3:$T$13,6,0))</f>
        <v>5</v>
      </c>
      <c r="BX37" s="8">
        <f>IF(X37="","",VLOOKUP('Regular Symbol'!X37,'Regular Symbol'!$O$3:$T$13,6,0))</f>
        <v>2</v>
      </c>
      <c r="BY37" s="8">
        <f>IF(Y37="","",VLOOKUP('Regular Symbol'!Y37,'Regular Symbol'!$O$3:$T$13,6,0))</f>
        <v>6</v>
      </c>
      <c r="CA37" s="8" t="str">
        <f t="shared" si="15"/>
        <v>K</v>
      </c>
      <c r="CB37" s="8" t="str">
        <f t="shared" si="16"/>
        <v>M2</v>
      </c>
      <c r="CC37" s="8" t="str">
        <f t="shared" si="17"/>
        <v>Q</v>
      </c>
    </row>
    <row r="38" spans="1:81" ht="16.8" customHeight="1">
      <c r="A38" s="78"/>
      <c r="B38" s="58"/>
      <c r="C38" s="79"/>
      <c r="D38" s="70"/>
      <c r="E38" s="70"/>
      <c r="F38" s="58"/>
      <c r="H38" s="78"/>
      <c r="I38" s="58"/>
      <c r="J38" s="79"/>
      <c r="K38" s="70"/>
      <c r="L38" s="70"/>
      <c r="M38" s="58"/>
      <c r="O38" s="78"/>
      <c r="P38" s="58"/>
      <c r="Q38" s="79"/>
      <c r="R38" s="70"/>
      <c r="S38" s="70"/>
      <c r="T38" s="58"/>
      <c r="V38" s="27">
        <v>35</v>
      </c>
      <c r="W38" s="29" t="s">
        <v>16</v>
      </c>
      <c r="X38" s="29" t="s">
        <v>17</v>
      </c>
      <c r="Y38" s="29" t="s">
        <v>83</v>
      </c>
      <c r="Z38" s="65"/>
      <c r="AA38" s="29">
        <v>1</v>
      </c>
      <c r="AB38" s="29">
        <v>1</v>
      </c>
      <c r="AC38" s="29">
        <v>1</v>
      </c>
      <c r="AD38" s="65"/>
      <c r="AE38" s="29">
        <f t="shared" si="41"/>
        <v>1</v>
      </c>
      <c r="AF38" s="29">
        <f t="shared" si="42"/>
        <v>1</v>
      </c>
      <c r="AG38" s="29">
        <f t="shared" si="43"/>
        <v>1</v>
      </c>
      <c r="AH38" s="65"/>
      <c r="AI38" s="29">
        <f t="shared" si="54"/>
        <v>1</v>
      </c>
      <c r="AJ38" s="29">
        <f t="shared" si="55"/>
        <v>1</v>
      </c>
      <c r="AK38" s="29">
        <f t="shared" si="56"/>
        <v>1</v>
      </c>
      <c r="AL38" s="65"/>
      <c r="AM38" s="29">
        <v>1</v>
      </c>
      <c r="AN38" s="29">
        <v>1</v>
      </c>
      <c r="AO38" s="29">
        <v>1</v>
      </c>
      <c r="AP38" s="65"/>
      <c r="AQ38" s="29">
        <f t="shared" si="45"/>
        <v>1</v>
      </c>
      <c r="AR38" s="29">
        <f t="shared" si="29"/>
        <v>1</v>
      </c>
      <c r="AS38" s="29">
        <f t="shared" si="30"/>
        <v>1</v>
      </c>
      <c r="AT38" s="65"/>
      <c r="AU38" s="29">
        <f t="shared" si="57"/>
        <v>1</v>
      </c>
      <c r="AV38" s="29">
        <f t="shared" si="46"/>
        <v>1</v>
      </c>
      <c r="AW38" s="29">
        <f t="shared" si="47"/>
        <v>1</v>
      </c>
      <c r="AX38" s="65"/>
      <c r="AY38" s="29">
        <v>1</v>
      </c>
      <c r="AZ38" s="29">
        <v>1</v>
      </c>
      <c r="BA38" s="29">
        <v>1</v>
      </c>
      <c r="BB38" s="65"/>
      <c r="BC38" s="29">
        <f t="shared" si="48"/>
        <v>1</v>
      </c>
      <c r="BD38" s="29">
        <f t="shared" si="33"/>
        <v>1</v>
      </c>
      <c r="BE38" s="29">
        <f t="shared" si="34"/>
        <v>1</v>
      </c>
      <c r="BF38" s="65"/>
      <c r="BG38" s="29">
        <f t="shared" si="58"/>
        <v>1</v>
      </c>
      <c r="BH38" s="29">
        <f t="shared" si="49"/>
        <v>1</v>
      </c>
      <c r="BI38" s="29">
        <f t="shared" si="50"/>
        <v>1</v>
      </c>
      <c r="BJ38" s="65"/>
      <c r="BK38" s="29">
        <v>100</v>
      </c>
      <c r="BL38" s="29">
        <v>100</v>
      </c>
      <c r="BM38" s="29">
        <v>100</v>
      </c>
      <c r="BN38" s="65"/>
      <c r="BO38" s="29">
        <f t="shared" si="51"/>
        <v>100</v>
      </c>
      <c r="BP38" s="29">
        <f t="shared" si="37"/>
        <v>100</v>
      </c>
      <c r="BQ38" s="29">
        <f t="shared" si="38"/>
        <v>100</v>
      </c>
      <c r="BR38" s="65"/>
      <c r="BS38" s="29">
        <f t="shared" si="59"/>
        <v>100</v>
      </c>
      <c r="BT38" s="29">
        <f t="shared" si="52"/>
        <v>100</v>
      </c>
      <c r="BU38" s="29">
        <f t="shared" si="53"/>
        <v>677</v>
      </c>
      <c r="BV38" s="65"/>
      <c r="BW38" s="8">
        <f>IF(W38="","",VLOOKUP('Regular Symbol'!W38,'Regular Symbol'!$O$3:$T$13,6,0))</f>
        <v>1</v>
      </c>
      <c r="BX38" s="8">
        <f>IF(X38="","",VLOOKUP('Regular Symbol'!X38,'Regular Symbol'!$O$3:$T$13,6,0))</f>
        <v>2</v>
      </c>
      <c r="BY38" s="8">
        <f>IF(Y38="","",VLOOKUP('Regular Symbol'!Y38,'Regular Symbol'!$O$3:$T$13,6,0))</f>
        <v>6</v>
      </c>
      <c r="CA38" s="8" t="str">
        <f t="shared" si="15"/>
        <v>M1</v>
      </c>
      <c r="CB38" s="8" t="str">
        <f t="shared" si="16"/>
        <v>M2</v>
      </c>
      <c r="CC38" s="8" t="str">
        <f t="shared" si="17"/>
        <v>Q</v>
      </c>
    </row>
    <row r="39" spans="1:81" ht="16.8" customHeight="1" thickBot="1">
      <c r="A39" s="73"/>
      <c r="B39" s="59"/>
      <c r="C39" s="80"/>
      <c r="D39" s="74"/>
      <c r="E39" s="74"/>
      <c r="F39" s="59"/>
      <c r="H39" s="73"/>
      <c r="I39" s="59"/>
      <c r="J39" s="80"/>
      <c r="K39" s="74"/>
      <c r="L39" s="74"/>
      <c r="M39" s="59"/>
      <c r="O39" s="73"/>
      <c r="P39" s="59"/>
      <c r="Q39" s="80"/>
      <c r="R39" s="74"/>
      <c r="S39" s="74"/>
      <c r="T39" s="59"/>
      <c r="V39" s="27">
        <v>36</v>
      </c>
      <c r="W39" s="29" t="s">
        <v>16</v>
      </c>
      <c r="X39" s="29" t="s">
        <v>82</v>
      </c>
      <c r="Y39" s="29" t="s">
        <v>83</v>
      </c>
      <c r="Z39" s="65"/>
      <c r="AA39" s="29">
        <v>1</v>
      </c>
      <c r="AB39" s="29">
        <v>1</v>
      </c>
      <c r="AC39" s="29">
        <v>1</v>
      </c>
      <c r="AD39" s="65"/>
      <c r="AE39" s="29">
        <f t="shared" si="41"/>
        <v>1</v>
      </c>
      <c r="AF39" s="29">
        <f t="shared" si="42"/>
        <v>1</v>
      </c>
      <c r="AG39" s="29">
        <f t="shared" si="43"/>
        <v>1</v>
      </c>
      <c r="AH39" s="65"/>
      <c r="AI39" s="29">
        <f t="shared" si="54"/>
        <v>1</v>
      </c>
      <c r="AJ39" s="29">
        <f t="shared" si="55"/>
        <v>1</v>
      </c>
      <c r="AK39" s="29">
        <f t="shared" si="56"/>
        <v>1</v>
      </c>
      <c r="AL39" s="65"/>
      <c r="AM39" s="29">
        <v>1</v>
      </c>
      <c r="AN39" s="29">
        <v>1</v>
      </c>
      <c r="AO39" s="29">
        <v>1</v>
      </c>
      <c r="AP39" s="65"/>
      <c r="AQ39" s="29">
        <f t="shared" si="45"/>
        <v>1</v>
      </c>
      <c r="AR39" s="29">
        <f t="shared" si="29"/>
        <v>1</v>
      </c>
      <c r="AS39" s="29">
        <f t="shared" si="30"/>
        <v>1</v>
      </c>
      <c r="AT39" s="65"/>
      <c r="AU39" s="29">
        <f t="shared" si="57"/>
        <v>1</v>
      </c>
      <c r="AV39" s="29">
        <f t="shared" si="46"/>
        <v>1</v>
      </c>
      <c r="AW39" s="29">
        <f t="shared" si="47"/>
        <v>1</v>
      </c>
      <c r="AX39" s="65"/>
      <c r="AY39" s="29">
        <v>1</v>
      </c>
      <c r="AZ39" s="29">
        <v>1</v>
      </c>
      <c r="BA39" s="29">
        <v>1</v>
      </c>
      <c r="BB39" s="65"/>
      <c r="BC39" s="29">
        <f t="shared" si="48"/>
        <v>1</v>
      </c>
      <c r="BD39" s="29">
        <f t="shared" si="33"/>
        <v>1</v>
      </c>
      <c r="BE39" s="29">
        <f t="shared" si="34"/>
        <v>1</v>
      </c>
      <c r="BF39" s="65"/>
      <c r="BG39" s="29">
        <f t="shared" si="58"/>
        <v>1</v>
      </c>
      <c r="BH39" s="29">
        <f t="shared" si="49"/>
        <v>1</v>
      </c>
      <c r="BI39" s="29">
        <f t="shared" si="50"/>
        <v>1</v>
      </c>
      <c r="BJ39" s="65"/>
      <c r="BK39" s="29">
        <v>100</v>
      </c>
      <c r="BL39" s="29">
        <v>100</v>
      </c>
      <c r="BM39" s="29">
        <v>100</v>
      </c>
      <c r="BN39" s="65"/>
      <c r="BO39" s="29">
        <f t="shared" si="51"/>
        <v>100</v>
      </c>
      <c r="BP39" s="29">
        <f t="shared" si="37"/>
        <v>100</v>
      </c>
      <c r="BQ39" s="29">
        <f t="shared" si="38"/>
        <v>100</v>
      </c>
      <c r="BR39" s="65"/>
      <c r="BS39" s="29">
        <f t="shared" si="59"/>
        <v>100</v>
      </c>
      <c r="BT39" s="29">
        <f t="shared" si="52"/>
        <v>100</v>
      </c>
      <c r="BU39" s="29">
        <f t="shared" si="53"/>
        <v>100</v>
      </c>
      <c r="BV39" s="65"/>
      <c r="BW39" s="8">
        <f>IF(W39="","",VLOOKUP('Regular Symbol'!W39,'Regular Symbol'!$O$3:$T$13,6,0))</f>
        <v>1</v>
      </c>
      <c r="BX39" s="8">
        <f>IF(X39="","",VLOOKUP('Regular Symbol'!X39,'Regular Symbol'!$O$3:$T$13,6,0))</f>
        <v>5</v>
      </c>
      <c r="BY39" s="8">
        <f>IF(Y39="","",VLOOKUP('Regular Symbol'!Y39,'Regular Symbol'!$O$3:$T$13,6,0))</f>
        <v>6</v>
      </c>
      <c r="CA39" s="8" t="str">
        <f t="shared" si="15"/>
        <v>M1</v>
      </c>
      <c r="CB39" s="8" t="str">
        <f t="shared" si="16"/>
        <v>K</v>
      </c>
      <c r="CC39" s="8" t="str">
        <f t="shared" si="17"/>
        <v>Q</v>
      </c>
    </row>
    <row r="40" spans="1:81" ht="16.8" customHeight="1">
      <c r="A40" s="60" t="s">
        <v>10</v>
      </c>
      <c r="B40" s="155"/>
      <c r="C40" s="155">
        <f>SUM(C29:C39)</f>
        <v>123</v>
      </c>
      <c r="D40" s="155">
        <f>SUM(D29:D39)</f>
        <v>209</v>
      </c>
      <c r="E40" s="155">
        <f>SUM(E29:E39)</f>
        <v>203</v>
      </c>
      <c r="F40" s="155"/>
      <c r="H40" s="60" t="s">
        <v>10</v>
      </c>
      <c r="I40" s="155"/>
      <c r="J40" s="155">
        <f ca="1">SUM(J29:J39)</f>
        <v>123</v>
      </c>
      <c r="K40" s="155">
        <f ca="1">SUM(K29:K39)</f>
        <v>209</v>
      </c>
      <c r="L40" s="155">
        <f ca="1">SUM(L29:L39)</f>
        <v>203</v>
      </c>
      <c r="M40" s="155"/>
      <c r="O40" s="60" t="s">
        <v>10</v>
      </c>
      <c r="P40" s="155"/>
      <c r="Q40" s="155">
        <f ca="1">SUM(Q29:Q39)</f>
        <v>123</v>
      </c>
      <c r="R40" s="155">
        <f ca="1">SUM(R29:R39)</f>
        <v>209</v>
      </c>
      <c r="S40" s="155">
        <f ca="1">SUM(S29:S39)</f>
        <v>203</v>
      </c>
      <c r="T40" s="155"/>
      <c r="V40" s="27">
        <v>37</v>
      </c>
      <c r="W40" s="29" t="s">
        <v>84</v>
      </c>
      <c r="X40" s="29" t="s">
        <v>82</v>
      </c>
      <c r="Y40" s="29" t="s">
        <v>83</v>
      </c>
      <c r="Z40" s="65"/>
      <c r="AA40" s="29">
        <v>1</v>
      </c>
      <c r="AB40" s="29">
        <v>1</v>
      </c>
      <c r="AC40" s="29">
        <v>1</v>
      </c>
      <c r="AD40" s="65"/>
      <c r="AE40" s="29">
        <f t="shared" si="41"/>
        <v>1</v>
      </c>
      <c r="AF40" s="29">
        <f t="shared" si="42"/>
        <v>1</v>
      </c>
      <c r="AG40" s="29">
        <f t="shared" si="43"/>
        <v>1</v>
      </c>
      <c r="AH40" s="65"/>
      <c r="AI40" s="29">
        <f t="shared" si="54"/>
        <v>1</v>
      </c>
      <c r="AJ40" s="29">
        <f t="shared" si="55"/>
        <v>1</v>
      </c>
      <c r="AK40" s="29">
        <f t="shared" si="56"/>
        <v>1</v>
      </c>
      <c r="AL40" s="65"/>
      <c r="AM40" s="29">
        <v>1</v>
      </c>
      <c r="AN40" s="29">
        <v>1</v>
      </c>
      <c r="AO40" s="29">
        <v>1</v>
      </c>
      <c r="AP40" s="65"/>
      <c r="AQ40" s="29">
        <f t="shared" si="45"/>
        <v>1</v>
      </c>
      <c r="AR40" s="29">
        <f t="shared" si="29"/>
        <v>1</v>
      </c>
      <c r="AS40" s="29">
        <f t="shared" si="30"/>
        <v>1</v>
      </c>
      <c r="AT40" s="65"/>
      <c r="AU40" s="29">
        <f t="shared" si="57"/>
        <v>1</v>
      </c>
      <c r="AV40" s="29">
        <f t="shared" si="46"/>
        <v>1</v>
      </c>
      <c r="AW40" s="29">
        <f t="shared" si="47"/>
        <v>1</v>
      </c>
      <c r="AX40" s="65"/>
      <c r="AY40" s="29">
        <v>1</v>
      </c>
      <c r="AZ40" s="29">
        <v>1</v>
      </c>
      <c r="BA40" s="29">
        <v>1</v>
      </c>
      <c r="BB40" s="65"/>
      <c r="BC40" s="29">
        <f t="shared" si="48"/>
        <v>1</v>
      </c>
      <c r="BD40" s="29">
        <f t="shared" si="33"/>
        <v>1</v>
      </c>
      <c r="BE40" s="29">
        <f t="shared" si="34"/>
        <v>1</v>
      </c>
      <c r="BF40" s="65"/>
      <c r="BG40" s="29">
        <f t="shared" si="58"/>
        <v>1</v>
      </c>
      <c r="BH40" s="29">
        <f t="shared" si="49"/>
        <v>1</v>
      </c>
      <c r="BI40" s="29">
        <f t="shared" si="50"/>
        <v>1</v>
      </c>
      <c r="BJ40" s="65"/>
      <c r="BK40" s="29">
        <v>100</v>
      </c>
      <c r="BL40" s="29">
        <v>100</v>
      </c>
      <c r="BM40" s="29">
        <v>100</v>
      </c>
      <c r="BN40" s="65"/>
      <c r="BO40" s="29">
        <f t="shared" si="51"/>
        <v>100</v>
      </c>
      <c r="BP40" s="29">
        <f t="shared" si="37"/>
        <v>100</v>
      </c>
      <c r="BQ40" s="29">
        <f t="shared" si="38"/>
        <v>100</v>
      </c>
      <c r="BR40" s="65"/>
      <c r="BS40" s="29">
        <f t="shared" si="59"/>
        <v>100</v>
      </c>
      <c r="BT40" s="29">
        <f t="shared" si="52"/>
        <v>100</v>
      </c>
      <c r="BU40" s="29">
        <f t="shared" si="53"/>
        <v>100</v>
      </c>
      <c r="BV40" s="65"/>
      <c r="BW40" s="8">
        <f>IF(W40="","",VLOOKUP('Regular Symbol'!W40,'Regular Symbol'!$O$3:$T$13,6,0))</f>
        <v>7</v>
      </c>
      <c r="BX40" s="8">
        <f>IF(X40="","",VLOOKUP('Regular Symbol'!X40,'Regular Symbol'!$O$3:$T$13,6,0))</f>
        <v>5</v>
      </c>
      <c r="BY40" s="8">
        <f>IF(Y40="","",VLOOKUP('Regular Symbol'!Y40,'Regular Symbol'!$O$3:$T$13,6,0))</f>
        <v>6</v>
      </c>
      <c r="CA40" s="8" t="str">
        <f t="shared" si="15"/>
        <v>J</v>
      </c>
      <c r="CB40" s="8" t="str">
        <f t="shared" si="16"/>
        <v>K</v>
      </c>
      <c r="CC40" s="8" t="str">
        <f t="shared" si="17"/>
        <v>Q</v>
      </c>
    </row>
    <row r="41" spans="1:81" ht="16.8" customHeight="1">
      <c r="B41" s="30"/>
      <c r="C41" s="70"/>
      <c r="D41" s="70"/>
      <c r="E41" s="70"/>
      <c r="I41" s="30"/>
      <c r="J41" s="70"/>
      <c r="K41" s="70"/>
      <c r="L41" s="70"/>
      <c r="P41" s="30"/>
      <c r="Q41" s="70"/>
      <c r="R41" s="70"/>
      <c r="S41" s="70"/>
      <c r="V41" s="27">
        <v>38</v>
      </c>
      <c r="W41" s="29" t="s">
        <v>84</v>
      </c>
      <c r="X41" s="29" t="s">
        <v>16</v>
      </c>
      <c r="Y41" s="29" t="s">
        <v>81</v>
      </c>
      <c r="Z41" s="65"/>
      <c r="AA41" s="29">
        <v>1</v>
      </c>
      <c r="AB41" s="29">
        <v>1</v>
      </c>
      <c r="AC41" s="29">
        <v>1</v>
      </c>
      <c r="AD41" s="65"/>
      <c r="AE41" s="29">
        <f t="shared" si="41"/>
        <v>1</v>
      </c>
      <c r="AF41" s="29">
        <f t="shared" si="42"/>
        <v>1</v>
      </c>
      <c r="AG41" s="29">
        <f t="shared" si="43"/>
        <v>1</v>
      </c>
      <c r="AH41" s="65"/>
      <c r="AI41" s="29">
        <f t="shared" si="54"/>
        <v>1</v>
      </c>
      <c r="AJ41" s="29">
        <f t="shared" si="55"/>
        <v>1</v>
      </c>
      <c r="AK41" s="29">
        <f t="shared" si="56"/>
        <v>1</v>
      </c>
      <c r="AL41" s="65"/>
      <c r="AM41" s="29">
        <v>1</v>
      </c>
      <c r="AN41" s="29">
        <v>1</v>
      </c>
      <c r="AO41" s="29">
        <v>1</v>
      </c>
      <c r="AP41" s="65"/>
      <c r="AQ41" s="29">
        <f t="shared" si="45"/>
        <v>1</v>
      </c>
      <c r="AR41" s="29">
        <f t="shared" si="29"/>
        <v>1</v>
      </c>
      <c r="AS41" s="29">
        <f t="shared" si="30"/>
        <v>1</v>
      </c>
      <c r="AT41" s="65"/>
      <c r="AU41" s="29">
        <f t="shared" si="57"/>
        <v>1</v>
      </c>
      <c r="AV41" s="29">
        <f t="shared" si="46"/>
        <v>1</v>
      </c>
      <c r="AW41" s="29">
        <f t="shared" si="47"/>
        <v>1</v>
      </c>
      <c r="AX41" s="65"/>
      <c r="AY41" s="29">
        <v>1</v>
      </c>
      <c r="AZ41" s="29">
        <v>1</v>
      </c>
      <c r="BA41" s="29">
        <v>1</v>
      </c>
      <c r="BB41" s="65"/>
      <c r="BC41" s="29">
        <f t="shared" si="48"/>
        <v>1</v>
      </c>
      <c r="BD41" s="29">
        <f t="shared" si="33"/>
        <v>1</v>
      </c>
      <c r="BE41" s="29">
        <f t="shared" si="34"/>
        <v>1</v>
      </c>
      <c r="BF41" s="65"/>
      <c r="BG41" s="29">
        <f t="shared" si="58"/>
        <v>1</v>
      </c>
      <c r="BH41" s="29">
        <f t="shared" si="49"/>
        <v>1</v>
      </c>
      <c r="BI41" s="29">
        <f t="shared" si="50"/>
        <v>1</v>
      </c>
      <c r="BJ41" s="65"/>
      <c r="BK41" s="29">
        <v>100</v>
      </c>
      <c r="BL41" s="29">
        <v>100</v>
      </c>
      <c r="BM41" s="29">
        <v>100</v>
      </c>
      <c r="BN41" s="65"/>
      <c r="BO41" s="29">
        <f t="shared" si="51"/>
        <v>100</v>
      </c>
      <c r="BP41" s="29">
        <f t="shared" si="37"/>
        <v>100</v>
      </c>
      <c r="BQ41" s="29">
        <f t="shared" si="38"/>
        <v>100</v>
      </c>
      <c r="BR41" s="65"/>
      <c r="BS41" s="29">
        <f t="shared" si="59"/>
        <v>100</v>
      </c>
      <c r="BT41" s="29">
        <f t="shared" si="52"/>
        <v>100</v>
      </c>
      <c r="BU41" s="29">
        <f t="shared" si="53"/>
        <v>100</v>
      </c>
      <c r="BV41" s="65"/>
      <c r="BW41" s="8">
        <f>IF(W41="","",VLOOKUP('Regular Symbol'!W41,'Regular Symbol'!$O$3:$T$13,6,0))</f>
        <v>7</v>
      </c>
      <c r="BX41" s="8">
        <f>IF(X41="","",VLOOKUP('Regular Symbol'!X41,'Regular Symbol'!$O$3:$T$13,6,0))</f>
        <v>1</v>
      </c>
      <c r="BY41" s="8">
        <f>IF(Y41="","",VLOOKUP('Regular Symbol'!Y41,'Regular Symbol'!$O$3:$T$13,6,0))</f>
        <v>4</v>
      </c>
      <c r="CA41" s="8" t="str">
        <f t="shared" si="15"/>
        <v>J</v>
      </c>
      <c r="CB41" s="8" t="str">
        <f t="shared" si="16"/>
        <v>M1</v>
      </c>
      <c r="CC41" s="8" t="str">
        <f t="shared" si="17"/>
        <v>A</v>
      </c>
    </row>
    <row r="42" spans="1:81" ht="16.8" customHeight="1" thickBot="1">
      <c r="A42" s="83" t="s">
        <v>4</v>
      </c>
      <c r="B42" s="81"/>
      <c r="C42" s="81"/>
      <c r="D42" s="81"/>
      <c r="E42" s="81"/>
      <c r="F42" s="23"/>
      <c r="H42" s="83" t="s">
        <v>4</v>
      </c>
      <c r="I42" s="81"/>
      <c r="J42" s="81"/>
      <c r="K42" s="81"/>
      <c r="L42" s="81"/>
      <c r="M42" s="23"/>
      <c r="O42" s="83" t="s">
        <v>4</v>
      </c>
      <c r="P42" s="81"/>
      <c r="Q42" s="81"/>
      <c r="R42" s="81"/>
      <c r="S42" s="81"/>
      <c r="T42" s="23"/>
      <c r="V42" s="27">
        <v>39</v>
      </c>
      <c r="W42" s="29" t="s">
        <v>17</v>
      </c>
      <c r="X42" s="29" t="s">
        <v>16</v>
      </c>
      <c r="Y42" s="29" t="s">
        <v>81</v>
      </c>
      <c r="Z42" s="65"/>
      <c r="AA42" s="29">
        <v>1</v>
      </c>
      <c r="AB42" s="29">
        <v>1</v>
      </c>
      <c r="AC42" s="29">
        <v>1</v>
      </c>
      <c r="AD42" s="65"/>
      <c r="AE42" s="29">
        <f t="shared" si="41"/>
        <v>1</v>
      </c>
      <c r="AF42" s="29">
        <f t="shared" si="42"/>
        <v>1</v>
      </c>
      <c r="AG42" s="29">
        <f t="shared" si="43"/>
        <v>1</v>
      </c>
      <c r="AH42" s="65"/>
      <c r="AI42" s="29">
        <f t="shared" si="54"/>
        <v>1</v>
      </c>
      <c r="AJ42" s="29">
        <f t="shared" si="55"/>
        <v>1</v>
      </c>
      <c r="AK42" s="29">
        <f t="shared" si="56"/>
        <v>1</v>
      </c>
      <c r="AL42" s="65"/>
      <c r="AM42" s="29">
        <v>1</v>
      </c>
      <c r="AN42" s="29">
        <v>1</v>
      </c>
      <c r="AO42" s="29">
        <v>1</v>
      </c>
      <c r="AP42" s="65"/>
      <c r="AQ42" s="29">
        <f t="shared" si="45"/>
        <v>1</v>
      </c>
      <c r="AR42" s="29">
        <f t="shared" si="29"/>
        <v>1</v>
      </c>
      <c r="AS42" s="29">
        <f t="shared" si="30"/>
        <v>1</v>
      </c>
      <c r="AT42" s="65"/>
      <c r="AU42" s="29">
        <f t="shared" si="57"/>
        <v>1</v>
      </c>
      <c r="AV42" s="29">
        <f t="shared" si="46"/>
        <v>1</v>
      </c>
      <c r="AW42" s="29">
        <f t="shared" si="47"/>
        <v>1</v>
      </c>
      <c r="AX42" s="65"/>
      <c r="AY42" s="29">
        <v>1</v>
      </c>
      <c r="AZ42" s="29">
        <v>1</v>
      </c>
      <c r="BA42" s="29">
        <v>1</v>
      </c>
      <c r="BB42" s="65"/>
      <c r="BC42" s="29">
        <f t="shared" si="48"/>
        <v>1</v>
      </c>
      <c r="BD42" s="29">
        <f t="shared" si="33"/>
        <v>1</v>
      </c>
      <c r="BE42" s="29">
        <f t="shared" si="34"/>
        <v>1</v>
      </c>
      <c r="BF42" s="65"/>
      <c r="BG42" s="29">
        <f t="shared" si="58"/>
        <v>1</v>
      </c>
      <c r="BH42" s="29">
        <f t="shared" si="49"/>
        <v>1</v>
      </c>
      <c r="BI42" s="29">
        <f t="shared" si="50"/>
        <v>1</v>
      </c>
      <c r="BJ42" s="65"/>
      <c r="BK42" s="29">
        <v>100</v>
      </c>
      <c r="BL42" s="29">
        <v>100</v>
      </c>
      <c r="BM42" s="29">
        <v>100</v>
      </c>
      <c r="BN42" s="65"/>
      <c r="BO42" s="29">
        <f t="shared" si="51"/>
        <v>100</v>
      </c>
      <c r="BP42" s="29">
        <f t="shared" si="37"/>
        <v>100</v>
      </c>
      <c r="BQ42" s="29">
        <f t="shared" si="38"/>
        <v>100</v>
      </c>
      <c r="BR42" s="65"/>
      <c r="BS42" s="29">
        <f t="shared" si="59"/>
        <v>100</v>
      </c>
      <c r="BT42" s="29">
        <f t="shared" si="52"/>
        <v>100</v>
      </c>
      <c r="BU42" s="29">
        <f t="shared" si="53"/>
        <v>100</v>
      </c>
      <c r="BV42" s="65"/>
      <c r="BW42" s="8">
        <f>IF(W42="","",VLOOKUP('Regular Symbol'!W42,'Regular Symbol'!$O$3:$T$13,6,0))</f>
        <v>2</v>
      </c>
      <c r="BX42" s="8">
        <f>IF(X42="","",VLOOKUP('Regular Symbol'!X42,'Regular Symbol'!$O$3:$T$13,6,0))</f>
        <v>1</v>
      </c>
      <c r="BY42" s="8">
        <f>IF(Y42="","",VLOOKUP('Regular Symbol'!Y42,'Regular Symbol'!$O$3:$T$13,6,0))</f>
        <v>4</v>
      </c>
      <c r="CA42" s="8" t="str">
        <f t="shared" si="15"/>
        <v>M2</v>
      </c>
      <c r="CB42" s="8" t="str">
        <f t="shared" si="16"/>
        <v>M1</v>
      </c>
      <c r="CC42" s="8" t="str">
        <f t="shared" si="17"/>
        <v>A</v>
      </c>
    </row>
    <row r="43" spans="1:81" ht="16.8" customHeight="1" thickBot="1">
      <c r="A43" s="61" t="s">
        <v>0</v>
      </c>
      <c r="B43" s="62" t="s">
        <v>5</v>
      </c>
      <c r="C43" s="14" t="s">
        <v>1</v>
      </c>
      <c r="D43" s="14" t="s">
        <v>2</v>
      </c>
      <c r="E43" s="15" t="s">
        <v>3</v>
      </c>
      <c r="F43" s="63"/>
      <c r="H43" s="61" t="s">
        <v>0</v>
      </c>
      <c r="I43" s="62" t="s">
        <v>5</v>
      </c>
      <c r="J43" s="14" t="s">
        <v>1</v>
      </c>
      <c r="K43" s="14" t="s">
        <v>2</v>
      </c>
      <c r="L43" s="15" t="s">
        <v>3</v>
      </c>
      <c r="M43" s="63"/>
      <c r="O43" s="61" t="s">
        <v>0</v>
      </c>
      <c r="P43" s="62" t="s">
        <v>5</v>
      </c>
      <c r="Q43" s="14" t="s">
        <v>1</v>
      </c>
      <c r="R43" s="14" t="s">
        <v>2</v>
      </c>
      <c r="S43" s="15" t="s">
        <v>3</v>
      </c>
      <c r="T43" s="63"/>
      <c r="V43" s="27">
        <v>40</v>
      </c>
      <c r="W43" s="29" t="s">
        <v>17</v>
      </c>
      <c r="X43" s="29" t="s">
        <v>16</v>
      </c>
      <c r="Y43" s="29" t="s">
        <v>84</v>
      </c>
      <c r="Z43" s="65"/>
      <c r="AA43" s="29">
        <v>1</v>
      </c>
      <c r="AB43" s="29">
        <v>1</v>
      </c>
      <c r="AC43" s="29">
        <v>1</v>
      </c>
      <c r="AD43" s="65"/>
      <c r="AE43" s="29">
        <f t="shared" si="41"/>
        <v>1</v>
      </c>
      <c r="AF43" s="29">
        <f t="shared" si="42"/>
        <v>1</v>
      </c>
      <c r="AG43" s="29">
        <f t="shared" si="43"/>
        <v>1</v>
      </c>
      <c r="AH43" s="65"/>
      <c r="AI43" s="29">
        <f t="shared" si="54"/>
        <v>1</v>
      </c>
      <c r="AJ43" s="29">
        <f t="shared" si="55"/>
        <v>1</v>
      </c>
      <c r="AK43" s="29">
        <f t="shared" si="56"/>
        <v>1</v>
      </c>
      <c r="AL43" s="65"/>
      <c r="AM43" s="29">
        <v>1</v>
      </c>
      <c r="AN43" s="29">
        <v>1</v>
      </c>
      <c r="AO43" s="29">
        <v>1</v>
      </c>
      <c r="AP43" s="65"/>
      <c r="AQ43" s="29">
        <f t="shared" si="45"/>
        <v>1</v>
      </c>
      <c r="AR43" s="29">
        <f t="shared" si="29"/>
        <v>1</v>
      </c>
      <c r="AS43" s="29">
        <f t="shared" si="30"/>
        <v>1</v>
      </c>
      <c r="AT43" s="65"/>
      <c r="AU43" s="29">
        <f t="shared" si="57"/>
        <v>1</v>
      </c>
      <c r="AV43" s="29">
        <f t="shared" si="46"/>
        <v>1</v>
      </c>
      <c r="AW43" s="29">
        <f t="shared" si="47"/>
        <v>1</v>
      </c>
      <c r="AX43" s="65"/>
      <c r="AY43" s="29">
        <v>1</v>
      </c>
      <c r="AZ43" s="29">
        <v>1</v>
      </c>
      <c r="BA43" s="29">
        <v>1</v>
      </c>
      <c r="BB43" s="65"/>
      <c r="BC43" s="29">
        <f t="shared" si="48"/>
        <v>1</v>
      </c>
      <c r="BD43" s="29">
        <f t="shared" si="33"/>
        <v>1</v>
      </c>
      <c r="BE43" s="29">
        <f t="shared" si="34"/>
        <v>1</v>
      </c>
      <c r="BF43" s="65"/>
      <c r="BG43" s="29">
        <f t="shared" si="58"/>
        <v>1</v>
      </c>
      <c r="BH43" s="29">
        <f t="shared" si="49"/>
        <v>1</v>
      </c>
      <c r="BI43" s="29">
        <f t="shared" si="50"/>
        <v>1</v>
      </c>
      <c r="BJ43" s="65"/>
      <c r="BK43" s="29">
        <v>100</v>
      </c>
      <c r="BL43" s="29">
        <v>100</v>
      </c>
      <c r="BM43" s="29">
        <v>100</v>
      </c>
      <c r="BN43" s="65"/>
      <c r="BO43" s="29">
        <f t="shared" si="51"/>
        <v>100</v>
      </c>
      <c r="BP43" s="29">
        <f t="shared" si="37"/>
        <v>100</v>
      </c>
      <c r="BQ43" s="29">
        <f t="shared" si="38"/>
        <v>100</v>
      </c>
      <c r="BR43" s="65"/>
      <c r="BS43" s="29">
        <f t="shared" si="59"/>
        <v>100</v>
      </c>
      <c r="BT43" s="29">
        <f t="shared" si="52"/>
        <v>100</v>
      </c>
      <c r="BU43" s="29">
        <f t="shared" si="53"/>
        <v>100</v>
      </c>
      <c r="BV43" s="65"/>
      <c r="BW43" s="8">
        <f>IF(W43="","",VLOOKUP('Regular Symbol'!W43,'Regular Symbol'!$O$3:$T$13,6,0))</f>
        <v>2</v>
      </c>
      <c r="BX43" s="8">
        <f>IF(X43="","",VLOOKUP('Regular Symbol'!X43,'Regular Symbol'!$O$3:$T$13,6,0))</f>
        <v>1</v>
      </c>
      <c r="BY43" s="8">
        <f>IF(Y43="","",VLOOKUP('Regular Symbol'!Y43,'Regular Symbol'!$O$3:$T$13,6,0))</f>
        <v>7</v>
      </c>
      <c r="CA43" s="8" t="str">
        <f t="shared" si="15"/>
        <v>M2</v>
      </c>
      <c r="CB43" s="8" t="str">
        <f t="shared" si="16"/>
        <v>M1</v>
      </c>
      <c r="CC43" s="8" t="str">
        <f t="shared" si="17"/>
        <v>J</v>
      </c>
    </row>
    <row r="44" spans="1:81" ht="16.8" customHeight="1">
      <c r="A44" s="41" t="s">
        <v>6</v>
      </c>
      <c r="B44" s="43" t="s">
        <v>33</v>
      </c>
      <c r="C44" s="155">
        <f>SUM(C29:C39)</f>
        <v>123</v>
      </c>
      <c r="D44" s="155">
        <f>SUM(D29:D39)</f>
        <v>209</v>
      </c>
      <c r="E44" s="84">
        <f>SUM(E29:E39)</f>
        <v>203</v>
      </c>
      <c r="F44" s="69"/>
      <c r="H44" s="41" t="str" cm="1">
        <f t="array" ref="H44:I51">A44:B51</f>
        <v>--</v>
      </c>
      <c r="I44" s="43" t="str">
        <v>WW,C1,M1,M2,M3,M4,A,K,Q,J,TE,NI</v>
      </c>
      <c r="J44" s="155">
        <f ca="1">SUM(J29:J39)</f>
        <v>123</v>
      </c>
      <c r="K44" s="155">
        <f ca="1">SUM(K29:K39)</f>
        <v>209</v>
      </c>
      <c r="L44" s="84">
        <f ca="1">SUM(L29:L39)</f>
        <v>203</v>
      </c>
      <c r="M44" s="69"/>
      <c r="O44" s="41" t="str" cm="1">
        <f t="array" ref="O44:P51">_xlfn.ANCHORARRAY(H44)</f>
        <v>--</v>
      </c>
      <c r="P44" s="43" t="str">
        <v>WW,C1,M1,M2,M3,M4,A,K,Q,J,TE,NI</v>
      </c>
      <c r="Q44" s="155">
        <f ca="1">SUM(Q29:Q39)</f>
        <v>123</v>
      </c>
      <c r="R44" s="155">
        <f ca="1">SUM(R29:R39)</f>
        <v>209</v>
      </c>
      <c r="S44" s="84">
        <f ca="1">SUM(S29:S39)</f>
        <v>203</v>
      </c>
      <c r="T44" s="69"/>
      <c r="V44" s="27">
        <v>41</v>
      </c>
      <c r="W44" s="29" t="s">
        <v>83</v>
      </c>
      <c r="X44" s="29" t="s">
        <v>84</v>
      </c>
      <c r="Y44" s="29" t="s">
        <v>84</v>
      </c>
      <c r="Z44" s="65"/>
      <c r="AA44" s="29">
        <v>1</v>
      </c>
      <c r="AB44" s="29">
        <v>1</v>
      </c>
      <c r="AC44" s="29">
        <v>1</v>
      </c>
      <c r="AD44" s="65"/>
      <c r="AE44" s="29">
        <f t="shared" si="41"/>
        <v>1</v>
      </c>
      <c r="AF44" s="29">
        <f t="shared" si="42"/>
        <v>1</v>
      </c>
      <c r="AG44" s="29">
        <f t="shared" si="43"/>
        <v>1</v>
      </c>
      <c r="AH44" s="65"/>
      <c r="AI44" s="29">
        <f t="shared" si="54"/>
        <v>1</v>
      </c>
      <c r="AJ44" s="29">
        <f t="shared" si="55"/>
        <v>1</v>
      </c>
      <c r="AK44" s="29">
        <f t="shared" si="56"/>
        <v>1</v>
      </c>
      <c r="AL44" s="65"/>
      <c r="AM44" s="29">
        <v>1</v>
      </c>
      <c r="AN44" s="29">
        <v>1</v>
      </c>
      <c r="AO44" s="29">
        <v>1</v>
      </c>
      <c r="AP44" s="65"/>
      <c r="AQ44" s="29">
        <f t="shared" si="45"/>
        <v>1</v>
      </c>
      <c r="AR44" s="29">
        <f t="shared" si="29"/>
        <v>1</v>
      </c>
      <c r="AS44" s="29">
        <f t="shared" si="30"/>
        <v>1</v>
      </c>
      <c r="AT44" s="65"/>
      <c r="AU44" s="29">
        <f t="shared" si="57"/>
        <v>1</v>
      </c>
      <c r="AV44" s="29">
        <f t="shared" si="46"/>
        <v>1</v>
      </c>
      <c r="AW44" s="29">
        <f t="shared" si="47"/>
        <v>1</v>
      </c>
      <c r="AX44" s="65"/>
      <c r="AY44" s="29">
        <v>1</v>
      </c>
      <c r="AZ44" s="29">
        <v>1</v>
      </c>
      <c r="BA44" s="29">
        <v>1</v>
      </c>
      <c r="BB44" s="65"/>
      <c r="BC44" s="29">
        <f t="shared" si="48"/>
        <v>1</v>
      </c>
      <c r="BD44" s="29">
        <f t="shared" si="33"/>
        <v>1</v>
      </c>
      <c r="BE44" s="29">
        <f t="shared" si="34"/>
        <v>1</v>
      </c>
      <c r="BF44" s="65"/>
      <c r="BG44" s="29">
        <f t="shared" si="58"/>
        <v>1</v>
      </c>
      <c r="BH44" s="29">
        <f t="shared" si="49"/>
        <v>1</v>
      </c>
      <c r="BI44" s="29">
        <f t="shared" si="50"/>
        <v>1</v>
      </c>
      <c r="BJ44" s="65"/>
      <c r="BK44" s="29">
        <v>100</v>
      </c>
      <c r="BL44" s="29">
        <v>100</v>
      </c>
      <c r="BM44" s="29">
        <v>100</v>
      </c>
      <c r="BN44" s="65"/>
      <c r="BO44" s="29">
        <f t="shared" si="51"/>
        <v>100</v>
      </c>
      <c r="BP44" s="29">
        <f t="shared" si="37"/>
        <v>100</v>
      </c>
      <c r="BQ44" s="29">
        <f t="shared" si="38"/>
        <v>100</v>
      </c>
      <c r="BR44" s="65"/>
      <c r="BS44" s="29">
        <f t="shared" si="59"/>
        <v>100</v>
      </c>
      <c r="BT44" s="29">
        <f t="shared" si="52"/>
        <v>100</v>
      </c>
      <c r="BU44" s="29">
        <f t="shared" si="53"/>
        <v>100</v>
      </c>
      <c r="BV44" s="65"/>
      <c r="BW44" s="8">
        <f>IF(W44="","",VLOOKUP('Regular Symbol'!W44,'Regular Symbol'!$O$3:$T$13,6,0))</f>
        <v>6</v>
      </c>
      <c r="BX44" s="8">
        <f>IF(X44="","",VLOOKUP('Regular Symbol'!X44,'Regular Symbol'!$O$3:$T$13,6,0))</f>
        <v>7</v>
      </c>
      <c r="BY44" s="8">
        <f>IF(Y44="","",VLOOKUP('Regular Symbol'!Y44,'Regular Symbol'!$O$3:$T$13,6,0))</f>
        <v>7</v>
      </c>
      <c r="CA44" s="8" t="str">
        <f t="shared" si="15"/>
        <v>Q</v>
      </c>
      <c r="CB44" s="8" t="str">
        <f t="shared" si="16"/>
        <v>J</v>
      </c>
      <c r="CC44" s="8" t="str">
        <f t="shared" si="17"/>
        <v>J</v>
      </c>
    </row>
    <row r="45" spans="1:81" ht="16.8" customHeight="1">
      <c r="A45" s="78" t="s">
        <v>19</v>
      </c>
      <c r="B45" s="48" t="s">
        <v>20</v>
      </c>
      <c r="C45" s="155">
        <f>C$3+C$4</f>
        <v>23</v>
      </c>
      <c r="D45" s="155">
        <f>D$3+D$4</f>
        <v>45</v>
      </c>
      <c r="E45" s="84">
        <f>E$3+E$4</f>
        <v>44</v>
      </c>
      <c r="F45" s="69"/>
      <c r="H45" s="78" t="str">
        <v>W1</v>
      </c>
      <c r="I45" s="48" t="str">
        <v>WW,M1</v>
      </c>
      <c r="J45" s="155">
        <f>J$3+J$4</f>
        <v>23</v>
      </c>
      <c r="K45" s="155">
        <f ca="1">K$3+K$4</f>
        <v>45</v>
      </c>
      <c r="L45" s="84">
        <f ca="1">L$3+L$4</f>
        <v>44</v>
      </c>
      <c r="M45" s="69"/>
      <c r="O45" s="78" t="str">
        <v>W1</v>
      </c>
      <c r="P45" s="48" t="str">
        <v>WW,M1</v>
      </c>
      <c r="Q45" s="155">
        <f>Q$3+Q$4</f>
        <v>23</v>
      </c>
      <c r="R45" s="155">
        <f ca="1">R$3+R$4</f>
        <v>45</v>
      </c>
      <c r="S45" s="84">
        <f ca="1">S$3+S$4</f>
        <v>44</v>
      </c>
      <c r="T45" s="69"/>
      <c r="V45" s="27">
        <v>42</v>
      </c>
      <c r="W45" s="29" t="s">
        <v>83</v>
      </c>
      <c r="X45" s="29" t="s">
        <v>84</v>
      </c>
      <c r="Y45" s="29" t="s">
        <v>84</v>
      </c>
      <c r="Z45" s="65"/>
      <c r="AA45" s="29">
        <v>1</v>
      </c>
      <c r="AB45" s="29">
        <v>1</v>
      </c>
      <c r="AC45" s="29">
        <v>1</v>
      </c>
      <c r="AD45" s="65"/>
      <c r="AE45" s="29">
        <f t="shared" si="41"/>
        <v>1</v>
      </c>
      <c r="AF45" s="29">
        <f t="shared" si="42"/>
        <v>1</v>
      </c>
      <c r="AG45" s="29">
        <f t="shared" si="43"/>
        <v>1</v>
      </c>
      <c r="AH45" s="65"/>
      <c r="AI45" s="29">
        <f t="shared" si="54"/>
        <v>1</v>
      </c>
      <c r="AJ45" s="29">
        <f t="shared" si="55"/>
        <v>1</v>
      </c>
      <c r="AK45" s="29">
        <f t="shared" si="56"/>
        <v>1</v>
      </c>
      <c r="AL45" s="65"/>
      <c r="AM45" s="29">
        <v>1</v>
      </c>
      <c r="AN45" s="29">
        <v>1</v>
      </c>
      <c r="AO45" s="29">
        <v>1</v>
      </c>
      <c r="AP45" s="65"/>
      <c r="AQ45" s="29">
        <f t="shared" si="45"/>
        <v>1</v>
      </c>
      <c r="AR45" s="29">
        <f t="shared" si="29"/>
        <v>1</v>
      </c>
      <c r="AS45" s="29">
        <f t="shared" si="30"/>
        <v>1</v>
      </c>
      <c r="AT45" s="65"/>
      <c r="AU45" s="29">
        <f t="shared" si="57"/>
        <v>1</v>
      </c>
      <c r="AV45" s="29">
        <f t="shared" si="46"/>
        <v>1</v>
      </c>
      <c r="AW45" s="29">
        <f t="shared" si="47"/>
        <v>1</v>
      </c>
      <c r="AX45" s="65"/>
      <c r="AY45" s="29">
        <v>1</v>
      </c>
      <c r="AZ45" s="29">
        <v>1</v>
      </c>
      <c r="BA45" s="29">
        <v>1</v>
      </c>
      <c r="BB45" s="65"/>
      <c r="BC45" s="29">
        <f t="shared" si="48"/>
        <v>1</v>
      </c>
      <c r="BD45" s="29">
        <f t="shared" si="33"/>
        <v>1</v>
      </c>
      <c r="BE45" s="29">
        <f t="shared" si="34"/>
        <v>1</v>
      </c>
      <c r="BF45" s="65"/>
      <c r="BG45" s="29">
        <f t="shared" si="58"/>
        <v>1</v>
      </c>
      <c r="BH45" s="29">
        <f t="shared" si="49"/>
        <v>1</v>
      </c>
      <c r="BI45" s="29">
        <f t="shared" si="50"/>
        <v>1</v>
      </c>
      <c r="BJ45" s="65"/>
      <c r="BK45" s="29">
        <v>100</v>
      </c>
      <c r="BL45" s="29">
        <v>100</v>
      </c>
      <c r="BM45" s="29">
        <v>100</v>
      </c>
      <c r="BN45" s="65"/>
      <c r="BO45" s="29">
        <f t="shared" si="51"/>
        <v>100</v>
      </c>
      <c r="BP45" s="29">
        <f t="shared" si="37"/>
        <v>100</v>
      </c>
      <c r="BQ45" s="29">
        <f t="shared" si="38"/>
        <v>100</v>
      </c>
      <c r="BR45" s="65"/>
      <c r="BS45" s="29">
        <f t="shared" si="59"/>
        <v>100</v>
      </c>
      <c r="BT45" s="29">
        <f t="shared" si="52"/>
        <v>100</v>
      </c>
      <c r="BU45" s="29">
        <f t="shared" si="53"/>
        <v>100</v>
      </c>
      <c r="BV45" s="65"/>
      <c r="BW45" s="8">
        <f>IF(W45="","",VLOOKUP('Regular Symbol'!W45,'Regular Symbol'!$O$3:$T$13,6,0))</f>
        <v>6</v>
      </c>
      <c r="BX45" s="8">
        <f>IF(X45="","",VLOOKUP('Regular Symbol'!X45,'Regular Symbol'!$O$3:$T$13,6,0))</f>
        <v>7</v>
      </c>
      <c r="BY45" s="8">
        <f>IF(Y45="","",VLOOKUP('Regular Symbol'!Y45,'Regular Symbol'!$O$3:$T$13,6,0))</f>
        <v>7</v>
      </c>
      <c r="CA45" s="8" t="str">
        <f t="shared" si="15"/>
        <v>Q</v>
      </c>
      <c r="CB45" s="8" t="str">
        <f t="shared" si="16"/>
        <v>J</v>
      </c>
      <c r="CC45" s="8" t="str">
        <f t="shared" si="17"/>
        <v>J</v>
      </c>
    </row>
    <row r="46" spans="1:81" ht="16.8" customHeight="1">
      <c r="A46" s="78" t="s">
        <v>21</v>
      </c>
      <c r="B46" s="48" t="s">
        <v>22</v>
      </c>
      <c r="C46" s="155">
        <f>C$3+C$5</f>
        <v>22</v>
      </c>
      <c r="D46" s="155">
        <f>D$3+D$5</f>
        <v>47</v>
      </c>
      <c r="E46" s="84">
        <f>E$3+E$5</f>
        <v>48</v>
      </c>
      <c r="F46" s="69"/>
      <c r="H46" s="78" t="str">
        <v>W2</v>
      </c>
      <c r="I46" s="48" t="str">
        <v>WW,M2</v>
      </c>
      <c r="J46" s="155">
        <f>J$3+J$5</f>
        <v>22</v>
      </c>
      <c r="K46" s="155">
        <f ca="1">K$3+K$5</f>
        <v>47</v>
      </c>
      <c r="L46" s="84">
        <f>L$3+L$5</f>
        <v>48</v>
      </c>
      <c r="M46" s="69"/>
      <c r="O46" s="78" t="str">
        <v>W2</v>
      </c>
      <c r="P46" s="48" t="str">
        <v>WW,M2</v>
      </c>
      <c r="Q46" s="155">
        <f>Q$3+Q$5</f>
        <v>22</v>
      </c>
      <c r="R46" s="155">
        <f ca="1">R$3+R$5</f>
        <v>47</v>
      </c>
      <c r="S46" s="84">
        <f>S$3+S$5</f>
        <v>48</v>
      </c>
      <c r="T46" s="69"/>
      <c r="V46" s="27">
        <v>43</v>
      </c>
      <c r="W46" s="29" t="s">
        <v>83</v>
      </c>
      <c r="X46" s="29" t="s">
        <v>84</v>
      </c>
      <c r="Y46" s="29" t="s">
        <v>18</v>
      </c>
      <c r="Z46" s="65"/>
      <c r="AA46" s="29">
        <v>1</v>
      </c>
      <c r="AB46" s="29">
        <v>1</v>
      </c>
      <c r="AC46" s="29">
        <v>1</v>
      </c>
      <c r="AD46" s="65"/>
      <c r="AE46" s="29">
        <f t="shared" si="41"/>
        <v>1</v>
      </c>
      <c r="AF46" s="29">
        <f t="shared" si="42"/>
        <v>1</v>
      </c>
      <c r="AG46" s="29">
        <f t="shared" si="43"/>
        <v>1</v>
      </c>
      <c r="AH46" s="65"/>
      <c r="AI46" s="29">
        <f t="shared" si="54"/>
        <v>1</v>
      </c>
      <c r="AJ46" s="29">
        <f t="shared" si="55"/>
        <v>1</v>
      </c>
      <c r="AK46" s="29">
        <f t="shared" si="56"/>
        <v>1</v>
      </c>
      <c r="AL46" s="65"/>
      <c r="AM46" s="29">
        <v>1</v>
      </c>
      <c r="AN46" s="29">
        <v>1</v>
      </c>
      <c r="AO46" s="29">
        <v>1</v>
      </c>
      <c r="AP46" s="65"/>
      <c r="AQ46" s="29">
        <f t="shared" si="45"/>
        <v>1</v>
      </c>
      <c r="AR46" s="29">
        <f t="shared" si="29"/>
        <v>1</v>
      </c>
      <c r="AS46" s="29">
        <f t="shared" si="30"/>
        <v>1</v>
      </c>
      <c r="AT46" s="65"/>
      <c r="AU46" s="29">
        <f t="shared" si="57"/>
        <v>1</v>
      </c>
      <c r="AV46" s="29">
        <f t="shared" si="46"/>
        <v>1</v>
      </c>
      <c r="AW46" s="29">
        <f t="shared" si="47"/>
        <v>1</v>
      </c>
      <c r="AX46" s="65"/>
      <c r="AY46" s="29">
        <v>1</v>
      </c>
      <c r="AZ46" s="29">
        <v>1</v>
      </c>
      <c r="BA46" s="29">
        <v>1</v>
      </c>
      <c r="BB46" s="65"/>
      <c r="BC46" s="29">
        <f t="shared" si="48"/>
        <v>1</v>
      </c>
      <c r="BD46" s="29">
        <f t="shared" si="33"/>
        <v>1</v>
      </c>
      <c r="BE46" s="29">
        <f t="shared" si="34"/>
        <v>1</v>
      </c>
      <c r="BF46" s="65"/>
      <c r="BG46" s="29">
        <f t="shared" si="58"/>
        <v>1</v>
      </c>
      <c r="BH46" s="29">
        <f t="shared" si="49"/>
        <v>1</v>
      </c>
      <c r="BI46" s="29">
        <f t="shared" si="50"/>
        <v>1</v>
      </c>
      <c r="BJ46" s="65"/>
      <c r="BK46" s="29">
        <v>100</v>
      </c>
      <c r="BL46" s="29">
        <v>100</v>
      </c>
      <c r="BM46" s="29">
        <v>100</v>
      </c>
      <c r="BN46" s="65"/>
      <c r="BO46" s="29">
        <f t="shared" si="51"/>
        <v>100</v>
      </c>
      <c r="BP46" s="29">
        <f t="shared" si="37"/>
        <v>100</v>
      </c>
      <c r="BQ46" s="29">
        <f t="shared" si="38"/>
        <v>100</v>
      </c>
      <c r="BR46" s="65"/>
      <c r="BS46" s="29">
        <f t="shared" si="59"/>
        <v>100</v>
      </c>
      <c r="BT46" s="29">
        <f t="shared" si="52"/>
        <v>100</v>
      </c>
      <c r="BU46" s="29">
        <f t="shared" si="53"/>
        <v>100</v>
      </c>
      <c r="BV46" s="65"/>
      <c r="BW46" s="8">
        <f>IF(W46="","",VLOOKUP('Regular Symbol'!W46,'Regular Symbol'!$O$3:$T$13,6,0))</f>
        <v>6</v>
      </c>
      <c r="BX46" s="8">
        <f>IF(X46="","",VLOOKUP('Regular Symbol'!X46,'Regular Symbol'!$O$3:$T$13,6,0))</f>
        <v>7</v>
      </c>
      <c r="BY46" s="8">
        <f>IF(Y46="","",VLOOKUP('Regular Symbol'!Y46,'Regular Symbol'!$O$3:$T$13,6,0))</f>
        <v>3</v>
      </c>
      <c r="CA46" s="8" t="str">
        <f t="shared" si="15"/>
        <v>Q</v>
      </c>
      <c r="CB46" s="8" t="str">
        <f t="shared" si="16"/>
        <v>J</v>
      </c>
      <c r="CC46" s="8" t="str">
        <f t="shared" si="17"/>
        <v>M3</v>
      </c>
    </row>
    <row r="47" spans="1:81" ht="16.8" customHeight="1">
      <c r="A47" s="78" t="s">
        <v>23</v>
      </c>
      <c r="B47" s="48" t="s">
        <v>24</v>
      </c>
      <c r="C47" s="155">
        <f>C$3+C$6</f>
        <v>23</v>
      </c>
      <c r="D47" s="155">
        <f>D$3+D$6</f>
        <v>46</v>
      </c>
      <c r="E47" s="84">
        <f>E$3+E$6</f>
        <v>49</v>
      </c>
      <c r="F47" s="69"/>
      <c r="H47" s="78" t="str">
        <v>W3</v>
      </c>
      <c r="I47" s="48" t="str">
        <v>WW,M3</v>
      </c>
      <c r="J47" s="155">
        <f>J$3+J$6</f>
        <v>23</v>
      </c>
      <c r="K47" s="155">
        <f ca="1">K$3+K$6</f>
        <v>46</v>
      </c>
      <c r="L47" s="84">
        <f>L$3+L$6</f>
        <v>49</v>
      </c>
      <c r="M47" s="69"/>
      <c r="O47" s="78" t="str">
        <v>W3</v>
      </c>
      <c r="P47" s="48" t="str">
        <v>WW,M3</v>
      </c>
      <c r="Q47" s="155">
        <f>Q$3+Q$6</f>
        <v>23</v>
      </c>
      <c r="R47" s="155">
        <f ca="1">R$3+R$6</f>
        <v>46</v>
      </c>
      <c r="S47" s="84">
        <f>S$3+S$6</f>
        <v>49</v>
      </c>
      <c r="T47" s="69"/>
      <c r="V47" s="27">
        <v>44</v>
      </c>
      <c r="W47" s="29" t="s">
        <v>82</v>
      </c>
      <c r="X47" s="29" t="s">
        <v>18</v>
      </c>
      <c r="Y47" s="29" t="s">
        <v>18</v>
      </c>
      <c r="Z47" s="65"/>
      <c r="AA47" s="29">
        <v>1</v>
      </c>
      <c r="AB47" s="29">
        <v>1</v>
      </c>
      <c r="AC47" s="29">
        <v>1</v>
      </c>
      <c r="AD47" s="65"/>
      <c r="AE47" s="29">
        <f t="shared" si="41"/>
        <v>1</v>
      </c>
      <c r="AF47" s="29">
        <f t="shared" si="42"/>
        <v>1</v>
      </c>
      <c r="AG47" s="29">
        <f t="shared" si="43"/>
        <v>1</v>
      </c>
      <c r="AH47" s="65"/>
      <c r="AI47" s="29">
        <f t="shared" si="54"/>
        <v>1</v>
      </c>
      <c r="AJ47" s="29">
        <f t="shared" si="55"/>
        <v>1</v>
      </c>
      <c r="AK47" s="29">
        <f t="shared" si="56"/>
        <v>1</v>
      </c>
      <c r="AL47" s="65"/>
      <c r="AM47" s="29">
        <v>1</v>
      </c>
      <c r="AN47" s="29">
        <v>1</v>
      </c>
      <c r="AO47" s="29">
        <v>1</v>
      </c>
      <c r="AP47" s="65"/>
      <c r="AQ47" s="29">
        <f t="shared" si="45"/>
        <v>1</v>
      </c>
      <c r="AR47" s="29">
        <f t="shared" si="29"/>
        <v>1</v>
      </c>
      <c r="AS47" s="29">
        <f t="shared" si="30"/>
        <v>1</v>
      </c>
      <c r="AT47" s="65"/>
      <c r="AU47" s="29">
        <f t="shared" si="57"/>
        <v>1</v>
      </c>
      <c r="AV47" s="29">
        <f t="shared" si="46"/>
        <v>1</v>
      </c>
      <c r="AW47" s="29">
        <f t="shared" si="47"/>
        <v>1</v>
      </c>
      <c r="AX47" s="65"/>
      <c r="AY47" s="29">
        <v>1</v>
      </c>
      <c r="AZ47" s="29">
        <v>1</v>
      </c>
      <c r="BA47" s="29">
        <v>1</v>
      </c>
      <c r="BB47" s="65"/>
      <c r="BC47" s="29">
        <f t="shared" si="48"/>
        <v>1</v>
      </c>
      <c r="BD47" s="29">
        <f t="shared" si="33"/>
        <v>1</v>
      </c>
      <c r="BE47" s="29">
        <f t="shared" si="34"/>
        <v>1</v>
      </c>
      <c r="BF47" s="65"/>
      <c r="BG47" s="29">
        <f t="shared" si="58"/>
        <v>1</v>
      </c>
      <c r="BH47" s="29">
        <f t="shared" si="49"/>
        <v>1</v>
      </c>
      <c r="BI47" s="29">
        <f t="shared" si="50"/>
        <v>1</v>
      </c>
      <c r="BJ47" s="65"/>
      <c r="BK47" s="29">
        <v>100</v>
      </c>
      <c r="BL47" s="29">
        <v>100</v>
      </c>
      <c r="BM47" s="29">
        <v>100</v>
      </c>
      <c r="BN47" s="65"/>
      <c r="BO47" s="29">
        <f t="shared" si="51"/>
        <v>100</v>
      </c>
      <c r="BP47" s="29">
        <f t="shared" si="37"/>
        <v>100</v>
      </c>
      <c r="BQ47" s="29">
        <f t="shared" si="38"/>
        <v>100</v>
      </c>
      <c r="BR47" s="65"/>
      <c r="BS47" s="29">
        <f t="shared" si="59"/>
        <v>100</v>
      </c>
      <c r="BT47" s="29">
        <f t="shared" si="52"/>
        <v>100</v>
      </c>
      <c r="BU47" s="29">
        <f t="shared" si="53"/>
        <v>100</v>
      </c>
      <c r="BV47" s="65"/>
      <c r="BW47" s="8">
        <f>IF(W47="","",VLOOKUP('Regular Symbol'!W47,'Regular Symbol'!$O$3:$T$13,6,0))</f>
        <v>5</v>
      </c>
      <c r="BX47" s="8">
        <f>IF(X47="","",VLOOKUP('Regular Symbol'!X47,'Regular Symbol'!$O$3:$T$13,6,0))</f>
        <v>3</v>
      </c>
      <c r="BY47" s="8">
        <f>IF(Y47="","",VLOOKUP('Regular Symbol'!Y47,'Regular Symbol'!$O$3:$T$13,6,0))</f>
        <v>3</v>
      </c>
      <c r="CA47" s="8" t="str">
        <f t="shared" si="15"/>
        <v>K</v>
      </c>
      <c r="CB47" s="8" t="str">
        <f t="shared" si="16"/>
        <v>M3</v>
      </c>
      <c r="CC47" s="8" t="str">
        <f t="shared" si="17"/>
        <v>M3</v>
      </c>
    </row>
    <row r="48" spans="1:81" ht="16.8" customHeight="1">
      <c r="A48" s="78" t="s">
        <v>55</v>
      </c>
      <c r="B48" s="48" t="s">
        <v>34</v>
      </c>
      <c r="C48" s="155">
        <f>C$3+C$7</f>
        <v>27</v>
      </c>
      <c r="D48" s="155">
        <f>D$3+D$7</f>
        <v>51</v>
      </c>
      <c r="E48" s="84">
        <f>E$3+E$7</f>
        <v>44</v>
      </c>
      <c r="F48" s="69"/>
      <c r="H48" s="78" t="str">
        <v>WA</v>
      </c>
      <c r="I48" s="48" t="str">
        <v>WW,A</v>
      </c>
      <c r="J48" s="155">
        <f>J$3+J$7</f>
        <v>27</v>
      </c>
      <c r="K48" s="155">
        <f ca="1">K$3+K$7</f>
        <v>51</v>
      </c>
      <c r="L48" s="84">
        <f>L$3+L$7</f>
        <v>44</v>
      </c>
      <c r="M48" s="69"/>
      <c r="O48" s="78" t="str">
        <v>WA</v>
      </c>
      <c r="P48" s="48" t="str">
        <v>WW,A</v>
      </c>
      <c r="Q48" s="155">
        <f>Q$3+Q$7</f>
        <v>27</v>
      </c>
      <c r="R48" s="155">
        <f ca="1">R$3+R$7</f>
        <v>51</v>
      </c>
      <c r="S48" s="84">
        <f>S$3+S$7</f>
        <v>44</v>
      </c>
      <c r="T48" s="69"/>
      <c r="V48" s="27">
        <v>45</v>
      </c>
      <c r="W48" s="29" t="s">
        <v>26</v>
      </c>
      <c r="X48" s="29" t="s">
        <v>18</v>
      </c>
      <c r="Y48" s="29" t="s">
        <v>83</v>
      </c>
      <c r="Z48" s="65"/>
      <c r="AA48" s="29">
        <v>1</v>
      </c>
      <c r="AB48" s="29">
        <v>1</v>
      </c>
      <c r="AC48" s="29">
        <v>1</v>
      </c>
      <c r="AD48" s="65"/>
      <c r="AE48" s="29">
        <f t="shared" si="41"/>
        <v>1</v>
      </c>
      <c r="AF48" s="29">
        <f t="shared" si="42"/>
        <v>1</v>
      </c>
      <c r="AG48" s="29">
        <f t="shared" si="43"/>
        <v>1</v>
      </c>
      <c r="AH48" s="65"/>
      <c r="AI48" s="29">
        <f t="shared" si="54"/>
        <v>1</v>
      </c>
      <c r="AJ48" s="29">
        <f t="shared" si="55"/>
        <v>1</v>
      </c>
      <c r="AK48" s="29">
        <f t="shared" si="56"/>
        <v>1</v>
      </c>
      <c r="AL48" s="65"/>
      <c r="AM48" s="29">
        <v>1</v>
      </c>
      <c r="AN48" s="29">
        <v>1</v>
      </c>
      <c r="AO48" s="29">
        <v>1</v>
      </c>
      <c r="AP48" s="65"/>
      <c r="AQ48" s="29">
        <f t="shared" si="45"/>
        <v>1</v>
      </c>
      <c r="AR48" s="29">
        <f t="shared" si="29"/>
        <v>1</v>
      </c>
      <c r="AS48" s="29">
        <f t="shared" si="30"/>
        <v>1</v>
      </c>
      <c r="AT48" s="65"/>
      <c r="AU48" s="29">
        <f t="shared" si="57"/>
        <v>1</v>
      </c>
      <c r="AV48" s="29">
        <f t="shared" si="46"/>
        <v>1</v>
      </c>
      <c r="AW48" s="29">
        <f t="shared" si="47"/>
        <v>1</v>
      </c>
      <c r="AX48" s="65"/>
      <c r="AY48" s="29">
        <v>1</v>
      </c>
      <c r="AZ48" s="29">
        <v>1</v>
      </c>
      <c r="BA48" s="29">
        <v>1</v>
      </c>
      <c r="BB48" s="65"/>
      <c r="BC48" s="29">
        <f t="shared" si="48"/>
        <v>1</v>
      </c>
      <c r="BD48" s="29">
        <f t="shared" si="33"/>
        <v>1</v>
      </c>
      <c r="BE48" s="29">
        <f t="shared" si="34"/>
        <v>1</v>
      </c>
      <c r="BF48" s="65"/>
      <c r="BG48" s="29">
        <f t="shared" si="58"/>
        <v>1</v>
      </c>
      <c r="BH48" s="29">
        <f t="shared" si="49"/>
        <v>1</v>
      </c>
      <c r="BI48" s="29">
        <f t="shared" si="50"/>
        <v>1</v>
      </c>
      <c r="BJ48" s="65"/>
      <c r="BK48" s="29">
        <v>100</v>
      </c>
      <c r="BL48" s="29">
        <v>100</v>
      </c>
      <c r="BM48" s="29">
        <v>100</v>
      </c>
      <c r="BN48" s="65"/>
      <c r="BO48" s="29">
        <f t="shared" si="51"/>
        <v>100</v>
      </c>
      <c r="BP48" s="29">
        <f t="shared" si="37"/>
        <v>100</v>
      </c>
      <c r="BQ48" s="29">
        <f t="shared" si="38"/>
        <v>100</v>
      </c>
      <c r="BR48" s="65"/>
      <c r="BS48" s="29">
        <f t="shared" si="59"/>
        <v>100</v>
      </c>
      <c r="BT48" s="29">
        <f t="shared" si="52"/>
        <v>100</v>
      </c>
      <c r="BU48" s="29">
        <f t="shared" si="53"/>
        <v>100</v>
      </c>
      <c r="BV48" s="65"/>
      <c r="BW48" s="8">
        <f>IF(W48="","",VLOOKUP('Regular Symbol'!W48,'Regular Symbol'!$O$3:$T$13,6,0))</f>
        <v>1</v>
      </c>
      <c r="BX48" s="8">
        <f>IF(X48="","",VLOOKUP('Regular Symbol'!X48,'Regular Symbol'!$O$3:$T$13,6,0))</f>
        <v>3</v>
      </c>
      <c r="BY48" s="8">
        <f>IF(Y48="","",VLOOKUP('Regular Symbol'!Y48,'Regular Symbol'!$O$3:$T$13,6,0))</f>
        <v>6</v>
      </c>
      <c r="CA48" s="8" t="str">
        <f t="shared" si="15"/>
        <v>M1</v>
      </c>
      <c r="CB48" s="8" t="str">
        <f t="shared" si="16"/>
        <v>M3</v>
      </c>
      <c r="CC48" s="8" t="str">
        <f t="shared" si="17"/>
        <v>Q</v>
      </c>
    </row>
    <row r="49" spans="1:81" ht="16.8" customHeight="1">
      <c r="A49" s="78" t="s">
        <v>56</v>
      </c>
      <c r="B49" s="48" t="s">
        <v>35</v>
      </c>
      <c r="C49" s="155">
        <f>C$3+C$8</f>
        <v>28</v>
      </c>
      <c r="D49" s="155">
        <f>D$3+D$8</f>
        <v>49</v>
      </c>
      <c r="E49" s="84">
        <f>E$3+E$8</f>
        <v>48</v>
      </c>
      <c r="F49" s="69"/>
      <c r="H49" s="78" t="str">
        <v>WK</v>
      </c>
      <c r="I49" s="48" t="str">
        <v>WW,K</v>
      </c>
      <c r="J49" s="155">
        <f>J$3+J$8</f>
        <v>28</v>
      </c>
      <c r="K49" s="155">
        <f ca="1">K$3+K$8</f>
        <v>49</v>
      </c>
      <c r="L49" s="84">
        <f>L$3+L$8</f>
        <v>48</v>
      </c>
      <c r="M49" s="69"/>
      <c r="O49" s="78" t="str">
        <v>WK</v>
      </c>
      <c r="P49" s="48" t="str">
        <v>WW,K</v>
      </c>
      <c r="Q49" s="155">
        <f ca="1">Q$3+Q$8</f>
        <v>28</v>
      </c>
      <c r="R49" s="155">
        <f ca="1">R$3+R$8</f>
        <v>49</v>
      </c>
      <c r="S49" s="84">
        <f>S$3+S$8</f>
        <v>48</v>
      </c>
      <c r="T49" s="69"/>
      <c r="V49" s="27">
        <v>46</v>
      </c>
      <c r="W49" s="29" t="s">
        <v>16</v>
      </c>
      <c r="X49" s="29" t="s">
        <v>83</v>
      </c>
      <c r="Y49" s="29" t="s">
        <v>83</v>
      </c>
      <c r="Z49" s="65"/>
      <c r="AA49" s="29">
        <v>1</v>
      </c>
      <c r="AB49" s="29">
        <v>1</v>
      </c>
      <c r="AC49" s="29">
        <v>1</v>
      </c>
      <c r="AD49" s="65"/>
      <c r="AE49" s="29">
        <f t="shared" si="41"/>
        <v>1</v>
      </c>
      <c r="AF49" s="29">
        <f t="shared" si="42"/>
        <v>1</v>
      </c>
      <c r="AG49" s="29">
        <f t="shared" si="43"/>
        <v>1</v>
      </c>
      <c r="AH49" s="65"/>
      <c r="AI49" s="29">
        <f t="shared" si="54"/>
        <v>1</v>
      </c>
      <c r="AJ49" s="29">
        <f t="shared" si="55"/>
        <v>1</v>
      </c>
      <c r="AK49" s="29">
        <f t="shared" si="56"/>
        <v>1</v>
      </c>
      <c r="AL49" s="65"/>
      <c r="AM49" s="29">
        <v>1</v>
      </c>
      <c r="AN49" s="29">
        <v>1</v>
      </c>
      <c r="AO49" s="29">
        <v>1</v>
      </c>
      <c r="AP49" s="65"/>
      <c r="AQ49" s="29">
        <f t="shared" si="45"/>
        <v>1</v>
      </c>
      <c r="AR49" s="29">
        <f t="shared" si="29"/>
        <v>1</v>
      </c>
      <c r="AS49" s="29">
        <f t="shared" si="30"/>
        <v>1</v>
      </c>
      <c r="AT49" s="65"/>
      <c r="AU49" s="29">
        <f t="shared" si="57"/>
        <v>1</v>
      </c>
      <c r="AV49" s="29">
        <f t="shared" si="46"/>
        <v>1</v>
      </c>
      <c r="AW49" s="29">
        <f t="shared" si="47"/>
        <v>1</v>
      </c>
      <c r="AX49" s="65"/>
      <c r="AY49" s="29">
        <v>1</v>
      </c>
      <c r="AZ49" s="29">
        <v>1</v>
      </c>
      <c r="BA49" s="29">
        <v>1</v>
      </c>
      <c r="BB49" s="65"/>
      <c r="BC49" s="29">
        <f t="shared" si="48"/>
        <v>1</v>
      </c>
      <c r="BD49" s="29">
        <f t="shared" si="33"/>
        <v>1</v>
      </c>
      <c r="BE49" s="29">
        <f t="shared" si="34"/>
        <v>1</v>
      </c>
      <c r="BF49" s="65"/>
      <c r="BG49" s="29">
        <f t="shared" si="58"/>
        <v>1</v>
      </c>
      <c r="BH49" s="29">
        <f t="shared" si="49"/>
        <v>1</v>
      </c>
      <c r="BI49" s="29">
        <f t="shared" si="50"/>
        <v>1</v>
      </c>
      <c r="BJ49" s="65"/>
      <c r="BK49" s="29">
        <v>100</v>
      </c>
      <c r="BL49" s="29">
        <v>100</v>
      </c>
      <c r="BM49" s="29">
        <v>100</v>
      </c>
      <c r="BN49" s="65"/>
      <c r="BO49" s="29">
        <f t="shared" si="51"/>
        <v>100</v>
      </c>
      <c r="BP49" s="29">
        <f t="shared" si="37"/>
        <v>100</v>
      </c>
      <c r="BQ49" s="29">
        <f t="shared" si="38"/>
        <v>100</v>
      </c>
      <c r="BR49" s="65"/>
      <c r="BS49" s="29">
        <f t="shared" si="59"/>
        <v>100</v>
      </c>
      <c r="BT49" s="29">
        <f t="shared" si="52"/>
        <v>100</v>
      </c>
      <c r="BU49" s="29">
        <f t="shared" si="53"/>
        <v>100</v>
      </c>
      <c r="BV49" s="65"/>
      <c r="BW49" s="8">
        <f>IF(W49="","",VLOOKUP('Regular Symbol'!W49,'Regular Symbol'!$O$3:$T$13,6,0))</f>
        <v>1</v>
      </c>
      <c r="BX49" s="8">
        <f>IF(X49="","",VLOOKUP('Regular Symbol'!X49,'Regular Symbol'!$O$3:$T$13,6,0))</f>
        <v>6</v>
      </c>
      <c r="BY49" s="8">
        <f>IF(Y49="","",VLOOKUP('Regular Symbol'!Y49,'Regular Symbol'!$O$3:$T$13,6,0))</f>
        <v>6</v>
      </c>
      <c r="CA49" s="8" t="str">
        <f t="shared" si="15"/>
        <v>M1</v>
      </c>
      <c r="CB49" s="8" t="str">
        <f t="shared" si="16"/>
        <v>Q</v>
      </c>
      <c r="CC49" s="8" t="str">
        <f t="shared" si="17"/>
        <v>Q</v>
      </c>
    </row>
    <row r="50" spans="1:81" ht="16.8" customHeight="1">
      <c r="A50" s="78" t="s">
        <v>57</v>
      </c>
      <c r="B50" s="48" t="s">
        <v>36</v>
      </c>
      <c r="C50" s="155">
        <f>C$3+C$9</f>
        <v>26</v>
      </c>
      <c r="D50" s="155">
        <f>D$3+D$9</f>
        <v>50</v>
      </c>
      <c r="E50" s="84">
        <f>E$3+E$9</f>
        <v>48</v>
      </c>
      <c r="F50" s="69"/>
      <c r="H50" s="78" t="str">
        <v>WQ</v>
      </c>
      <c r="I50" s="48" t="str">
        <v>WW,Q</v>
      </c>
      <c r="J50" s="155">
        <f>J$3+J$9</f>
        <v>26</v>
      </c>
      <c r="K50" s="155">
        <f ca="1">K$3+K$9</f>
        <v>50</v>
      </c>
      <c r="L50" s="84">
        <f>L$3+L$9</f>
        <v>48</v>
      </c>
      <c r="M50" s="69"/>
      <c r="O50" s="78" t="str">
        <v>WQ</v>
      </c>
      <c r="P50" s="48" t="str">
        <v>WW,Q</v>
      </c>
      <c r="Q50" s="155">
        <f>Q$3+Q$9</f>
        <v>26</v>
      </c>
      <c r="R50" s="155">
        <f ca="1">R$3+R$9</f>
        <v>50</v>
      </c>
      <c r="S50" s="84">
        <f>S$3+S$9</f>
        <v>48</v>
      </c>
      <c r="T50" s="69"/>
      <c r="V50" s="27">
        <v>47</v>
      </c>
      <c r="W50" s="29" t="s">
        <v>16</v>
      </c>
      <c r="X50" s="29" t="s">
        <v>83</v>
      </c>
      <c r="Y50" s="29" t="s">
        <v>83</v>
      </c>
      <c r="Z50" s="65"/>
      <c r="AA50" s="29">
        <v>1</v>
      </c>
      <c r="AB50" s="29">
        <v>1</v>
      </c>
      <c r="AC50" s="29">
        <v>1</v>
      </c>
      <c r="AD50" s="65"/>
      <c r="AE50" s="29">
        <f t="shared" si="41"/>
        <v>1</v>
      </c>
      <c r="AF50" s="29">
        <f t="shared" si="42"/>
        <v>1</v>
      </c>
      <c r="AG50" s="29">
        <f t="shared" si="43"/>
        <v>1</v>
      </c>
      <c r="AH50" s="65"/>
      <c r="AI50" s="29">
        <f t="shared" si="54"/>
        <v>1</v>
      </c>
      <c r="AJ50" s="29">
        <f t="shared" si="55"/>
        <v>1</v>
      </c>
      <c r="AK50" s="29">
        <f t="shared" si="56"/>
        <v>1</v>
      </c>
      <c r="AL50" s="65"/>
      <c r="AM50" s="29">
        <v>1</v>
      </c>
      <c r="AN50" s="29">
        <v>1</v>
      </c>
      <c r="AO50" s="29">
        <v>1</v>
      </c>
      <c r="AP50" s="65"/>
      <c r="AQ50" s="29">
        <f t="shared" si="45"/>
        <v>1</v>
      </c>
      <c r="AR50" s="29">
        <f t="shared" si="29"/>
        <v>1</v>
      </c>
      <c r="AS50" s="29">
        <f t="shared" si="30"/>
        <v>1</v>
      </c>
      <c r="AT50" s="65"/>
      <c r="AU50" s="29">
        <f t="shared" si="57"/>
        <v>1</v>
      </c>
      <c r="AV50" s="29">
        <f t="shared" si="46"/>
        <v>1</v>
      </c>
      <c r="AW50" s="29">
        <f t="shared" si="47"/>
        <v>1</v>
      </c>
      <c r="AX50" s="65"/>
      <c r="AY50" s="29">
        <v>1</v>
      </c>
      <c r="AZ50" s="29">
        <v>1</v>
      </c>
      <c r="BA50" s="29">
        <v>1</v>
      </c>
      <c r="BB50" s="65"/>
      <c r="BC50" s="29">
        <f t="shared" si="48"/>
        <v>1</v>
      </c>
      <c r="BD50" s="29">
        <f t="shared" si="33"/>
        <v>1</v>
      </c>
      <c r="BE50" s="29">
        <f t="shared" si="34"/>
        <v>1</v>
      </c>
      <c r="BF50" s="65"/>
      <c r="BG50" s="29">
        <f t="shared" si="58"/>
        <v>1</v>
      </c>
      <c r="BH50" s="29">
        <f t="shared" si="49"/>
        <v>1</v>
      </c>
      <c r="BI50" s="29">
        <f t="shared" si="50"/>
        <v>1</v>
      </c>
      <c r="BJ50" s="65"/>
      <c r="BK50" s="29">
        <v>100</v>
      </c>
      <c r="BL50" s="29">
        <v>100</v>
      </c>
      <c r="BM50" s="29">
        <v>100</v>
      </c>
      <c r="BN50" s="65"/>
      <c r="BO50" s="29">
        <f t="shared" si="51"/>
        <v>100</v>
      </c>
      <c r="BP50" s="29">
        <f t="shared" si="37"/>
        <v>100</v>
      </c>
      <c r="BQ50" s="29">
        <f t="shared" si="38"/>
        <v>100</v>
      </c>
      <c r="BR50" s="65"/>
      <c r="BS50" s="29">
        <f t="shared" si="59"/>
        <v>100</v>
      </c>
      <c r="BT50" s="29">
        <f t="shared" si="52"/>
        <v>100</v>
      </c>
      <c r="BU50" s="29">
        <f t="shared" si="53"/>
        <v>100</v>
      </c>
      <c r="BV50" s="65"/>
      <c r="BW50" s="8">
        <f>IF(W50="","",VLOOKUP('Regular Symbol'!W50,'Regular Symbol'!$O$3:$T$13,6,0))</f>
        <v>1</v>
      </c>
      <c r="BX50" s="8">
        <f>IF(X50="","",VLOOKUP('Regular Symbol'!X50,'Regular Symbol'!$O$3:$T$13,6,0))</f>
        <v>6</v>
      </c>
      <c r="BY50" s="8">
        <f>IF(Y50="","",VLOOKUP('Regular Symbol'!Y50,'Regular Symbol'!$O$3:$T$13,6,0))</f>
        <v>6</v>
      </c>
      <c r="CA50" s="8" t="str">
        <f t="shared" si="15"/>
        <v>M1</v>
      </c>
      <c r="CB50" s="8" t="str">
        <f t="shared" si="16"/>
        <v>Q</v>
      </c>
      <c r="CC50" s="8" t="str">
        <f t="shared" si="17"/>
        <v>Q</v>
      </c>
    </row>
    <row r="51" spans="1:81" ht="16.8" customHeight="1" thickBot="1">
      <c r="A51" s="73" t="s">
        <v>58</v>
      </c>
      <c r="B51" s="53" t="s">
        <v>37</v>
      </c>
      <c r="C51" s="154">
        <f>C$3+C$10</f>
        <v>28</v>
      </c>
      <c r="D51" s="154">
        <f>D$3+D$10</f>
        <v>47</v>
      </c>
      <c r="E51" s="17">
        <f>E$3+E$10</f>
        <v>48</v>
      </c>
      <c r="F51" s="69"/>
      <c r="H51" s="73" t="str">
        <v>WJ</v>
      </c>
      <c r="I51" s="53" t="str">
        <v>WW,J</v>
      </c>
      <c r="J51" s="154">
        <f ca="1">J$3+J$10</f>
        <v>28</v>
      </c>
      <c r="K51" s="154">
        <f ca="1">K$3+K$10</f>
        <v>47</v>
      </c>
      <c r="L51" s="17">
        <f>L$3+L$10</f>
        <v>48</v>
      </c>
      <c r="M51" s="69"/>
      <c r="O51" s="73" t="str">
        <v>WJ</v>
      </c>
      <c r="P51" s="53" t="str">
        <v>WW,J</v>
      </c>
      <c r="Q51" s="154">
        <f ca="1">Q$3+Q$10</f>
        <v>28</v>
      </c>
      <c r="R51" s="154">
        <f ca="1">R$3+R$10</f>
        <v>47</v>
      </c>
      <c r="S51" s="17">
        <f>S$3+S$10</f>
        <v>48</v>
      </c>
      <c r="T51" s="69"/>
      <c r="V51" s="27">
        <v>48</v>
      </c>
      <c r="W51" s="29" t="s">
        <v>84</v>
      </c>
      <c r="X51" s="29" t="s">
        <v>38</v>
      </c>
      <c r="Y51" s="29" t="s">
        <v>17</v>
      </c>
      <c r="Z51" s="65"/>
      <c r="AA51" s="29">
        <v>1</v>
      </c>
      <c r="AB51" s="29">
        <v>1</v>
      </c>
      <c r="AC51" s="29">
        <v>1</v>
      </c>
      <c r="AD51" s="65"/>
      <c r="AE51" s="29">
        <f t="shared" si="41"/>
        <v>1</v>
      </c>
      <c r="AF51" s="29">
        <f t="shared" si="42"/>
        <v>1</v>
      </c>
      <c r="AG51" s="29">
        <f t="shared" si="43"/>
        <v>1</v>
      </c>
      <c r="AH51" s="65"/>
      <c r="AI51" s="29">
        <f t="shared" si="54"/>
        <v>1</v>
      </c>
      <c r="AJ51" s="29">
        <f t="shared" si="55"/>
        <v>1</v>
      </c>
      <c r="AK51" s="29">
        <f t="shared" si="56"/>
        <v>1</v>
      </c>
      <c r="AL51" s="65"/>
      <c r="AM51" s="29">
        <v>1</v>
      </c>
      <c r="AN51" s="29">
        <v>1</v>
      </c>
      <c r="AO51" s="29">
        <v>1</v>
      </c>
      <c r="AP51" s="65"/>
      <c r="AQ51" s="29">
        <f t="shared" si="45"/>
        <v>1</v>
      </c>
      <c r="AR51" s="29">
        <f t="shared" si="29"/>
        <v>1</v>
      </c>
      <c r="AS51" s="29">
        <f t="shared" si="30"/>
        <v>1</v>
      </c>
      <c r="AT51" s="65"/>
      <c r="AU51" s="29">
        <f t="shared" si="57"/>
        <v>1</v>
      </c>
      <c r="AV51" s="29">
        <f t="shared" si="46"/>
        <v>1</v>
      </c>
      <c r="AW51" s="29">
        <f t="shared" si="47"/>
        <v>1</v>
      </c>
      <c r="AX51" s="65"/>
      <c r="AY51" s="29">
        <v>1</v>
      </c>
      <c r="AZ51" s="29">
        <v>1</v>
      </c>
      <c r="BA51" s="29">
        <v>1</v>
      </c>
      <c r="BB51" s="65"/>
      <c r="BC51" s="29">
        <f t="shared" si="48"/>
        <v>1</v>
      </c>
      <c r="BD51" s="29">
        <f t="shared" si="33"/>
        <v>1</v>
      </c>
      <c r="BE51" s="29">
        <f t="shared" si="34"/>
        <v>1</v>
      </c>
      <c r="BF51" s="65"/>
      <c r="BG51" s="29">
        <f t="shared" si="58"/>
        <v>1</v>
      </c>
      <c r="BH51" s="29">
        <f t="shared" si="49"/>
        <v>1</v>
      </c>
      <c r="BI51" s="29">
        <f t="shared" si="50"/>
        <v>1</v>
      </c>
      <c r="BJ51" s="65"/>
      <c r="BK51" s="29">
        <v>447</v>
      </c>
      <c r="BL51" s="29">
        <v>701</v>
      </c>
      <c r="BM51" s="29">
        <v>100</v>
      </c>
      <c r="BN51" s="65"/>
      <c r="BO51" s="29">
        <f t="shared" si="51"/>
        <v>100</v>
      </c>
      <c r="BP51" s="29">
        <f t="shared" si="37"/>
        <v>100</v>
      </c>
      <c r="BQ51" s="29">
        <f t="shared" si="38"/>
        <v>100</v>
      </c>
      <c r="BR51" s="65"/>
      <c r="BS51" s="29">
        <f t="shared" si="59"/>
        <v>100</v>
      </c>
      <c r="BT51" s="29">
        <f t="shared" si="52"/>
        <v>100</v>
      </c>
      <c r="BU51" s="29">
        <f t="shared" si="53"/>
        <v>100</v>
      </c>
      <c r="BV51" s="65"/>
      <c r="BW51" s="8">
        <f>IF(W51="","",VLOOKUP('Regular Symbol'!W51,'Regular Symbol'!$O$3:$T$13,6,0))</f>
        <v>7</v>
      </c>
      <c r="BX51" s="8">
        <f>IF(X51="","",VLOOKUP('Regular Symbol'!X51,'Regular Symbol'!$O$3:$T$13,6,0))</f>
        <v>5</v>
      </c>
      <c r="BY51" s="8">
        <f>IF(Y51="","",VLOOKUP('Regular Symbol'!Y51,'Regular Symbol'!$O$3:$T$13,6,0))</f>
        <v>2</v>
      </c>
      <c r="CA51" s="8" t="str">
        <f t="shared" si="15"/>
        <v>J</v>
      </c>
      <c r="CB51" s="8" t="str">
        <f t="shared" si="16"/>
        <v>K</v>
      </c>
      <c r="CC51" s="8" t="str">
        <f t="shared" si="17"/>
        <v>M2</v>
      </c>
    </row>
    <row r="52" spans="1:81" ht="16.8" customHeight="1">
      <c r="V52" s="27">
        <v>49</v>
      </c>
      <c r="W52" s="29" t="s">
        <v>84</v>
      </c>
      <c r="X52" s="29" t="s">
        <v>82</v>
      </c>
      <c r="Y52" s="29" t="s">
        <v>17</v>
      </c>
      <c r="Z52" s="65"/>
      <c r="AA52" s="29">
        <v>1</v>
      </c>
      <c r="AB52" s="29">
        <v>1</v>
      </c>
      <c r="AC52" s="29">
        <v>1</v>
      </c>
      <c r="AD52" s="65"/>
      <c r="AE52" s="29">
        <f t="shared" si="41"/>
        <v>1</v>
      </c>
      <c r="AF52" s="29">
        <f t="shared" si="42"/>
        <v>1</v>
      </c>
      <c r="AG52" s="29">
        <f t="shared" si="43"/>
        <v>1</v>
      </c>
      <c r="AH52" s="65"/>
      <c r="AI52" s="29">
        <f t="shared" si="54"/>
        <v>1</v>
      </c>
      <c r="AJ52" s="29">
        <f t="shared" si="55"/>
        <v>1</v>
      </c>
      <c r="AK52" s="29">
        <f t="shared" si="56"/>
        <v>1</v>
      </c>
      <c r="AL52" s="65"/>
      <c r="AM52" s="29">
        <v>1</v>
      </c>
      <c r="AN52" s="29">
        <v>1</v>
      </c>
      <c r="AO52" s="29">
        <v>1</v>
      </c>
      <c r="AP52" s="65"/>
      <c r="AQ52" s="29">
        <f t="shared" si="45"/>
        <v>1</v>
      </c>
      <c r="AR52" s="29">
        <f t="shared" si="29"/>
        <v>1</v>
      </c>
      <c r="AS52" s="29">
        <f t="shared" si="30"/>
        <v>1</v>
      </c>
      <c r="AT52" s="65"/>
      <c r="AU52" s="29">
        <f t="shared" si="57"/>
        <v>1</v>
      </c>
      <c r="AV52" s="29">
        <f t="shared" si="46"/>
        <v>1</v>
      </c>
      <c r="AW52" s="29">
        <f t="shared" si="47"/>
        <v>1</v>
      </c>
      <c r="AX52" s="65"/>
      <c r="AY52" s="29">
        <v>1</v>
      </c>
      <c r="AZ52" s="29">
        <v>1</v>
      </c>
      <c r="BA52" s="29">
        <v>1</v>
      </c>
      <c r="BB52" s="65"/>
      <c r="BC52" s="29">
        <f t="shared" si="48"/>
        <v>1</v>
      </c>
      <c r="BD52" s="29">
        <f t="shared" si="33"/>
        <v>1</v>
      </c>
      <c r="BE52" s="29">
        <f t="shared" si="34"/>
        <v>1</v>
      </c>
      <c r="BF52" s="65"/>
      <c r="BG52" s="29">
        <f t="shared" si="58"/>
        <v>1</v>
      </c>
      <c r="BH52" s="29">
        <f t="shared" si="49"/>
        <v>1</v>
      </c>
      <c r="BI52" s="29">
        <f t="shared" si="50"/>
        <v>1</v>
      </c>
      <c r="BJ52" s="65"/>
      <c r="BK52" s="29">
        <v>373</v>
      </c>
      <c r="BL52" s="29">
        <v>584</v>
      </c>
      <c r="BM52" s="29">
        <v>100</v>
      </c>
      <c r="BN52" s="65"/>
      <c r="BO52" s="29">
        <f t="shared" si="51"/>
        <v>447</v>
      </c>
      <c r="BP52" s="29">
        <f t="shared" si="37"/>
        <v>701</v>
      </c>
      <c r="BQ52" s="29">
        <f t="shared" si="38"/>
        <v>100</v>
      </c>
      <c r="BR52" s="65"/>
      <c r="BS52" s="29">
        <f t="shared" si="59"/>
        <v>100</v>
      </c>
      <c r="BT52" s="29">
        <f t="shared" si="52"/>
        <v>100</v>
      </c>
      <c r="BU52" s="29">
        <f t="shared" si="53"/>
        <v>100</v>
      </c>
      <c r="BV52" s="65"/>
      <c r="BW52" s="8">
        <f>IF(W52="","",VLOOKUP('Regular Symbol'!W52,'Regular Symbol'!$O$3:$T$13,6,0))</f>
        <v>7</v>
      </c>
      <c r="BX52" s="8">
        <f>IF(X52="","",VLOOKUP('Regular Symbol'!X52,'Regular Symbol'!$O$3:$T$13,6,0))</f>
        <v>5</v>
      </c>
      <c r="BY52" s="8">
        <f>IF(Y52="","",VLOOKUP('Regular Symbol'!Y52,'Regular Symbol'!$O$3:$T$13,6,0))</f>
        <v>2</v>
      </c>
      <c r="CA52" s="8" t="str">
        <f t="shared" si="15"/>
        <v>J</v>
      </c>
      <c r="CB52" s="8" t="str">
        <f t="shared" si="16"/>
        <v>K</v>
      </c>
      <c r="CC52" s="8" t="str">
        <f t="shared" si="17"/>
        <v>M2</v>
      </c>
    </row>
    <row r="53" spans="1:81" ht="16.8" customHeight="1" thickBot="1">
      <c r="A53" s="330" t="s">
        <v>148</v>
      </c>
      <c r="B53" s="330"/>
      <c r="C53" s="330"/>
      <c r="D53" s="330"/>
      <c r="E53" s="330"/>
      <c r="F53" s="330"/>
      <c r="H53" s="330" t="s">
        <v>149</v>
      </c>
      <c r="I53" s="330"/>
      <c r="J53" s="330"/>
      <c r="K53" s="330"/>
      <c r="L53" s="330"/>
      <c r="M53" s="330"/>
      <c r="O53" s="330" t="s">
        <v>150</v>
      </c>
      <c r="P53" s="330"/>
      <c r="Q53" s="330"/>
      <c r="R53" s="330"/>
      <c r="S53" s="330"/>
      <c r="T53" s="330"/>
      <c r="V53" s="27">
        <v>50</v>
      </c>
      <c r="W53" s="29" t="s">
        <v>25</v>
      </c>
      <c r="X53" s="29" t="s">
        <v>25</v>
      </c>
      <c r="Y53" s="29" t="s">
        <v>17</v>
      </c>
      <c r="Z53" s="65"/>
      <c r="AA53" s="29">
        <v>1</v>
      </c>
      <c r="AB53" s="29">
        <v>1</v>
      </c>
      <c r="AC53" s="29">
        <v>1</v>
      </c>
      <c r="AD53" s="65"/>
      <c r="AE53" s="29">
        <f t="shared" si="41"/>
        <v>1</v>
      </c>
      <c r="AF53" s="29">
        <f t="shared" si="42"/>
        <v>1</v>
      </c>
      <c r="AG53" s="29">
        <f t="shared" si="43"/>
        <v>1</v>
      </c>
      <c r="AH53" s="65"/>
      <c r="AI53" s="29">
        <f t="shared" si="54"/>
        <v>1</v>
      </c>
      <c r="AJ53" s="29">
        <f t="shared" si="55"/>
        <v>1</v>
      </c>
      <c r="AK53" s="29">
        <f t="shared" si="56"/>
        <v>1</v>
      </c>
      <c r="AL53" s="65"/>
      <c r="AM53" s="29">
        <v>1</v>
      </c>
      <c r="AN53" s="29">
        <v>1</v>
      </c>
      <c r="AO53" s="29">
        <v>1</v>
      </c>
      <c r="AP53" s="65"/>
      <c r="AQ53" s="29">
        <f t="shared" si="45"/>
        <v>1</v>
      </c>
      <c r="AR53" s="29">
        <f t="shared" si="29"/>
        <v>1</v>
      </c>
      <c r="AS53" s="29">
        <f t="shared" si="30"/>
        <v>1</v>
      </c>
      <c r="AT53" s="65"/>
      <c r="AU53" s="29">
        <f t="shared" si="57"/>
        <v>1</v>
      </c>
      <c r="AV53" s="29">
        <f t="shared" si="46"/>
        <v>1</v>
      </c>
      <c r="AW53" s="29">
        <f t="shared" si="47"/>
        <v>1</v>
      </c>
      <c r="AX53" s="65"/>
      <c r="AY53" s="29">
        <v>1</v>
      </c>
      <c r="AZ53" s="29">
        <v>1</v>
      </c>
      <c r="BA53" s="29">
        <v>1</v>
      </c>
      <c r="BB53" s="65"/>
      <c r="BC53" s="29">
        <f t="shared" si="48"/>
        <v>1</v>
      </c>
      <c r="BD53" s="29">
        <f t="shared" si="33"/>
        <v>1</v>
      </c>
      <c r="BE53" s="29">
        <f t="shared" si="34"/>
        <v>1</v>
      </c>
      <c r="BF53" s="65"/>
      <c r="BG53" s="29">
        <f t="shared" si="58"/>
        <v>1</v>
      </c>
      <c r="BH53" s="29">
        <f t="shared" si="49"/>
        <v>1</v>
      </c>
      <c r="BI53" s="29">
        <f t="shared" si="50"/>
        <v>1</v>
      </c>
      <c r="BJ53" s="65"/>
      <c r="BK53" s="29">
        <v>298</v>
      </c>
      <c r="BL53" s="29">
        <v>467</v>
      </c>
      <c r="BM53" s="29">
        <v>100</v>
      </c>
      <c r="BN53" s="65"/>
      <c r="BO53" s="29">
        <f t="shared" si="51"/>
        <v>373</v>
      </c>
      <c r="BP53" s="29">
        <f t="shared" si="37"/>
        <v>584</v>
      </c>
      <c r="BQ53" s="29">
        <f t="shared" si="38"/>
        <v>100</v>
      </c>
      <c r="BR53" s="65"/>
      <c r="BS53" s="29">
        <f t="shared" si="59"/>
        <v>447</v>
      </c>
      <c r="BT53" s="29">
        <f t="shared" si="52"/>
        <v>701</v>
      </c>
      <c r="BU53" s="29">
        <f t="shared" si="53"/>
        <v>100</v>
      </c>
      <c r="BV53" s="65"/>
      <c r="BW53" s="8">
        <f>IF(W53="","",VLOOKUP('Regular Symbol'!W53,'Regular Symbol'!$O$3:$T$13,6,0))</f>
        <v>0</v>
      </c>
      <c r="BX53" s="8">
        <f>IF(X53="","",VLOOKUP('Regular Symbol'!X53,'Regular Symbol'!$O$3:$T$13,6,0))</f>
        <v>0</v>
      </c>
      <c r="BY53" s="8">
        <f>IF(Y53="","",VLOOKUP('Regular Symbol'!Y53,'Regular Symbol'!$O$3:$T$13,6,0))</f>
        <v>2</v>
      </c>
      <c r="CA53" s="8" t="str">
        <f t="shared" si="15"/>
        <v>Wild</v>
      </c>
      <c r="CB53" s="8" t="str">
        <f t="shared" si="16"/>
        <v>Wild</v>
      </c>
      <c r="CC53" s="8" t="str">
        <f t="shared" si="17"/>
        <v>M2</v>
      </c>
    </row>
    <row r="54" spans="1:81" ht="16.8" customHeight="1" thickBot="1">
      <c r="A54" s="86" t="s">
        <v>11</v>
      </c>
      <c r="B54" s="86" t="s">
        <v>12</v>
      </c>
      <c r="C54" s="64" t="s">
        <v>1</v>
      </c>
      <c r="D54" s="64" t="s">
        <v>2</v>
      </c>
      <c r="E54" s="64" t="s">
        <v>3</v>
      </c>
      <c r="F54" s="19" t="s">
        <v>29</v>
      </c>
      <c r="G54" s="2"/>
      <c r="H54" s="86" t="s">
        <v>11</v>
      </c>
      <c r="I54" s="86" t="s">
        <v>12</v>
      </c>
      <c r="J54" s="64" t="s">
        <v>1</v>
      </c>
      <c r="K54" s="64" t="s">
        <v>2</v>
      </c>
      <c r="L54" s="64" t="s">
        <v>3</v>
      </c>
      <c r="M54" s="19" t="s">
        <v>29</v>
      </c>
      <c r="O54" s="86" t="s">
        <v>11</v>
      </c>
      <c r="P54" s="86" t="s">
        <v>12</v>
      </c>
      <c r="Q54" s="64" t="s">
        <v>1</v>
      </c>
      <c r="R54" s="64" t="s">
        <v>2</v>
      </c>
      <c r="S54" s="64" t="s">
        <v>3</v>
      </c>
      <c r="T54" s="19" t="s">
        <v>29</v>
      </c>
      <c r="V54" s="27">
        <v>51</v>
      </c>
      <c r="W54" s="29" t="s">
        <v>25</v>
      </c>
      <c r="X54" s="29" t="s">
        <v>15</v>
      </c>
      <c r="Y54" s="29" t="s">
        <v>17</v>
      </c>
      <c r="Z54" s="65"/>
      <c r="AA54" s="29">
        <v>1</v>
      </c>
      <c r="AB54" s="29">
        <v>1</v>
      </c>
      <c r="AC54" s="29">
        <v>1</v>
      </c>
      <c r="AD54" s="65"/>
      <c r="AE54" s="29">
        <f t="shared" si="41"/>
        <v>1</v>
      </c>
      <c r="AF54" s="29">
        <f t="shared" si="42"/>
        <v>1</v>
      </c>
      <c r="AG54" s="29">
        <f t="shared" si="43"/>
        <v>1</v>
      </c>
      <c r="AH54" s="65"/>
      <c r="AI54" s="29">
        <f t="shared" si="54"/>
        <v>1</v>
      </c>
      <c r="AJ54" s="29">
        <f t="shared" si="55"/>
        <v>1</v>
      </c>
      <c r="AK54" s="29">
        <f t="shared" si="56"/>
        <v>1</v>
      </c>
      <c r="AL54" s="65"/>
      <c r="AM54" s="29">
        <v>1</v>
      </c>
      <c r="AN54" s="29">
        <v>1</v>
      </c>
      <c r="AO54" s="29">
        <v>1</v>
      </c>
      <c r="AP54" s="65"/>
      <c r="AQ54" s="29">
        <f t="shared" si="45"/>
        <v>1</v>
      </c>
      <c r="AR54" s="29">
        <f t="shared" si="29"/>
        <v>1</v>
      </c>
      <c r="AS54" s="29">
        <f t="shared" si="30"/>
        <v>1</v>
      </c>
      <c r="AT54" s="65"/>
      <c r="AU54" s="29">
        <f t="shared" si="57"/>
        <v>1</v>
      </c>
      <c r="AV54" s="29">
        <f t="shared" si="46"/>
        <v>1</v>
      </c>
      <c r="AW54" s="29">
        <f t="shared" si="47"/>
        <v>1</v>
      </c>
      <c r="AX54" s="65"/>
      <c r="AY54" s="29">
        <v>1</v>
      </c>
      <c r="AZ54" s="29">
        <v>1</v>
      </c>
      <c r="BA54" s="29">
        <v>1</v>
      </c>
      <c r="BB54" s="65"/>
      <c r="BC54" s="29">
        <f t="shared" si="48"/>
        <v>1</v>
      </c>
      <c r="BD54" s="29">
        <f t="shared" si="33"/>
        <v>1</v>
      </c>
      <c r="BE54" s="29">
        <f t="shared" si="34"/>
        <v>1</v>
      </c>
      <c r="BF54" s="65"/>
      <c r="BG54" s="29">
        <f t="shared" si="58"/>
        <v>1</v>
      </c>
      <c r="BH54" s="29">
        <f t="shared" si="49"/>
        <v>1</v>
      </c>
      <c r="BI54" s="29">
        <f t="shared" si="50"/>
        <v>1</v>
      </c>
      <c r="BJ54" s="65"/>
      <c r="BK54" s="29">
        <v>373</v>
      </c>
      <c r="BL54" s="29">
        <v>584</v>
      </c>
      <c r="BM54" s="29">
        <v>100</v>
      </c>
      <c r="BN54" s="65"/>
      <c r="BO54" s="29">
        <f t="shared" si="51"/>
        <v>298</v>
      </c>
      <c r="BP54" s="29">
        <f t="shared" si="37"/>
        <v>467</v>
      </c>
      <c r="BQ54" s="29">
        <f t="shared" si="38"/>
        <v>100</v>
      </c>
      <c r="BR54" s="65"/>
      <c r="BS54" s="29">
        <f t="shared" si="59"/>
        <v>373</v>
      </c>
      <c r="BT54" s="29">
        <f t="shared" si="52"/>
        <v>584</v>
      </c>
      <c r="BU54" s="29">
        <f t="shared" si="53"/>
        <v>100</v>
      </c>
      <c r="BV54" s="65"/>
      <c r="BW54" s="8">
        <f>IF(W54="","",VLOOKUP('Regular Symbol'!W54,'Regular Symbol'!$O$3:$T$13,6,0))</f>
        <v>0</v>
      </c>
      <c r="BX54" s="8">
        <f>IF(X54="","",VLOOKUP('Regular Symbol'!X54,'Regular Symbol'!$O$3:$T$13,6,0))</f>
        <v>0</v>
      </c>
      <c r="BY54" s="8">
        <f>IF(Y54="","",VLOOKUP('Regular Symbol'!Y54,'Regular Symbol'!$O$3:$T$13,6,0))</f>
        <v>2</v>
      </c>
      <c r="CA54" s="8" t="str">
        <f t="shared" si="15"/>
        <v>Wild</v>
      </c>
      <c r="CB54" s="8" t="str">
        <f t="shared" si="16"/>
        <v>Wild</v>
      </c>
      <c r="CC54" s="8" t="str">
        <f t="shared" si="17"/>
        <v>M2</v>
      </c>
    </row>
    <row r="55" spans="1:81" ht="16.8" customHeight="1">
      <c r="A55" s="75" t="s">
        <v>15</v>
      </c>
      <c r="B55" s="57" t="s">
        <v>54</v>
      </c>
      <c r="C55" s="76">
        <f>SUMIF(W$3:W$211, $A55, AY$3:AY$211)</f>
        <v>9</v>
      </c>
      <c r="D55" s="77">
        <f>SUMIF(X$3:X$211, $A55, AZ$3:AZ$211)</f>
        <v>21</v>
      </c>
      <c r="E55" s="77">
        <f>SUMIF(Y$3:Y$211, $A55, BA$3:BA$211)</f>
        <v>21</v>
      </c>
      <c r="F55" s="58">
        <v>0</v>
      </c>
      <c r="H55" s="75" t="str" cm="1">
        <f t="array" ref="H55:I62">A55:B62</f>
        <v>WW</v>
      </c>
      <c r="I55" s="57" t="str">
        <v>Wild</v>
      </c>
      <c r="J55" s="76">
        <f>SUMIF(W$3:W$211, $H55, BC$3:BC$211)</f>
        <v>9</v>
      </c>
      <c r="K55" s="77">
        <f ca="1">SUMIF(X$3:X$211, $H55, BD$3:BD$211)</f>
        <v>21</v>
      </c>
      <c r="L55" s="77">
        <f>SUMIF(Y$3:Y$211, $H55, BE$3:BE$211)</f>
        <v>21</v>
      </c>
      <c r="M55" s="58">
        <v>0</v>
      </c>
      <c r="O55" s="75" t="str" cm="1">
        <f t="array" ref="O55:P62">_xlfn.ANCHORARRAY(H55)</f>
        <v>WW</v>
      </c>
      <c r="P55" s="57" t="str">
        <v>Wild</v>
      </c>
      <c r="Q55" s="76">
        <f>SUMIF(W$3:W$211, $H55, BG$3:BG$211)</f>
        <v>9</v>
      </c>
      <c r="R55" s="77">
        <f t="shared" ref="R55:S55" ca="1" si="69">SUMIF(X$3:X$211, $H55, BH$3:BH$211)</f>
        <v>21</v>
      </c>
      <c r="S55" s="77">
        <f t="shared" si="69"/>
        <v>21</v>
      </c>
      <c r="T55" s="58">
        <v>0</v>
      </c>
      <c r="V55" s="27">
        <v>52</v>
      </c>
      <c r="W55" s="29" t="s">
        <v>25</v>
      </c>
      <c r="X55" s="29" t="s">
        <v>15</v>
      </c>
      <c r="Y55" s="29" t="s">
        <v>81</v>
      </c>
      <c r="Z55" s="65"/>
      <c r="AA55" s="29">
        <v>1</v>
      </c>
      <c r="AB55" s="29">
        <v>1</v>
      </c>
      <c r="AC55" s="29">
        <v>1</v>
      </c>
      <c r="AD55" s="65"/>
      <c r="AE55" s="29">
        <f t="shared" si="41"/>
        <v>1</v>
      </c>
      <c r="AF55" s="29">
        <f t="shared" si="42"/>
        <v>1</v>
      </c>
      <c r="AG55" s="29">
        <f t="shared" si="43"/>
        <v>1</v>
      </c>
      <c r="AH55" s="65"/>
      <c r="AI55" s="29">
        <f t="shared" si="54"/>
        <v>1</v>
      </c>
      <c r="AJ55" s="29">
        <f t="shared" si="55"/>
        <v>1</v>
      </c>
      <c r="AK55" s="29">
        <f t="shared" si="56"/>
        <v>1</v>
      </c>
      <c r="AL55" s="65"/>
      <c r="AM55" s="29">
        <v>1</v>
      </c>
      <c r="AN55" s="29">
        <v>1</v>
      </c>
      <c r="AO55" s="29">
        <v>1</v>
      </c>
      <c r="AP55" s="65"/>
      <c r="AQ55" s="29">
        <f t="shared" si="45"/>
        <v>1</v>
      </c>
      <c r="AR55" s="29">
        <f t="shared" si="29"/>
        <v>1</v>
      </c>
      <c r="AS55" s="29">
        <f t="shared" si="30"/>
        <v>1</v>
      </c>
      <c r="AT55" s="65"/>
      <c r="AU55" s="29">
        <f t="shared" si="57"/>
        <v>1</v>
      </c>
      <c r="AV55" s="29">
        <f t="shared" si="46"/>
        <v>1</v>
      </c>
      <c r="AW55" s="29">
        <f t="shared" si="47"/>
        <v>1</v>
      </c>
      <c r="AX55" s="65"/>
      <c r="AY55" s="29">
        <v>1</v>
      </c>
      <c r="AZ55" s="29">
        <v>1</v>
      </c>
      <c r="BA55" s="29">
        <v>1</v>
      </c>
      <c r="BB55" s="65"/>
      <c r="BC55" s="29">
        <f t="shared" si="48"/>
        <v>1</v>
      </c>
      <c r="BD55" s="29">
        <f t="shared" si="33"/>
        <v>1</v>
      </c>
      <c r="BE55" s="29">
        <f t="shared" si="34"/>
        <v>1</v>
      </c>
      <c r="BF55" s="65"/>
      <c r="BG55" s="29">
        <f t="shared" si="58"/>
        <v>1</v>
      </c>
      <c r="BH55" s="29">
        <f t="shared" si="49"/>
        <v>1</v>
      </c>
      <c r="BI55" s="29">
        <f t="shared" si="50"/>
        <v>1</v>
      </c>
      <c r="BJ55" s="65"/>
      <c r="BK55" s="29">
        <v>447</v>
      </c>
      <c r="BL55" s="29">
        <v>701</v>
      </c>
      <c r="BM55" s="29">
        <v>100</v>
      </c>
      <c r="BN55" s="65"/>
      <c r="BO55" s="29">
        <f t="shared" si="51"/>
        <v>373</v>
      </c>
      <c r="BP55" s="29">
        <f t="shared" si="37"/>
        <v>584</v>
      </c>
      <c r="BQ55" s="29">
        <f t="shared" si="38"/>
        <v>100</v>
      </c>
      <c r="BR55" s="65"/>
      <c r="BS55" s="29">
        <f t="shared" si="59"/>
        <v>298</v>
      </c>
      <c r="BT55" s="29">
        <f t="shared" si="52"/>
        <v>467</v>
      </c>
      <c r="BU55" s="29">
        <f t="shared" si="53"/>
        <v>100</v>
      </c>
      <c r="BV55" s="65"/>
      <c r="BW55" s="8">
        <f>IF(W55="","",VLOOKUP('Regular Symbol'!W55,'Regular Symbol'!$O$3:$T$13,6,0))</f>
        <v>0</v>
      </c>
      <c r="BX55" s="8">
        <f>IF(X55="","",VLOOKUP('Regular Symbol'!X55,'Regular Symbol'!$O$3:$T$13,6,0))</f>
        <v>0</v>
      </c>
      <c r="BY55" s="8">
        <f>IF(Y55="","",VLOOKUP('Regular Symbol'!Y55,'Regular Symbol'!$O$3:$T$13,6,0))</f>
        <v>4</v>
      </c>
      <c r="CA55" s="8" t="str">
        <f t="shared" si="15"/>
        <v>Wild</v>
      </c>
      <c r="CB55" s="8" t="str">
        <f t="shared" si="16"/>
        <v>Wild</v>
      </c>
      <c r="CC55" s="8" t="str">
        <f t="shared" si="17"/>
        <v>A</v>
      </c>
    </row>
    <row r="56" spans="1:81" ht="16.8" customHeight="1">
      <c r="A56" s="78" t="s">
        <v>16</v>
      </c>
      <c r="B56" s="155" t="s">
        <v>26</v>
      </c>
      <c r="C56" s="79">
        <f t="shared" ref="C56:C62" si="70">SUMIF(W$3:W$211, $A56, AY$3:AY$211)</f>
        <v>14</v>
      </c>
      <c r="D56" s="70">
        <f t="shared" ref="D56:D62" si="71">SUMIF(X$3:X$211, $A56, AZ$3:AZ$211)</f>
        <v>24</v>
      </c>
      <c r="E56" s="70">
        <f t="shared" ref="E56:E62" si="72">SUMIF(Y$3:Y$211, $A56, BA$3:BA$211)</f>
        <v>23</v>
      </c>
      <c r="F56" s="58">
        <v>1</v>
      </c>
      <c r="H56" s="78" t="str">
        <v>M1</v>
      </c>
      <c r="I56" s="155" t="str">
        <v>M1</v>
      </c>
      <c r="J56" s="79">
        <f t="shared" ref="J56:J62" si="73">SUMIF(W$3:W$211, $H56, BC$3:BC$211)</f>
        <v>14</v>
      </c>
      <c r="K56" s="70">
        <f t="shared" ref="K56:K62" si="74">SUMIF(X$3:X$211, $H56, BD$3:BD$211)</f>
        <v>24</v>
      </c>
      <c r="L56" s="70">
        <f t="shared" ref="L56:L62" ca="1" si="75">SUMIF(Y$3:Y$211, $H56, BE$3:BE$211)</f>
        <v>23</v>
      </c>
      <c r="M56" s="58">
        <v>1</v>
      </c>
      <c r="O56" s="78" t="str">
        <v>M1</v>
      </c>
      <c r="P56" s="155" t="str">
        <v>M1</v>
      </c>
      <c r="Q56" s="79">
        <f t="shared" ref="Q56:Q62" si="76">SUMIF(W$3:W$211, $H56, BG$3:BG$211)</f>
        <v>14</v>
      </c>
      <c r="R56" s="70">
        <f t="shared" ref="R56:R62" si="77">SUMIF(X$3:X$211, $H56, BH$3:BH$211)</f>
        <v>24</v>
      </c>
      <c r="S56" s="70">
        <f t="shared" ref="S56:S62" ca="1" si="78">SUMIF(Y$3:Y$211, $H56, BI$3:BI$211)</f>
        <v>23</v>
      </c>
      <c r="T56" s="58">
        <v>1</v>
      </c>
      <c r="V56" s="27">
        <v>53</v>
      </c>
      <c r="W56" s="29" t="s">
        <v>81</v>
      </c>
      <c r="X56" s="29" t="s">
        <v>83</v>
      </c>
      <c r="Y56" s="29" t="s">
        <v>81</v>
      </c>
      <c r="Z56" s="65"/>
      <c r="AA56" s="29">
        <v>1</v>
      </c>
      <c r="AB56" s="29">
        <v>1</v>
      </c>
      <c r="AC56" s="29">
        <v>1</v>
      </c>
      <c r="AD56" s="65"/>
      <c r="AE56" s="29">
        <f t="shared" si="41"/>
        <v>1</v>
      </c>
      <c r="AF56" s="29">
        <f t="shared" si="42"/>
        <v>1</v>
      </c>
      <c r="AG56" s="29">
        <f t="shared" si="43"/>
        <v>1</v>
      </c>
      <c r="AH56" s="65"/>
      <c r="AI56" s="29">
        <f t="shared" si="54"/>
        <v>1</v>
      </c>
      <c r="AJ56" s="29">
        <f t="shared" si="55"/>
        <v>1</v>
      </c>
      <c r="AK56" s="29">
        <f t="shared" si="56"/>
        <v>1</v>
      </c>
      <c r="AL56" s="65"/>
      <c r="AM56" s="29">
        <v>1</v>
      </c>
      <c r="AN56" s="29">
        <v>1</v>
      </c>
      <c r="AO56" s="29">
        <v>1</v>
      </c>
      <c r="AP56" s="65"/>
      <c r="AQ56" s="29">
        <f t="shared" si="45"/>
        <v>1</v>
      </c>
      <c r="AR56" s="29">
        <f t="shared" si="29"/>
        <v>1</v>
      </c>
      <c r="AS56" s="29">
        <f t="shared" si="30"/>
        <v>1</v>
      </c>
      <c r="AT56" s="65"/>
      <c r="AU56" s="29">
        <f t="shared" si="57"/>
        <v>1</v>
      </c>
      <c r="AV56" s="29">
        <f t="shared" si="46"/>
        <v>1</v>
      </c>
      <c r="AW56" s="29">
        <f t="shared" si="47"/>
        <v>1</v>
      </c>
      <c r="AX56" s="65"/>
      <c r="AY56" s="29">
        <v>1</v>
      </c>
      <c r="AZ56" s="29">
        <v>1</v>
      </c>
      <c r="BA56" s="29">
        <v>1</v>
      </c>
      <c r="BB56" s="65"/>
      <c r="BC56" s="29">
        <f t="shared" si="48"/>
        <v>1</v>
      </c>
      <c r="BD56" s="29">
        <f t="shared" si="33"/>
        <v>1</v>
      </c>
      <c r="BE56" s="29">
        <f t="shared" si="34"/>
        <v>1</v>
      </c>
      <c r="BF56" s="65"/>
      <c r="BG56" s="29">
        <f t="shared" si="58"/>
        <v>1</v>
      </c>
      <c r="BH56" s="29">
        <f t="shared" si="49"/>
        <v>1</v>
      </c>
      <c r="BI56" s="29">
        <f t="shared" si="50"/>
        <v>1</v>
      </c>
      <c r="BJ56" s="65"/>
      <c r="BK56" s="29">
        <v>100</v>
      </c>
      <c r="BL56" s="29">
        <v>100</v>
      </c>
      <c r="BM56" s="29">
        <v>100</v>
      </c>
      <c r="BN56" s="65"/>
      <c r="BO56" s="29">
        <f t="shared" si="51"/>
        <v>447</v>
      </c>
      <c r="BP56" s="29">
        <f t="shared" si="37"/>
        <v>701</v>
      </c>
      <c r="BQ56" s="29">
        <f t="shared" si="38"/>
        <v>100</v>
      </c>
      <c r="BR56" s="65"/>
      <c r="BS56" s="29">
        <f t="shared" si="59"/>
        <v>373</v>
      </c>
      <c r="BT56" s="29">
        <f t="shared" si="52"/>
        <v>584</v>
      </c>
      <c r="BU56" s="29">
        <f t="shared" si="53"/>
        <v>100</v>
      </c>
      <c r="BV56" s="65"/>
      <c r="BW56" s="8">
        <f>IF(W56="","",VLOOKUP('Regular Symbol'!W56,'Regular Symbol'!$O$3:$T$13,6,0))</f>
        <v>4</v>
      </c>
      <c r="BX56" s="8">
        <f>IF(X56="","",VLOOKUP('Regular Symbol'!X56,'Regular Symbol'!$O$3:$T$13,6,0))</f>
        <v>6</v>
      </c>
      <c r="BY56" s="8">
        <f>IF(Y56="","",VLOOKUP('Regular Symbol'!Y56,'Regular Symbol'!$O$3:$T$13,6,0))</f>
        <v>4</v>
      </c>
      <c r="CA56" s="8" t="str">
        <f t="shared" si="15"/>
        <v>A</v>
      </c>
      <c r="CB56" s="8" t="str">
        <f t="shared" si="16"/>
        <v>Q</v>
      </c>
      <c r="CC56" s="8" t="str">
        <f t="shared" si="17"/>
        <v>A</v>
      </c>
    </row>
    <row r="57" spans="1:81" ht="16.8" customHeight="1">
      <c r="A57" s="78" t="s">
        <v>17</v>
      </c>
      <c r="B57" s="58" t="s">
        <v>27</v>
      </c>
      <c r="C57" s="79">
        <f t="shared" si="70"/>
        <v>13</v>
      </c>
      <c r="D57" s="70">
        <f t="shared" si="71"/>
        <v>26</v>
      </c>
      <c r="E57" s="70">
        <f t="shared" si="72"/>
        <v>27</v>
      </c>
      <c r="F57" s="58">
        <v>2</v>
      </c>
      <c r="H57" s="78" t="str">
        <v>M2</v>
      </c>
      <c r="I57" s="58" t="str">
        <v>M2</v>
      </c>
      <c r="J57" s="79">
        <f t="shared" si="73"/>
        <v>13</v>
      </c>
      <c r="K57" s="70">
        <f t="shared" si="74"/>
        <v>26</v>
      </c>
      <c r="L57" s="70">
        <f t="shared" si="75"/>
        <v>27</v>
      </c>
      <c r="M57" s="58">
        <v>2</v>
      </c>
      <c r="O57" s="78" t="str">
        <v>M2</v>
      </c>
      <c r="P57" s="58" t="str">
        <v>M2</v>
      </c>
      <c r="Q57" s="79">
        <f t="shared" si="76"/>
        <v>13</v>
      </c>
      <c r="R57" s="70">
        <f t="shared" si="77"/>
        <v>26</v>
      </c>
      <c r="S57" s="70">
        <f t="shared" si="78"/>
        <v>27</v>
      </c>
      <c r="T57" s="58">
        <v>2</v>
      </c>
      <c r="V57" s="27">
        <v>54</v>
      </c>
      <c r="W57" s="29" t="s">
        <v>81</v>
      </c>
      <c r="X57" s="29" t="s">
        <v>83</v>
      </c>
      <c r="Y57" s="29" t="s">
        <v>81</v>
      </c>
      <c r="Z57" s="65"/>
      <c r="AA57" s="29">
        <v>1</v>
      </c>
      <c r="AB57" s="29">
        <v>1</v>
      </c>
      <c r="AC57" s="29">
        <v>1</v>
      </c>
      <c r="AD57" s="65"/>
      <c r="AE57" s="29">
        <f t="shared" si="41"/>
        <v>1</v>
      </c>
      <c r="AF57" s="29">
        <f t="shared" si="42"/>
        <v>1</v>
      </c>
      <c r="AG57" s="29">
        <f t="shared" si="43"/>
        <v>1</v>
      </c>
      <c r="AH57" s="65"/>
      <c r="AI57" s="29">
        <f t="shared" si="54"/>
        <v>1</v>
      </c>
      <c r="AJ57" s="29">
        <f t="shared" si="55"/>
        <v>1</v>
      </c>
      <c r="AK57" s="29">
        <f t="shared" si="56"/>
        <v>1</v>
      </c>
      <c r="AL57" s="65"/>
      <c r="AM57" s="29">
        <v>1</v>
      </c>
      <c r="AN57" s="29">
        <v>1</v>
      </c>
      <c r="AO57" s="29">
        <v>1</v>
      </c>
      <c r="AP57" s="65"/>
      <c r="AQ57" s="29">
        <f t="shared" si="45"/>
        <v>1</v>
      </c>
      <c r="AR57" s="29">
        <f t="shared" si="29"/>
        <v>1</v>
      </c>
      <c r="AS57" s="29">
        <f t="shared" si="30"/>
        <v>1</v>
      </c>
      <c r="AT57" s="65"/>
      <c r="AU57" s="29">
        <f t="shared" si="57"/>
        <v>1</v>
      </c>
      <c r="AV57" s="29">
        <f t="shared" si="46"/>
        <v>1</v>
      </c>
      <c r="AW57" s="29">
        <f t="shared" si="47"/>
        <v>1</v>
      </c>
      <c r="AX57" s="65"/>
      <c r="AY57" s="29">
        <v>1</v>
      </c>
      <c r="AZ57" s="29">
        <v>1</v>
      </c>
      <c r="BA57" s="29">
        <v>1</v>
      </c>
      <c r="BB57" s="65"/>
      <c r="BC57" s="29">
        <f t="shared" si="48"/>
        <v>1</v>
      </c>
      <c r="BD57" s="29">
        <f t="shared" si="33"/>
        <v>1</v>
      </c>
      <c r="BE57" s="29">
        <f t="shared" si="34"/>
        <v>1</v>
      </c>
      <c r="BF57" s="65"/>
      <c r="BG57" s="29">
        <f t="shared" si="58"/>
        <v>1</v>
      </c>
      <c r="BH57" s="29">
        <f t="shared" si="49"/>
        <v>1</v>
      </c>
      <c r="BI57" s="29">
        <f t="shared" si="50"/>
        <v>1</v>
      </c>
      <c r="BJ57" s="65"/>
      <c r="BK57" s="29">
        <v>100</v>
      </c>
      <c r="BL57" s="29">
        <v>100</v>
      </c>
      <c r="BM57" s="29">
        <v>100</v>
      </c>
      <c r="BN57" s="65"/>
      <c r="BO57" s="29">
        <f t="shared" si="51"/>
        <v>100</v>
      </c>
      <c r="BP57" s="29">
        <f t="shared" si="37"/>
        <v>100</v>
      </c>
      <c r="BQ57" s="29">
        <f t="shared" si="38"/>
        <v>100</v>
      </c>
      <c r="BR57" s="65"/>
      <c r="BS57" s="29">
        <f t="shared" si="59"/>
        <v>447</v>
      </c>
      <c r="BT57" s="29">
        <f t="shared" si="52"/>
        <v>701</v>
      </c>
      <c r="BU57" s="29">
        <f t="shared" si="53"/>
        <v>100</v>
      </c>
      <c r="BV57" s="65"/>
      <c r="BW57" s="8">
        <f>IF(W57="","",VLOOKUP('Regular Symbol'!W57,'Regular Symbol'!$O$3:$T$13,6,0))</f>
        <v>4</v>
      </c>
      <c r="BX57" s="8">
        <f>IF(X57="","",VLOOKUP('Regular Symbol'!X57,'Regular Symbol'!$O$3:$T$13,6,0))</f>
        <v>6</v>
      </c>
      <c r="BY57" s="8">
        <f>IF(Y57="","",VLOOKUP('Regular Symbol'!Y57,'Regular Symbol'!$O$3:$T$13,6,0))</f>
        <v>4</v>
      </c>
      <c r="CA57" s="8" t="str">
        <f t="shared" si="15"/>
        <v>A</v>
      </c>
      <c r="CB57" s="8" t="str">
        <f t="shared" si="16"/>
        <v>Q</v>
      </c>
      <c r="CC57" s="8" t="str">
        <f t="shared" si="17"/>
        <v>A</v>
      </c>
    </row>
    <row r="58" spans="1:81" ht="16.8" customHeight="1">
      <c r="A58" s="78" t="s">
        <v>18</v>
      </c>
      <c r="B58" s="58" t="s">
        <v>28</v>
      </c>
      <c r="C58" s="79">
        <f t="shared" si="70"/>
        <v>14</v>
      </c>
      <c r="D58" s="70">
        <f t="shared" si="71"/>
        <v>25</v>
      </c>
      <c r="E58" s="70">
        <f t="shared" si="72"/>
        <v>28</v>
      </c>
      <c r="F58" s="58">
        <v>3</v>
      </c>
      <c r="H58" s="78" t="str">
        <v>M3</v>
      </c>
      <c r="I58" s="58" t="str">
        <v>M3</v>
      </c>
      <c r="J58" s="79">
        <f t="shared" si="73"/>
        <v>14</v>
      </c>
      <c r="K58" s="70">
        <f t="shared" si="74"/>
        <v>25</v>
      </c>
      <c r="L58" s="70">
        <f t="shared" si="75"/>
        <v>28</v>
      </c>
      <c r="M58" s="58">
        <v>3</v>
      </c>
      <c r="O58" s="78" t="str">
        <v>M3</v>
      </c>
      <c r="P58" s="58" t="str">
        <v>M3</v>
      </c>
      <c r="Q58" s="79">
        <f t="shared" si="76"/>
        <v>14</v>
      </c>
      <c r="R58" s="70">
        <f t="shared" si="77"/>
        <v>25</v>
      </c>
      <c r="S58" s="70">
        <f t="shared" si="78"/>
        <v>28</v>
      </c>
      <c r="T58" s="58">
        <v>3</v>
      </c>
      <c r="V58" s="27">
        <v>55</v>
      </c>
      <c r="W58" s="29" t="s">
        <v>18</v>
      </c>
      <c r="X58" s="29" t="s">
        <v>81</v>
      </c>
      <c r="Y58" s="29" t="s">
        <v>18</v>
      </c>
      <c r="Z58" s="65"/>
      <c r="AA58" s="29">
        <v>1</v>
      </c>
      <c r="AB58" s="29">
        <v>1</v>
      </c>
      <c r="AC58" s="29">
        <v>1</v>
      </c>
      <c r="AD58" s="65"/>
      <c r="AE58" s="29">
        <f t="shared" si="41"/>
        <v>1</v>
      </c>
      <c r="AF58" s="29">
        <f t="shared" si="42"/>
        <v>1</v>
      </c>
      <c r="AG58" s="29">
        <f t="shared" si="43"/>
        <v>1</v>
      </c>
      <c r="AH58" s="65"/>
      <c r="AI58" s="29">
        <f t="shared" si="54"/>
        <v>1</v>
      </c>
      <c r="AJ58" s="29">
        <f t="shared" si="55"/>
        <v>1</v>
      </c>
      <c r="AK58" s="29">
        <f t="shared" si="56"/>
        <v>1</v>
      </c>
      <c r="AL58" s="65"/>
      <c r="AM58" s="29">
        <v>1</v>
      </c>
      <c r="AN58" s="29">
        <v>1</v>
      </c>
      <c r="AO58" s="29">
        <v>1</v>
      </c>
      <c r="AP58" s="65"/>
      <c r="AQ58" s="29">
        <f t="shared" si="45"/>
        <v>1</v>
      </c>
      <c r="AR58" s="29">
        <f t="shared" si="29"/>
        <v>1</v>
      </c>
      <c r="AS58" s="29">
        <f t="shared" si="30"/>
        <v>1</v>
      </c>
      <c r="AT58" s="65"/>
      <c r="AU58" s="29">
        <f t="shared" si="57"/>
        <v>1</v>
      </c>
      <c r="AV58" s="29">
        <f t="shared" si="46"/>
        <v>1</v>
      </c>
      <c r="AW58" s="29">
        <f t="shared" si="47"/>
        <v>1</v>
      </c>
      <c r="AX58" s="65"/>
      <c r="AY58" s="29">
        <v>1</v>
      </c>
      <c r="AZ58" s="29">
        <v>1</v>
      </c>
      <c r="BA58" s="29">
        <v>1</v>
      </c>
      <c r="BB58" s="65"/>
      <c r="BC58" s="29">
        <f t="shared" si="48"/>
        <v>1</v>
      </c>
      <c r="BD58" s="29">
        <f t="shared" si="33"/>
        <v>1</v>
      </c>
      <c r="BE58" s="29">
        <f t="shared" si="34"/>
        <v>1</v>
      </c>
      <c r="BF58" s="65"/>
      <c r="BG58" s="29">
        <f t="shared" si="58"/>
        <v>1</v>
      </c>
      <c r="BH58" s="29">
        <f t="shared" si="49"/>
        <v>1</v>
      </c>
      <c r="BI58" s="29">
        <f t="shared" si="50"/>
        <v>1</v>
      </c>
      <c r="BJ58" s="65"/>
      <c r="BK58" s="29">
        <v>100</v>
      </c>
      <c r="BL58" s="29">
        <v>100</v>
      </c>
      <c r="BM58" s="29">
        <v>100</v>
      </c>
      <c r="BN58" s="65"/>
      <c r="BO58" s="29">
        <f t="shared" si="51"/>
        <v>100</v>
      </c>
      <c r="BP58" s="29">
        <f t="shared" si="37"/>
        <v>100</v>
      </c>
      <c r="BQ58" s="29">
        <f t="shared" si="38"/>
        <v>100</v>
      </c>
      <c r="BR58" s="65"/>
      <c r="BS58" s="29">
        <f t="shared" si="59"/>
        <v>100</v>
      </c>
      <c r="BT58" s="29">
        <f t="shared" si="52"/>
        <v>100</v>
      </c>
      <c r="BU58" s="29">
        <f t="shared" si="53"/>
        <v>100</v>
      </c>
      <c r="BV58" s="65"/>
      <c r="BW58" s="8">
        <f>IF(W58="","",VLOOKUP('Regular Symbol'!W58,'Regular Symbol'!$O$3:$T$13,6,0))</f>
        <v>3</v>
      </c>
      <c r="BX58" s="8">
        <f>IF(X58="","",VLOOKUP('Regular Symbol'!X58,'Regular Symbol'!$O$3:$T$13,6,0))</f>
        <v>4</v>
      </c>
      <c r="BY58" s="8">
        <f>IF(Y58="","",VLOOKUP('Regular Symbol'!Y58,'Regular Symbol'!$O$3:$T$13,6,0))</f>
        <v>3</v>
      </c>
      <c r="CA58" s="8" t="str">
        <f t="shared" si="15"/>
        <v>M3</v>
      </c>
      <c r="CB58" s="8" t="str">
        <f t="shared" si="16"/>
        <v>A</v>
      </c>
      <c r="CC58" s="8" t="str">
        <f t="shared" si="17"/>
        <v>M3</v>
      </c>
    </row>
    <row r="59" spans="1:81" ht="16.8" customHeight="1">
      <c r="A59" s="78" t="s">
        <v>41</v>
      </c>
      <c r="B59" s="58" t="s">
        <v>41</v>
      </c>
      <c r="C59" s="79">
        <f t="shared" si="70"/>
        <v>18</v>
      </c>
      <c r="D59" s="70">
        <f t="shared" si="71"/>
        <v>30</v>
      </c>
      <c r="E59" s="70">
        <f t="shared" si="72"/>
        <v>23</v>
      </c>
      <c r="F59" s="58">
        <v>4</v>
      </c>
      <c r="H59" s="78" t="str">
        <v>A</v>
      </c>
      <c r="I59" s="58" t="str">
        <v>A</v>
      </c>
      <c r="J59" s="79">
        <f t="shared" si="73"/>
        <v>18</v>
      </c>
      <c r="K59" s="70">
        <f t="shared" si="74"/>
        <v>30</v>
      </c>
      <c r="L59" s="70">
        <f t="shared" si="75"/>
        <v>23</v>
      </c>
      <c r="M59" s="58">
        <v>4</v>
      </c>
      <c r="O59" s="78" t="str">
        <v>A</v>
      </c>
      <c r="P59" s="58" t="str">
        <v>A</v>
      </c>
      <c r="Q59" s="79">
        <f t="shared" si="76"/>
        <v>18</v>
      </c>
      <c r="R59" s="70">
        <f t="shared" si="77"/>
        <v>30</v>
      </c>
      <c r="S59" s="70">
        <f t="shared" si="78"/>
        <v>23</v>
      </c>
      <c r="T59" s="58">
        <v>4</v>
      </c>
      <c r="V59" s="27">
        <v>56</v>
      </c>
      <c r="W59" s="29" t="s">
        <v>18</v>
      </c>
      <c r="X59" s="29" t="s">
        <v>81</v>
      </c>
      <c r="Y59" s="29" t="s">
        <v>18</v>
      </c>
      <c r="Z59" s="65"/>
      <c r="AA59" s="29">
        <v>1</v>
      </c>
      <c r="AB59" s="29">
        <v>1</v>
      </c>
      <c r="AC59" s="29">
        <v>1</v>
      </c>
      <c r="AD59" s="65"/>
      <c r="AE59" s="29">
        <f t="shared" si="41"/>
        <v>1</v>
      </c>
      <c r="AF59" s="29">
        <f t="shared" si="42"/>
        <v>1</v>
      </c>
      <c r="AG59" s="29">
        <f t="shared" si="43"/>
        <v>1</v>
      </c>
      <c r="AH59" s="65"/>
      <c r="AI59" s="29">
        <f t="shared" si="54"/>
        <v>1</v>
      </c>
      <c r="AJ59" s="29">
        <f t="shared" si="55"/>
        <v>1</v>
      </c>
      <c r="AK59" s="29">
        <f t="shared" si="56"/>
        <v>1</v>
      </c>
      <c r="AL59" s="65"/>
      <c r="AM59" s="29">
        <v>1</v>
      </c>
      <c r="AN59" s="29">
        <v>1</v>
      </c>
      <c r="AO59" s="29">
        <v>1</v>
      </c>
      <c r="AP59" s="65"/>
      <c r="AQ59" s="29">
        <f t="shared" si="45"/>
        <v>1</v>
      </c>
      <c r="AR59" s="29">
        <f t="shared" si="29"/>
        <v>1</v>
      </c>
      <c r="AS59" s="29">
        <f t="shared" si="30"/>
        <v>1</v>
      </c>
      <c r="AT59" s="65"/>
      <c r="AU59" s="29">
        <f t="shared" si="57"/>
        <v>1</v>
      </c>
      <c r="AV59" s="29">
        <f t="shared" si="46"/>
        <v>1</v>
      </c>
      <c r="AW59" s="29">
        <f t="shared" si="47"/>
        <v>1</v>
      </c>
      <c r="AX59" s="65"/>
      <c r="AY59" s="29">
        <v>1</v>
      </c>
      <c r="AZ59" s="29">
        <v>1</v>
      </c>
      <c r="BA59" s="29">
        <v>1</v>
      </c>
      <c r="BB59" s="65"/>
      <c r="BC59" s="29">
        <f t="shared" si="48"/>
        <v>1</v>
      </c>
      <c r="BD59" s="29">
        <f t="shared" si="33"/>
        <v>1</v>
      </c>
      <c r="BE59" s="29">
        <f t="shared" si="34"/>
        <v>1</v>
      </c>
      <c r="BF59" s="65"/>
      <c r="BG59" s="29">
        <f t="shared" si="58"/>
        <v>1</v>
      </c>
      <c r="BH59" s="29">
        <f t="shared" si="49"/>
        <v>1</v>
      </c>
      <c r="BI59" s="29">
        <f t="shared" si="50"/>
        <v>1</v>
      </c>
      <c r="BJ59" s="65"/>
      <c r="BK59" s="29">
        <v>100</v>
      </c>
      <c r="BL59" s="29">
        <v>100</v>
      </c>
      <c r="BM59" s="29">
        <v>100</v>
      </c>
      <c r="BN59" s="65"/>
      <c r="BO59" s="29">
        <f t="shared" si="51"/>
        <v>100</v>
      </c>
      <c r="BP59" s="29">
        <f t="shared" si="37"/>
        <v>100</v>
      </c>
      <c r="BQ59" s="29">
        <f t="shared" si="38"/>
        <v>100</v>
      </c>
      <c r="BR59" s="65"/>
      <c r="BS59" s="29">
        <f t="shared" si="59"/>
        <v>100</v>
      </c>
      <c r="BT59" s="29">
        <f t="shared" si="52"/>
        <v>100</v>
      </c>
      <c r="BU59" s="29">
        <f t="shared" si="53"/>
        <v>100</v>
      </c>
      <c r="BV59" s="65"/>
      <c r="BW59" s="8">
        <f>IF(W59="","",VLOOKUP('Regular Symbol'!W59,'Regular Symbol'!$O$3:$T$13,6,0))</f>
        <v>3</v>
      </c>
      <c r="BX59" s="8">
        <f>IF(X59="","",VLOOKUP('Regular Symbol'!X59,'Regular Symbol'!$O$3:$T$13,6,0))</f>
        <v>4</v>
      </c>
      <c r="BY59" s="8">
        <f>IF(Y59="","",VLOOKUP('Regular Symbol'!Y59,'Regular Symbol'!$O$3:$T$13,6,0))</f>
        <v>3</v>
      </c>
      <c r="CA59" s="8" t="str">
        <f t="shared" si="15"/>
        <v>M3</v>
      </c>
      <c r="CB59" s="8" t="str">
        <f t="shared" si="16"/>
        <v>A</v>
      </c>
      <c r="CC59" s="8" t="str">
        <f t="shared" si="17"/>
        <v>M3</v>
      </c>
    </row>
    <row r="60" spans="1:81" ht="16.8" customHeight="1">
      <c r="A60" s="78" t="s">
        <v>38</v>
      </c>
      <c r="B60" s="58" t="s">
        <v>38</v>
      </c>
      <c r="C60" s="79">
        <f t="shared" si="70"/>
        <v>19</v>
      </c>
      <c r="D60" s="70">
        <f t="shared" si="71"/>
        <v>28</v>
      </c>
      <c r="E60" s="70">
        <f t="shared" si="72"/>
        <v>27</v>
      </c>
      <c r="F60" s="58">
        <v>5</v>
      </c>
      <c r="H60" s="78" t="str">
        <v>K</v>
      </c>
      <c r="I60" s="58" t="str">
        <v>K</v>
      </c>
      <c r="J60" s="79">
        <f t="shared" si="73"/>
        <v>19</v>
      </c>
      <c r="K60" s="70">
        <f t="shared" si="74"/>
        <v>28</v>
      </c>
      <c r="L60" s="70">
        <f t="shared" si="75"/>
        <v>27</v>
      </c>
      <c r="M60" s="58">
        <v>5</v>
      </c>
      <c r="O60" s="78" t="str">
        <v>K</v>
      </c>
      <c r="P60" s="58" t="str">
        <v>K</v>
      </c>
      <c r="Q60" s="79">
        <f t="shared" ca="1" si="76"/>
        <v>19</v>
      </c>
      <c r="R60" s="70">
        <f t="shared" si="77"/>
        <v>28</v>
      </c>
      <c r="S60" s="70">
        <f t="shared" si="78"/>
        <v>27</v>
      </c>
      <c r="T60" s="58">
        <v>5</v>
      </c>
      <c r="V60" s="27">
        <v>57</v>
      </c>
      <c r="W60" s="29" t="s">
        <v>82</v>
      </c>
      <c r="X60" s="29" t="s">
        <v>81</v>
      </c>
      <c r="Y60" s="29" t="s">
        <v>18</v>
      </c>
      <c r="Z60" s="65"/>
      <c r="AA60" s="29">
        <v>1</v>
      </c>
      <c r="AB60" s="29">
        <v>1</v>
      </c>
      <c r="AC60" s="29">
        <v>1</v>
      </c>
      <c r="AD60" s="65"/>
      <c r="AE60" s="29">
        <f t="shared" si="41"/>
        <v>1</v>
      </c>
      <c r="AF60" s="29">
        <f t="shared" si="42"/>
        <v>1</v>
      </c>
      <c r="AG60" s="29">
        <f t="shared" si="43"/>
        <v>1</v>
      </c>
      <c r="AH60" s="65"/>
      <c r="AI60" s="29">
        <f t="shared" si="54"/>
        <v>1</v>
      </c>
      <c r="AJ60" s="29">
        <f t="shared" si="55"/>
        <v>1</v>
      </c>
      <c r="AK60" s="29">
        <f t="shared" si="56"/>
        <v>1</v>
      </c>
      <c r="AL60" s="65"/>
      <c r="AM60" s="29">
        <v>1</v>
      </c>
      <c r="AN60" s="29">
        <v>1</v>
      </c>
      <c r="AO60" s="29">
        <v>1</v>
      </c>
      <c r="AP60" s="65"/>
      <c r="AQ60" s="29">
        <f t="shared" si="45"/>
        <v>1</v>
      </c>
      <c r="AR60" s="29">
        <f t="shared" si="29"/>
        <v>1</v>
      </c>
      <c r="AS60" s="29">
        <f t="shared" si="30"/>
        <v>1</v>
      </c>
      <c r="AT60" s="65"/>
      <c r="AU60" s="29">
        <f t="shared" si="57"/>
        <v>1</v>
      </c>
      <c r="AV60" s="29">
        <f t="shared" si="46"/>
        <v>1</v>
      </c>
      <c r="AW60" s="29">
        <f t="shared" si="47"/>
        <v>1</v>
      </c>
      <c r="AX60" s="65"/>
      <c r="AY60" s="29">
        <v>1</v>
      </c>
      <c r="AZ60" s="29">
        <v>1</v>
      </c>
      <c r="BA60" s="29">
        <v>1</v>
      </c>
      <c r="BB60" s="65"/>
      <c r="BC60" s="29">
        <f t="shared" si="48"/>
        <v>1</v>
      </c>
      <c r="BD60" s="29">
        <f t="shared" si="33"/>
        <v>1</v>
      </c>
      <c r="BE60" s="29">
        <f t="shared" si="34"/>
        <v>1</v>
      </c>
      <c r="BF60" s="65"/>
      <c r="BG60" s="29">
        <f t="shared" si="58"/>
        <v>1</v>
      </c>
      <c r="BH60" s="29">
        <f t="shared" si="49"/>
        <v>1</v>
      </c>
      <c r="BI60" s="29">
        <f t="shared" si="50"/>
        <v>1</v>
      </c>
      <c r="BJ60" s="65"/>
      <c r="BK60" s="29">
        <v>100</v>
      </c>
      <c r="BL60" s="29">
        <v>100</v>
      </c>
      <c r="BM60" s="29">
        <v>100</v>
      </c>
      <c r="BN60" s="65"/>
      <c r="BO60" s="29">
        <f t="shared" si="51"/>
        <v>100</v>
      </c>
      <c r="BP60" s="29">
        <f t="shared" si="37"/>
        <v>100</v>
      </c>
      <c r="BQ60" s="29">
        <f t="shared" si="38"/>
        <v>100</v>
      </c>
      <c r="BR60" s="65"/>
      <c r="BS60" s="29">
        <f t="shared" si="59"/>
        <v>100</v>
      </c>
      <c r="BT60" s="29">
        <f t="shared" si="52"/>
        <v>100</v>
      </c>
      <c r="BU60" s="29">
        <f t="shared" si="53"/>
        <v>100</v>
      </c>
      <c r="BV60" s="65"/>
      <c r="BW60" s="8">
        <f>IF(W60="","",VLOOKUP('Regular Symbol'!W60,'Regular Symbol'!$O$3:$T$13,6,0))</f>
        <v>5</v>
      </c>
      <c r="BX60" s="8">
        <f>IF(X60="","",VLOOKUP('Regular Symbol'!X60,'Regular Symbol'!$O$3:$T$13,6,0))</f>
        <v>4</v>
      </c>
      <c r="BY60" s="8">
        <f>IF(Y60="","",VLOOKUP('Regular Symbol'!Y60,'Regular Symbol'!$O$3:$T$13,6,0))</f>
        <v>3</v>
      </c>
      <c r="CA60" s="8" t="str">
        <f t="shared" si="15"/>
        <v>K</v>
      </c>
      <c r="CB60" s="8" t="str">
        <f t="shared" si="16"/>
        <v>A</v>
      </c>
      <c r="CC60" s="8" t="str">
        <f t="shared" si="17"/>
        <v>M3</v>
      </c>
    </row>
    <row r="61" spans="1:81" ht="16.8" customHeight="1">
      <c r="A61" s="78" t="s">
        <v>40</v>
      </c>
      <c r="B61" s="58" t="s">
        <v>40</v>
      </c>
      <c r="C61" s="79">
        <f t="shared" si="70"/>
        <v>17</v>
      </c>
      <c r="D61" s="70">
        <f t="shared" si="71"/>
        <v>29</v>
      </c>
      <c r="E61" s="70">
        <f t="shared" si="72"/>
        <v>27</v>
      </c>
      <c r="F61" s="58">
        <v>6</v>
      </c>
      <c r="H61" s="78" t="str">
        <v>Q</v>
      </c>
      <c r="I61" s="58" t="str">
        <v>Q</v>
      </c>
      <c r="J61" s="79">
        <f t="shared" si="73"/>
        <v>17</v>
      </c>
      <c r="K61" s="70">
        <f t="shared" si="74"/>
        <v>29</v>
      </c>
      <c r="L61" s="70">
        <f t="shared" si="75"/>
        <v>27</v>
      </c>
      <c r="M61" s="58">
        <v>6</v>
      </c>
      <c r="O61" s="78" t="str">
        <v>Q</v>
      </c>
      <c r="P61" s="58" t="str">
        <v>Q</v>
      </c>
      <c r="Q61" s="79">
        <f t="shared" si="76"/>
        <v>17</v>
      </c>
      <c r="R61" s="70">
        <f t="shared" si="77"/>
        <v>29</v>
      </c>
      <c r="S61" s="70">
        <f t="shared" si="78"/>
        <v>27</v>
      </c>
      <c r="T61" s="58">
        <v>6</v>
      </c>
      <c r="V61" s="27">
        <v>58</v>
      </c>
      <c r="W61" s="29" t="s">
        <v>82</v>
      </c>
      <c r="X61" s="29" t="s">
        <v>17</v>
      </c>
      <c r="Y61" s="29" t="s">
        <v>83</v>
      </c>
      <c r="Z61" s="65"/>
      <c r="AA61" s="29">
        <v>1</v>
      </c>
      <c r="AB61" s="29">
        <v>1</v>
      </c>
      <c r="AC61" s="29">
        <v>1</v>
      </c>
      <c r="AD61" s="65"/>
      <c r="AE61" s="29">
        <f t="shared" si="41"/>
        <v>1</v>
      </c>
      <c r="AF61" s="29">
        <f t="shared" si="42"/>
        <v>1</v>
      </c>
      <c r="AG61" s="29">
        <f t="shared" si="43"/>
        <v>1</v>
      </c>
      <c r="AH61" s="65"/>
      <c r="AI61" s="29">
        <f t="shared" si="54"/>
        <v>1</v>
      </c>
      <c r="AJ61" s="29">
        <f t="shared" si="55"/>
        <v>1</v>
      </c>
      <c r="AK61" s="29">
        <f t="shared" si="56"/>
        <v>1</v>
      </c>
      <c r="AL61" s="65"/>
      <c r="AM61" s="29">
        <v>1</v>
      </c>
      <c r="AN61" s="29">
        <v>1</v>
      </c>
      <c r="AO61" s="29">
        <v>1</v>
      </c>
      <c r="AP61" s="65"/>
      <c r="AQ61" s="29">
        <f t="shared" si="45"/>
        <v>1</v>
      </c>
      <c r="AR61" s="29">
        <f t="shared" si="29"/>
        <v>1</v>
      </c>
      <c r="AS61" s="29">
        <f t="shared" si="30"/>
        <v>1</v>
      </c>
      <c r="AT61" s="65"/>
      <c r="AU61" s="29">
        <f t="shared" si="57"/>
        <v>1</v>
      </c>
      <c r="AV61" s="29">
        <f t="shared" si="46"/>
        <v>1</v>
      </c>
      <c r="AW61" s="29">
        <f t="shared" si="47"/>
        <v>1</v>
      </c>
      <c r="AX61" s="65"/>
      <c r="AY61" s="29">
        <v>1</v>
      </c>
      <c r="AZ61" s="29">
        <v>1</v>
      </c>
      <c r="BA61" s="29">
        <v>1</v>
      </c>
      <c r="BB61" s="65"/>
      <c r="BC61" s="29">
        <f t="shared" si="48"/>
        <v>1</v>
      </c>
      <c r="BD61" s="29">
        <f t="shared" si="33"/>
        <v>1</v>
      </c>
      <c r="BE61" s="29">
        <f t="shared" si="34"/>
        <v>1</v>
      </c>
      <c r="BF61" s="65"/>
      <c r="BG61" s="29">
        <f t="shared" si="58"/>
        <v>1</v>
      </c>
      <c r="BH61" s="29">
        <f t="shared" si="49"/>
        <v>1</v>
      </c>
      <c r="BI61" s="29">
        <f t="shared" si="50"/>
        <v>1</v>
      </c>
      <c r="BJ61" s="65"/>
      <c r="BK61" s="29">
        <v>100</v>
      </c>
      <c r="BL61" s="29">
        <v>100</v>
      </c>
      <c r="BM61" s="29">
        <v>100</v>
      </c>
      <c r="BN61" s="65"/>
      <c r="BO61" s="29">
        <f t="shared" si="51"/>
        <v>100</v>
      </c>
      <c r="BP61" s="29">
        <f t="shared" si="37"/>
        <v>100</v>
      </c>
      <c r="BQ61" s="29">
        <f t="shared" si="38"/>
        <v>100</v>
      </c>
      <c r="BR61" s="65"/>
      <c r="BS61" s="29">
        <f t="shared" si="59"/>
        <v>100</v>
      </c>
      <c r="BT61" s="29">
        <f t="shared" si="52"/>
        <v>100</v>
      </c>
      <c r="BU61" s="29">
        <f t="shared" si="53"/>
        <v>100</v>
      </c>
      <c r="BV61" s="65"/>
      <c r="BW61" s="8">
        <f>IF(W61="","",VLOOKUP('Regular Symbol'!W61,'Regular Symbol'!$O$3:$T$13,6,0))</f>
        <v>5</v>
      </c>
      <c r="BX61" s="8">
        <f>IF(X61="","",VLOOKUP('Regular Symbol'!X61,'Regular Symbol'!$O$3:$T$13,6,0))</f>
        <v>2</v>
      </c>
      <c r="BY61" s="8">
        <f>IF(Y61="","",VLOOKUP('Regular Symbol'!Y61,'Regular Symbol'!$O$3:$T$13,6,0))</f>
        <v>6</v>
      </c>
      <c r="CA61" s="8" t="str">
        <f t="shared" si="15"/>
        <v>K</v>
      </c>
      <c r="CB61" s="8" t="str">
        <f t="shared" si="16"/>
        <v>M2</v>
      </c>
      <c r="CC61" s="8" t="str">
        <f t="shared" si="17"/>
        <v>Q</v>
      </c>
    </row>
    <row r="62" spans="1:81" ht="16.8" customHeight="1">
      <c r="A62" s="78" t="s">
        <v>39</v>
      </c>
      <c r="B62" s="58" t="s">
        <v>39</v>
      </c>
      <c r="C62" s="79">
        <f t="shared" si="70"/>
        <v>19</v>
      </c>
      <c r="D62" s="70">
        <f t="shared" si="71"/>
        <v>26</v>
      </c>
      <c r="E62" s="70">
        <f t="shared" si="72"/>
        <v>27</v>
      </c>
      <c r="F62" s="58">
        <v>7</v>
      </c>
      <c r="H62" s="78" t="str">
        <v>J</v>
      </c>
      <c r="I62" s="58" t="str">
        <v>J</v>
      </c>
      <c r="J62" s="79">
        <f t="shared" ca="1" si="73"/>
        <v>19</v>
      </c>
      <c r="K62" s="70">
        <f t="shared" si="74"/>
        <v>26</v>
      </c>
      <c r="L62" s="70">
        <f t="shared" si="75"/>
        <v>27</v>
      </c>
      <c r="M62" s="58">
        <v>7</v>
      </c>
      <c r="O62" s="78" t="str">
        <v>J</v>
      </c>
      <c r="P62" s="58" t="str">
        <v>J</v>
      </c>
      <c r="Q62" s="79">
        <f t="shared" ca="1" si="76"/>
        <v>19</v>
      </c>
      <c r="R62" s="70">
        <f t="shared" si="77"/>
        <v>26</v>
      </c>
      <c r="S62" s="70">
        <f t="shared" si="78"/>
        <v>27</v>
      </c>
      <c r="T62" s="58">
        <v>7</v>
      </c>
      <c r="V62" s="27">
        <v>59</v>
      </c>
      <c r="W62" s="29" t="s">
        <v>18</v>
      </c>
      <c r="X62" s="29" t="s">
        <v>17</v>
      </c>
      <c r="Y62" s="29" t="s">
        <v>83</v>
      </c>
      <c r="Z62" s="65"/>
      <c r="AA62" s="29">
        <v>1</v>
      </c>
      <c r="AB62" s="29">
        <v>1</v>
      </c>
      <c r="AC62" s="29">
        <v>1</v>
      </c>
      <c r="AD62" s="65"/>
      <c r="AE62" s="29">
        <f t="shared" si="41"/>
        <v>1</v>
      </c>
      <c r="AF62" s="29">
        <f t="shared" si="42"/>
        <v>1</v>
      </c>
      <c r="AG62" s="29">
        <f t="shared" si="43"/>
        <v>1</v>
      </c>
      <c r="AH62" s="65"/>
      <c r="AI62" s="29">
        <f t="shared" si="54"/>
        <v>1</v>
      </c>
      <c r="AJ62" s="29">
        <f t="shared" si="55"/>
        <v>1</v>
      </c>
      <c r="AK62" s="29">
        <f t="shared" si="56"/>
        <v>1</v>
      </c>
      <c r="AL62" s="65"/>
      <c r="AM62" s="29">
        <v>1</v>
      </c>
      <c r="AN62" s="29">
        <v>1</v>
      </c>
      <c r="AO62" s="29">
        <v>1</v>
      </c>
      <c r="AP62" s="65"/>
      <c r="AQ62" s="29">
        <f t="shared" si="45"/>
        <v>1</v>
      </c>
      <c r="AR62" s="29">
        <f t="shared" si="29"/>
        <v>1</v>
      </c>
      <c r="AS62" s="29">
        <f t="shared" si="30"/>
        <v>1</v>
      </c>
      <c r="AT62" s="65"/>
      <c r="AU62" s="29">
        <f t="shared" si="57"/>
        <v>1</v>
      </c>
      <c r="AV62" s="29">
        <f t="shared" si="46"/>
        <v>1</v>
      </c>
      <c r="AW62" s="29">
        <f t="shared" si="47"/>
        <v>1</v>
      </c>
      <c r="AX62" s="65"/>
      <c r="AY62" s="29">
        <v>1</v>
      </c>
      <c r="AZ62" s="29">
        <v>1</v>
      </c>
      <c r="BA62" s="29">
        <v>1</v>
      </c>
      <c r="BB62" s="65"/>
      <c r="BC62" s="29">
        <f t="shared" si="48"/>
        <v>1</v>
      </c>
      <c r="BD62" s="29">
        <f t="shared" si="33"/>
        <v>1</v>
      </c>
      <c r="BE62" s="29">
        <f t="shared" si="34"/>
        <v>1</v>
      </c>
      <c r="BF62" s="65"/>
      <c r="BG62" s="29">
        <f t="shared" si="58"/>
        <v>1</v>
      </c>
      <c r="BH62" s="29">
        <f t="shared" si="49"/>
        <v>1</v>
      </c>
      <c r="BI62" s="29">
        <f t="shared" si="50"/>
        <v>1</v>
      </c>
      <c r="BJ62" s="65"/>
      <c r="BK62" s="29">
        <v>100</v>
      </c>
      <c r="BL62" s="29">
        <v>100</v>
      </c>
      <c r="BM62" s="29">
        <v>100</v>
      </c>
      <c r="BN62" s="65"/>
      <c r="BO62" s="29">
        <f t="shared" si="51"/>
        <v>100</v>
      </c>
      <c r="BP62" s="29">
        <f t="shared" si="37"/>
        <v>100</v>
      </c>
      <c r="BQ62" s="29">
        <f t="shared" si="38"/>
        <v>100</v>
      </c>
      <c r="BR62" s="65"/>
      <c r="BS62" s="29">
        <f t="shared" si="59"/>
        <v>100</v>
      </c>
      <c r="BT62" s="29">
        <f t="shared" si="52"/>
        <v>100</v>
      </c>
      <c r="BU62" s="29">
        <f t="shared" si="53"/>
        <v>100</v>
      </c>
      <c r="BV62" s="65"/>
      <c r="BW62" s="8">
        <f>IF(W62="","",VLOOKUP('Regular Symbol'!W62,'Regular Symbol'!$O$3:$T$13,6,0))</f>
        <v>3</v>
      </c>
      <c r="BX62" s="8">
        <f>IF(X62="","",VLOOKUP('Regular Symbol'!X62,'Regular Symbol'!$O$3:$T$13,6,0))</f>
        <v>2</v>
      </c>
      <c r="BY62" s="8">
        <f>IF(Y62="","",VLOOKUP('Regular Symbol'!Y62,'Regular Symbol'!$O$3:$T$13,6,0))</f>
        <v>6</v>
      </c>
      <c r="CA62" s="8" t="str">
        <f t="shared" si="15"/>
        <v>M3</v>
      </c>
      <c r="CB62" s="8" t="str">
        <f t="shared" si="16"/>
        <v>M2</v>
      </c>
      <c r="CC62" s="8" t="str">
        <f t="shared" si="17"/>
        <v>Q</v>
      </c>
    </row>
    <row r="63" spans="1:81" ht="16.8" customHeight="1">
      <c r="A63" s="78"/>
      <c r="B63" s="58"/>
      <c r="C63" s="79"/>
      <c r="D63" s="70"/>
      <c r="E63" s="70"/>
      <c r="F63" s="58"/>
      <c r="H63" s="78"/>
      <c r="I63" s="58"/>
      <c r="J63" s="79"/>
      <c r="K63" s="70"/>
      <c r="L63" s="70"/>
      <c r="M63" s="58"/>
      <c r="O63" s="78"/>
      <c r="P63" s="58"/>
      <c r="Q63" s="79"/>
      <c r="R63" s="70"/>
      <c r="S63" s="70"/>
      <c r="T63" s="58"/>
      <c r="V63" s="27">
        <v>60</v>
      </c>
      <c r="W63" s="25" t="s">
        <v>18</v>
      </c>
      <c r="X63" s="25" t="s">
        <v>17</v>
      </c>
      <c r="Y63" s="29" t="s">
        <v>83</v>
      </c>
      <c r="Z63" s="65"/>
      <c r="AA63" s="29">
        <v>1</v>
      </c>
      <c r="AB63" s="29">
        <v>1</v>
      </c>
      <c r="AC63" s="29">
        <v>1</v>
      </c>
      <c r="AD63" s="65"/>
      <c r="AE63" s="29">
        <f t="shared" si="41"/>
        <v>1</v>
      </c>
      <c r="AF63" s="29">
        <f t="shared" si="42"/>
        <v>1</v>
      </c>
      <c r="AG63" s="29">
        <f t="shared" si="43"/>
        <v>1</v>
      </c>
      <c r="AH63" s="65"/>
      <c r="AI63" s="29">
        <f t="shared" si="54"/>
        <v>1</v>
      </c>
      <c r="AJ63" s="29">
        <f t="shared" si="55"/>
        <v>1</v>
      </c>
      <c r="AK63" s="29">
        <f t="shared" si="56"/>
        <v>1</v>
      </c>
      <c r="AL63" s="65"/>
      <c r="AM63" s="29">
        <v>1</v>
      </c>
      <c r="AN63" s="29">
        <v>1</v>
      </c>
      <c r="AO63" s="29">
        <v>1</v>
      </c>
      <c r="AP63" s="65"/>
      <c r="AQ63" s="29">
        <f t="shared" si="45"/>
        <v>1</v>
      </c>
      <c r="AR63" s="29">
        <f t="shared" si="29"/>
        <v>1</v>
      </c>
      <c r="AS63" s="29">
        <f t="shared" si="30"/>
        <v>1</v>
      </c>
      <c r="AT63" s="65"/>
      <c r="AU63" s="29">
        <f t="shared" si="57"/>
        <v>1</v>
      </c>
      <c r="AV63" s="29">
        <f t="shared" si="46"/>
        <v>1</v>
      </c>
      <c r="AW63" s="29">
        <f t="shared" si="47"/>
        <v>1</v>
      </c>
      <c r="AX63" s="65"/>
      <c r="AY63" s="29">
        <v>1</v>
      </c>
      <c r="AZ63" s="29">
        <v>1</v>
      </c>
      <c r="BA63" s="29">
        <v>1</v>
      </c>
      <c r="BB63" s="65"/>
      <c r="BC63" s="29">
        <f t="shared" si="48"/>
        <v>1</v>
      </c>
      <c r="BD63" s="29">
        <f t="shared" si="33"/>
        <v>1</v>
      </c>
      <c r="BE63" s="29">
        <f t="shared" si="34"/>
        <v>1</v>
      </c>
      <c r="BF63" s="65"/>
      <c r="BG63" s="29">
        <f t="shared" si="58"/>
        <v>1</v>
      </c>
      <c r="BH63" s="29">
        <f t="shared" si="49"/>
        <v>1</v>
      </c>
      <c r="BI63" s="29">
        <f t="shared" si="50"/>
        <v>1</v>
      </c>
      <c r="BJ63" s="65"/>
      <c r="BK63" s="29">
        <v>100</v>
      </c>
      <c r="BL63" s="29">
        <v>100</v>
      </c>
      <c r="BM63" s="29">
        <v>100</v>
      </c>
      <c r="BN63" s="65"/>
      <c r="BO63" s="29">
        <f t="shared" si="51"/>
        <v>100</v>
      </c>
      <c r="BP63" s="29">
        <f t="shared" si="37"/>
        <v>100</v>
      </c>
      <c r="BQ63" s="29">
        <f t="shared" si="38"/>
        <v>100</v>
      </c>
      <c r="BR63" s="65"/>
      <c r="BS63" s="29">
        <f t="shared" si="59"/>
        <v>100</v>
      </c>
      <c r="BT63" s="29">
        <f t="shared" si="52"/>
        <v>100</v>
      </c>
      <c r="BU63" s="29">
        <f t="shared" si="53"/>
        <v>100</v>
      </c>
      <c r="BV63" s="65"/>
      <c r="BW63" s="8">
        <f>IF(W63="","",VLOOKUP('Regular Symbol'!W63,'Regular Symbol'!$O$3:$T$13,6,0))</f>
        <v>3</v>
      </c>
      <c r="BX63" s="8">
        <f>IF(X63="","",VLOOKUP('Regular Symbol'!X63,'Regular Symbol'!$O$3:$T$13,6,0))</f>
        <v>2</v>
      </c>
      <c r="BY63" s="8">
        <f>IF(Y63="","",VLOOKUP('Regular Symbol'!Y63,'Regular Symbol'!$O$3:$T$13,6,0))</f>
        <v>6</v>
      </c>
      <c r="CA63" s="8" t="str">
        <f t="shared" si="15"/>
        <v>M3</v>
      </c>
      <c r="CB63" s="8" t="str">
        <f t="shared" si="16"/>
        <v>M2</v>
      </c>
      <c r="CC63" s="8" t="str">
        <f t="shared" si="17"/>
        <v>Q</v>
      </c>
    </row>
    <row r="64" spans="1:81" ht="16.8" customHeight="1">
      <c r="A64" s="78"/>
      <c r="B64" s="58"/>
      <c r="C64" s="79"/>
      <c r="D64" s="70"/>
      <c r="E64" s="70"/>
      <c r="F64" s="58"/>
      <c r="H64" s="78"/>
      <c r="I64" s="58"/>
      <c r="J64" s="79"/>
      <c r="K64" s="70"/>
      <c r="L64" s="70"/>
      <c r="M64" s="58"/>
      <c r="O64" s="78"/>
      <c r="P64" s="58"/>
      <c r="Q64" s="79"/>
      <c r="R64" s="70"/>
      <c r="S64" s="70"/>
      <c r="T64" s="58"/>
      <c r="V64" s="27">
        <v>61</v>
      </c>
      <c r="W64" s="25" t="s">
        <v>82</v>
      </c>
      <c r="X64" s="25" t="s">
        <v>82</v>
      </c>
      <c r="Y64" s="29" t="s">
        <v>17</v>
      </c>
      <c r="Z64" s="65"/>
      <c r="AA64" s="29">
        <v>1</v>
      </c>
      <c r="AB64" s="29">
        <v>1</v>
      </c>
      <c r="AC64" s="29">
        <v>1</v>
      </c>
      <c r="AD64" s="65"/>
      <c r="AE64" s="29">
        <f t="shared" si="41"/>
        <v>1</v>
      </c>
      <c r="AF64" s="29">
        <f t="shared" si="42"/>
        <v>1</v>
      </c>
      <c r="AG64" s="29">
        <f t="shared" si="43"/>
        <v>1</v>
      </c>
      <c r="AH64" s="65"/>
      <c r="AI64" s="29">
        <f t="shared" si="54"/>
        <v>1</v>
      </c>
      <c r="AJ64" s="29">
        <f t="shared" si="55"/>
        <v>1</v>
      </c>
      <c r="AK64" s="29">
        <f t="shared" si="56"/>
        <v>1</v>
      </c>
      <c r="AL64" s="65"/>
      <c r="AM64" s="29">
        <v>1</v>
      </c>
      <c r="AN64" s="29">
        <v>1</v>
      </c>
      <c r="AO64" s="29">
        <v>1</v>
      </c>
      <c r="AP64" s="65"/>
      <c r="AQ64" s="29">
        <f t="shared" si="45"/>
        <v>1</v>
      </c>
      <c r="AR64" s="29">
        <f t="shared" si="29"/>
        <v>1</v>
      </c>
      <c r="AS64" s="29">
        <f t="shared" si="30"/>
        <v>1</v>
      </c>
      <c r="AT64" s="65"/>
      <c r="AU64" s="29">
        <f t="shared" si="57"/>
        <v>1</v>
      </c>
      <c r="AV64" s="29">
        <f t="shared" si="46"/>
        <v>1</v>
      </c>
      <c r="AW64" s="29">
        <f t="shared" si="47"/>
        <v>1</v>
      </c>
      <c r="AX64" s="65"/>
      <c r="AY64" s="29">
        <v>1</v>
      </c>
      <c r="AZ64" s="29">
        <v>1</v>
      </c>
      <c r="BA64" s="29">
        <v>1</v>
      </c>
      <c r="BB64" s="65"/>
      <c r="BC64" s="29">
        <f t="shared" si="48"/>
        <v>1</v>
      </c>
      <c r="BD64" s="29">
        <f t="shared" si="33"/>
        <v>1</v>
      </c>
      <c r="BE64" s="29">
        <f t="shared" si="34"/>
        <v>1</v>
      </c>
      <c r="BF64" s="65"/>
      <c r="BG64" s="29">
        <f t="shared" si="58"/>
        <v>1</v>
      </c>
      <c r="BH64" s="29">
        <f t="shared" si="49"/>
        <v>1</v>
      </c>
      <c r="BI64" s="29">
        <f t="shared" si="50"/>
        <v>1</v>
      </c>
      <c r="BJ64" s="65"/>
      <c r="BK64" s="29">
        <v>100</v>
      </c>
      <c r="BL64" s="29">
        <v>100</v>
      </c>
      <c r="BM64" s="29">
        <v>100</v>
      </c>
      <c r="BN64" s="65"/>
      <c r="BO64" s="29">
        <f t="shared" si="51"/>
        <v>100</v>
      </c>
      <c r="BP64" s="29">
        <f t="shared" si="37"/>
        <v>100</v>
      </c>
      <c r="BQ64" s="29">
        <f t="shared" si="38"/>
        <v>100</v>
      </c>
      <c r="BR64" s="65"/>
      <c r="BS64" s="29">
        <f t="shared" si="59"/>
        <v>100</v>
      </c>
      <c r="BT64" s="29">
        <f t="shared" si="52"/>
        <v>100</v>
      </c>
      <c r="BU64" s="29">
        <f t="shared" si="53"/>
        <v>100</v>
      </c>
      <c r="BV64" s="65"/>
      <c r="BW64" s="8">
        <f>IF(W64="","",VLOOKUP('Regular Symbol'!W64,'Regular Symbol'!$O$3:$T$13,6,0))</f>
        <v>5</v>
      </c>
      <c r="BX64" s="8">
        <f>IF(X64="","",VLOOKUP('Regular Symbol'!X64,'Regular Symbol'!$O$3:$T$13,6,0))</f>
        <v>5</v>
      </c>
      <c r="BY64" s="8">
        <f>IF(Y64="","",VLOOKUP('Regular Symbol'!Y64,'Regular Symbol'!$O$3:$T$13,6,0))</f>
        <v>2</v>
      </c>
      <c r="CA64" s="8" t="str">
        <f t="shared" si="15"/>
        <v>K</v>
      </c>
      <c r="CB64" s="8" t="str">
        <f t="shared" si="16"/>
        <v>K</v>
      </c>
      <c r="CC64" s="8" t="str">
        <f t="shared" si="17"/>
        <v>M2</v>
      </c>
    </row>
    <row r="65" spans="1:81" ht="16.8" customHeight="1" thickBot="1">
      <c r="A65" s="73"/>
      <c r="B65" s="59"/>
      <c r="C65" s="80"/>
      <c r="D65" s="74"/>
      <c r="E65" s="74"/>
      <c r="F65" s="59"/>
      <c r="H65" s="73"/>
      <c r="I65" s="59"/>
      <c r="J65" s="80"/>
      <c r="K65" s="74"/>
      <c r="L65" s="74"/>
      <c r="M65" s="59"/>
      <c r="O65" s="73"/>
      <c r="P65" s="59"/>
      <c r="Q65" s="80"/>
      <c r="R65" s="74"/>
      <c r="S65" s="74"/>
      <c r="T65" s="59"/>
      <c r="V65" s="27">
        <v>62</v>
      </c>
      <c r="W65" s="25" t="s">
        <v>82</v>
      </c>
      <c r="X65" s="25" t="s">
        <v>82</v>
      </c>
      <c r="Y65" s="29" t="s">
        <v>17</v>
      </c>
      <c r="Z65" s="65"/>
      <c r="AA65" s="29">
        <v>1</v>
      </c>
      <c r="AB65" s="29">
        <v>1</v>
      </c>
      <c r="AC65" s="29">
        <v>1</v>
      </c>
      <c r="AD65" s="65"/>
      <c r="AE65" s="29">
        <f t="shared" si="41"/>
        <v>1</v>
      </c>
      <c r="AF65" s="29">
        <f t="shared" si="42"/>
        <v>1</v>
      </c>
      <c r="AG65" s="29">
        <f t="shared" si="43"/>
        <v>1</v>
      </c>
      <c r="AH65" s="65"/>
      <c r="AI65" s="29">
        <f t="shared" si="54"/>
        <v>1</v>
      </c>
      <c r="AJ65" s="29">
        <f t="shared" si="55"/>
        <v>1</v>
      </c>
      <c r="AK65" s="29">
        <f t="shared" si="56"/>
        <v>1</v>
      </c>
      <c r="AL65" s="65"/>
      <c r="AM65" s="29">
        <v>1</v>
      </c>
      <c r="AN65" s="29">
        <v>1</v>
      </c>
      <c r="AO65" s="29">
        <v>1</v>
      </c>
      <c r="AP65" s="65"/>
      <c r="AQ65" s="29">
        <f t="shared" si="45"/>
        <v>1</v>
      </c>
      <c r="AR65" s="29">
        <f t="shared" si="29"/>
        <v>1</v>
      </c>
      <c r="AS65" s="29">
        <f t="shared" si="30"/>
        <v>1</v>
      </c>
      <c r="AT65" s="65"/>
      <c r="AU65" s="29">
        <f t="shared" si="57"/>
        <v>1</v>
      </c>
      <c r="AV65" s="29">
        <f t="shared" si="46"/>
        <v>1</v>
      </c>
      <c r="AW65" s="29">
        <f t="shared" si="47"/>
        <v>1</v>
      </c>
      <c r="AX65" s="65"/>
      <c r="AY65" s="29">
        <v>1</v>
      </c>
      <c r="AZ65" s="29">
        <v>1</v>
      </c>
      <c r="BA65" s="29">
        <v>1</v>
      </c>
      <c r="BB65" s="65"/>
      <c r="BC65" s="29">
        <f t="shared" si="48"/>
        <v>1</v>
      </c>
      <c r="BD65" s="29">
        <f t="shared" si="33"/>
        <v>1</v>
      </c>
      <c r="BE65" s="29">
        <f t="shared" si="34"/>
        <v>1</v>
      </c>
      <c r="BF65" s="65"/>
      <c r="BG65" s="29">
        <f t="shared" si="58"/>
        <v>1</v>
      </c>
      <c r="BH65" s="29">
        <f t="shared" si="49"/>
        <v>1</v>
      </c>
      <c r="BI65" s="29">
        <f t="shared" si="50"/>
        <v>1</v>
      </c>
      <c r="BJ65" s="65"/>
      <c r="BK65" s="29">
        <v>100</v>
      </c>
      <c r="BL65" s="29">
        <v>100</v>
      </c>
      <c r="BM65" s="29">
        <v>100</v>
      </c>
      <c r="BN65" s="65"/>
      <c r="BO65" s="29">
        <f t="shared" si="51"/>
        <v>100</v>
      </c>
      <c r="BP65" s="29">
        <f t="shared" si="37"/>
        <v>100</v>
      </c>
      <c r="BQ65" s="29">
        <f t="shared" si="38"/>
        <v>100</v>
      </c>
      <c r="BR65" s="65"/>
      <c r="BS65" s="29">
        <f t="shared" si="59"/>
        <v>100</v>
      </c>
      <c r="BT65" s="29">
        <f t="shared" si="52"/>
        <v>100</v>
      </c>
      <c r="BU65" s="29">
        <f t="shared" si="53"/>
        <v>100</v>
      </c>
      <c r="BV65" s="65"/>
      <c r="BW65" s="8">
        <f>IF(W65="","",VLOOKUP('Regular Symbol'!W65,'Regular Symbol'!$O$3:$T$13,6,0))</f>
        <v>5</v>
      </c>
      <c r="BX65" s="8">
        <f>IF(X65="","",VLOOKUP('Regular Symbol'!X65,'Regular Symbol'!$O$3:$T$13,6,0))</f>
        <v>5</v>
      </c>
      <c r="BY65" s="8">
        <f>IF(Y65="","",VLOOKUP('Regular Symbol'!Y65,'Regular Symbol'!$O$3:$T$13,6,0))</f>
        <v>2</v>
      </c>
      <c r="CA65" s="8" t="str">
        <f t="shared" si="15"/>
        <v>K</v>
      </c>
      <c r="CB65" s="8" t="str">
        <f t="shared" si="16"/>
        <v>K</v>
      </c>
      <c r="CC65" s="8" t="str">
        <f t="shared" si="17"/>
        <v>M2</v>
      </c>
    </row>
    <row r="66" spans="1:81" ht="16.8" customHeight="1">
      <c r="A66" s="60" t="s">
        <v>10</v>
      </c>
      <c r="B66" s="155"/>
      <c r="C66" s="155">
        <f>SUM(C55:C65)</f>
        <v>123</v>
      </c>
      <c r="D66" s="155">
        <f>SUM(D55:D65)</f>
        <v>209</v>
      </c>
      <c r="E66" s="155">
        <f>SUM(E55:E65)</f>
        <v>203</v>
      </c>
      <c r="F66" s="155"/>
      <c r="H66" s="60" t="s">
        <v>10</v>
      </c>
      <c r="I66" s="155"/>
      <c r="J66" s="155">
        <f ca="1">SUM(J55:J65)</f>
        <v>123</v>
      </c>
      <c r="K66" s="155">
        <f ca="1">SUM(K55:K65)</f>
        <v>209</v>
      </c>
      <c r="L66" s="155">
        <f ca="1">SUM(L55:L65)</f>
        <v>203</v>
      </c>
      <c r="M66" s="155"/>
      <c r="O66" s="60" t="s">
        <v>10</v>
      </c>
      <c r="P66" s="155"/>
      <c r="Q66" s="155">
        <f ca="1">SUM(Q55:Q65)</f>
        <v>123</v>
      </c>
      <c r="R66" s="155">
        <f ca="1">SUM(R55:R65)</f>
        <v>209</v>
      </c>
      <c r="S66" s="155">
        <f ca="1">SUM(S55:S65)</f>
        <v>203</v>
      </c>
      <c r="T66" s="155"/>
      <c r="V66" s="27">
        <v>63</v>
      </c>
      <c r="W66" s="25" t="s">
        <v>82</v>
      </c>
      <c r="X66" s="25" t="s">
        <v>17</v>
      </c>
      <c r="Y66" s="25" t="s">
        <v>17</v>
      </c>
      <c r="AA66" s="29">
        <v>1</v>
      </c>
      <c r="AB66" s="29">
        <v>1</v>
      </c>
      <c r="AC66" s="29">
        <v>1</v>
      </c>
      <c r="AD66" s="65"/>
      <c r="AE66" s="29">
        <f t="shared" si="41"/>
        <v>1</v>
      </c>
      <c r="AF66" s="29">
        <f t="shared" si="42"/>
        <v>1</v>
      </c>
      <c r="AG66" s="29">
        <f t="shared" si="43"/>
        <v>1</v>
      </c>
      <c r="AH66" s="65"/>
      <c r="AI66" s="29">
        <f t="shared" si="54"/>
        <v>1</v>
      </c>
      <c r="AJ66" s="29">
        <f t="shared" si="55"/>
        <v>1</v>
      </c>
      <c r="AK66" s="29">
        <f t="shared" si="56"/>
        <v>1</v>
      </c>
      <c r="AM66" s="29">
        <v>1</v>
      </c>
      <c r="AN66" s="29">
        <v>1</v>
      </c>
      <c r="AO66" s="29">
        <v>1</v>
      </c>
      <c r="AQ66" s="29">
        <f t="shared" si="45"/>
        <v>1</v>
      </c>
      <c r="AR66" s="29">
        <f t="shared" si="29"/>
        <v>1</v>
      </c>
      <c r="AS66" s="29">
        <f t="shared" si="30"/>
        <v>1</v>
      </c>
      <c r="AT66" s="65"/>
      <c r="AU66" s="29">
        <f t="shared" si="57"/>
        <v>1</v>
      </c>
      <c r="AV66" s="29">
        <f t="shared" si="46"/>
        <v>1</v>
      </c>
      <c r="AW66" s="29">
        <f t="shared" si="47"/>
        <v>1</v>
      </c>
      <c r="AY66" s="29">
        <v>1</v>
      </c>
      <c r="AZ66" s="29">
        <v>1</v>
      </c>
      <c r="BA66" s="29">
        <v>1</v>
      </c>
      <c r="BC66" s="29">
        <f t="shared" si="48"/>
        <v>1</v>
      </c>
      <c r="BD66" s="29">
        <f t="shared" si="33"/>
        <v>1</v>
      </c>
      <c r="BE66" s="29">
        <f t="shared" si="34"/>
        <v>1</v>
      </c>
      <c r="BF66" s="65"/>
      <c r="BG66" s="29">
        <f t="shared" si="58"/>
        <v>1</v>
      </c>
      <c r="BH66" s="29">
        <f t="shared" si="49"/>
        <v>1</v>
      </c>
      <c r="BI66" s="29">
        <f t="shared" si="50"/>
        <v>1</v>
      </c>
      <c r="BK66" s="29">
        <v>100</v>
      </c>
      <c r="BL66" s="29">
        <v>100</v>
      </c>
      <c r="BM66" s="29">
        <v>100</v>
      </c>
      <c r="BO66" s="29">
        <f t="shared" si="51"/>
        <v>100</v>
      </c>
      <c r="BP66" s="29">
        <f t="shared" si="37"/>
        <v>100</v>
      </c>
      <c r="BQ66" s="29">
        <f t="shared" si="38"/>
        <v>100</v>
      </c>
      <c r="BR66" s="65"/>
      <c r="BS66" s="29">
        <f t="shared" si="59"/>
        <v>100</v>
      </c>
      <c r="BT66" s="29">
        <f t="shared" si="52"/>
        <v>100</v>
      </c>
      <c r="BU66" s="29">
        <f t="shared" si="53"/>
        <v>100</v>
      </c>
      <c r="BW66" s="8">
        <f>IF(W66="","",VLOOKUP('Regular Symbol'!W66,'Regular Symbol'!$O$3:$T$13,6,0))</f>
        <v>5</v>
      </c>
      <c r="BX66" s="8">
        <f>IF(X66="","",VLOOKUP('Regular Symbol'!X66,'Regular Symbol'!$O$3:$T$13,6,0))</f>
        <v>2</v>
      </c>
      <c r="BY66" s="8">
        <f>IF(Y66="","",VLOOKUP('Regular Symbol'!Y66,'Regular Symbol'!$O$3:$T$13,6,0))</f>
        <v>2</v>
      </c>
      <c r="CA66" s="8" t="str">
        <f t="shared" si="15"/>
        <v>K</v>
      </c>
      <c r="CB66" s="8" t="str">
        <f t="shared" si="16"/>
        <v>M2</v>
      </c>
      <c r="CC66" s="8" t="str">
        <f t="shared" si="17"/>
        <v>M2</v>
      </c>
    </row>
    <row r="67" spans="1:81" ht="16.8" customHeight="1">
      <c r="B67" s="30"/>
      <c r="C67" s="70"/>
      <c r="D67" s="70"/>
      <c r="E67" s="70"/>
      <c r="I67" s="30"/>
      <c r="J67" s="70"/>
      <c r="K67" s="70"/>
      <c r="L67" s="70"/>
      <c r="P67" s="30"/>
      <c r="Q67" s="70"/>
      <c r="R67" s="70"/>
      <c r="S67" s="70"/>
      <c r="V67" s="27">
        <v>64</v>
      </c>
      <c r="W67" s="25" t="s">
        <v>16</v>
      </c>
      <c r="X67" s="25" t="s">
        <v>17</v>
      </c>
      <c r="Y67" s="25" t="s">
        <v>83</v>
      </c>
      <c r="AA67" s="29">
        <v>1</v>
      </c>
      <c r="AB67" s="29">
        <v>1</v>
      </c>
      <c r="AC67" s="29">
        <v>1</v>
      </c>
      <c r="AD67" s="65"/>
      <c r="AE67" s="29">
        <f t="shared" si="41"/>
        <v>1</v>
      </c>
      <c r="AF67" s="29">
        <f t="shared" si="42"/>
        <v>1</v>
      </c>
      <c r="AG67" s="29">
        <f t="shared" si="43"/>
        <v>1</v>
      </c>
      <c r="AH67" s="65"/>
      <c r="AI67" s="29">
        <f t="shared" si="54"/>
        <v>1</v>
      </c>
      <c r="AJ67" s="29">
        <f t="shared" si="55"/>
        <v>1</v>
      </c>
      <c r="AK67" s="29">
        <f t="shared" si="56"/>
        <v>1</v>
      </c>
      <c r="AM67" s="29">
        <v>1</v>
      </c>
      <c r="AN67" s="29">
        <v>1</v>
      </c>
      <c r="AO67" s="29">
        <v>1</v>
      </c>
      <c r="AQ67" s="29">
        <f t="shared" si="45"/>
        <v>1</v>
      </c>
      <c r="AR67" s="29">
        <f t="shared" si="29"/>
        <v>1</v>
      </c>
      <c r="AS67" s="29">
        <f t="shared" si="30"/>
        <v>1</v>
      </c>
      <c r="AT67" s="65"/>
      <c r="AU67" s="29">
        <f t="shared" si="57"/>
        <v>1</v>
      </c>
      <c r="AV67" s="29">
        <f t="shared" si="46"/>
        <v>1</v>
      </c>
      <c r="AW67" s="29">
        <f t="shared" si="47"/>
        <v>1</v>
      </c>
      <c r="AY67" s="29">
        <v>1</v>
      </c>
      <c r="AZ67" s="29">
        <v>1</v>
      </c>
      <c r="BA67" s="29">
        <v>1</v>
      </c>
      <c r="BC67" s="29">
        <f t="shared" si="48"/>
        <v>1</v>
      </c>
      <c r="BD67" s="29">
        <f t="shared" si="33"/>
        <v>1</v>
      </c>
      <c r="BE67" s="29">
        <f t="shared" si="34"/>
        <v>1</v>
      </c>
      <c r="BF67" s="65"/>
      <c r="BG67" s="29">
        <f t="shared" si="58"/>
        <v>1</v>
      </c>
      <c r="BH67" s="29">
        <f t="shared" si="49"/>
        <v>1</v>
      </c>
      <c r="BI67" s="29">
        <f t="shared" si="50"/>
        <v>1</v>
      </c>
      <c r="BK67" s="29">
        <v>100</v>
      </c>
      <c r="BL67" s="29">
        <v>100</v>
      </c>
      <c r="BM67" s="29">
        <v>100</v>
      </c>
      <c r="BO67" s="29">
        <f t="shared" si="51"/>
        <v>100</v>
      </c>
      <c r="BP67" s="29">
        <f t="shared" si="37"/>
        <v>100</v>
      </c>
      <c r="BQ67" s="29">
        <f t="shared" si="38"/>
        <v>100</v>
      </c>
      <c r="BR67" s="65"/>
      <c r="BS67" s="29">
        <f t="shared" si="59"/>
        <v>100</v>
      </c>
      <c r="BT67" s="29">
        <f t="shared" si="52"/>
        <v>100</v>
      </c>
      <c r="BU67" s="29">
        <f t="shared" si="53"/>
        <v>100</v>
      </c>
      <c r="BW67" s="8">
        <f>IF(W67="","",VLOOKUP('Regular Symbol'!W67,'Regular Symbol'!$O$3:$T$13,6,0))</f>
        <v>1</v>
      </c>
      <c r="BX67" s="8">
        <f>IF(X67="","",VLOOKUP('Regular Symbol'!X67,'Regular Symbol'!$O$3:$T$13,6,0))</f>
        <v>2</v>
      </c>
      <c r="BY67" s="8">
        <f>IF(Y67="","",VLOOKUP('Regular Symbol'!Y67,'Regular Symbol'!$O$3:$T$13,6,0))</f>
        <v>6</v>
      </c>
      <c r="CA67" s="8" t="str">
        <f t="shared" ref="CA67:CA130" si="79">IF(W67&lt;&gt;"", VLOOKUP(W67,$O$3:$P$13,2,0), "")</f>
        <v>M1</v>
      </c>
      <c r="CB67" s="8" t="str">
        <f t="shared" ref="CB67:CB130" si="80">IF(X67&lt;&gt;"", VLOOKUP(X67,$O$3:$P$13,2,0), "")</f>
        <v>M2</v>
      </c>
      <c r="CC67" s="8" t="str">
        <f t="shared" ref="CC67:CC130" si="81">IF(Y67&lt;&gt;"", VLOOKUP(Y67,$O$3:$P$13,2,0), "")</f>
        <v>Q</v>
      </c>
    </row>
    <row r="68" spans="1:81" ht="16.8" customHeight="1" thickBot="1">
      <c r="A68" s="83" t="s">
        <v>4</v>
      </c>
      <c r="B68" s="81"/>
      <c r="C68" s="81"/>
      <c r="D68" s="81"/>
      <c r="E68" s="81"/>
      <c r="F68" s="23"/>
      <c r="H68" s="83" t="s">
        <v>4</v>
      </c>
      <c r="I68" s="81"/>
      <c r="J68" s="81"/>
      <c r="K68" s="81"/>
      <c r="L68" s="81"/>
      <c r="M68" s="23"/>
      <c r="O68" s="83" t="s">
        <v>4</v>
      </c>
      <c r="P68" s="81"/>
      <c r="Q68" s="81"/>
      <c r="R68" s="81"/>
      <c r="S68" s="81"/>
      <c r="T68" s="23"/>
      <c r="V68" s="27">
        <v>65</v>
      </c>
      <c r="W68" s="25" t="s">
        <v>16</v>
      </c>
      <c r="X68" s="25" t="s">
        <v>84</v>
      </c>
      <c r="Y68" s="25" t="s">
        <v>83</v>
      </c>
      <c r="AA68" s="29">
        <v>1</v>
      </c>
      <c r="AB68" s="29">
        <v>1</v>
      </c>
      <c r="AC68" s="29">
        <v>1</v>
      </c>
      <c r="AD68" s="65"/>
      <c r="AE68" s="29">
        <f t="shared" si="41"/>
        <v>1</v>
      </c>
      <c r="AF68" s="29">
        <f t="shared" si="42"/>
        <v>1</v>
      </c>
      <c r="AG68" s="29">
        <f t="shared" si="43"/>
        <v>1</v>
      </c>
      <c r="AH68" s="65"/>
      <c r="AI68" s="29">
        <f t="shared" si="54"/>
        <v>1</v>
      </c>
      <c r="AJ68" s="29">
        <f t="shared" si="55"/>
        <v>1</v>
      </c>
      <c r="AK68" s="29">
        <f t="shared" si="56"/>
        <v>1</v>
      </c>
      <c r="AM68" s="29">
        <v>1</v>
      </c>
      <c r="AN68" s="29">
        <v>1</v>
      </c>
      <c r="AO68" s="29">
        <v>1</v>
      </c>
      <c r="AQ68" s="29">
        <f t="shared" si="45"/>
        <v>1</v>
      </c>
      <c r="AR68" s="29">
        <f t="shared" ref="AR68:AR131" si="82">IF(AN67="","",AN67)</f>
        <v>1</v>
      </c>
      <c r="AS68" s="29">
        <f t="shared" ref="AS68:AS131" si="83">IF(AO67="","",AO67)</f>
        <v>1</v>
      </c>
      <c r="AT68" s="65"/>
      <c r="AU68" s="29">
        <f t="shared" si="57"/>
        <v>1</v>
      </c>
      <c r="AV68" s="29">
        <f t="shared" si="46"/>
        <v>1</v>
      </c>
      <c r="AW68" s="29">
        <f t="shared" si="47"/>
        <v>1</v>
      </c>
      <c r="AY68" s="29">
        <v>1</v>
      </c>
      <c r="AZ68" s="29">
        <v>1</v>
      </c>
      <c r="BA68" s="29">
        <v>1</v>
      </c>
      <c r="BC68" s="29">
        <f t="shared" si="48"/>
        <v>1</v>
      </c>
      <c r="BD68" s="29">
        <f t="shared" ref="BD68:BD131" si="84">IF(AZ67="","",AZ67)</f>
        <v>1</v>
      </c>
      <c r="BE68" s="29">
        <f t="shared" ref="BE68:BE131" si="85">IF(BA67="","",BA67)</f>
        <v>1</v>
      </c>
      <c r="BF68" s="65"/>
      <c r="BG68" s="29">
        <f t="shared" si="58"/>
        <v>1</v>
      </c>
      <c r="BH68" s="29">
        <f t="shared" si="49"/>
        <v>1</v>
      </c>
      <c r="BI68" s="29">
        <f t="shared" si="50"/>
        <v>1</v>
      </c>
      <c r="BK68" s="29">
        <v>100</v>
      </c>
      <c r="BL68" s="29">
        <v>100</v>
      </c>
      <c r="BM68" s="29">
        <v>100</v>
      </c>
      <c r="BO68" s="29">
        <f t="shared" si="51"/>
        <v>100</v>
      </c>
      <c r="BP68" s="29">
        <f t="shared" ref="BP68:BP131" si="86">IF(BL67="","",BL67)</f>
        <v>100</v>
      </c>
      <c r="BQ68" s="29">
        <f t="shared" ref="BQ68:BQ131" si="87">IF(BM67="","",BM67)</f>
        <v>100</v>
      </c>
      <c r="BR68" s="65"/>
      <c r="BS68" s="29">
        <f t="shared" si="59"/>
        <v>100</v>
      </c>
      <c r="BT68" s="29">
        <f t="shared" si="52"/>
        <v>100</v>
      </c>
      <c r="BU68" s="29">
        <f t="shared" si="53"/>
        <v>100</v>
      </c>
      <c r="BW68" s="8">
        <f>IF(W68="","",VLOOKUP('Regular Symbol'!W68,'Regular Symbol'!$O$3:$T$13,6,0))</f>
        <v>1</v>
      </c>
      <c r="BX68" s="8">
        <f>IF(X68="","",VLOOKUP('Regular Symbol'!X68,'Regular Symbol'!$O$3:$T$13,6,0))</f>
        <v>7</v>
      </c>
      <c r="BY68" s="8">
        <f>IF(Y68="","",VLOOKUP('Regular Symbol'!Y68,'Regular Symbol'!$O$3:$T$13,6,0))</f>
        <v>6</v>
      </c>
      <c r="CA68" s="8" t="str">
        <f t="shared" si="79"/>
        <v>M1</v>
      </c>
      <c r="CB68" s="8" t="str">
        <f t="shared" si="80"/>
        <v>J</v>
      </c>
      <c r="CC68" s="8" t="str">
        <f t="shared" si="81"/>
        <v>Q</v>
      </c>
    </row>
    <row r="69" spans="1:81" ht="16.8" customHeight="1" thickBot="1">
      <c r="A69" s="61" t="s">
        <v>0</v>
      </c>
      <c r="B69" s="62" t="s">
        <v>5</v>
      </c>
      <c r="C69" s="14" t="s">
        <v>1</v>
      </c>
      <c r="D69" s="14" t="s">
        <v>2</v>
      </c>
      <c r="E69" s="15" t="s">
        <v>3</v>
      </c>
      <c r="F69" s="63"/>
      <c r="H69" s="61" t="s">
        <v>0</v>
      </c>
      <c r="I69" s="62" t="s">
        <v>5</v>
      </c>
      <c r="J69" s="14" t="s">
        <v>1</v>
      </c>
      <c r="K69" s="14" t="s">
        <v>2</v>
      </c>
      <c r="L69" s="15" t="s">
        <v>3</v>
      </c>
      <c r="M69" s="63"/>
      <c r="O69" s="61" t="s">
        <v>0</v>
      </c>
      <c r="P69" s="62" t="s">
        <v>5</v>
      </c>
      <c r="Q69" s="14" t="s">
        <v>1</v>
      </c>
      <c r="R69" s="14" t="s">
        <v>2</v>
      </c>
      <c r="S69" s="15" t="s">
        <v>3</v>
      </c>
      <c r="T69" s="63"/>
      <c r="V69" s="27">
        <v>66</v>
      </c>
      <c r="W69" s="25" t="s">
        <v>83</v>
      </c>
      <c r="X69" s="25" t="s">
        <v>84</v>
      </c>
      <c r="Y69" s="25" t="s">
        <v>83</v>
      </c>
      <c r="AA69" s="29">
        <v>1</v>
      </c>
      <c r="AB69" s="29">
        <v>1</v>
      </c>
      <c r="AC69" s="29">
        <v>1</v>
      </c>
      <c r="AD69" s="65"/>
      <c r="AE69" s="29">
        <f t="shared" ref="AE69:AE132" si="88">IF(AA68="","",AA68)</f>
        <v>1</v>
      </c>
      <c r="AF69" s="29">
        <f t="shared" ref="AF69:AF132" si="89">IF(AB68="","",AB68)</f>
        <v>1</v>
      </c>
      <c r="AG69" s="29">
        <f t="shared" ref="AG69:AG132" si="90">IF(AC68="","",AC68)</f>
        <v>1</v>
      </c>
      <c r="AH69" s="65"/>
      <c r="AI69" s="29">
        <f t="shared" si="54"/>
        <v>1</v>
      </c>
      <c r="AJ69" s="29">
        <f t="shared" si="55"/>
        <v>1</v>
      </c>
      <c r="AK69" s="29">
        <f t="shared" si="56"/>
        <v>1</v>
      </c>
      <c r="AM69" s="29">
        <v>1</v>
      </c>
      <c r="AN69" s="29">
        <v>1</v>
      </c>
      <c r="AO69" s="29">
        <v>1</v>
      </c>
      <c r="AQ69" s="29">
        <f t="shared" ref="AQ69:AQ132" si="91">IF(AM68="","",AM68)</f>
        <v>1</v>
      </c>
      <c r="AR69" s="29">
        <f t="shared" si="82"/>
        <v>1</v>
      </c>
      <c r="AS69" s="29">
        <f t="shared" si="83"/>
        <v>1</v>
      </c>
      <c r="AT69" s="65"/>
      <c r="AU69" s="29">
        <f t="shared" si="57"/>
        <v>1</v>
      </c>
      <c r="AV69" s="29">
        <f t="shared" ref="AV69:AV132" si="92">IF(AN67="","",AN67)</f>
        <v>1</v>
      </c>
      <c r="AW69" s="29">
        <f t="shared" ref="AW69:AW132" si="93">IF(AO67="","",AO67)</f>
        <v>1</v>
      </c>
      <c r="AY69" s="29">
        <v>1</v>
      </c>
      <c r="AZ69" s="29">
        <v>1</v>
      </c>
      <c r="BA69" s="29">
        <v>1</v>
      </c>
      <c r="BC69" s="29">
        <f t="shared" ref="BC69:BC132" si="94">IF(AY68="","",AY68)</f>
        <v>1</v>
      </c>
      <c r="BD69" s="29">
        <f t="shared" si="84"/>
        <v>1</v>
      </c>
      <c r="BE69" s="29">
        <f t="shared" si="85"/>
        <v>1</v>
      </c>
      <c r="BF69" s="65"/>
      <c r="BG69" s="29">
        <f t="shared" si="58"/>
        <v>1</v>
      </c>
      <c r="BH69" s="29">
        <f t="shared" ref="BH69:BH132" si="95">IF(AZ67="","",AZ67)</f>
        <v>1</v>
      </c>
      <c r="BI69" s="29">
        <f t="shared" ref="BI69:BI132" si="96">IF(BA67="","",BA67)</f>
        <v>1</v>
      </c>
      <c r="BK69" s="29">
        <v>100</v>
      </c>
      <c r="BL69" s="29">
        <v>100</v>
      </c>
      <c r="BM69" s="29">
        <v>100</v>
      </c>
      <c r="BO69" s="29">
        <f t="shared" ref="BO69:BO132" si="97">IF(BK68="","",BK68)</f>
        <v>100</v>
      </c>
      <c r="BP69" s="29">
        <f t="shared" si="86"/>
        <v>100</v>
      </c>
      <c r="BQ69" s="29">
        <f t="shared" si="87"/>
        <v>100</v>
      </c>
      <c r="BR69" s="65"/>
      <c r="BS69" s="29">
        <f t="shared" si="59"/>
        <v>100</v>
      </c>
      <c r="BT69" s="29">
        <f t="shared" ref="BT69:BT132" si="98">IF(BL67="","",BL67)</f>
        <v>100</v>
      </c>
      <c r="BU69" s="29">
        <f t="shared" ref="BU69:BU132" si="99">IF(BM67="","",BM67)</f>
        <v>100</v>
      </c>
      <c r="BW69" s="8">
        <f>IF(W69="","",VLOOKUP('Regular Symbol'!W69,'Regular Symbol'!$O$3:$T$13,6,0))</f>
        <v>6</v>
      </c>
      <c r="BX69" s="8">
        <f>IF(X69="","",VLOOKUP('Regular Symbol'!X69,'Regular Symbol'!$O$3:$T$13,6,0))</f>
        <v>7</v>
      </c>
      <c r="BY69" s="8">
        <f>IF(Y69="","",VLOOKUP('Regular Symbol'!Y69,'Regular Symbol'!$O$3:$T$13,6,0))</f>
        <v>6</v>
      </c>
      <c r="CA69" s="8" t="str">
        <f t="shared" si="79"/>
        <v>Q</v>
      </c>
      <c r="CB69" s="8" t="str">
        <f t="shared" si="80"/>
        <v>J</v>
      </c>
      <c r="CC69" s="8" t="str">
        <f t="shared" si="81"/>
        <v>Q</v>
      </c>
    </row>
    <row r="70" spans="1:81" ht="16.8" customHeight="1">
      <c r="A70" s="41" t="s">
        <v>6</v>
      </c>
      <c r="B70" s="43" t="s">
        <v>33</v>
      </c>
      <c r="C70" s="155">
        <f>SUM(C55:C65)</f>
        <v>123</v>
      </c>
      <c r="D70" s="155">
        <f>SUM(D55:D65)</f>
        <v>209</v>
      </c>
      <c r="E70" s="84">
        <f>SUM(E55:E65)</f>
        <v>203</v>
      </c>
      <c r="F70" s="69"/>
      <c r="H70" s="41" t="str" cm="1">
        <f t="array" ref="H70:I77">A70:B77</f>
        <v>--</v>
      </c>
      <c r="I70" s="43" t="str">
        <v>WW,C1,M1,M2,M3,M4,A,K,Q,J,TE,NI</v>
      </c>
      <c r="J70" s="155">
        <f ca="1">SUM(J55:J65)</f>
        <v>123</v>
      </c>
      <c r="K70" s="155">
        <f ca="1">SUM(K55:K65)</f>
        <v>209</v>
      </c>
      <c r="L70" s="84">
        <f ca="1">SUM(L55:L65)</f>
        <v>203</v>
      </c>
      <c r="M70" s="69"/>
      <c r="O70" s="41" t="str" cm="1">
        <f t="array" ref="O70:P77">_xlfn.ANCHORARRAY(H70)</f>
        <v>--</v>
      </c>
      <c r="P70" s="43" t="str">
        <v>WW,C1,M1,M2,M3,M4,A,K,Q,J,TE,NI</v>
      </c>
      <c r="Q70" s="155">
        <f ca="1">SUM(Q55:Q65)</f>
        <v>123</v>
      </c>
      <c r="R70" s="155">
        <f ca="1">SUM(R55:R65)</f>
        <v>209</v>
      </c>
      <c r="S70" s="84">
        <f ca="1">SUM(S55:S65)</f>
        <v>203</v>
      </c>
      <c r="T70" s="69"/>
      <c r="V70" s="27">
        <v>67</v>
      </c>
      <c r="W70" s="25" t="s">
        <v>83</v>
      </c>
      <c r="X70" s="25" t="s">
        <v>18</v>
      </c>
      <c r="Y70" s="25" t="s">
        <v>17</v>
      </c>
      <c r="AA70" s="29">
        <v>1</v>
      </c>
      <c r="AB70" s="29">
        <v>1</v>
      </c>
      <c r="AC70" s="29">
        <v>1</v>
      </c>
      <c r="AD70" s="65"/>
      <c r="AE70" s="29">
        <f t="shared" si="88"/>
        <v>1</v>
      </c>
      <c r="AF70" s="29">
        <f t="shared" si="89"/>
        <v>1</v>
      </c>
      <c r="AG70" s="29">
        <f t="shared" si="90"/>
        <v>1</v>
      </c>
      <c r="AH70" s="65"/>
      <c r="AI70" s="29">
        <f t="shared" ref="AI70:AI133" si="100">IF(AA68="","",AA68)</f>
        <v>1</v>
      </c>
      <c r="AJ70" s="29">
        <f t="shared" ref="AJ70:AJ133" si="101">IF(AB68="","",AB68)</f>
        <v>1</v>
      </c>
      <c r="AK70" s="29">
        <f t="shared" ref="AK70:AK133" si="102">IF(AC68="","",AC68)</f>
        <v>1</v>
      </c>
      <c r="AM70" s="29">
        <v>1</v>
      </c>
      <c r="AN70" s="29">
        <v>1</v>
      </c>
      <c r="AO70" s="29">
        <v>1</v>
      </c>
      <c r="AQ70" s="29">
        <f t="shared" si="91"/>
        <v>1</v>
      </c>
      <c r="AR70" s="29">
        <f t="shared" si="82"/>
        <v>1</v>
      </c>
      <c r="AS70" s="29">
        <f t="shared" si="83"/>
        <v>1</v>
      </c>
      <c r="AT70" s="65"/>
      <c r="AU70" s="29">
        <f t="shared" ref="AU70:AU133" si="103">IF(AM68="","",AM68)</f>
        <v>1</v>
      </c>
      <c r="AV70" s="29">
        <f t="shared" si="92"/>
        <v>1</v>
      </c>
      <c r="AW70" s="29">
        <f t="shared" si="93"/>
        <v>1</v>
      </c>
      <c r="AY70" s="29">
        <v>1</v>
      </c>
      <c r="AZ70" s="29">
        <v>1</v>
      </c>
      <c r="BA70" s="29">
        <v>1</v>
      </c>
      <c r="BC70" s="29">
        <f t="shared" si="94"/>
        <v>1</v>
      </c>
      <c r="BD70" s="29">
        <f t="shared" si="84"/>
        <v>1</v>
      </c>
      <c r="BE70" s="29">
        <f t="shared" si="85"/>
        <v>1</v>
      </c>
      <c r="BF70" s="65"/>
      <c r="BG70" s="29">
        <f t="shared" ref="BG70:BG133" si="104">IF(AY68="","",AY68)</f>
        <v>1</v>
      </c>
      <c r="BH70" s="29">
        <f t="shared" si="95"/>
        <v>1</v>
      </c>
      <c r="BI70" s="29">
        <f t="shared" si="96"/>
        <v>1</v>
      </c>
      <c r="BK70" s="29">
        <v>100</v>
      </c>
      <c r="BL70" s="29">
        <v>100</v>
      </c>
      <c r="BM70" s="29">
        <v>100</v>
      </c>
      <c r="BO70" s="29">
        <f t="shared" si="97"/>
        <v>100</v>
      </c>
      <c r="BP70" s="29">
        <f t="shared" si="86"/>
        <v>100</v>
      </c>
      <c r="BQ70" s="29">
        <f t="shared" si="87"/>
        <v>100</v>
      </c>
      <c r="BR70" s="65"/>
      <c r="BS70" s="29">
        <f t="shared" ref="BS70:BS133" si="105">IF(BK68="","",BK68)</f>
        <v>100</v>
      </c>
      <c r="BT70" s="29">
        <f t="shared" si="98"/>
        <v>100</v>
      </c>
      <c r="BU70" s="29">
        <f t="shared" si="99"/>
        <v>100</v>
      </c>
      <c r="BW70" s="8">
        <f>IF(W70="","",VLOOKUP('Regular Symbol'!W70,'Regular Symbol'!$O$3:$T$13,6,0))</f>
        <v>6</v>
      </c>
      <c r="BX70" s="8">
        <f>IF(X70="","",VLOOKUP('Regular Symbol'!X70,'Regular Symbol'!$O$3:$T$13,6,0))</f>
        <v>3</v>
      </c>
      <c r="BY70" s="8">
        <f>IF(Y70="","",VLOOKUP('Regular Symbol'!Y70,'Regular Symbol'!$O$3:$T$13,6,0))</f>
        <v>2</v>
      </c>
      <c r="CA70" s="8" t="str">
        <f t="shared" si="79"/>
        <v>Q</v>
      </c>
      <c r="CB70" s="8" t="str">
        <f t="shared" si="80"/>
        <v>M3</v>
      </c>
      <c r="CC70" s="8" t="str">
        <f t="shared" si="81"/>
        <v>M2</v>
      </c>
    </row>
    <row r="71" spans="1:81" ht="16.8" customHeight="1">
      <c r="A71" s="78" t="s">
        <v>19</v>
      </c>
      <c r="B71" s="48" t="s">
        <v>20</v>
      </c>
      <c r="C71" s="155">
        <f>C$3+C$4</f>
        <v>23</v>
      </c>
      <c r="D71" s="155">
        <f>D$3+D$4</f>
        <v>45</v>
      </c>
      <c r="E71" s="84">
        <f>E$3+E$4</f>
        <v>44</v>
      </c>
      <c r="F71" s="69"/>
      <c r="H71" s="78" t="str">
        <v>W1</v>
      </c>
      <c r="I71" s="48" t="str">
        <v>WW,M1</v>
      </c>
      <c r="J71" s="155">
        <f>J$3+J$4</f>
        <v>23</v>
      </c>
      <c r="K71" s="155">
        <f ca="1">K$3+K$4</f>
        <v>45</v>
      </c>
      <c r="L71" s="84">
        <f ca="1">L$3+L$4</f>
        <v>44</v>
      </c>
      <c r="M71" s="69"/>
      <c r="O71" s="78" t="str">
        <v>W1</v>
      </c>
      <c r="P71" s="48" t="str">
        <v>WW,M1</v>
      </c>
      <c r="Q71" s="155">
        <f>Q$3+Q$4</f>
        <v>23</v>
      </c>
      <c r="R71" s="155">
        <f ca="1">R$3+R$4</f>
        <v>45</v>
      </c>
      <c r="S71" s="84">
        <f ca="1">S$3+S$4</f>
        <v>44</v>
      </c>
      <c r="T71" s="69"/>
      <c r="V71" s="27">
        <v>68</v>
      </c>
      <c r="W71" s="25" t="s">
        <v>82</v>
      </c>
      <c r="X71" s="25" t="s">
        <v>18</v>
      </c>
      <c r="Y71" s="25" t="s">
        <v>17</v>
      </c>
      <c r="AA71" s="29">
        <v>1</v>
      </c>
      <c r="AB71" s="29">
        <v>1</v>
      </c>
      <c r="AC71" s="29">
        <v>1</v>
      </c>
      <c r="AD71" s="65"/>
      <c r="AE71" s="29">
        <f t="shared" si="88"/>
        <v>1</v>
      </c>
      <c r="AF71" s="29">
        <f t="shared" si="89"/>
        <v>1</v>
      </c>
      <c r="AG71" s="29">
        <f t="shared" si="90"/>
        <v>1</v>
      </c>
      <c r="AH71" s="65"/>
      <c r="AI71" s="29">
        <f t="shared" si="100"/>
        <v>1</v>
      </c>
      <c r="AJ71" s="29">
        <f t="shared" si="101"/>
        <v>1</v>
      </c>
      <c r="AK71" s="29">
        <f t="shared" si="102"/>
        <v>1</v>
      </c>
      <c r="AM71" s="29">
        <v>1</v>
      </c>
      <c r="AN71" s="29">
        <v>1</v>
      </c>
      <c r="AO71" s="29">
        <v>1</v>
      </c>
      <c r="AQ71" s="29">
        <f t="shared" si="91"/>
        <v>1</v>
      </c>
      <c r="AR71" s="29">
        <f t="shared" si="82"/>
        <v>1</v>
      </c>
      <c r="AS71" s="29">
        <f t="shared" si="83"/>
        <v>1</v>
      </c>
      <c r="AT71" s="65"/>
      <c r="AU71" s="29">
        <f t="shared" si="103"/>
        <v>1</v>
      </c>
      <c r="AV71" s="29">
        <f t="shared" si="92"/>
        <v>1</v>
      </c>
      <c r="AW71" s="29">
        <f t="shared" si="93"/>
        <v>1</v>
      </c>
      <c r="AY71" s="29">
        <v>1</v>
      </c>
      <c r="AZ71" s="29">
        <v>1</v>
      </c>
      <c r="BA71" s="29">
        <v>1</v>
      </c>
      <c r="BC71" s="29">
        <f t="shared" si="94"/>
        <v>1</v>
      </c>
      <c r="BD71" s="29">
        <f t="shared" si="84"/>
        <v>1</v>
      </c>
      <c r="BE71" s="29">
        <f t="shared" si="85"/>
        <v>1</v>
      </c>
      <c r="BF71" s="65"/>
      <c r="BG71" s="29">
        <f t="shared" si="104"/>
        <v>1</v>
      </c>
      <c r="BH71" s="29">
        <f t="shared" si="95"/>
        <v>1</v>
      </c>
      <c r="BI71" s="29">
        <f t="shared" si="96"/>
        <v>1</v>
      </c>
      <c r="BK71" s="29">
        <v>100</v>
      </c>
      <c r="BL71" s="29">
        <v>701</v>
      </c>
      <c r="BM71" s="29">
        <v>100</v>
      </c>
      <c r="BO71" s="29">
        <f t="shared" si="97"/>
        <v>100</v>
      </c>
      <c r="BP71" s="29">
        <f t="shared" si="86"/>
        <v>100</v>
      </c>
      <c r="BQ71" s="29">
        <f t="shared" si="87"/>
        <v>100</v>
      </c>
      <c r="BR71" s="65"/>
      <c r="BS71" s="29">
        <f t="shared" si="105"/>
        <v>100</v>
      </c>
      <c r="BT71" s="29">
        <f t="shared" si="98"/>
        <v>100</v>
      </c>
      <c r="BU71" s="29">
        <f t="shared" si="99"/>
        <v>100</v>
      </c>
      <c r="BW71" s="8">
        <f>IF(W71="","",VLOOKUP('Regular Symbol'!W71,'Regular Symbol'!$O$3:$T$13,6,0))</f>
        <v>5</v>
      </c>
      <c r="BX71" s="8">
        <f>IF(X71="","",VLOOKUP('Regular Symbol'!X71,'Regular Symbol'!$O$3:$T$13,6,0))</f>
        <v>3</v>
      </c>
      <c r="BY71" s="8">
        <f>IF(Y71="","",VLOOKUP('Regular Symbol'!Y71,'Regular Symbol'!$O$3:$T$13,6,0))</f>
        <v>2</v>
      </c>
      <c r="CA71" s="8" t="str">
        <f t="shared" si="79"/>
        <v>K</v>
      </c>
      <c r="CB71" s="8" t="str">
        <f t="shared" si="80"/>
        <v>M3</v>
      </c>
      <c r="CC71" s="8" t="str">
        <f t="shared" si="81"/>
        <v>M2</v>
      </c>
    </row>
    <row r="72" spans="1:81" ht="16.8" customHeight="1">
      <c r="A72" s="78" t="s">
        <v>21</v>
      </c>
      <c r="B72" s="48" t="s">
        <v>22</v>
      </c>
      <c r="C72" s="155">
        <f>C$3+C$5</f>
        <v>22</v>
      </c>
      <c r="D72" s="155">
        <f>D$3+D$5</f>
        <v>47</v>
      </c>
      <c r="E72" s="84">
        <f>E$3+E$5</f>
        <v>48</v>
      </c>
      <c r="F72" s="69"/>
      <c r="H72" s="78" t="str">
        <v>W2</v>
      </c>
      <c r="I72" s="48" t="str">
        <v>WW,M2</v>
      </c>
      <c r="J72" s="155">
        <f>J$3+J$5</f>
        <v>22</v>
      </c>
      <c r="K72" s="155">
        <f ca="1">K$3+K$5</f>
        <v>47</v>
      </c>
      <c r="L72" s="84">
        <f>L$3+L$5</f>
        <v>48</v>
      </c>
      <c r="M72" s="69"/>
      <c r="O72" s="78" t="str">
        <v>W2</v>
      </c>
      <c r="P72" s="48" t="str">
        <v>WW,M2</v>
      </c>
      <c r="Q72" s="155">
        <f>Q$3+Q$5</f>
        <v>22</v>
      </c>
      <c r="R72" s="155">
        <f ca="1">R$3+R$5</f>
        <v>47</v>
      </c>
      <c r="S72" s="84">
        <f>S$3+S$5</f>
        <v>48</v>
      </c>
      <c r="T72" s="69"/>
      <c r="V72" s="27">
        <v>69</v>
      </c>
      <c r="W72" s="25" t="s">
        <v>82</v>
      </c>
      <c r="X72" s="25" t="s">
        <v>18</v>
      </c>
      <c r="Y72" s="25" t="s">
        <v>17</v>
      </c>
      <c r="AA72" s="29">
        <v>1</v>
      </c>
      <c r="AB72" s="29">
        <v>1</v>
      </c>
      <c r="AC72" s="29">
        <v>1</v>
      </c>
      <c r="AD72" s="65"/>
      <c r="AE72" s="29">
        <f t="shared" si="88"/>
        <v>1</v>
      </c>
      <c r="AF72" s="29">
        <f t="shared" si="89"/>
        <v>1</v>
      </c>
      <c r="AG72" s="29">
        <f t="shared" si="90"/>
        <v>1</v>
      </c>
      <c r="AH72" s="65"/>
      <c r="AI72" s="29">
        <f t="shared" si="100"/>
        <v>1</v>
      </c>
      <c r="AJ72" s="29">
        <f t="shared" si="101"/>
        <v>1</v>
      </c>
      <c r="AK72" s="29">
        <f t="shared" si="102"/>
        <v>1</v>
      </c>
      <c r="AM72" s="29">
        <v>1</v>
      </c>
      <c r="AN72" s="29">
        <v>1</v>
      </c>
      <c r="AO72" s="29">
        <v>1</v>
      </c>
      <c r="AQ72" s="29">
        <f t="shared" si="91"/>
        <v>1</v>
      </c>
      <c r="AR72" s="29">
        <f t="shared" si="82"/>
        <v>1</v>
      </c>
      <c r="AS72" s="29">
        <f t="shared" si="83"/>
        <v>1</v>
      </c>
      <c r="AT72" s="65"/>
      <c r="AU72" s="29">
        <f t="shared" si="103"/>
        <v>1</v>
      </c>
      <c r="AV72" s="29">
        <f t="shared" si="92"/>
        <v>1</v>
      </c>
      <c r="AW72" s="29">
        <f t="shared" si="93"/>
        <v>1</v>
      </c>
      <c r="AY72" s="29">
        <v>1</v>
      </c>
      <c r="AZ72" s="29">
        <v>1</v>
      </c>
      <c r="BA72" s="29">
        <v>1</v>
      </c>
      <c r="BC72" s="29">
        <f t="shared" si="94"/>
        <v>1</v>
      </c>
      <c r="BD72" s="29">
        <f t="shared" si="84"/>
        <v>1</v>
      </c>
      <c r="BE72" s="29">
        <f t="shared" si="85"/>
        <v>1</v>
      </c>
      <c r="BF72" s="65"/>
      <c r="BG72" s="29">
        <f t="shared" si="104"/>
        <v>1</v>
      </c>
      <c r="BH72" s="29">
        <f t="shared" si="95"/>
        <v>1</v>
      </c>
      <c r="BI72" s="29">
        <f t="shared" si="96"/>
        <v>1</v>
      </c>
      <c r="BK72" s="29">
        <v>100</v>
      </c>
      <c r="BL72" s="29">
        <v>584</v>
      </c>
      <c r="BM72" s="29">
        <v>100</v>
      </c>
      <c r="BO72" s="29">
        <f t="shared" si="97"/>
        <v>100</v>
      </c>
      <c r="BP72" s="29">
        <f t="shared" si="86"/>
        <v>701</v>
      </c>
      <c r="BQ72" s="29">
        <f t="shared" si="87"/>
        <v>100</v>
      </c>
      <c r="BR72" s="65"/>
      <c r="BS72" s="29">
        <f t="shared" si="105"/>
        <v>100</v>
      </c>
      <c r="BT72" s="29">
        <f t="shared" si="98"/>
        <v>100</v>
      </c>
      <c r="BU72" s="29">
        <f t="shared" si="99"/>
        <v>100</v>
      </c>
      <c r="BW72" s="8">
        <f>IF(W72="","",VLOOKUP('Regular Symbol'!W72,'Regular Symbol'!$O$3:$T$13,6,0))</f>
        <v>5</v>
      </c>
      <c r="BX72" s="8">
        <f>IF(X72="","",VLOOKUP('Regular Symbol'!X72,'Regular Symbol'!$O$3:$T$13,6,0))</f>
        <v>3</v>
      </c>
      <c r="BY72" s="8">
        <f>IF(Y72="","",VLOOKUP('Regular Symbol'!Y72,'Regular Symbol'!$O$3:$T$13,6,0))</f>
        <v>2</v>
      </c>
      <c r="CA72" s="8" t="str">
        <f t="shared" si="79"/>
        <v>K</v>
      </c>
      <c r="CB72" s="8" t="str">
        <f t="shared" si="80"/>
        <v>M3</v>
      </c>
      <c r="CC72" s="8" t="str">
        <f t="shared" si="81"/>
        <v>M2</v>
      </c>
    </row>
    <row r="73" spans="1:81" ht="16.8" customHeight="1">
      <c r="A73" s="78" t="s">
        <v>23</v>
      </c>
      <c r="B73" s="48" t="s">
        <v>24</v>
      </c>
      <c r="C73" s="155">
        <f>C$3+C$6</f>
        <v>23</v>
      </c>
      <c r="D73" s="155">
        <f>D$3+D$6</f>
        <v>46</v>
      </c>
      <c r="E73" s="84">
        <f>E$3+E$6</f>
        <v>49</v>
      </c>
      <c r="F73" s="69"/>
      <c r="H73" s="78" t="str">
        <v>W3</v>
      </c>
      <c r="I73" s="48" t="str">
        <v>WW,M3</v>
      </c>
      <c r="J73" s="155">
        <f>J$3+J$6</f>
        <v>23</v>
      </c>
      <c r="K73" s="155">
        <f ca="1">K$3+K$6</f>
        <v>46</v>
      </c>
      <c r="L73" s="84">
        <f>L$3+L$6</f>
        <v>49</v>
      </c>
      <c r="M73" s="69"/>
      <c r="O73" s="78" t="str">
        <v>W3</v>
      </c>
      <c r="P73" s="48" t="str">
        <v>WW,M3</v>
      </c>
      <c r="Q73" s="155">
        <f>Q$3+Q$6</f>
        <v>23</v>
      </c>
      <c r="R73" s="155">
        <f ca="1">R$3+R$6</f>
        <v>46</v>
      </c>
      <c r="S73" s="84">
        <f>S$3+S$6</f>
        <v>49</v>
      </c>
      <c r="T73" s="69"/>
      <c r="V73" s="27">
        <v>70</v>
      </c>
      <c r="W73" s="25" t="s">
        <v>81</v>
      </c>
      <c r="X73" s="25" t="s">
        <v>25</v>
      </c>
      <c r="Y73" s="25" t="s">
        <v>16</v>
      </c>
      <c r="AA73" s="29">
        <v>1</v>
      </c>
      <c r="AB73" s="29">
        <v>1</v>
      </c>
      <c r="AC73" s="29">
        <v>1</v>
      </c>
      <c r="AD73" s="65"/>
      <c r="AE73" s="29">
        <f t="shared" si="88"/>
        <v>1</v>
      </c>
      <c r="AF73" s="29">
        <f t="shared" si="89"/>
        <v>1</v>
      </c>
      <c r="AG73" s="29">
        <f t="shared" si="90"/>
        <v>1</v>
      </c>
      <c r="AH73" s="65"/>
      <c r="AI73" s="29">
        <f t="shared" si="100"/>
        <v>1</v>
      </c>
      <c r="AJ73" s="29">
        <f t="shared" si="101"/>
        <v>1</v>
      </c>
      <c r="AK73" s="29">
        <f t="shared" si="102"/>
        <v>1</v>
      </c>
      <c r="AM73" s="29">
        <v>1</v>
      </c>
      <c r="AN73" s="29">
        <v>1</v>
      </c>
      <c r="AO73" s="29">
        <v>1</v>
      </c>
      <c r="AQ73" s="29">
        <f t="shared" si="91"/>
        <v>1</v>
      </c>
      <c r="AR73" s="29">
        <f t="shared" si="82"/>
        <v>1</v>
      </c>
      <c r="AS73" s="29">
        <f t="shared" si="83"/>
        <v>1</v>
      </c>
      <c r="AT73" s="65"/>
      <c r="AU73" s="29">
        <f t="shared" si="103"/>
        <v>1</v>
      </c>
      <c r="AV73" s="29">
        <f t="shared" si="92"/>
        <v>1</v>
      </c>
      <c r="AW73" s="29">
        <f t="shared" si="93"/>
        <v>1</v>
      </c>
      <c r="AY73" s="29">
        <v>1</v>
      </c>
      <c r="AZ73" s="29">
        <v>1</v>
      </c>
      <c r="BA73" s="29">
        <v>1</v>
      </c>
      <c r="BC73" s="29">
        <f t="shared" si="94"/>
        <v>1</v>
      </c>
      <c r="BD73" s="29">
        <f t="shared" si="84"/>
        <v>1</v>
      </c>
      <c r="BE73" s="29">
        <f t="shared" si="85"/>
        <v>1</v>
      </c>
      <c r="BF73" s="65"/>
      <c r="BG73" s="29">
        <f t="shared" si="104"/>
        <v>1</v>
      </c>
      <c r="BH73" s="29">
        <f t="shared" si="95"/>
        <v>1</v>
      </c>
      <c r="BI73" s="29">
        <f t="shared" si="96"/>
        <v>1</v>
      </c>
      <c r="BK73" s="29">
        <v>100</v>
      </c>
      <c r="BL73" s="29">
        <v>467</v>
      </c>
      <c r="BM73" s="29">
        <v>100</v>
      </c>
      <c r="BO73" s="29">
        <f t="shared" si="97"/>
        <v>100</v>
      </c>
      <c r="BP73" s="29">
        <f t="shared" si="86"/>
        <v>584</v>
      </c>
      <c r="BQ73" s="29">
        <f t="shared" si="87"/>
        <v>100</v>
      </c>
      <c r="BR73" s="65"/>
      <c r="BS73" s="29">
        <f t="shared" si="105"/>
        <v>100</v>
      </c>
      <c r="BT73" s="29">
        <f t="shared" si="98"/>
        <v>701</v>
      </c>
      <c r="BU73" s="29">
        <f t="shared" si="99"/>
        <v>100</v>
      </c>
      <c r="BW73" s="8">
        <f>IF(W73="","",VLOOKUP('Regular Symbol'!W73,'Regular Symbol'!$O$3:$T$13,6,0))</f>
        <v>4</v>
      </c>
      <c r="BX73" s="8">
        <f>IF(X73="","",VLOOKUP('Regular Symbol'!X73,'Regular Symbol'!$O$3:$T$13,6,0))</f>
        <v>0</v>
      </c>
      <c r="BY73" s="8">
        <f>IF(Y73="","",VLOOKUP('Regular Symbol'!Y73,'Regular Symbol'!$O$3:$T$13,6,0))</f>
        <v>1</v>
      </c>
      <c r="CA73" s="8" t="str">
        <f t="shared" si="79"/>
        <v>A</v>
      </c>
      <c r="CB73" s="8" t="str">
        <f t="shared" si="80"/>
        <v>Wild</v>
      </c>
      <c r="CC73" s="8" t="str">
        <f t="shared" si="81"/>
        <v>M1</v>
      </c>
    </row>
    <row r="74" spans="1:81" ht="16.8" customHeight="1">
      <c r="A74" s="78" t="s">
        <v>55</v>
      </c>
      <c r="B74" s="48" t="s">
        <v>34</v>
      </c>
      <c r="C74" s="155">
        <f>C$3+C$7</f>
        <v>27</v>
      </c>
      <c r="D74" s="155">
        <f>D$3+D$7</f>
        <v>51</v>
      </c>
      <c r="E74" s="84">
        <f>E$3+E$7</f>
        <v>44</v>
      </c>
      <c r="F74" s="69"/>
      <c r="H74" s="78" t="str">
        <v>WA</v>
      </c>
      <c r="I74" s="48" t="str">
        <v>WW,A</v>
      </c>
      <c r="J74" s="155">
        <f>J$3+J$7</f>
        <v>27</v>
      </c>
      <c r="K74" s="155">
        <f ca="1">K$3+K$7</f>
        <v>51</v>
      </c>
      <c r="L74" s="84">
        <f>L$3+L$7</f>
        <v>44</v>
      </c>
      <c r="M74" s="69"/>
      <c r="O74" s="78" t="str">
        <v>WA</v>
      </c>
      <c r="P74" s="48" t="str">
        <v>WW,A</v>
      </c>
      <c r="Q74" s="155">
        <f>Q$3+Q$7</f>
        <v>27</v>
      </c>
      <c r="R74" s="155">
        <f ca="1">R$3+R$7</f>
        <v>51</v>
      </c>
      <c r="S74" s="84">
        <f>S$3+S$7</f>
        <v>44</v>
      </c>
      <c r="T74" s="69"/>
      <c r="V74" s="27">
        <v>71</v>
      </c>
      <c r="W74" s="25" t="s">
        <v>81</v>
      </c>
      <c r="X74" s="25" t="s">
        <v>25</v>
      </c>
      <c r="Y74" s="25" t="s">
        <v>16</v>
      </c>
      <c r="AA74" s="29">
        <v>1</v>
      </c>
      <c r="AB74" s="29">
        <v>1</v>
      </c>
      <c r="AC74" s="29">
        <v>1</v>
      </c>
      <c r="AD74" s="65"/>
      <c r="AE74" s="29">
        <f t="shared" si="88"/>
        <v>1</v>
      </c>
      <c r="AF74" s="29">
        <f t="shared" si="89"/>
        <v>1</v>
      </c>
      <c r="AG74" s="29">
        <f t="shared" si="90"/>
        <v>1</v>
      </c>
      <c r="AH74" s="65"/>
      <c r="AI74" s="29">
        <f t="shared" si="100"/>
        <v>1</v>
      </c>
      <c r="AJ74" s="29">
        <f t="shared" si="101"/>
        <v>1</v>
      </c>
      <c r="AK74" s="29">
        <f t="shared" si="102"/>
        <v>1</v>
      </c>
      <c r="AM74" s="29">
        <v>1</v>
      </c>
      <c r="AN74" s="29">
        <v>1</v>
      </c>
      <c r="AO74" s="29">
        <v>1</v>
      </c>
      <c r="AQ74" s="29">
        <f t="shared" si="91"/>
        <v>1</v>
      </c>
      <c r="AR74" s="29">
        <f t="shared" si="82"/>
        <v>1</v>
      </c>
      <c r="AS74" s="29">
        <f t="shared" si="83"/>
        <v>1</v>
      </c>
      <c r="AT74" s="65"/>
      <c r="AU74" s="29">
        <f t="shared" si="103"/>
        <v>1</v>
      </c>
      <c r="AV74" s="29">
        <f t="shared" si="92"/>
        <v>1</v>
      </c>
      <c r="AW74" s="29">
        <f t="shared" si="93"/>
        <v>1</v>
      </c>
      <c r="AY74" s="29">
        <v>1</v>
      </c>
      <c r="AZ74" s="29">
        <v>1</v>
      </c>
      <c r="BA74" s="29">
        <v>1</v>
      </c>
      <c r="BC74" s="29">
        <f t="shared" si="94"/>
        <v>1</v>
      </c>
      <c r="BD74" s="29">
        <f t="shared" si="84"/>
        <v>1</v>
      </c>
      <c r="BE74" s="29">
        <f t="shared" si="85"/>
        <v>1</v>
      </c>
      <c r="BF74" s="65"/>
      <c r="BG74" s="29">
        <f t="shared" si="104"/>
        <v>1</v>
      </c>
      <c r="BH74" s="29">
        <f t="shared" si="95"/>
        <v>1</v>
      </c>
      <c r="BI74" s="29">
        <f t="shared" si="96"/>
        <v>1</v>
      </c>
      <c r="BK74" s="29">
        <v>100</v>
      </c>
      <c r="BL74" s="29">
        <v>584</v>
      </c>
      <c r="BM74" s="29">
        <v>100</v>
      </c>
      <c r="BO74" s="29">
        <f t="shared" si="97"/>
        <v>100</v>
      </c>
      <c r="BP74" s="29">
        <f t="shared" si="86"/>
        <v>467</v>
      </c>
      <c r="BQ74" s="29">
        <f t="shared" si="87"/>
        <v>100</v>
      </c>
      <c r="BR74" s="65"/>
      <c r="BS74" s="29">
        <f t="shared" si="105"/>
        <v>100</v>
      </c>
      <c r="BT74" s="29">
        <f t="shared" si="98"/>
        <v>584</v>
      </c>
      <c r="BU74" s="29">
        <f t="shared" si="99"/>
        <v>100</v>
      </c>
      <c r="BW74" s="8">
        <f>IF(W74="","",VLOOKUP('Regular Symbol'!W74,'Regular Symbol'!$O$3:$T$13,6,0))</f>
        <v>4</v>
      </c>
      <c r="BX74" s="8">
        <f>IF(X74="","",VLOOKUP('Regular Symbol'!X74,'Regular Symbol'!$O$3:$T$13,6,0))</f>
        <v>0</v>
      </c>
      <c r="BY74" s="8">
        <f>IF(Y74="","",VLOOKUP('Regular Symbol'!Y74,'Regular Symbol'!$O$3:$T$13,6,0))</f>
        <v>1</v>
      </c>
      <c r="CA74" s="8" t="str">
        <f t="shared" si="79"/>
        <v>A</v>
      </c>
      <c r="CB74" s="8" t="str">
        <f t="shared" si="80"/>
        <v>Wild</v>
      </c>
      <c r="CC74" s="8" t="str">
        <f t="shared" si="81"/>
        <v>M1</v>
      </c>
    </row>
    <row r="75" spans="1:81" ht="16.8" customHeight="1">
      <c r="A75" s="78" t="s">
        <v>56</v>
      </c>
      <c r="B75" s="48" t="s">
        <v>35</v>
      </c>
      <c r="C75" s="155">
        <f>C$3+C$8</f>
        <v>28</v>
      </c>
      <c r="D75" s="155">
        <f>D$3+D$8</f>
        <v>49</v>
      </c>
      <c r="E75" s="84">
        <f>E$3+E$8</f>
        <v>48</v>
      </c>
      <c r="F75" s="69"/>
      <c r="H75" s="78" t="str">
        <v>WK</v>
      </c>
      <c r="I75" s="48" t="str">
        <v>WW,K</v>
      </c>
      <c r="J75" s="155">
        <f>J$3+J$8</f>
        <v>28</v>
      </c>
      <c r="K75" s="155">
        <f ca="1">K$3+K$8</f>
        <v>49</v>
      </c>
      <c r="L75" s="84">
        <f>L$3+L$8</f>
        <v>48</v>
      </c>
      <c r="M75" s="69"/>
      <c r="O75" s="78" t="str">
        <v>WK</v>
      </c>
      <c r="P75" s="48" t="str">
        <v>WW,K</v>
      </c>
      <c r="Q75" s="155">
        <f ca="1">Q$3+Q$8</f>
        <v>28</v>
      </c>
      <c r="R75" s="155">
        <f ca="1">R$3+R$8</f>
        <v>49</v>
      </c>
      <c r="S75" s="84">
        <f>S$3+S$8</f>
        <v>48</v>
      </c>
      <c r="T75" s="69"/>
      <c r="V75" s="27">
        <v>72</v>
      </c>
      <c r="W75" s="25" t="s">
        <v>18</v>
      </c>
      <c r="X75" s="25" t="s">
        <v>25</v>
      </c>
      <c r="Y75" s="25" t="s">
        <v>82</v>
      </c>
      <c r="AA75" s="29">
        <v>1</v>
      </c>
      <c r="AB75" s="29">
        <v>1</v>
      </c>
      <c r="AC75" s="29">
        <v>1</v>
      </c>
      <c r="AD75" s="65"/>
      <c r="AE75" s="29">
        <f t="shared" si="88"/>
        <v>1</v>
      </c>
      <c r="AF75" s="29">
        <f t="shared" si="89"/>
        <v>1</v>
      </c>
      <c r="AG75" s="29">
        <f t="shared" si="90"/>
        <v>1</v>
      </c>
      <c r="AH75" s="65"/>
      <c r="AI75" s="29">
        <f t="shared" si="100"/>
        <v>1</v>
      </c>
      <c r="AJ75" s="29">
        <f t="shared" si="101"/>
        <v>1</v>
      </c>
      <c r="AK75" s="29">
        <f t="shared" si="102"/>
        <v>1</v>
      </c>
      <c r="AM75" s="29">
        <v>1</v>
      </c>
      <c r="AN75" s="29">
        <v>1</v>
      </c>
      <c r="AO75" s="29">
        <v>1</v>
      </c>
      <c r="AQ75" s="29">
        <f t="shared" si="91"/>
        <v>1</v>
      </c>
      <c r="AR75" s="29">
        <f t="shared" si="82"/>
        <v>1</v>
      </c>
      <c r="AS75" s="29">
        <f t="shared" si="83"/>
        <v>1</v>
      </c>
      <c r="AT75" s="65"/>
      <c r="AU75" s="29">
        <f t="shared" si="103"/>
        <v>1</v>
      </c>
      <c r="AV75" s="29">
        <f t="shared" si="92"/>
        <v>1</v>
      </c>
      <c r="AW75" s="29">
        <f t="shared" si="93"/>
        <v>1</v>
      </c>
      <c r="AY75" s="29">
        <v>1</v>
      </c>
      <c r="AZ75" s="29">
        <v>1</v>
      </c>
      <c r="BA75" s="29">
        <v>1</v>
      </c>
      <c r="BC75" s="29">
        <f t="shared" si="94"/>
        <v>1</v>
      </c>
      <c r="BD75" s="29">
        <f t="shared" si="84"/>
        <v>1</v>
      </c>
      <c r="BE75" s="29">
        <f t="shared" si="85"/>
        <v>1</v>
      </c>
      <c r="BF75" s="65"/>
      <c r="BG75" s="29">
        <f t="shared" si="104"/>
        <v>1</v>
      </c>
      <c r="BH75" s="29">
        <f t="shared" si="95"/>
        <v>1</v>
      </c>
      <c r="BI75" s="29">
        <f t="shared" si="96"/>
        <v>1</v>
      </c>
      <c r="BK75" s="29">
        <v>100</v>
      </c>
      <c r="BL75" s="29">
        <v>701</v>
      </c>
      <c r="BM75" s="29">
        <v>100</v>
      </c>
      <c r="BO75" s="29">
        <f t="shared" si="97"/>
        <v>100</v>
      </c>
      <c r="BP75" s="29">
        <f t="shared" si="86"/>
        <v>584</v>
      </c>
      <c r="BQ75" s="29">
        <f t="shared" si="87"/>
        <v>100</v>
      </c>
      <c r="BR75" s="65"/>
      <c r="BS75" s="29">
        <f t="shared" si="105"/>
        <v>100</v>
      </c>
      <c r="BT75" s="29">
        <f t="shared" si="98"/>
        <v>467</v>
      </c>
      <c r="BU75" s="29">
        <f t="shared" si="99"/>
        <v>100</v>
      </c>
      <c r="BW75" s="8">
        <f>IF(W75="","",VLOOKUP('Regular Symbol'!W75,'Regular Symbol'!$O$3:$T$13,6,0))</f>
        <v>3</v>
      </c>
      <c r="BX75" s="8">
        <f>IF(X75="","",VLOOKUP('Regular Symbol'!X75,'Regular Symbol'!$O$3:$T$13,6,0))</f>
        <v>0</v>
      </c>
      <c r="BY75" s="8">
        <f>IF(Y75="","",VLOOKUP('Regular Symbol'!Y75,'Regular Symbol'!$O$3:$T$13,6,0))</f>
        <v>5</v>
      </c>
      <c r="CA75" s="8" t="str">
        <f t="shared" si="79"/>
        <v>M3</v>
      </c>
      <c r="CB75" s="8" t="str">
        <f t="shared" si="80"/>
        <v>Wild</v>
      </c>
      <c r="CC75" s="8" t="str">
        <f t="shared" si="81"/>
        <v>K</v>
      </c>
    </row>
    <row r="76" spans="1:81" ht="16.8" customHeight="1">
      <c r="A76" s="78" t="s">
        <v>57</v>
      </c>
      <c r="B76" s="48" t="s">
        <v>36</v>
      </c>
      <c r="C76" s="155">
        <f>C$3+C$9</f>
        <v>26</v>
      </c>
      <c r="D76" s="155">
        <f>D$3+D$9</f>
        <v>50</v>
      </c>
      <c r="E76" s="84">
        <f>E$3+E$9</f>
        <v>48</v>
      </c>
      <c r="F76" s="69"/>
      <c r="H76" s="78" t="str">
        <v>WQ</v>
      </c>
      <c r="I76" s="48" t="str">
        <v>WW,Q</v>
      </c>
      <c r="J76" s="155">
        <f>J$3+J$9</f>
        <v>26</v>
      </c>
      <c r="K76" s="155">
        <f ca="1">K$3+K$9</f>
        <v>50</v>
      </c>
      <c r="L76" s="84">
        <f>L$3+L$9</f>
        <v>48</v>
      </c>
      <c r="M76" s="69"/>
      <c r="O76" s="78" t="str">
        <v>WQ</v>
      </c>
      <c r="P76" s="48" t="str">
        <v>WW,Q</v>
      </c>
      <c r="Q76" s="155">
        <f>Q$3+Q$9</f>
        <v>26</v>
      </c>
      <c r="R76" s="155">
        <f ca="1">R$3+R$9</f>
        <v>50</v>
      </c>
      <c r="S76" s="84">
        <f>S$3+S$9</f>
        <v>48</v>
      </c>
      <c r="T76" s="69"/>
      <c r="V76" s="27">
        <v>73</v>
      </c>
      <c r="W76" s="25" t="s">
        <v>18</v>
      </c>
      <c r="X76" s="25" t="s">
        <v>17</v>
      </c>
      <c r="Y76" s="25" t="s">
        <v>82</v>
      </c>
      <c r="AA76" s="29">
        <v>1</v>
      </c>
      <c r="AB76" s="29">
        <v>1</v>
      </c>
      <c r="AC76" s="29">
        <v>1</v>
      </c>
      <c r="AD76" s="65"/>
      <c r="AE76" s="29">
        <f t="shared" si="88"/>
        <v>1</v>
      </c>
      <c r="AF76" s="29">
        <f t="shared" si="89"/>
        <v>1</v>
      </c>
      <c r="AG76" s="29">
        <f t="shared" si="90"/>
        <v>1</v>
      </c>
      <c r="AH76" s="65"/>
      <c r="AI76" s="29">
        <f t="shared" si="100"/>
        <v>1</v>
      </c>
      <c r="AJ76" s="29">
        <f t="shared" si="101"/>
        <v>1</v>
      </c>
      <c r="AK76" s="29">
        <f t="shared" si="102"/>
        <v>1</v>
      </c>
      <c r="AM76" s="29">
        <v>1</v>
      </c>
      <c r="AN76" s="29">
        <v>1</v>
      </c>
      <c r="AO76" s="29">
        <v>1</v>
      </c>
      <c r="AQ76" s="29">
        <f t="shared" si="91"/>
        <v>1</v>
      </c>
      <c r="AR76" s="29">
        <f t="shared" si="82"/>
        <v>1</v>
      </c>
      <c r="AS76" s="29">
        <f t="shared" si="83"/>
        <v>1</v>
      </c>
      <c r="AT76" s="65"/>
      <c r="AU76" s="29">
        <f t="shared" si="103"/>
        <v>1</v>
      </c>
      <c r="AV76" s="29">
        <f t="shared" si="92"/>
        <v>1</v>
      </c>
      <c r="AW76" s="29">
        <f t="shared" si="93"/>
        <v>1</v>
      </c>
      <c r="AY76" s="29">
        <v>1</v>
      </c>
      <c r="AZ76" s="29">
        <v>1</v>
      </c>
      <c r="BA76" s="29">
        <v>1</v>
      </c>
      <c r="BC76" s="29">
        <f t="shared" si="94"/>
        <v>1</v>
      </c>
      <c r="BD76" s="29">
        <f t="shared" si="84"/>
        <v>1</v>
      </c>
      <c r="BE76" s="29">
        <f t="shared" si="85"/>
        <v>1</v>
      </c>
      <c r="BF76" s="65"/>
      <c r="BG76" s="29">
        <f t="shared" si="104"/>
        <v>1</v>
      </c>
      <c r="BH76" s="29">
        <f t="shared" si="95"/>
        <v>1</v>
      </c>
      <c r="BI76" s="29">
        <f t="shared" si="96"/>
        <v>1</v>
      </c>
      <c r="BK76" s="29">
        <v>100</v>
      </c>
      <c r="BL76" s="29">
        <v>100</v>
      </c>
      <c r="BM76" s="29">
        <v>100</v>
      </c>
      <c r="BO76" s="29">
        <f t="shared" si="97"/>
        <v>100</v>
      </c>
      <c r="BP76" s="29">
        <f t="shared" si="86"/>
        <v>701</v>
      </c>
      <c r="BQ76" s="29">
        <f t="shared" si="87"/>
        <v>100</v>
      </c>
      <c r="BR76" s="65"/>
      <c r="BS76" s="29">
        <f t="shared" si="105"/>
        <v>100</v>
      </c>
      <c r="BT76" s="29">
        <f t="shared" si="98"/>
        <v>584</v>
      </c>
      <c r="BU76" s="29">
        <f t="shared" si="99"/>
        <v>100</v>
      </c>
      <c r="BW76" s="8">
        <f>IF(W76="","",VLOOKUP('Regular Symbol'!W76,'Regular Symbol'!$O$3:$T$13,6,0))</f>
        <v>3</v>
      </c>
      <c r="BX76" s="8">
        <f>IF(X76="","",VLOOKUP('Regular Symbol'!X76,'Regular Symbol'!$O$3:$T$13,6,0))</f>
        <v>2</v>
      </c>
      <c r="BY76" s="8">
        <f>IF(Y76="","",VLOOKUP('Regular Symbol'!Y76,'Regular Symbol'!$O$3:$T$13,6,0))</f>
        <v>5</v>
      </c>
      <c r="CA76" s="8" t="str">
        <f t="shared" si="79"/>
        <v>M3</v>
      </c>
      <c r="CB76" s="8" t="str">
        <f t="shared" si="80"/>
        <v>M2</v>
      </c>
      <c r="CC76" s="8" t="str">
        <f t="shared" si="81"/>
        <v>K</v>
      </c>
    </row>
    <row r="77" spans="1:81" ht="16.8" customHeight="1" thickBot="1">
      <c r="A77" s="73" t="s">
        <v>58</v>
      </c>
      <c r="B77" s="53" t="s">
        <v>37</v>
      </c>
      <c r="C77" s="154">
        <f>C$3+C$10</f>
        <v>28</v>
      </c>
      <c r="D77" s="154">
        <f>D$3+D$10</f>
        <v>47</v>
      </c>
      <c r="E77" s="17">
        <f>E$3+E$10</f>
        <v>48</v>
      </c>
      <c r="F77" s="69"/>
      <c r="H77" s="73" t="str">
        <v>WJ</v>
      </c>
      <c r="I77" s="53" t="str">
        <v>WW,J</v>
      </c>
      <c r="J77" s="154">
        <f ca="1">J$3+J$10</f>
        <v>28</v>
      </c>
      <c r="K77" s="154">
        <f ca="1">K$3+K$10</f>
        <v>47</v>
      </c>
      <c r="L77" s="17">
        <f>L$3+L$10</f>
        <v>48</v>
      </c>
      <c r="M77" s="69"/>
      <c r="O77" s="73" t="str">
        <v>WJ</v>
      </c>
      <c r="P77" s="53" t="str">
        <v>WW,J</v>
      </c>
      <c r="Q77" s="154">
        <f ca="1">Q$3+Q$10</f>
        <v>28</v>
      </c>
      <c r="R77" s="154">
        <f ca="1">R$3+R$10</f>
        <v>47</v>
      </c>
      <c r="S77" s="17">
        <f>S$3+S$10</f>
        <v>48</v>
      </c>
      <c r="T77" s="69"/>
      <c r="V77" s="27">
        <v>74</v>
      </c>
      <c r="W77" s="25" t="s">
        <v>84</v>
      </c>
      <c r="X77" s="25" t="s">
        <v>17</v>
      </c>
      <c r="Y77" s="25" t="s">
        <v>16</v>
      </c>
      <c r="AA77" s="29">
        <v>1</v>
      </c>
      <c r="AB77" s="29">
        <v>1</v>
      </c>
      <c r="AC77" s="29">
        <v>1</v>
      </c>
      <c r="AD77" s="65"/>
      <c r="AE77" s="29">
        <f t="shared" si="88"/>
        <v>1</v>
      </c>
      <c r="AF77" s="29">
        <f t="shared" si="89"/>
        <v>1</v>
      </c>
      <c r="AG77" s="29">
        <f t="shared" si="90"/>
        <v>1</v>
      </c>
      <c r="AH77" s="65"/>
      <c r="AI77" s="29">
        <f t="shared" si="100"/>
        <v>1</v>
      </c>
      <c r="AJ77" s="29">
        <f t="shared" si="101"/>
        <v>1</v>
      </c>
      <c r="AK77" s="29">
        <f t="shared" si="102"/>
        <v>1</v>
      </c>
      <c r="AM77" s="29">
        <v>1</v>
      </c>
      <c r="AN77" s="29">
        <v>1</v>
      </c>
      <c r="AO77" s="29">
        <v>1</v>
      </c>
      <c r="AQ77" s="29">
        <f t="shared" si="91"/>
        <v>1</v>
      </c>
      <c r="AR77" s="29">
        <f t="shared" si="82"/>
        <v>1</v>
      </c>
      <c r="AS77" s="29">
        <f t="shared" si="83"/>
        <v>1</v>
      </c>
      <c r="AT77" s="65"/>
      <c r="AU77" s="29">
        <f t="shared" si="103"/>
        <v>1</v>
      </c>
      <c r="AV77" s="29">
        <f t="shared" si="92"/>
        <v>1</v>
      </c>
      <c r="AW77" s="29">
        <f t="shared" si="93"/>
        <v>1</v>
      </c>
      <c r="AY77" s="29">
        <v>1</v>
      </c>
      <c r="AZ77" s="29">
        <v>1</v>
      </c>
      <c r="BA77" s="29">
        <v>1</v>
      </c>
      <c r="BC77" s="29">
        <f t="shared" si="94"/>
        <v>1</v>
      </c>
      <c r="BD77" s="29">
        <f t="shared" si="84"/>
        <v>1</v>
      </c>
      <c r="BE77" s="29">
        <f t="shared" si="85"/>
        <v>1</v>
      </c>
      <c r="BF77" s="65"/>
      <c r="BG77" s="29">
        <f t="shared" si="104"/>
        <v>1</v>
      </c>
      <c r="BH77" s="29">
        <f t="shared" si="95"/>
        <v>1</v>
      </c>
      <c r="BI77" s="29">
        <f t="shared" si="96"/>
        <v>1</v>
      </c>
      <c r="BK77" s="29">
        <v>100</v>
      </c>
      <c r="BL77" s="29">
        <v>100</v>
      </c>
      <c r="BM77" s="29">
        <v>100</v>
      </c>
      <c r="BO77" s="29">
        <f t="shared" si="97"/>
        <v>100</v>
      </c>
      <c r="BP77" s="29">
        <f t="shared" si="86"/>
        <v>100</v>
      </c>
      <c r="BQ77" s="29">
        <f t="shared" si="87"/>
        <v>100</v>
      </c>
      <c r="BR77" s="65"/>
      <c r="BS77" s="29">
        <f t="shared" si="105"/>
        <v>100</v>
      </c>
      <c r="BT77" s="29">
        <f t="shared" si="98"/>
        <v>701</v>
      </c>
      <c r="BU77" s="29">
        <f t="shared" si="99"/>
        <v>100</v>
      </c>
      <c r="BW77" s="8">
        <f>IF(W77="","",VLOOKUP('Regular Symbol'!W77,'Regular Symbol'!$O$3:$T$13,6,0))</f>
        <v>7</v>
      </c>
      <c r="BX77" s="8">
        <f>IF(X77="","",VLOOKUP('Regular Symbol'!X77,'Regular Symbol'!$O$3:$T$13,6,0))</f>
        <v>2</v>
      </c>
      <c r="BY77" s="8">
        <f>IF(Y77="","",VLOOKUP('Regular Symbol'!Y77,'Regular Symbol'!$O$3:$T$13,6,0))</f>
        <v>1</v>
      </c>
      <c r="CA77" s="8" t="str">
        <f t="shared" si="79"/>
        <v>J</v>
      </c>
      <c r="CB77" s="8" t="str">
        <f t="shared" si="80"/>
        <v>M2</v>
      </c>
      <c r="CC77" s="8" t="str">
        <f t="shared" si="81"/>
        <v>M1</v>
      </c>
    </row>
    <row r="78" spans="1:81" ht="16.8" customHeight="1">
      <c r="V78" s="27">
        <v>75</v>
      </c>
      <c r="W78" s="25" t="s">
        <v>84</v>
      </c>
      <c r="X78" s="25" t="s">
        <v>84</v>
      </c>
      <c r="Y78" s="25" t="s">
        <v>16</v>
      </c>
      <c r="AA78" s="29">
        <v>1</v>
      </c>
      <c r="AB78" s="29">
        <v>1</v>
      </c>
      <c r="AC78" s="29">
        <v>1</v>
      </c>
      <c r="AD78" s="65"/>
      <c r="AE78" s="29">
        <f t="shared" si="88"/>
        <v>1</v>
      </c>
      <c r="AF78" s="29">
        <f t="shared" si="89"/>
        <v>1</v>
      </c>
      <c r="AG78" s="29">
        <f t="shared" si="90"/>
        <v>1</v>
      </c>
      <c r="AH78" s="65"/>
      <c r="AI78" s="29">
        <f t="shared" si="100"/>
        <v>1</v>
      </c>
      <c r="AJ78" s="29">
        <f t="shared" si="101"/>
        <v>1</v>
      </c>
      <c r="AK78" s="29">
        <f t="shared" si="102"/>
        <v>1</v>
      </c>
      <c r="AM78" s="29">
        <v>1</v>
      </c>
      <c r="AN78" s="29">
        <v>1</v>
      </c>
      <c r="AO78" s="29">
        <v>1</v>
      </c>
      <c r="AQ78" s="29">
        <f t="shared" si="91"/>
        <v>1</v>
      </c>
      <c r="AR78" s="29">
        <f t="shared" si="82"/>
        <v>1</v>
      </c>
      <c r="AS78" s="29">
        <f t="shared" si="83"/>
        <v>1</v>
      </c>
      <c r="AT78" s="65"/>
      <c r="AU78" s="29">
        <f t="shared" si="103"/>
        <v>1</v>
      </c>
      <c r="AV78" s="29">
        <f t="shared" si="92"/>
        <v>1</v>
      </c>
      <c r="AW78" s="29">
        <f t="shared" si="93"/>
        <v>1</v>
      </c>
      <c r="AY78" s="29">
        <v>1</v>
      </c>
      <c r="AZ78" s="29">
        <v>1</v>
      </c>
      <c r="BA78" s="29">
        <v>1</v>
      </c>
      <c r="BC78" s="29">
        <f t="shared" si="94"/>
        <v>1</v>
      </c>
      <c r="BD78" s="29">
        <f t="shared" si="84"/>
        <v>1</v>
      </c>
      <c r="BE78" s="29">
        <f t="shared" si="85"/>
        <v>1</v>
      </c>
      <c r="BF78" s="65"/>
      <c r="BG78" s="29">
        <f t="shared" si="104"/>
        <v>1</v>
      </c>
      <c r="BH78" s="29">
        <f t="shared" si="95"/>
        <v>1</v>
      </c>
      <c r="BI78" s="29">
        <f t="shared" si="96"/>
        <v>1</v>
      </c>
      <c r="BK78" s="29">
        <v>100</v>
      </c>
      <c r="BL78" s="29">
        <v>100</v>
      </c>
      <c r="BM78" s="29">
        <v>100</v>
      </c>
      <c r="BO78" s="29">
        <f t="shared" si="97"/>
        <v>100</v>
      </c>
      <c r="BP78" s="29">
        <f t="shared" si="86"/>
        <v>100</v>
      </c>
      <c r="BQ78" s="29">
        <f t="shared" si="87"/>
        <v>100</v>
      </c>
      <c r="BR78" s="65"/>
      <c r="BS78" s="29">
        <f t="shared" si="105"/>
        <v>100</v>
      </c>
      <c r="BT78" s="29">
        <f t="shared" si="98"/>
        <v>100</v>
      </c>
      <c r="BU78" s="29">
        <f t="shared" si="99"/>
        <v>100</v>
      </c>
      <c r="BW78" s="8">
        <f>IF(W78="","",VLOOKUP('Regular Symbol'!W78,'Regular Symbol'!$O$3:$T$13,6,0))</f>
        <v>7</v>
      </c>
      <c r="BX78" s="8">
        <f>IF(X78="","",VLOOKUP('Regular Symbol'!X78,'Regular Symbol'!$O$3:$T$13,6,0))</f>
        <v>7</v>
      </c>
      <c r="BY78" s="8">
        <f>IF(Y78="","",VLOOKUP('Regular Symbol'!Y78,'Regular Symbol'!$O$3:$T$13,6,0))</f>
        <v>1</v>
      </c>
      <c r="CA78" s="8" t="str">
        <f t="shared" si="79"/>
        <v>J</v>
      </c>
      <c r="CB78" s="8" t="str">
        <f t="shared" si="80"/>
        <v>J</v>
      </c>
      <c r="CC78" s="8" t="str">
        <f t="shared" si="81"/>
        <v>M1</v>
      </c>
    </row>
    <row r="79" spans="1:81" ht="16.8" customHeight="1" thickBot="1">
      <c r="A79" s="331" t="s">
        <v>151</v>
      </c>
      <c r="B79" s="331"/>
      <c r="C79" s="331"/>
      <c r="D79" s="331"/>
      <c r="E79" s="331"/>
      <c r="F79" s="331"/>
      <c r="H79" s="331" t="s">
        <v>152</v>
      </c>
      <c r="I79" s="331"/>
      <c r="J79" s="331"/>
      <c r="K79" s="331"/>
      <c r="L79" s="331"/>
      <c r="M79" s="331"/>
      <c r="O79" s="331" t="s">
        <v>153</v>
      </c>
      <c r="P79" s="331"/>
      <c r="Q79" s="331"/>
      <c r="R79" s="331"/>
      <c r="S79" s="331"/>
      <c r="T79" s="331"/>
      <c r="V79" s="27">
        <v>76</v>
      </c>
      <c r="W79" s="25" t="s">
        <v>81</v>
      </c>
      <c r="X79" s="25" t="s">
        <v>84</v>
      </c>
      <c r="Y79" s="25" t="s">
        <v>16</v>
      </c>
      <c r="AA79" s="29">
        <v>1</v>
      </c>
      <c r="AB79" s="29">
        <v>1</v>
      </c>
      <c r="AC79" s="29">
        <v>1</v>
      </c>
      <c r="AD79" s="65"/>
      <c r="AE79" s="29">
        <f t="shared" si="88"/>
        <v>1</v>
      </c>
      <c r="AF79" s="29">
        <f t="shared" si="89"/>
        <v>1</v>
      </c>
      <c r="AG79" s="29">
        <f t="shared" si="90"/>
        <v>1</v>
      </c>
      <c r="AH79" s="65"/>
      <c r="AI79" s="29">
        <f t="shared" si="100"/>
        <v>1</v>
      </c>
      <c r="AJ79" s="29">
        <f t="shared" si="101"/>
        <v>1</v>
      </c>
      <c r="AK79" s="29">
        <f t="shared" si="102"/>
        <v>1</v>
      </c>
      <c r="AM79" s="29">
        <v>1</v>
      </c>
      <c r="AN79" s="29">
        <v>1</v>
      </c>
      <c r="AO79" s="29">
        <v>1</v>
      </c>
      <c r="AQ79" s="29">
        <f t="shared" si="91"/>
        <v>1</v>
      </c>
      <c r="AR79" s="29">
        <f t="shared" si="82"/>
        <v>1</v>
      </c>
      <c r="AS79" s="29">
        <f t="shared" si="83"/>
        <v>1</v>
      </c>
      <c r="AT79" s="65"/>
      <c r="AU79" s="29">
        <f t="shared" si="103"/>
        <v>1</v>
      </c>
      <c r="AV79" s="29">
        <f t="shared" si="92"/>
        <v>1</v>
      </c>
      <c r="AW79" s="29">
        <f t="shared" si="93"/>
        <v>1</v>
      </c>
      <c r="AY79" s="29">
        <v>1</v>
      </c>
      <c r="AZ79" s="29">
        <v>1</v>
      </c>
      <c r="BA79" s="29">
        <v>1</v>
      </c>
      <c r="BC79" s="29">
        <f t="shared" si="94"/>
        <v>1</v>
      </c>
      <c r="BD79" s="29">
        <f t="shared" si="84"/>
        <v>1</v>
      </c>
      <c r="BE79" s="29">
        <f t="shared" si="85"/>
        <v>1</v>
      </c>
      <c r="BF79" s="65"/>
      <c r="BG79" s="29">
        <f t="shared" si="104"/>
        <v>1</v>
      </c>
      <c r="BH79" s="29">
        <f t="shared" si="95"/>
        <v>1</v>
      </c>
      <c r="BI79" s="29">
        <f t="shared" si="96"/>
        <v>1</v>
      </c>
      <c r="BK79" s="29">
        <v>100</v>
      </c>
      <c r="BL79" s="29">
        <v>100</v>
      </c>
      <c r="BM79" s="29">
        <v>100</v>
      </c>
      <c r="BO79" s="29">
        <f t="shared" si="97"/>
        <v>100</v>
      </c>
      <c r="BP79" s="29">
        <f t="shared" si="86"/>
        <v>100</v>
      </c>
      <c r="BQ79" s="29">
        <f t="shared" si="87"/>
        <v>100</v>
      </c>
      <c r="BR79" s="65"/>
      <c r="BS79" s="29">
        <f t="shared" si="105"/>
        <v>100</v>
      </c>
      <c r="BT79" s="29">
        <f t="shared" si="98"/>
        <v>100</v>
      </c>
      <c r="BU79" s="29">
        <f t="shared" si="99"/>
        <v>100</v>
      </c>
      <c r="BW79" s="8">
        <f>IF(W79="","",VLOOKUP('Regular Symbol'!W79,'Regular Symbol'!$O$3:$T$13,6,0))</f>
        <v>4</v>
      </c>
      <c r="BX79" s="8">
        <f>IF(X79="","",VLOOKUP('Regular Symbol'!X79,'Regular Symbol'!$O$3:$T$13,6,0))</f>
        <v>7</v>
      </c>
      <c r="BY79" s="8">
        <f>IF(Y79="","",VLOOKUP('Regular Symbol'!Y79,'Regular Symbol'!$O$3:$T$13,6,0))</f>
        <v>1</v>
      </c>
      <c r="CA79" s="8" t="str">
        <f t="shared" si="79"/>
        <v>A</v>
      </c>
      <c r="CB79" s="8" t="str">
        <f t="shared" si="80"/>
        <v>J</v>
      </c>
      <c r="CC79" s="8" t="str">
        <f t="shared" si="81"/>
        <v>M1</v>
      </c>
    </row>
    <row r="80" spans="1:81" ht="16.8" customHeight="1" thickBot="1">
      <c r="A80" s="86" t="s">
        <v>11</v>
      </c>
      <c r="B80" s="86" t="s">
        <v>12</v>
      </c>
      <c r="C80" s="64" t="s">
        <v>1</v>
      </c>
      <c r="D80" s="64" t="s">
        <v>2</v>
      </c>
      <c r="E80" s="64" t="s">
        <v>3</v>
      </c>
      <c r="F80" s="19" t="s">
        <v>29</v>
      </c>
      <c r="G80" s="2"/>
      <c r="H80" s="86" t="s">
        <v>11</v>
      </c>
      <c r="I80" s="86" t="s">
        <v>12</v>
      </c>
      <c r="J80" s="64" t="s">
        <v>1</v>
      </c>
      <c r="K80" s="64" t="s">
        <v>2</v>
      </c>
      <c r="L80" s="64" t="s">
        <v>3</v>
      </c>
      <c r="M80" s="19" t="s">
        <v>29</v>
      </c>
      <c r="O80" s="86" t="s">
        <v>11</v>
      </c>
      <c r="P80" s="86" t="s">
        <v>12</v>
      </c>
      <c r="Q80" s="64" t="s">
        <v>1</v>
      </c>
      <c r="R80" s="64" t="s">
        <v>2</v>
      </c>
      <c r="S80" s="64" t="s">
        <v>3</v>
      </c>
      <c r="T80" s="19" t="s">
        <v>29</v>
      </c>
      <c r="V80" s="27">
        <v>77</v>
      </c>
      <c r="W80" s="25" t="s">
        <v>81</v>
      </c>
      <c r="X80" s="25" t="s">
        <v>16</v>
      </c>
      <c r="Y80" s="25" t="s">
        <v>83</v>
      </c>
      <c r="AA80" s="29">
        <v>1</v>
      </c>
      <c r="AB80" s="29">
        <v>1</v>
      </c>
      <c r="AC80" s="29">
        <v>1</v>
      </c>
      <c r="AD80" s="65"/>
      <c r="AE80" s="29">
        <f t="shared" si="88"/>
        <v>1</v>
      </c>
      <c r="AF80" s="29">
        <f t="shared" si="89"/>
        <v>1</v>
      </c>
      <c r="AG80" s="29">
        <f t="shared" si="90"/>
        <v>1</v>
      </c>
      <c r="AH80" s="65"/>
      <c r="AI80" s="29">
        <f t="shared" si="100"/>
        <v>1</v>
      </c>
      <c r="AJ80" s="29">
        <f t="shared" si="101"/>
        <v>1</v>
      </c>
      <c r="AK80" s="29">
        <f t="shared" si="102"/>
        <v>1</v>
      </c>
      <c r="AM80" s="29">
        <v>1</v>
      </c>
      <c r="AN80" s="29">
        <v>1</v>
      </c>
      <c r="AO80" s="29">
        <v>1</v>
      </c>
      <c r="AQ80" s="29">
        <f t="shared" si="91"/>
        <v>1</v>
      </c>
      <c r="AR80" s="29">
        <f t="shared" si="82"/>
        <v>1</v>
      </c>
      <c r="AS80" s="29">
        <f t="shared" si="83"/>
        <v>1</v>
      </c>
      <c r="AT80" s="65"/>
      <c r="AU80" s="29">
        <f t="shared" si="103"/>
        <v>1</v>
      </c>
      <c r="AV80" s="29">
        <f t="shared" si="92"/>
        <v>1</v>
      </c>
      <c r="AW80" s="29">
        <f t="shared" si="93"/>
        <v>1</v>
      </c>
      <c r="AY80" s="29">
        <v>1</v>
      </c>
      <c r="AZ80" s="29">
        <v>1</v>
      </c>
      <c r="BA80" s="29">
        <v>1</v>
      </c>
      <c r="BC80" s="29">
        <f t="shared" si="94"/>
        <v>1</v>
      </c>
      <c r="BD80" s="29">
        <f t="shared" si="84"/>
        <v>1</v>
      </c>
      <c r="BE80" s="29">
        <f t="shared" si="85"/>
        <v>1</v>
      </c>
      <c r="BF80" s="65"/>
      <c r="BG80" s="29">
        <f t="shared" si="104"/>
        <v>1</v>
      </c>
      <c r="BH80" s="29">
        <f t="shared" si="95"/>
        <v>1</v>
      </c>
      <c r="BI80" s="29">
        <f t="shared" si="96"/>
        <v>1</v>
      </c>
      <c r="BK80" s="29">
        <v>100</v>
      </c>
      <c r="BL80" s="29">
        <v>100</v>
      </c>
      <c r="BM80" s="29">
        <v>100</v>
      </c>
      <c r="BO80" s="29">
        <f t="shared" si="97"/>
        <v>100</v>
      </c>
      <c r="BP80" s="29">
        <f t="shared" si="86"/>
        <v>100</v>
      </c>
      <c r="BQ80" s="29">
        <f t="shared" si="87"/>
        <v>100</v>
      </c>
      <c r="BR80" s="65"/>
      <c r="BS80" s="29">
        <f t="shared" si="105"/>
        <v>100</v>
      </c>
      <c r="BT80" s="29">
        <f t="shared" si="98"/>
        <v>100</v>
      </c>
      <c r="BU80" s="29">
        <f t="shared" si="99"/>
        <v>100</v>
      </c>
      <c r="BW80" s="8">
        <f>IF(W80="","",VLOOKUP('Regular Symbol'!W80,'Regular Symbol'!$O$3:$T$13,6,0))</f>
        <v>4</v>
      </c>
      <c r="BX80" s="8">
        <f>IF(X80="","",VLOOKUP('Regular Symbol'!X80,'Regular Symbol'!$O$3:$T$13,6,0))</f>
        <v>1</v>
      </c>
      <c r="BY80" s="8">
        <f>IF(Y80="","",VLOOKUP('Regular Symbol'!Y80,'Regular Symbol'!$O$3:$T$13,6,0))</f>
        <v>6</v>
      </c>
      <c r="CA80" s="8" t="str">
        <f t="shared" si="79"/>
        <v>A</v>
      </c>
      <c r="CB80" s="8" t="str">
        <f t="shared" si="80"/>
        <v>M1</v>
      </c>
      <c r="CC80" s="8" t="str">
        <f t="shared" si="81"/>
        <v>Q</v>
      </c>
    </row>
    <row r="81" spans="1:81" ht="16.8" customHeight="1">
      <c r="A81" s="75" t="s">
        <v>15</v>
      </c>
      <c r="B81" s="57" t="s">
        <v>54</v>
      </c>
      <c r="C81" s="76">
        <f>SUMIF(W$3:W$211, $A81, BK$3:BK$211)</f>
        <v>3354</v>
      </c>
      <c r="D81" s="77">
        <f t="shared" ref="D81:E81" si="106">SUMIF(X$3:X$211, $A81, BL$3:BL$211)</f>
        <v>12264</v>
      </c>
      <c r="E81" s="77">
        <f t="shared" si="106"/>
        <v>11844</v>
      </c>
      <c r="F81" s="58">
        <v>0</v>
      </c>
      <c r="H81" s="75" t="str" cm="1">
        <f t="array" ref="H81:I88">A81:B88</f>
        <v>WW</v>
      </c>
      <c r="I81" s="57" t="str">
        <v>Wild</v>
      </c>
      <c r="J81" s="76">
        <f>SUMIF(W$3:W$211, $H81, BO$3:BO$211)</f>
        <v>3132</v>
      </c>
      <c r="K81" s="77">
        <f t="shared" ref="K81:L81" ca="1" si="107">SUMIF(X$3:X$211, $H81, BP$3:BP$211)</f>
        <v>11445</v>
      </c>
      <c r="L81" s="77">
        <f t="shared" si="107"/>
        <v>11053</v>
      </c>
      <c r="M81" s="58">
        <v>0</v>
      </c>
      <c r="O81" s="75" t="str" cm="1">
        <f t="array" ref="O81:P88">_xlfn.ANCHORARRAY(H81)</f>
        <v>WW</v>
      </c>
      <c r="P81" s="57" t="str">
        <v>Wild</v>
      </c>
      <c r="Q81" s="76">
        <f>SUMIF(W$3:W$211, $H81, BS$3:BS$211)</f>
        <v>3354</v>
      </c>
      <c r="R81" s="77">
        <f t="shared" ref="R81:S81" ca="1" si="108">SUMIF(X$3:X$211, $H81, BT$3:BT$211)</f>
        <v>12264</v>
      </c>
      <c r="S81" s="77">
        <f t="shared" si="108"/>
        <v>11844</v>
      </c>
      <c r="T81" s="58">
        <v>0</v>
      </c>
      <c r="V81" s="27">
        <v>78</v>
      </c>
      <c r="W81" s="25" t="s">
        <v>83</v>
      </c>
      <c r="X81" s="25" t="s">
        <v>16</v>
      </c>
      <c r="Y81" s="25" t="s">
        <v>83</v>
      </c>
      <c r="AA81" s="29">
        <v>1</v>
      </c>
      <c r="AB81" s="29">
        <v>1</v>
      </c>
      <c r="AC81" s="29">
        <v>1</v>
      </c>
      <c r="AD81" s="65"/>
      <c r="AE81" s="29">
        <f t="shared" si="88"/>
        <v>1</v>
      </c>
      <c r="AF81" s="29">
        <f t="shared" si="89"/>
        <v>1</v>
      </c>
      <c r="AG81" s="29">
        <f t="shared" si="90"/>
        <v>1</v>
      </c>
      <c r="AH81" s="65"/>
      <c r="AI81" s="29">
        <f t="shared" si="100"/>
        <v>1</v>
      </c>
      <c r="AJ81" s="29">
        <f t="shared" si="101"/>
        <v>1</v>
      </c>
      <c r="AK81" s="29">
        <f t="shared" si="102"/>
        <v>1</v>
      </c>
      <c r="AM81" s="29">
        <v>1</v>
      </c>
      <c r="AN81" s="29">
        <v>1</v>
      </c>
      <c r="AO81" s="29">
        <v>1</v>
      </c>
      <c r="AQ81" s="29">
        <f t="shared" si="91"/>
        <v>1</v>
      </c>
      <c r="AR81" s="29">
        <f t="shared" si="82"/>
        <v>1</v>
      </c>
      <c r="AS81" s="29">
        <f t="shared" si="83"/>
        <v>1</v>
      </c>
      <c r="AT81" s="65"/>
      <c r="AU81" s="29">
        <f t="shared" si="103"/>
        <v>1</v>
      </c>
      <c r="AV81" s="29">
        <f t="shared" si="92"/>
        <v>1</v>
      </c>
      <c r="AW81" s="29">
        <f t="shared" si="93"/>
        <v>1</v>
      </c>
      <c r="AY81" s="29">
        <v>1</v>
      </c>
      <c r="AZ81" s="29">
        <v>1</v>
      </c>
      <c r="BA81" s="29">
        <v>1</v>
      </c>
      <c r="BC81" s="29">
        <f t="shared" si="94"/>
        <v>1</v>
      </c>
      <c r="BD81" s="29">
        <f t="shared" si="84"/>
        <v>1</v>
      </c>
      <c r="BE81" s="29">
        <f t="shared" si="85"/>
        <v>1</v>
      </c>
      <c r="BF81" s="65"/>
      <c r="BG81" s="29">
        <f t="shared" si="104"/>
        <v>1</v>
      </c>
      <c r="BH81" s="29">
        <f t="shared" si="95"/>
        <v>1</v>
      </c>
      <c r="BI81" s="29">
        <f t="shared" si="96"/>
        <v>1</v>
      </c>
      <c r="BK81" s="29">
        <v>100</v>
      </c>
      <c r="BL81" s="29">
        <v>100</v>
      </c>
      <c r="BM81" s="29">
        <v>100</v>
      </c>
      <c r="BO81" s="29">
        <f t="shared" si="97"/>
        <v>100</v>
      </c>
      <c r="BP81" s="29">
        <f t="shared" si="86"/>
        <v>100</v>
      </c>
      <c r="BQ81" s="29">
        <f t="shared" si="87"/>
        <v>100</v>
      </c>
      <c r="BR81" s="65"/>
      <c r="BS81" s="29">
        <f t="shared" si="105"/>
        <v>100</v>
      </c>
      <c r="BT81" s="29">
        <f t="shared" si="98"/>
        <v>100</v>
      </c>
      <c r="BU81" s="29">
        <f t="shared" si="99"/>
        <v>100</v>
      </c>
      <c r="BW81" s="8">
        <f>IF(W81="","",VLOOKUP('Regular Symbol'!W81,'Regular Symbol'!$O$3:$T$13,6,0))</f>
        <v>6</v>
      </c>
      <c r="BX81" s="8">
        <f>IF(X81="","",VLOOKUP('Regular Symbol'!X81,'Regular Symbol'!$O$3:$T$13,6,0))</f>
        <v>1</v>
      </c>
      <c r="BY81" s="8">
        <f>IF(Y81="","",VLOOKUP('Regular Symbol'!Y81,'Regular Symbol'!$O$3:$T$13,6,0))</f>
        <v>6</v>
      </c>
      <c r="CA81" s="8" t="str">
        <f t="shared" si="79"/>
        <v>Q</v>
      </c>
      <c r="CB81" s="8" t="str">
        <f t="shared" si="80"/>
        <v>M1</v>
      </c>
      <c r="CC81" s="8" t="str">
        <f t="shared" si="81"/>
        <v>Q</v>
      </c>
    </row>
    <row r="82" spans="1:81" ht="16.8" customHeight="1">
      <c r="A82" s="78" t="s">
        <v>16</v>
      </c>
      <c r="B82" s="155" t="s">
        <v>26</v>
      </c>
      <c r="C82" s="79">
        <f t="shared" ref="C82:C88" si="109">SUMIF(W$3:W$211, $A82, BK$3:BK$211)</f>
        <v>1400</v>
      </c>
      <c r="D82" s="70">
        <f t="shared" ref="D82:D88" si="110">SUMIF(X$3:X$211, $A82, BL$3:BL$211)</f>
        <v>2400</v>
      </c>
      <c r="E82" s="70">
        <f t="shared" ref="E82:E88" si="111">SUMIF(Y$3:Y$211, $A82, BM$3:BM$211)</f>
        <v>3341</v>
      </c>
      <c r="F82" s="58">
        <v>1</v>
      </c>
      <c r="H82" s="78" t="str">
        <v>M1</v>
      </c>
      <c r="I82" s="155" t="str">
        <v>M1</v>
      </c>
      <c r="J82" s="79">
        <f t="shared" ref="J82:J88" si="112">SUMIF(W$3:W$211, $H82, BO$3:BO$211)</f>
        <v>1400</v>
      </c>
      <c r="K82" s="70">
        <f t="shared" ref="K82:K88" si="113">SUMIF(X$3:X$211, $H82, BP$3:BP$211)</f>
        <v>2400</v>
      </c>
      <c r="L82" s="70">
        <f t="shared" ref="L82:L88" ca="1" si="114">SUMIF(Y$3:Y$211, $H82, BQ$3:BQ$211)</f>
        <v>2877</v>
      </c>
      <c r="M82" s="58">
        <v>1</v>
      </c>
      <c r="O82" s="78" t="str">
        <v>M1</v>
      </c>
      <c r="P82" s="155" t="str">
        <v>M1</v>
      </c>
      <c r="Q82" s="79">
        <f t="shared" ref="Q82:Q88" si="115">SUMIF(W$3:W$211, $H82, BS$3:BS$211)</f>
        <v>1400</v>
      </c>
      <c r="R82" s="70">
        <f t="shared" ref="R82:R88" si="116">SUMIF(X$3:X$211, $H82, BT$3:BT$211)</f>
        <v>2400</v>
      </c>
      <c r="S82" s="70">
        <f t="shared" ref="S82:S88" ca="1" si="117">SUMIF(Y$3:Y$211, $H82, BU$3:BU$211)</f>
        <v>2300</v>
      </c>
      <c r="T82" s="58">
        <v>1</v>
      </c>
      <c r="V82" s="27">
        <v>79</v>
      </c>
      <c r="W82" s="25" t="s">
        <v>83</v>
      </c>
      <c r="X82" s="25" t="s">
        <v>16</v>
      </c>
      <c r="Y82" s="25" t="s">
        <v>18</v>
      </c>
      <c r="AA82" s="29">
        <v>1</v>
      </c>
      <c r="AB82" s="29">
        <v>1</v>
      </c>
      <c r="AC82" s="29">
        <v>1</v>
      </c>
      <c r="AD82" s="65"/>
      <c r="AE82" s="29">
        <f t="shared" si="88"/>
        <v>1</v>
      </c>
      <c r="AF82" s="29">
        <f t="shared" si="89"/>
        <v>1</v>
      </c>
      <c r="AG82" s="29">
        <f t="shared" si="90"/>
        <v>1</v>
      </c>
      <c r="AH82" s="65"/>
      <c r="AI82" s="29">
        <f t="shared" si="100"/>
        <v>1</v>
      </c>
      <c r="AJ82" s="29">
        <f t="shared" si="101"/>
        <v>1</v>
      </c>
      <c r="AK82" s="29">
        <f t="shared" si="102"/>
        <v>1</v>
      </c>
      <c r="AM82" s="29">
        <v>1</v>
      </c>
      <c r="AN82" s="29">
        <v>1</v>
      </c>
      <c r="AO82" s="29">
        <v>1</v>
      </c>
      <c r="AQ82" s="29">
        <f t="shared" si="91"/>
        <v>1</v>
      </c>
      <c r="AR82" s="29">
        <f t="shared" si="82"/>
        <v>1</v>
      </c>
      <c r="AS82" s="29">
        <f t="shared" si="83"/>
        <v>1</v>
      </c>
      <c r="AT82" s="65"/>
      <c r="AU82" s="29">
        <f t="shared" si="103"/>
        <v>1</v>
      </c>
      <c r="AV82" s="29">
        <f t="shared" si="92"/>
        <v>1</v>
      </c>
      <c r="AW82" s="29">
        <f t="shared" si="93"/>
        <v>1</v>
      </c>
      <c r="AY82" s="29">
        <v>1</v>
      </c>
      <c r="AZ82" s="29">
        <v>1</v>
      </c>
      <c r="BA82" s="29">
        <v>1</v>
      </c>
      <c r="BC82" s="29">
        <f t="shared" si="94"/>
        <v>1</v>
      </c>
      <c r="BD82" s="29">
        <f t="shared" si="84"/>
        <v>1</v>
      </c>
      <c r="BE82" s="29">
        <f t="shared" si="85"/>
        <v>1</v>
      </c>
      <c r="BF82" s="65"/>
      <c r="BG82" s="29">
        <f t="shared" si="104"/>
        <v>1</v>
      </c>
      <c r="BH82" s="29">
        <f t="shared" si="95"/>
        <v>1</v>
      </c>
      <c r="BI82" s="29">
        <f t="shared" si="96"/>
        <v>1</v>
      </c>
      <c r="BK82" s="29">
        <v>100</v>
      </c>
      <c r="BL82" s="29">
        <v>100</v>
      </c>
      <c r="BM82" s="29">
        <v>100</v>
      </c>
      <c r="BO82" s="29">
        <f t="shared" si="97"/>
        <v>100</v>
      </c>
      <c r="BP82" s="29">
        <f t="shared" si="86"/>
        <v>100</v>
      </c>
      <c r="BQ82" s="29">
        <f t="shared" si="87"/>
        <v>100</v>
      </c>
      <c r="BR82" s="65"/>
      <c r="BS82" s="29">
        <f t="shared" si="105"/>
        <v>100</v>
      </c>
      <c r="BT82" s="29">
        <f t="shared" si="98"/>
        <v>100</v>
      </c>
      <c r="BU82" s="29">
        <f t="shared" si="99"/>
        <v>100</v>
      </c>
      <c r="BW82" s="8">
        <f>IF(W82="","",VLOOKUP('Regular Symbol'!W82,'Regular Symbol'!$O$3:$T$13,6,0))</f>
        <v>6</v>
      </c>
      <c r="BX82" s="8">
        <f>IF(X82="","",VLOOKUP('Regular Symbol'!X82,'Regular Symbol'!$O$3:$T$13,6,0))</f>
        <v>1</v>
      </c>
      <c r="BY82" s="8">
        <f>IF(Y82="","",VLOOKUP('Regular Symbol'!Y82,'Regular Symbol'!$O$3:$T$13,6,0))</f>
        <v>3</v>
      </c>
      <c r="CA82" s="8" t="str">
        <f t="shared" si="79"/>
        <v>Q</v>
      </c>
      <c r="CB82" s="8" t="str">
        <f t="shared" si="80"/>
        <v>M1</v>
      </c>
      <c r="CC82" s="8" t="str">
        <f t="shared" si="81"/>
        <v>M3</v>
      </c>
    </row>
    <row r="83" spans="1:81" ht="16.8" customHeight="1">
      <c r="A83" s="78" t="s">
        <v>17</v>
      </c>
      <c r="B83" s="58" t="s">
        <v>27</v>
      </c>
      <c r="C83" s="79">
        <f t="shared" si="109"/>
        <v>1300</v>
      </c>
      <c r="D83" s="70">
        <f t="shared" si="110"/>
        <v>2600</v>
      </c>
      <c r="E83" s="70">
        <f t="shared" si="111"/>
        <v>3741</v>
      </c>
      <c r="F83" s="58">
        <v>2</v>
      </c>
      <c r="H83" s="78" t="str">
        <v>M2</v>
      </c>
      <c r="I83" s="58" t="str">
        <v>M2</v>
      </c>
      <c r="J83" s="79">
        <f t="shared" si="112"/>
        <v>1300</v>
      </c>
      <c r="K83" s="70">
        <f t="shared" si="113"/>
        <v>3802</v>
      </c>
      <c r="L83" s="70">
        <f t="shared" si="114"/>
        <v>3277</v>
      </c>
      <c r="M83" s="58">
        <v>2</v>
      </c>
      <c r="O83" s="78" t="str">
        <v>M2</v>
      </c>
      <c r="P83" s="58" t="str">
        <v>M2</v>
      </c>
      <c r="Q83" s="79">
        <f t="shared" si="115"/>
        <v>1300</v>
      </c>
      <c r="R83" s="70">
        <f t="shared" si="116"/>
        <v>4770</v>
      </c>
      <c r="S83" s="70">
        <f t="shared" si="117"/>
        <v>2700</v>
      </c>
      <c r="T83" s="58">
        <v>2</v>
      </c>
      <c r="V83" s="27">
        <v>80</v>
      </c>
      <c r="W83" s="25" t="s">
        <v>18</v>
      </c>
      <c r="X83" s="25" t="s">
        <v>83</v>
      </c>
      <c r="Y83" s="25" t="s">
        <v>18</v>
      </c>
      <c r="AA83" s="29">
        <v>1</v>
      </c>
      <c r="AB83" s="29">
        <v>1</v>
      </c>
      <c r="AC83" s="29">
        <v>1</v>
      </c>
      <c r="AD83" s="65"/>
      <c r="AE83" s="29">
        <f t="shared" si="88"/>
        <v>1</v>
      </c>
      <c r="AF83" s="29">
        <f t="shared" si="89"/>
        <v>1</v>
      </c>
      <c r="AG83" s="29">
        <f t="shared" si="90"/>
        <v>1</v>
      </c>
      <c r="AH83" s="65"/>
      <c r="AI83" s="29">
        <f t="shared" si="100"/>
        <v>1</v>
      </c>
      <c r="AJ83" s="29">
        <f t="shared" si="101"/>
        <v>1</v>
      </c>
      <c r="AK83" s="29">
        <f t="shared" si="102"/>
        <v>1</v>
      </c>
      <c r="AM83" s="29">
        <v>1</v>
      </c>
      <c r="AN83" s="29">
        <v>1</v>
      </c>
      <c r="AO83" s="29">
        <v>1</v>
      </c>
      <c r="AQ83" s="29">
        <f t="shared" si="91"/>
        <v>1</v>
      </c>
      <c r="AR83" s="29">
        <f t="shared" si="82"/>
        <v>1</v>
      </c>
      <c r="AS83" s="29">
        <f t="shared" si="83"/>
        <v>1</v>
      </c>
      <c r="AT83" s="65"/>
      <c r="AU83" s="29">
        <f t="shared" si="103"/>
        <v>1</v>
      </c>
      <c r="AV83" s="29">
        <f t="shared" si="92"/>
        <v>1</v>
      </c>
      <c r="AW83" s="29">
        <f t="shared" si="93"/>
        <v>1</v>
      </c>
      <c r="AY83" s="29">
        <v>1</v>
      </c>
      <c r="AZ83" s="29">
        <v>1</v>
      </c>
      <c r="BA83" s="29">
        <v>1</v>
      </c>
      <c r="BC83" s="29">
        <f t="shared" si="94"/>
        <v>1</v>
      </c>
      <c r="BD83" s="29">
        <f t="shared" si="84"/>
        <v>1</v>
      </c>
      <c r="BE83" s="29">
        <f t="shared" si="85"/>
        <v>1</v>
      </c>
      <c r="BF83" s="65"/>
      <c r="BG83" s="29">
        <f t="shared" si="104"/>
        <v>1</v>
      </c>
      <c r="BH83" s="29">
        <f t="shared" si="95"/>
        <v>1</v>
      </c>
      <c r="BI83" s="29">
        <f t="shared" si="96"/>
        <v>1</v>
      </c>
      <c r="BK83" s="29">
        <v>100</v>
      </c>
      <c r="BL83" s="29">
        <v>100</v>
      </c>
      <c r="BM83" s="29">
        <v>100</v>
      </c>
      <c r="BO83" s="29">
        <f t="shared" si="97"/>
        <v>100</v>
      </c>
      <c r="BP83" s="29">
        <f t="shared" si="86"/>
        <v>100</v>
      </c>
      <c r="BQ83" s="29">
        <f t="shared" si="87"/>
        <v>100</v>
      </c>
      <c r="BR83" s="65"/>
      <c r="BS83" s="29">
        <f t="shared" si="105"/>
        <v>100</v>
      </c>
      <c r="BT83" s="29">
        <f t="shared" si="98"/>
        <v>100</v>
      </c>
      <c r="BU83" s="29">
        <f t="shared" si="99"/>
        <v>100</v>
      </c>
      <c r="BW83" s="8">
        <f>IF(W83="","",VLOOKUP('Regular Symbol'!W83,'Regular Symbol'!$O$3:$T$13,6,0))</f>
        <v>3</v>
      </c>
      <c r="BX83" s="8">
        <f>IF(X83="","",VLOOKUP('Regular Symbol'!X83,'Regular Symbol'!$O$3:$T$13,6,0))</f>
        <v>6</v>
      </c>
      <c r="BY83" s="8">
        <f>IF(Y83="","",VLOOKUP('Regular Symbol'!Y83,'Regular Symbol'!$O$3:$T$13,6,0))</f>
        <v>3</v>
      </c>
      <c r="CA83" s="8" t="str">
        <f t="shared" si="79"/>
        <v>M3</v>
      </c>
      <c r="CB83" s="8" t="str">
        <f t="shared" si="80"/>
        <v>Q</v>
      </c>
      <c r="CC83" s="8" t="str">
        <f t="shared" si="81"/>
        <v>M3</v>
      </c>
    </row>
    <row r="84" spans="1:81" ht="16.8" customHeight="1">
      <c r="A84" s="78" t="s">
        <v>18</v>
      </c>
      <c r="B84" s="58" t="s">
        <v>28</v>
      </c>
      <c r="C84" s="79">
        <f t="shared" si="109"/>
        <v>1400</v>
      </c>
      <c r="D84" s="70">
        <f t="shared" si="110"/>
        <v>3585</v>
      </c>
      <c r="E84" s="70">
        <f t="shared" si="111"/>
        <v>2800</v>
      </c>
      <c r="F84" s="58">
        <v>3</v>
      </c>
      <c r="H84" s="78" t="str">
        <v>M3</v>
      </c>
      <c r="I84" s="58" t="str">
        <v>M3</v>
      </c>
      <c r="J84" s="79">
        <f t="shared" si="112"/>
        <v>1400</v>
      </c>
      <c r="K84" s="70">
        <f t="shared" si="113"/>
        <v>3101</v>
      </c>
      <c r="L84" s="70">
        <f t="shared" si="114"/>
        <v>3377</v>
      </c>
      <c r="M84" s="58">
        <v>3</v>
      </c>
      <c r="O84" s="78" t="str">
        <v>M3</v>
      </c>
      <c r="P84" s="58" t="str">
        <v>M3</v>
      </c>
      <c r="Q84" s="79">
        <f t="shared" si="115"/>
        <v>1400</v>
      </c>
      <c r="R84" s="70">
        <f t="shared" si="116"/>
        <v>2500</v>
      </c>
      <c r="S84" s="70">
        <f t="shared" si="117"/>
        <v>3841</v>
      </c>
      <c r="T84" s="58">
        <v>3</v>
      </c>
      <c r="V84" s="27">
        <v>81</v>
      </c>
      <c r="W84" s="25" t="s">
        <v>18</v>
      </c>
      <c r="X84" s="25" t="s">
        <v>83</v>
      </c>
      <c r="Y84" s="25" t="s">
        <v>18</v>
      </c>
      <c r="AA84" s="29">
        <v>1</v>
      </c>
      <c r="AB84" s="29">
        <v>1</v>
      </c>
      <c r="AC84" s="29">
        <v>1</v>
      </c>
      <c r="AD84" s="65"/>
      <c r="AE84" s="29">
        <f t="shared" si="88"/>
        <v>1</v>
      </c>
      <c r="AF84" s="29">
        <f t="shared" si="89"/>
        <v>1</v>
      </c>
      <c r="AG84" s="29">
        <f t="shared" si="90"/>
        <v>1</v>
      </c>
      <c r="AH84" s="65"/>
      <c r="AI84" s="29">
        <f t="shared" si="100"/>
        <v>1</v>
      </c>
      <c r="AJ84" s="29">
        <f t="shared" si="101"/>
        <v>1</v>
      </c>
      <c r="AK84" s="29">
        <f t="shared" si="102"/>
        <v>1</v>
      </c>
      <c r="AM84" s="29">
        <v>1</v>
      </c>
      <c r="AN84" s="29">
        <v>1</v>
      </c>
      <c r="AO84" s="29">
        <v>1</v>
      </c>
      <c r="AQ84" s="29">
        <f t="shared" si="91"/>
        <v>1</v>
      </c>
      <c r="AR84" s="29">
        <f t="shared" si="82"/>
        <v>1</v>
      </c>
      <c r="AS84" s="29">
        <f t="shared" si="83"/>
        <v>1</v>
      </c>
      <c r="AT84" s="65"/>
      <c r="AU84" s="29">
        <f t="shared" si="103"/>
        <v>1</v>
      </c>
      <c r="AV84" s="29">
        <f t="shared" si="92"/>
        <v>1</v>
      </c>
      <c r="AW84" s="29">
        <f t="shared" si="93"/>
        <v>1</v>
      </c>
      <c r="AY84" s="29">
        <v>1</v>
      </c>
      <c r="AZ84" s="29">
        <v>1</v>
      </c>
      <c r="BA84" s="29">
        <v>1</v>
      </c>
      <c r="BC84" s="29">
        <f t="shared" si="94"/>
        <v>1</v>
      </c>
      <c r="BD84" s="29">
        <f t="shared" si="84"/>
        <v>1</v>
      </c>
      <c r="BE84" s="29">
        <f t="shared" si="85"/>
        <v>1</v>
      </c>
      <c r="BF84" s="65"/>
      <c r="BG84" s="29">
        <f t="shared" si="104"/>
        <v>1</v>
      </c>
      <c r="BH84" s="29">
        <f t="shared" si="95"/>
        <v>1</v>
      </c>
      <c r="BI84" s="29">
        <f t="shared" si="96"/>
        <v>1</v>
      </c>
      <c r="BK84" s="29">
        <v>100</v>
      </c>
      <c r="BL84" s="29">
        <v>100</v>
      </c>
      <c r="BM84" s="29">
        <v>100</v>
      </c>
      <c r="BO84" s="29">
        <f t="shared" si="97"/>
        <v>100</v>
      </c>
      <c r="BP84" s="29">
        <f t="shared" si="86"/>
        <v>100</v>
      </c>
      <c r="BQ84" s="29">
        <f t="shared" si="87"/>
        <v>100</v>
      </c>
      <c r="BR84" s="65"/>
      <c r="BS84" s="29">
        <f t="shared" si="105"/>
        <v>100</v>
      </c>
      <c r="BT84" s="29">
        <f t="shared" si="98"/>
        <v>100</v>
      </c>
      <c r="BU84" s="29">
        <f t="shared" si="99"/>
        <v>100</v>
      </c>
      <c r="BW84" s="8">
        <f>IF(W84="","",VLOOKUP('Regular Symbol'!W84,'Regular Symbol'!$O$3:$T$13,6,0))</f>
        <v>3</v>
      </c>
      <c r="BX84" s="8">
        <f>IF(X84="","",VLOOKUP('Regular Symbol'!X84,'Regular Symbol'!$O$3:$T$13,6,0))</f>
        <v>6</v>
      </c>
      <c r="BY84" s="8">
        <f>IF(Y84="","",VLOOKUP('Regular Symbol'!Y84,'Regular Symbol'!$O$3:$T$13,6,0))</f>
        <v>3</v>
      </c>
      <c r="CA84" s="8" t="str">
        <f t="shared" si="79"/>
        <v>M3</v>
      </c>
      <c r="CB84" s="8" t="str">
        <f t="shared" si="80"/>
        <v>Q</v>
      </c>
      <c r="CC84" s="8" t="str">
        <f t="shared" si="81"/>
        <v>M3</v>
      </c>
    </row>
    <row r="85" spans="1:81" ht="16.8" customHeight="1">
      <c r="A85" s="78" t="s">
        <v>41</v>
      </c>
      <c r="B85" s="58" t="s">
        <v>41</v>
      </c>
      <c r="C85" s="79">
        <f t="shared" si="109"/>
        <v>1800</v>
      </c>
      <c r="D85" s="70">
        <f t="shared" si="110"/>
        <v>7340</v>
      </c>
      <c r="E85" s="70">
        <f t="shared" si="111"/>
        <v>3341</v>
      </c>
      <c r="F85" s="58">
        <v>4</v>
      </c>
      <c r="H85" s="78" t="str">
        <v>A</v>
      </c>
      <c r="I85" s="58" t="str">
        <v>A</v>
      </c>
      <c r="J85" s="79">
        <f t="shared" si="112"/>
        <v>2494</v>
      </c>
      <c r="K85" s="70">
        <f t="shared" si="113"/>
        <v>6005</v>
      </c>
      <c r="L85" s="70">
        <f t="shared" si="114"/>
        <v>3454</v>
      </c>
      <c r="M85" s="58">
        <v>4</v>
      </c>
      <c r="O85" s="78" t="str">
        <v>A</v>
      </c>
      <c r="P85" s="58" t="str">
        <v>A</v>
      </c>
      <c r="Q85" s="79">
        <f t="shared" si="115"/>
        <v>3040</v>
      </c>
      <c r="R85" s="70">
        <f t="shared" si="116"/>
        <v>4085</v>
      </c>
      <c r="S85" s="70">
        <f t="shared" si="117"/>
        <v>3341</v>
      </c>
      <c r="T85" s="58">
        <v>4</v>
      </c>
      <c r="V85" s="27">
        <v>82</v>
      </c>
      <c r="W85" s="25" t="s">
        <v>82</v>
      </c>
      <c r="X85" s="25" t="s">
        <v>81</v>
      </c>
      <c r="Y85" s="25" t="s">
        <v>84</v>
      </c>
      <c r="AA85" s="29">
        <v>1</v>
      </c>
      <c r="AB85" s="29">
        <v>1</v>
      </c>
      <c r="AC85" s="29">
        <v>1</v>
      </c>
      <c r="AD85" s="65"/>
      <c r="AE85" s="29">
        <f t="shared" si="88"/>
        <v>1</v>
      </c>
      <c r="AF85" s="29">
        <f t="shared" si="89"/>
        <v>1</v>
      </c>
      <c r="AG85" s="29">
        <f t="shared" si="90"/>
        <v>1</v>
      </c>
      <c r="AH85" s="65"/>
      <c r="AI85" s="29">
        <f t="shared" si="100"/>
        <v>1</v>
      </c>
      <c r="AJ85" s="29">
        <f t="shared" si="101"/>
        <v>1</v>
      </c>
      <c r="AK85" s="29">
        <f t="shared" si="102"/>
        <v>1</v>
      </c>
      <c r="AM85" s="29">
        <v>1</v>
      </c>
      <c r="AN85" s="29">
        <v>1</v>
      </c>
      <c r="AO85" s="29">
        <v>1</v>
      </c>
      <c r="AQ85" s="29">
        <f t="shared" si="91"/>
        <v>1</v>
      </c>
      <c r="AR85" s="29">
        <f t="shared" si="82"/>
        <v>1</v>
      </c>
      <c r="AS85" s="29">
        <f t="shared" si="83"/>
        <v>1</v>
      </c>
      <c r="AT85" s="65"/>
      <c r="AU85" s="29">
        <f t="shared" si="103"/>
        <v>1</v>
      </c>
      <c r="AV85" s="29">
        <f t="shared" si="92"/>
        <v>1</v>
      </c>
      <c r="AW85" s="29">
        <f t="shared" si="93"/>
        <v>1</v>
      </c>
      <c r="AY85" s="29">
        <v>1</v>
      </c>
      <c r="AZ85" s="29">
        <v>1</v>
      </c>
      <c r="BA85" s="29">
        <v>1</v>
      </c>
      <c r="BC85" s="29">
        <f t="shared" si="94"/>
        <v>1</v>
      </c>
      <c r="BD85" s="29">
        <f t="shared" si="84"/>
        <v>1</v>
      </c>
      <c r="BE85" s="29">
        <f t="shared" si="85"/>
        <v>1</v>
      </c>
      <c r="BF85" s="65"/>
      <c r="BG85" s="29">
        <f t="shared" si="104"/>
        <v>1</v>
      </c>
      <c r="BH85" s="29">
        <f t="shared" si="95"/>
        <v>1</v>
      </c>
      <c r="BI85" s="29">
        <f t="shared" si="96"/>
        <v>1</v>
      </c>
      <c r="BK85" s="29">
        <v>100</v>
      </c>
      <c r="BL85" s="29">
        <v>100</v>
      </c>
      <c r="BM85" s="29">
        <v>100</v>
      </c>
      <c r="BO85" s="29">
        <f t="shared" si="97"/>
        <v>100</v>
      </c>
      <c r="BP85" s="29">
        <f t="shared" si="86"/>
        <v>100</v>
      </c>
      <c r="BQ85" s="29">
        <f t="shared" si="87"/>
        <v>100</v>
      </c>
      <c r="BR85" s="65"/>
      <c r="BS85" s="29">
        <f t="shared" si="105"/>
        <v>100</v>
      </c>
      <c r="BT85" s="29">
        <f t="shared" si="98"/>
        <v>100</v>
      </c>
      <c r="BU85" s="29">
        <f t="shared" si="99"/>
        <v>100</v>
      </c>
      <c r="BW85" s="8">
        <f>IF(W85="","",VLOOKUP('Regular Symbol'!W85,'Regular Symbol'!$O$3:$T$13,6,0))</f>
        <v>5</v>
      </c>
      <c r="BX85" s="8">
        <f>IF(X85="","",VLOOKUP('Regular Symbol'!X85,'Regular Symbol'!$O$3:$T$13,6,0))</f>
        <v>4</v>
      </c>
      <c r="BY85" s="8">
        <f>IF(Y85="","",VLOOKUP('Regular Symbol'!Y85,'Regular Symbol'!$O$3:$T$13,6,0))</f>
        <v>7</v>
      </c>
      <c r="CA85" s="8" t="str">
        <f t="shared" si="79"/>
        <v>K</v>
      </c>
      <c r="CB85" s="8" t="str">
        <f t="shared" si="80"/>
        <v>A</v>
      </c>
      <c r="CC85" s="8" t="str">
        <f t="shared" si="81"/>
        <v>J</v>
      </c>
    </row>
    <row r="86" spans="1:81" ht="16.8" customHeight="1">
      <c r="A86" s="78" t="s">
        <v>38</v>
      </c>
      <c r="B86" s="58" t="s">
        <v>38</v>
      </c>
      <c r="C86" s="79">
        <f t="shared" si="109"/>
        <v>2520</v>
      </c>
      <c r="D86" s="70">
        <f t="shared" si="110"/>
        <v>4970</v>
      </c>
      <c r="E86" s="70">
        <f t="shared" si="111"/>
        <v>4782</v>
      </c>
      <c r="F86" s="58">
        <v>5</v>
      </c>
      <c r="H86" s="78" t="str">
        <v>K</v>
      </c>
      <c r="I86" s="58" t="str">
        <v>K</v>
      </c>
      <c r="J86" s="79">
        <f t="shared" si="112"/>
        <v>2247</v>
      </c>
      <c r="K86" s="70">
        <f t="shared" si="113"/>
        <v>4002</v>
      </c>
      <c r="L86" s="70">
        <f t="shared" si="114"/>
        <v>3854</v>
      </c>
      <c r="M86" s="58">
        <v>5</v>
      </c>
      <c r="O86" s="78" t="str">
        <v>K</v>
      </c>
      <c r="P86" s="58" t="str">
        <v>K</v>
      </c>
      <c r="Q86" s="79">
        <f t="shared" ca="1" si="115"/>
        <v>1900</v>
      </c>
      <c r="R86" s="70">
        <f t="shared" si="116"/>
        <v>2800</v>
      </c>
      <c r="S86" s="70">
        <f t="shared" si="117"/>
        <v>2700</v>
      </c>
      <c r="T86" s="58">
        <v>5</v>
      </c>
      <c r="V86" s="27">
        <v>83</v>
      </c>
      <c r="W86" s="25" t="s">
        <v>82</v>
      </c>
      <c r="X86" s="25" t="s">
        <v>81</v>
      </c>
      <c r="Y86" s="25" t="s">
        <v>84</v>
      </c>
      <c r="AA86" s="29">
        <v>1</v>
      </c>
      <c r="AB86" s="29">
        <v>1</v>
      </c>
      <c r="AC86" s="29">
        <v>1</v>
      </c>
      <c r="AD86" s="65"/>
      <c r="AE86" s="29">
        <f t="shared" si="88"/>
        <v>1</v>
      </c>
      <c r="AF86" s="29">
        <f t="shared" si="89"/>
        <v>1</v>
      </c>
      <c r="AG86" s="29">
        <f t="shared" si="90"/>
        <v>1</v>
      </c>
      <c r="AH86" s="65"/>
      <c r="AI86" s="29">
        <f t="shared" si="100"/>
        <v>1</v>
      </c>
      <c r="AJ86" s="29">
        <f t="shared" si="101"/>
        <v>1</v>
      </c>
      <c r="AK86" s="29">
        <f t="shared" si="102"/>
        <v>1</v>
      </c>
      <c r="AM86" s="29">
        <v>1</v>
      </c>
      <c r="AN86" s="29">
        <v>1</v>
      </c>
      <c r="AO86" s="29">
        <v>1</v>
      </c>
      <c r="AQ86" s="29">
        <f t="shared" si="91"/>
        <v>1</v>
      </c>
      <c r="AR86" s="29">
        <f t="shared" si="82"/>
        <v>1</v>
      </c>
      <c r="AS86" s="29">
        <f t="shared" si="83"/>
        <v>1</v>
      </c>
      <c r="AT86" s="65"/>
      <c r="AU86" s="29">
        <f t="shared" si="103"/>
        <v>1</v>
      </c>
      <c r="AV86" s="29">
        <f t="shared" si="92"/>
        <v>1</v>
      </c>
      <c r="AW86" s="29">
        <f t="shared" si="93"/>
        <v>1</v>
      </c>
      <c r="AY86" s="29">
        <v>1</v>
      </c>
      <c r="AZ86" s="29">
        <v>1</v>
      </c>
      <c r="BA86" s="29">
        <v>1</v>
      </c>
      <c r="BC86" s="29">
        <f t="shared" si="94"/>
        <v>1</v>
      </c>
      <c r="BD86" s="29">
        <f t="shared" si="84"/>
        <v>1</v>
      </c>
      <c r="BE86" s="29">
        <f t="shared" si="85"/>
        <v>1</v>
      </c>
      <c r="BF86" s="65"/>
      <c r="BG86" s="29">
        <f t="shared" si="104"/>
        <v>1</v>
      </c>
      <c r="BH86" s="29">
        <f t="shared" si="95"/>
        <v>1</v>
      </c>
      <c r="BI86" s="29">
        <f t="shared" si="96"/>
        <v>1</v>
      </c>
      <c r="BK86" s="29">
        <v>100</v>
      </c>
      <c r="BL86" s="29">
        <v>100</v>
      </c>
      <c r="BM86" s="29">
        <v>100</v>
      </c>
      <c r="BO86" s="29">
        <f t="shared" si="97"/>
        <v>100</v>
      </c>
      <c r="BP86" s="29">
        <f t="shared" si="86"/>
        <v>100</v>
      </c>
      <c r="BQ86" s="29">
        <f t="shared" si="87"/>
        <v>100</v>
      </c>
      <c r="BR86" s="65"/>
      <c r="BS86" s="29">
        <f t="shared" si="105"/>
        <v>100</v>
      </c>
      <c r="BT86" s="29">
        <f t="shared" si="98"/>
        <v>100</v>
      </c>
      <c r="BU86" s="29">
        <f t="shared" si="99"/>
        <v>100</v>
      </c>
      <c r="BW86" s="8">
        <f>IF(W86="","",VLOOKUP('Regular Symbol'!W86,'Regular Symbol'!$O$3:$T$13,6,0))</f>
        <v>5</v>
      </c>
      <c r="BX86" s="8">
        <f>IF(X86="","",VLOOKUP('Regular Symbol'!X86,'Regular Symbol'!$O$3:$T$13,6,0))</f>
        <v>4</v>
      </c>
      <c r="BY86" s="8">
        <f>IF(Y86="","",VLOOKUP('Regular Symbol'!Y86,'Regular Symbol'!$O$3:$T$13,6,0))</f>
        <v>7</v>
      </c>
      <c r="CA86" s="8" t="str">
        <f t="shared" si="79"/>
        <v>K</v>
      </c>
      <c r="CB86" s="8" t="str">
        <f t="shared" si="80"/>
        <v>A</v>
      </c>
      <c r="CC86" s="8" t="str">
        <f t="shared" si="81"/>
        <v>J</v>
      </c>
    </row>
    <row r="87" spans="1:81" ht="16.8" customHeight="1">
      <c r="A87" s="78" t="s">
        <v>40</v>
      </c>
      <c r="B87" s="58" t="s">
        <v>40</v>
      </c>
      <c r="C87" s="79">
        <f t="shared" si="109"/>
        <v>2320</v>
      </c>
      <c r="D87" s="70">
        <f t="shared" si="110"/>
        <v>2900</v>
      </c>
      <c r="E87" s="70">
        <f t="shared" si="111"/>
        <v>2700</v>
      </c>
      <c r="F87" s="58">
        <v>6</v>
      </c>
      <c r="H87" s="78" t="str">
        <v>Q</v>
      </c>
      <c r="I87" s="58" t="str">
        <v>Q</v>
      </c>
      <c r="J87" s="79">
        <f t="shared" si="112"/>
        <v>2047</v>
      </c>
      <c r="K87" s="70">
        <f t="shared" si="113"/>
        <v>4703</v>
      </c>
      <c r="L87" s="70">
        <f t="shared" si="114"/>
        <v>3854</v>
      </c>
      <c r="M87" s="58">
        <v>6</v>
      </c>
      <c r="O87" s="78" t="str">
        <v>Q</v>
      </c>
      <c r="P87" s="58" t="str">
        <v>Q</v>
      </c>
      <c r="Q87" s="79">
        <f t="shared" si="115"/>
        <v>1700</v>
      </c>
      <c r="R87" s="70">
        <f t="shared" si="116"/>
        <v>6155</v>
      </c>
      <c r="S87" s="70">
        <f t="shared" si="117"/>
        <v>4782</v>
      </c>
      <c r="T87" s="58">
        <v>6</v>
      </c>
      <c r="V87" s="27">
        <v>84</v>
      </c>
      <c r="W87" s="25" t="s">
        <v>84</v>
      </c>
      <c r="X87" s="25" t="s">
        <v>17</v>
      </c>
      <c r="Y87" s="25" t="s">
        <v>84</v>
      </c>
      <c r="AA87" s="29">
        <v>1</v>
      </c>
      <c r="AB87" s="29">
        <v>1</v>
      </c>
      <c r="AC87" s="29">
        <v>1</v>
      </c>
      <c r="AD87" s="65"/>
      <c r="AE87" s="29">
        <f t="shared" si="88"/>
        <v>1</v>
      </c>
      <c r="AF87" s="29">
        <f t="shared" si="89"/>
        <v>1</v>
      </c>
      <c r="AG87" s="29">
        <f t="shared" si="90"/>
        <v>1</v>
      </c>
      <c r="AH87" s="65"/>
      <c r="AI87" s="29">
        <f t="shared" si="100"/>
        <v>1</v>
      </c>
      <c r="AJ87" s="29">
        <f t="shared" si="101"/>
        <v>1</v>
      </c>
      <c r="AK87" s="29">
        <f t="shared" si="102"/>
        <v>1</v>
      </c>
      <c r="AM87" s="29">
        <v>1</v>
      </c>
      <c r="AN87" s="29">
        <v>1</v>
      </c>
      <c r="AO87" s="29">
        <v>1</v>
      </c>
      <c r="AQ87" s="29">
        <f t="shared" si="91"/>
        <v>1</v>
      </c>
      <c r="AR87" s="29">
        <f t="shared" si="82"/>
        <v>1</v>
      </c>
      <c r="AS87" s="29">
        <f t="shared" si="83"/>
        <v>1</v>
      </c>
      <c r="AT87" s="65"/>
      <c r="AU87" s="29">
        <f t="shared" si="103"/>
        <v>1</v>
      </c>
      <c r="AV87" s="29">
        <f t="shared" si="92"/>
        <v>1</v>
      </c>
      <c r="AW87" s="29">
        <f t="shared" si="93"/>
        <v>1</v>
      </c>
      <c r="AY87" s="29">
        <v>1</v>
      </c>
      <c r="AZ87" s="29">
        <v>1</v>
      </c>
      <c r="BA87" s="29">
        <v>1</v>
      </c>
      <c r="BC87" s="29">
        <f t="shared" si="94"/>
        <v>1</v>
      </c>
      <c r="BD87" s="29">
        <f t="shared" si="84"/>
        <v>1</v>
      </c>
      <c r="BE87" s="29">
        <f t="shared" si="85"/>
        <v>1</v>
      </c>
      <c r="BF87" s="65"/>
      <c r="BG87" s="29">
        <f t="shared" si="104"/>
        <v>1</v>
      </c>
      <c r="BH87" s="29">
        <f t="shared" si="95"/>
        <v>1</v>
      </c>
      <c r="BI87" s="29">
        <f t="shared" si="96"/>
        <v>1</v>
      </c>
      <c r="BK87" s="29">
        <v>100</v>
      </c>
      <c r="BL87" s="29">
        <v>100</v>
      </c>
      <c r="BM87" s="29">
        <v>100</v>
      </c>
      <c r="BO87" s="29">
        <f t="shared" si="97"/>
        <v>100</v>
      </c>
      <c r="BP87" s="29">
        <f t="shared" si="86"/>
        <v>100</v>
      </c>
      <c r="BQ87" s="29">
        <f t="shared" si="87"/>
        <v>100</v>
      </c>
      <c r="BR87" s="65"/>
      <c r="BS87" s="29">
        <f t="shared" si="105"/>
        <v>100</v>
      </c>
      <c r="BT87" s="29">
        <f t="shared" si="98"/>
        <v>100</v>
      </c>
      <c r="BU87" s="29">
        <f t="shared" si="99"/>
        <v>100</v>
      </c>
      <c r="BW87" s="8">
        <f>IF(W87="","",VLOOKUP('Regular Symbol'!W87,'Regular Symbol'!$O$3:$T$13,6,0))</f>
        <v>7</v>
      </c>
      <c r="BX87" s="8">
        <f>IF(X87="","",VLOOKUP('Regular Symbol'!X87,'Regular Symbol'!$O$3:$T$13,6,0))</f>
        <v>2</v>
      </c>
      <c r="BY87" s="8">
        <f>IF(Y87="","",VLOOKUP('Regular Symbol'!Y87,'Regular Symbol'!$O$3:$T$13,6,0))</f>
        <v>7</v>
      </c>
      <c r="CA87" s="8" t="str">
        <f t="shared" si="79"/>
        <v>J</v>
      </c>
      <c r="CB87" s="8" t="str">
        <f t="shared" si="80"/>
        <v>M2</v>
      </c>
      <c r="CC87" s="8" t="str">
        <f t="shared" si="81"/>
        <v>J</v>
      </c>
    </row>
    <row r="88" spans="1:81" ht="16.8" customHeight="1">
      <c r="A88" s="78" t="s">
        <v>39</v>
      </c>
      <c r="B88" s="58" t="s">
        <v>39</v>
      </c>
      <c r="C88" s="79">
        <f t="shared" si="109"/>
        <v>2520</v>
      </c>
      <c r="D88" s="70">
        <f t="shared" si="110"/>
        <v>2600</v>
      </c>
      <c r="E88" s="70">
        <f t="shared" si="111"/>
        <v>4782</v>
      </c>
      <c r="F88" s="58">
        <v>7</v>
      </c>
      <c r="H88" s="78" t="str">
        <v>J</v>
      </c>
      <c r="I88" s="58" t="str">
        <v>J</v>
      </c>
      <c r="J88" s="79">
        <f t="shared" ca="1" si="112"/>
        <v>2594</v>
      </c>
      <c r="K88" s="70">
        <f t="shared" si="113"/>
        <v>3201</v>
      </c>
      <c r="L88" s="70">
        <f t="shared" si="114"/>
        <v>5585</v>
      </c>
      <c r="M88" s="58">
        <v>7</v>
      </c>
      <c r="O88" s="78" t="str">
        <v>J</v>
      </c>
      <c r="P88" s="58" t="str">
        <v>J</v>
      </c>
      <c r="Q88" s="79">
        <f t="shared" ca="1" si="115"/>
        <v>2520</v>
      </c>
      <c r="R88" s="70">
        <f t="shared" si="116"/>
        <v>3685</v>
      </c>
      <c r="S88" s="70">
        <f t="shared" si="117"/>
        <v>5823</v>
      </c>
      <c r="T88" s="58">
        <v>7</v>
      </c>
      <c r="V88" s="27">
        <v>85</v>
      </c>
      <c r="W88" s="25" t="s">
        <v>84</v>
      </c>
      <c r="X88" s="25" t="s">
        <v>17</v>
      </c>
      <c r="Y88" s="25" t="s">
        <v>17</v>
      </c>
      <c r="AA88" s="29">
        <v>1</v>
      </c>
      <c r="AB88" s="29">
        <v>1</v>
      </c>
      <c r="AC88" s="29">
        <v>1</v>
      </c>
      <c r="AD88" s="65"/>
      <c r="AE88" s="29">
        <f t="shared" si="88"/>
        <v>1</v>
      </c>
      <c r="AF88" s="29">
        <f t="shared" si="89"/>
        <v>1</v>
      </c>
      <c r="AG88" s="29">
        <f t="shared" si="90"/>
        <v>1</v>
      </c>
      <c r="AH88" s="65"/>
      <c r="AI88" s="29">
        <f t="shared" si="100"/>
        <v>1</v>
      </c>
      <c r="AJ88" s="29">
        <f t="shared" si="101"/>
        <v>1</v>
      </c>
      <c r="AK88" s="29">
        <f t="shared" si="102"/>
        <v>1</v>
      </c>
      <c r="AM88" s="29">
        <v>1</v>
      </c>
      <c r="AN88" s="29">
        <v>1</v>
      </c>
      <c r="AO88" s="29">
        <v>1</v>
      </c>
      <c r="AQ88" s="29">
        <f t="shared" si="91"/>
        <v>1</v>
      </c>
      <c r="AR88" s="29">
        <f t="shared" si="82"/>
        <v>1</v>
      </c>
      <c r="AS88" s="29">
        <f t="shared" si="83"/>
        <v>1</v>
      </c>
      <c r="AT88" s="65"/>
      <c r="AU88" s="29">
        <f t="shared" si="103"/>
        <v>1</v>
      </c>
      <c r="AV88" s="29">
        <f t="shared" si="92"/>
        <v>1</v>
      </c>
      <c r="AW88" s="29">
        <f t="shared" si="93"/>
        <v>1</v>
      </c>
      <c r="AY88" s="29">
        <v>1</v>
      </c>
      <c r="AZ88" s="29">
        <v>1</v>
      </c>
      <c r="BA88" s="29">
        <v>1</v>
      </c>
      <c r="BC88" s="29">
        <f t="shared" si="94"/>
        <v>1</v>
      </c>
      <c r="BD88" s="29">
        <f t="shared" si="84"/>
        <v>1</v>
      </c>
      <c r="BE88" s="29">
        <f t="shared" si="85"/>
        <v>1</v>
      </c>
      <c r="BF88" s="65"/>
      <c r="BG88" s="29">
        <f t="shared" si="104"/>
        <v>1</v>
      </c>
      <c r="BH88" s="29">
        <f t="shared" si="95"/>
        <v>1</v>
      </c>
      <c r="BI88" s="29">
        <f t="shared" si="96"/>
        <v>1</v>
      </c>
      <c r="BK88" s="29">
        <v>100</v>
      </c>
      <c r="BL88" s="29">
        <v>100</v>
      </c>
      <c r="BM88" s="29">
        <v>100</v>
      </c>
      <c r="BO88" s="29">
        <f t="shared" si="97"/>
        <v>100</v>
      </c>
      <c r="BP88" s="29">
        <f t="shared" si="86"/>
        <v>100</v>
      </c>
      <c r="BQ88" s="29">
        <f t="shared" si="87"/>
        <v>100</v>
      </c>
      <c r="BR88" s="65"/>
      <c r="BS88" s="29">
        <f t="shared" si="105"/>
        <v>100</v>
      </c>
      <c r="BT88" s="29">
        <f t="shared" si="98"/>
        <v>100</v>
      </c>
      <c r="BU88" s="29">
        <f t="shared" si="99"/>
        <v>100</v>
      </c>
      <c r="BW88" s="8">
        <f>IF(W88="","",VLOOKUP('Regular Symbol'!W88,'Regular Symbol'!$O$3:$T$13,6,0))</f>
        <v>7</v>
      </c>
      <c r="BX88" s="8">
        <f>IF(X88="","",VLOOKUP('Regular Symbol'!X88,'Regular Symbol'!$O$3:$T$13,6,0))</f>
        <v>2</v>
      </c>
      <c r="BY88" s="8">
        <f>IF(Y88="","",VLOOKUP('Regular Symbol'!Y88,'Regular Symbol'!$O$3:$T$13,6,0))</f>
        <v>2</v>
      </c>
      <c r="CA88" s="8" t="str">
        <f t="shared" si="79"/>
        <v>J</v>
      </c>
      <c r="CB88" s="8" t="str">
        <f t="shared" si="80"/>
        <v>M2</v>
      </c>
      <c r="CC88" s="8" t="str">
        <f t="shared" si="81"/>
        <v>M2</v>
      </c>
    </row>
    <row r="89" spans="1:81" ht="16.8" customHeight="1">
      <c r="A89" s="78"/>
      <c r="B89" s="58"/>
      <c r="C89" s="79"/>
      <c r="D89" s="70"/>
      <c r="E89" s="70"/>
      <c r="F89" s="58"/>
      <c r="H89" s="78"/>
      <c r="I89" s="58"/>
      <c r="J89" s="79"/>
      <c r="K89" s="70"/>
      <c r="L89" s="70"/>
      <c r="M89" s="58"/>
      <c r="O89" s="78"/>
      <c r="P89" s="58"/>
      <c r="Q89" s="79"/>
      <c r="R89" s="70"/>
      <c r="S89" s="70"/>
      <c r="T89" s="58"/>
      <c r="V89" s="27">
        <v>86</v>
      </c>
      <c r="W89" s="25" t="s">
        <v>16</v>
      </c>
      <c r="X89" s="25" t="s">
        <v>84</v>
      </c>
      <c r="Y89" s="25" t="s">
        <v>17</v>
      </c>
      <c r="AA89" s="29">
        <v>1</v>
      </c>
      <c r="AB89" s="29">
        <v>1</v>
      </c>
      <c r="AC89" s="29">
        <v>1</v>
      </c>
      <c r="AD89" s="65"/>
      <c r="AE89" s="29">
        <f t="shared" si="88"/>
        <v>1</v>
      </c>
      <c r="AF89" s="29">
        <f t="shared" si="89"/>
        <v>1</v>
      </c>
      <c r="AG89" s="29">
        <f t="shared" si="90"/>
        <v>1</v>
      </c>
      <c r="AH89" s="65"/>
      <c r="AI89" s="29">
        <f t="shared" si="100"/>
        <v>1</v>
      </c>
      <c r="AJ89" s="29">
        <f t="shared" si="101"/>
        <v>1</v>
      </c>
      <c r="AK89" s="29">
        <f t="shared" si="102"/>
        <v>1</v>
      </c>
      <c r="AM89" s="29">
        <v>1</v>
      </c>
      <c r="AN89" s="29">
        <v>1</v>
      </c>
      <c r="AO89" s="29">
        <v>1</v>
      </c>
      <c r="AQ89" s="29">
        <f t="shared" si="91"/>
        <v>1</v>
      </c>
      <c r="AR89" s="29">
        <f t="shared" si="82"/>
        <v>1</v>
      </c>
      <c r="AS89" s="29">
        <f t="shared" si="83"/>
        <v>1</v>
      </c>
      <c r="AT89" s="65"/>
      <c r="AU89" s="29">
        <f t="shared" si="103"/>
        <v>1</v>
      </c>
      <c r="AV89" s="29">
        <f t="shared" si="92"/>
        <v>1</v>
      </c>
      <c r="AW89" s="29">
        <f t="shared" si="93"/>
        <v>1</v>
      </c>
      <c r="AY89" s="29">
        <v>1</v>
      </c>
      <c r="AZ89" s="29">
        <v>1</v>
      </c>
      <c r="BA89" s="29">
        <v>1</v>
      </c>
      <c r="BC89" s="29">
        <f t="shared" si="94"/>
        <v>1</v>
      </c>
      <c r="BD89" s="29">
        <f t="shared" si="84"/>
        <v>1</v>
      </c>
      <c r="BE89" s="29">
        <f t="shared" si="85"/>
        <v>1</v>
      </c>
      <c r="BF89" s="65"/>
      <c r="BG89" s="29">
        <f t="shared" si="104"/>
        <v>1</v>
      </c>
      <c r="BH89" s="29">
        <f t="shared" si="95"/>
        <v>1</v>
      </c>
      <c r="BI89" s="29">
        <f t="shared" si="96"/>
        <v>1</v>
      </c>
      <c r="BK89" s="29">
        <v>100</v>
      </c>
      <c r="BL89" s="29">
        <v>100</v>
      </c>
      <c r="BM89" s="29">
        <v>100</v>
      </c>
      <c r="BO89" s="29">
        <f t="shared" si="97"/>
        <v>100</v>
      </c>
      <c r="BP89" s="29">
        <f t="shared" si="86"/>
        <v>100</v>
      </c>
      <c r="BQ89" s="29">
        <f t="shared" si="87"/>
        <v>100</v>
      </c>
      <c r="BR89" s="65"/>
      <c r="BS89" s="29">
        <f t="shared" si="105"/>
        <v>100</v>
      </c>
      <c r="BT89" s="29">
        <f t="shared" si="98"/>
        <v>100</v>
      </c>
      <c r="BU89" s="29">
        <f t="shared" si="99"/>
        <v>100</v>
      </c>
      <c r="BW89" s="8">
        <f>IF(W89="","",VLOOKUP('Regular Symbol'!W89,'Regular Symbol'!$O$3:$T$13,6,0))</f>
        <v>1</v>
      </c>
      <c r="BX89" s="8">
        <f>IF(X89="","",VLOOKUP('Regular Symbol'!X89,'Regular Symbol'!$O$3:$T$13,6,0))</f>
        <v>7</v>
      </c>
      <c r="BY89" s="8">
        <f>IF(Y89="","",VLOOKUP('Regular Symbol'!Y89,'Regular Symbol'!$O$3:$T$13,6,0))</f>
        <v>2</v>
      </c>
      <c r="CA89" s="8" t="str">
        <f t="shared" si="79"/>
        <v>M1</v>
      </c>
      <c r="CB89" s="8" t="str">
        <f t="shared" si="80"/>
        <v>J</v>
      </c>
      <c r="CC89" s="8" t="str">
        <f t="shared" si="81"/>
        <v>M2</v>
      </c>
    </row>
    <row r="90" spans="1:81" ht="16.8" customHeight="1">
      <c r="A90" s="78"/>
      <c r="B90" s="58"/>
      <c r="C90" s="79"/>
      <c r="D90" s="70"/>
      <c r="E90" s="70"/>
      <c r="F90" s="58"/>
      <c r="H90" s="78"/>
      <c r="I90" s="58"/>
      <c r="J90" s="79"/>
      <c r="K90" s="70"/>
      <c r="L90" s="70"/>
      <c r="M90" s="58"/>
      <c r="O90" s="78"/>
      <c r="P90" s="58"/>
      <c r="Q90" s="79"/>
      <c r="R90" s="70"/>
      <c r="S90" s="70"/>
      <c r="T90" s="58"/>
      <c r="V90" s="27">
        <v>87</v>
      </c>
      <c r="W90" s="25" t="s">
        <v>16</v>
      </c>
      <c r="X90" s="25" t="s">
        <v>84</v>
      </c>
      <c r="Y90" s="25" t="s">
        <v>17</v>
      </c>
      <c r="AA90" s="29">
        <v>1</v>
      </c>
      <c r="AB90" s="29">
        <v>1</v>
      </c>
      <c r="AC90" s="29">
        <v>1</v>
      </c>
      <c r="AD90" s="65"/>
      <c r="AE90" s="29">
        <f t="shared" si="88"/>
        <v>1</v>
      </c>
      <c r="AF90" s="29">
        <f t="shared" si="89"/>
        <v>1</v>
      </c>
      <c r="AG90" s="29">
        <f t="shared" si="90"/>
        <v>1</v>
      </c>
      <c r="AH90" s="65"/>
      <c r="AI90" s="29">
        <f t="shared" si="100"/>
        <v>1</v>
      </c>
      <c r="AJ90" s="29">
        <f t="shared" si="101"/>
        <v>1</v>
      </c>
      <c r="AK90" s="29">
        <f t="shared" si="102"/>
        <v>1</v>
      </c>
      <c r="AM90" s="29">
        <v>1</v>
      </c>
      <c r="AN90" s="29">
        <v>1</v>
      </c>
      <c r="AO90" s="29">
        <v>1</v>
      </c>
      <c r="AQ90" s="29">
        <f t="shared" si="91"/>
        <v>1</v>
      </c>
      <c r="AR90" s="29">
        <f t="shared" si="82"/>
        <v>1</v>
      </c>
      <c r="AS90" s="29">
        <f t="shared" si="83"/>
        <v>1</v>
      </c>
      <c r="AT90" s="65"/>
      <c r="AU90" s="29">
        <f t="shared" si="103"/>
        <v>1</v>
      </c>
      <c r="AV90" s="29">
        <f t="shared" si="92"/>
        <v>1</v>
      </c>
      <c r="AW90" s="29">
        <f t="shared" si="93"/>
        <v>1</v>
      </c>
      <c r="AY90" s="29">
        <v>1</v>
      </c>
      <c r="AZ90" s="29">
        <v>1</v>
      </c>
      <c r="BA90" s="29">
        <v>1</v>
      </c>
      <c r="BC90" s="29">
        <f t="shared" si="94"/>
        <v>1</v>
      </c>
      <c r="BD90" s="29">
        <f t="shared" si="84"/>
        <v>1</v>
      </c>
      <c r="BE90" s="29">
        <f t="shared" si="85"/>
        <v>1</v>
      </c>
      <c r="BF90" s="65"/>
      <c r="BG90" s="29">
        <f t="shared" si="104"/>
        <v>1</v>
      </c>
      <c r="BH90" s="29">
        <f t="shared" si="95"/>
        <v>1</v>
      </c>
      <c r="BI90" s="29">
        <f t="shared" si="96"/>
        <v>1</v>
      </c>
      <c r="BK90" s="29">
        <v>100</v>
      </c>
      <c r="BL90" s="29">
        <v>100</v>
      </c>
      <c r="BM90" s="29">
        <v>100</v>
      </c>
      <c r="BO90" s="29">
        <f t="shared" si="97"/>
        <v>100</v>
      </c>
      <c r="BP90" s="29">
        <f t="shared" si="86"/>
        <v>100</v>
      </c>
      <c r="BQ90" s="29">
        <f t="shared" si="87"/>
        <v>100</v>
      </c>
      <c r="BR90" s="65"/>
      <c r="BS90" s="29">
        <f t="shared" si="105"/>
        <v>100</v>
      </c>
      <c r="BT90" s="29">
        <f t="shared" si="98"/>
        <v>100</v>
      </c>
      <c r="BU90" s="29">
        <f t="shared" si="99"/>
        <v>100</v>
      </c>
      <c r="BW90" s="8">
        <f>IF(W90="","",VLOOKUP('Regular Symbol'!W90,'Regular Symbol'!$O$3:$T$13,6,0))</f>
        <v>1</v>
      </c>
      <c r="BX90" s="8">
        <f>IF(X90="","",VLOOKUP('Regular Symbol'!X90,'Regular Symbol'!$O$3:$T$13,6,0))</f>
        <v>7</v>
      </c>
      <c r="BY90" s="8">
        <f>IF(Y90="","",VLOOKUP('Regular Symbol'!Y90,'Regular Symbol'!$O$3:$T$13,6,0))</f>
        <v>2</v>
      </c>
      <c r="CA90" s="8" t="str">
        <f t="shared" si="79"/>
        <v>M1</v>
      </c>
      <c r="CB90" s="8" t="str">
        <f t="shared" si="80"/>
        <v>J</v>
      </c>
      <c r="CC90" s="8" t="str">
        <f t="shared" si="81"/>
        <v>M2</v>
      </c>
    </row>
    <row r="91" spans="1:81" ht="16.8" customHeight="1" thickBot="1">
      <c r="A91" s="73"/>
      <c r="B91" s="59"/>
      <c r="C91" s="80"/>
      <c r="D91" s="74"/>
      <c r="E91" s="74"/>
      <c r="F91" s="59"/>
      <c r="H91" s="73"/>
      <c r="I91" s="59"/>
      <c r="J91" s="80"/>
      <c r="K91" s="74"/>
      <c r="L91" s="74"/>
      <c r="M91" s="59"/>
      <c r="O91" s="73"/>
      <c r="P91" s="59"/>
      <c r="Q91" s="80"/>
      <c r="R91" s="74"/>
      <c r="S91" s="74"/>
      <c r="T91" s="59"/>
      <c r="V91" s="27">
        <v>88</v>
      </c>
      <c r="W91" s="25" t="s">
        <v>81</v>
      </c>
      <c r="X91" s="25" t="s">
        <v>18</v>
      </c>
      <c r="Y91" s="25" t="s">
        <v>16</v>
      </c>
      <c r="AA91" s="29">
        <v>1</v>
      </c>
      <c r="AB91" s="29">
        <v>1</v>
      </c>
      <c r="AC91" s="29">
        <v>1</v>
      </c>
      <c r="AD91" s="65"/>
      <c r="AE91" s="29">
        <f t="shared" si="88"/>
        <v>1</v>
      </c>
      <c r="AF91" s="29">
        <f t="shared" si="89"/>
        <v>1</v>
      </c>
      <c r="AG91" s="29">
        <f t="shared" si="90"/>
        <v>1</v>
      </c>
      <c r="AH91" s="65"/>
      <c r="AI91" s="29">
        <f t="shared" si="100"/>
        <v>1</v>
      </c>
      <c r="AJ91" s="29">
        <f t="shared" si="101"/>
        <v>1</v>
      </c>
      <c r="AK91" s="29">
        <f t="shared" si="102"/>
        <v>1</v>
      </c>
      <c r="AM91" s="29">
        <v>1</v>
      </c>
      <c r="AN91" s="29">
        <v>1</v>
      </c>
      <c r="AO91" s="29">
        <v>1</v>
      </c>
      <c r="AQ91" s="29">
        <f t="shared" si="91"/>
        <v>1</v>
      </c>
      <c r="AR91" s="29">
        <f t="shared" si="82"/>
        <v>1</v>
      </c>
      <c r="AS91" s="29">
        <f t="shared" si="83"/>
        <v>1</v>
      </c>
      <c r="AT91" s="65"/>
      <c r="AU91" s="29">
        <f t="shared" si="103"/>
        <v>1</v>
      </c>
      <c r="AV91" s="29">
        <f t="shared" si="92"/>
        <v>1</v>
      </c>
      <c r="AW91" s="29">
        <f t="shared" si="93"/>
        <v>1</v>
      </c>
      <c r="AY91" s="29">
        <v>1</v>
      </c>
      <c r="AZ91" s="29">
        <v>1</v>
      </c>
      <c r="BA91" s="29">
        <v>1</v>
      </c>
      <c r="BC91" s="29">
        <f t="shared" si="94"/>
        <v>1</v>
      </c>
      <c r="BD91" s="29">
        <f t="shared" si="84"/>
        <v>1</v>
      </c>
      <c r="BE91" s="29">
        <f t="shared" si="85"/>
        <v>1</v>
      </c>
      <c r="BF91" s="65"/>
      <c r="BG91" s="29">
        <f t="shared" si="104"/>
        <v>1</v>
      </c>
      <c r="BH91" s="29">
        <f t="shared" si="95"/>
        <v>1</v>
      </c>
      <c r="BI91" s="29">
        <f t="shared" si="96"/>
        <v>1</v>
      </c>
      <c r="BK91" s="29">
        <v>100</v>
      </c>
      <c r="BL91" s="29">
        <v>100</v>
      </c>
      <c r="BM91" s="29">
        <v>100</v>
      </c>
      <c r="BO91" s="29">
        <f t="shared" si="97"/>
        <v>100</v>
      </c>
      <c r="BP91" s="29">
        <f t="shared" si="86"/>
        <v>100</v>
      </c>
      <c r="BQ91" s="29">
        <f t="shared" si="87"/>
        <v>100</v>
      </c>
      <c r="BR91" s="65"/>
      <c r="BS91" s="29">
        <f t="shared" si="105"/>
        <v>100</v>
      </c>
      <c r="BT91" s="29">
        <f t="shared" si="98"/>
        <v>100</v>
      </c>
      <c r="BU91" s="29">
        <f t="shared" si="99"/>
        <v>100</v>
      </c>
      <c r="BW91" s="8">
        <f>IF(W91="","",VLOOKUP('Regular Symbol'!W91,'Regular Symbol'!$O$3:$T$13,6,0))</f>
        <v>4</v>
      </c>
      <c r="BX91" s="8">
        <f>IF(X91="","",VLOOKUP('Regular Symbol'!X91,'Regular Symbol'!$O$3:$T$13,6,0))</f>
        <v>3</v>
      </c>
      <c r="BY91" s="8">
        <f>IF(Y91="","",VLOOKUP('Regular Symbol'!Y91,'Regular Symbol'!$O$3:$T$13,6,0))</f>
        <v>1</v>
      </c>
      <c r="CA91" s="8" t="str">
        <f t="shared" si="79"/>
        <v>A</v>
      </c>
      <c r="CB91" s="8" t="str">
        <f t="shared" si="80"/>
        <v>M3</v>
      </c>
      <c r="CC91" s="8" t="str">
        <f t="shared" si="81"/>
        <v>M1</v>
      </c>
    </row>
    <row r="92" spans="1:81" ht="16.8" customHeight="1">
      <c r="A92" s="60" t="s">
        <v>10</v>
      </c>
      <c r="B92" s="155"/>
      <c r="C92" s="155">
        <f>SUM(C81:C91)</f>
        <v>16614</v>
      </c>
      <c r="D92" s="155">
        <f>SUM(D81:D91)</f>
        <v>38659</v>
      </c>
      <c r="E92" s="155">
        <f>SUM(E81:E91)</f>
        <v>37331</v>
      </c>
      <c r="F92" s="155"/>
      <c r="H92" s="60" t="s">
        <v>10</v>
      </c>
      <c r="I92" s="155"/>
      <c r="J92" s="155">
        <f ca="1">SUM(J81:J91)</f>
        <v>16614</v>
      </c>
      <c r="K92" s="155">
        <f ca="1">SUM(K81:K91)</f>
        <v>38659</v>
      </c>
      <c r="L92" s="155">
        <f ca="1">SUM(L81:L91)</f>
        <v>37331</v>
      </c>
      <c r="M92" s="155"/>
      <c r="O92" s="60" t="s">
        <v>10</v>
      </c>
      <c r="P92" s="155"/>
      <c r="Q92" s="155">
        <f ca="1">SUM(Q81:Q91)</f>
        <v>16614</v>
      </c>
      <c r="R92" s="155">
        <f ca="1">SUM(R81:R91)</f>
        <v>38659</v>
      </c>
      <c r="S92" s="155">
        <f ca="1">SUM(S81:S91)</f>
        <v>37331</v>
      </c>
      <c r="T92" s="155"/>
      <c r="V92" s="27">
        <v>89</v>
      </c>
      <c r="W92" s="25" t="s">
        <v>81</v>
      </c>
      <c r="X92" s="25" t="s">
        <v>18</v>
      </c>
      <c r="Y92" s="25" t="s">
        <v>16</v>
      </c>
      <c r="AA92" s="29">
        <v>1</v>
      </c>
      <c r="AB92" s="29">
        <v>1</v>
      </c>
      <c r="AC92" s="29">
        <v>1</v>
      </c>
      <c r="AD92" s="65"/>
      <c r="AE92" s="29">
        <f t="shared" si="88"/>
        <v>1</v>
      </c>
      <c r="AF92" s="29">
        <f t="shared" si="89"/>
        <v>1</v>
      </c>
      <c r="AG92" s="29">
        <f t="shared" si="90"/>
        <v>1</v>
      </c>
      <c r="AH92" s="65"/>
      <c r="AI92" s="29">
        <f t="shared" si="100"/>
        <v>1</v>
      </c>
      <c r="AJ92" s="29">
        <f t="shared" si="101"/>
        <v>1</v>
      </c>
      <c r="AK92" s="29">
        <f t="shared" si="102"/>
        <v>1</v>
      </c>
      <c r="AM92" s="29">
        <v>1</v>
      </c>
      <c r="AN92" s="29">
        <v>1</v>
      </c>
      <c r="AO92" s="29">
        <v>1</v>
      </c>
      <c r="AQ92" s="29">
        <f t="shared" si="91"/>
        <v>1</v>
      </c>
      <c r="AR92" s="29">
        <f t="shared" si="82"/>
        <v>1</v>
      </c>
      <c r="AS92" s="29">
        <f t="shared" si="83"/>
        <v>1</v>
      </c>
      <c r="AT92" s="65"/>
      <c r="AU92" s="29">
        <f t="shared" si="103"/>
        <v>1</v>
      </c>
      <c r="AV92" s="29">
        <f t="shared" si="92"/>
        <v>1</v>
      </c>
      <c r="AW92" s="29">
        <f t="shared" si="93"/>
        <v>1</v>
      </c>
      <c r="AY92" s="29">
        <v>1</v>
      </c>
      <c r="AZ92" s="29">
        <v>1</v>
      </c>
      <c r="BA92" s="29">
        <v>1</v>
      </c>
      <c r="BC92" s="29">
        <f t="shared" si="94"/>
        <v>1</v>
      </c>
      <c r="BD92" s="29">
        <f t="shared" si="84"/>
        <v>1</v>
      </c>
      <c r="BE92" s="29">
        <f t="shared" si="85"/>
        <v>1</v>
      </c>
      <c r="BF92" s="65"/>
      <c r="BG92" s="29">
        <f t="shared" si="104"/>
        <v>1</v>
      </c>
      <c r="BH92" s="29">
        <f t="shared" si="95"/>
        <v>1</v>
      </c>
      <c r="BI92" s="29">
        <f t="shared" si="96"/>
        <v>1</v>
      </c>
      <c r="BK92" s="29">
        <v>100</v>
      </c>
      <c r="BL92" s="29">
        <v>100</v>
      </c>
      <c r="BM92" s="29">
        <v>100</v>
      </c>
      <c r="BO92" s="29">
        <f t="shared" si="97"/>
        <v>100</v>
      </c>
      <c r="BP92" s="29">
        <f t="shared" si="86"/>
        <v>100</v>
      </c>
      <c r="BQ92" s="29">
        <f t="shared" si="87"/>
        <v>100</v>
      </c>
      <c r="BR92" s="65"/>
      <c r="BS92" s="29">
        <f t="shared" si="105"/>
        <v>100</v>
      </c>
      <c r="BT92" s="29">
        <f t="shared" si="98"/>
        <v>100</v>
      </c>
      <c r="BU92" s="29">
        <f t="shared" si="99"/>
        <v>100</v>
      </c>
      <c r="BW92" s="8">
        <f>IF(W92="","",VLOOKUP('Regular Symbol'!W92,'Regular Symbol'!$O$3:$T$13,6,0))</f>
        <v>4</v>
      </c>
      <c r="BX92" s="8">
        <f>IF(X92="","",VLOOKUP('Regular Symbol'!X92,'Regular Symbol'!$O$3:$T$13,6,0))</f>
        <v>3</v>
      </c>
      <c r="BY92" s="8">
        <f>IF(Y92="","",VLOOKUP('Regular Symbol'!Y92,'Regular Symbol'!$O$3:$T$13,6,0))</f>
        <v>1</v>
      </c>
      <c r="CA92" s="8" t="str">
        <f t="shared" si="79"/>
        <v>A</v>
      </c>
      <c r="CB92" s="8" t="str">
        <f t="shared" si="80"/>
        <v>M3</v>
      </c>
      <c r="CC92" s="8" t="str">
        <f t="shared" si="81"/>
        <v>M1</v>
      </c>
    </row>
    <row r="93" spans="1:81" ht="16.8" customHeight="1">
      <c r="B93" s="30"/>
      <c r="C93" s="70"/>
      <c r="D93" s="70"/>
      <c r="E93" s="70"/>
      <c r="I93" s="30"/>
      <c r="J93" s="70"/>
      <c r="K93" s="70"/>
      <c r="L93" s="70"/>
      <c r="P93" s="30"/>
      <c r="Q93" s="70"/>
      <c r="R93" s="70"/>
      <c r="S93" s="70"/>
      <c r="V93" s="27">
        <v>90</v>
      </c>
      <c r="W93" s="25" t="s">
        <v>83</v>
      </c>
      <c r="X93" s="25" t="s">
        <v>81</v>
      </c>
      <c r="Y93" s="25" t="s">
        <v>16</v>
      </c>
      <c r="AA93" s="29">
        <v>1</v>
      </c>
      <c r="AB93" s="29">
        <v>1</v>
      </c>
      <c r="AC93" s="29">
        <v>1</v>
      </c>
      <c r="AD93" s="65"/>
      <c r="AE93" s="29">
        <f t="shared" si="88"/>
        <v>1</v>
      </c>
      <c r="AF93" s="29">
        <f t="shared" si="89"/>
        <v>1</v>
      </c>
      <c r="AG93" s="29">
        <f t="shared" si="90"/>
        <v>1</v>
      </c>
      <c r="AH93" s="65"/>
      <c r="AI93" s="29">
        <f t="shared" si="100"/>
        <v>1</v>
      </c>
      <c r="AJ93" s="29">
        <f t="shared" si="101"/>
        <v>1</v>
      </c>
      <c r="AK93" s="29">
        <f t="shared" si="102"/>
        <v>1</v>
      </c>
      <c r="AM93" s="29">
        <v>1</v>
      </c>
      <c r="AN93" s="29">
        <v>1</v>
      </c>
      <c r="AO93" s="29">
        <v>1</v>
      </c>
      <c r="AQ93" s="29">
        <f t="shared" si="91"/>
        <v>1</v>
      </c>
      <c r="AR93" s="29">
        <f t="shared" si="82"/>
        <v>1</v>
      </c>
      <c r="AS93" s="29">
        <f t="shared" si="83"/>
        <v>1</v>
      </c>
      <c r="AT93" s="65"/>
      <c r="AU93" s="29">
        <f t="shared" si="103"/>
        <v>1</v>
      </c>
      <c r="AV93" s="29">
        <f t="shared" si="92"/>
        <v>1</v>
      </c>
      <c r="AW93" s="29">
        <f t="shared" si="93"/>
        <v>1</v>
      </c>
      <c r="AY93" s="29">
        <v>1</v>
      </c>
      <c r="AZ93" s="29">
        <v>1</v>
      </c>
      <c r="BA93" s="29">
        <v>1</v>
      </c>
      <c r="BC93" s="29">
        <f t="shared" si="94"/>
        <v>1</v>
      </c>
      <c r="BD93" s="29">
        <f t="shared" si="84"/>
        <v>1</v>
      </c>
      <c r="BE93" s="29">
        <f t="shared" si="85"/>
        <v>1</v>
      </c>
      <c r="BF93" s="65"/>
      <c r="BG93" s="29">
        <f t="shared" si="104"/>
        <v>1</v>
      </c>
      <c r="BH93" s="29">
        <f t="shared" si="95"/>
        <v>1</v>
      </c>
      <c r="BI93" s="29">
        <f t="shared" si="96"/>
        <v>1</v>
      </c>
      <c r="BK93" s="29">
        <v>100</v>
      </c>
      <c r="BL93" s="29">
        <v>100</v>
      </c>
      <c r="BM93" s="29">
        <v>100</v>
      </c>
      <c r="BO93" s="29">
        <f t="shared" si="97"/>
        <v>100</v>
      </c>
      <c r="BP93" s="29">
        <f t="shared" si="86"/>
        <v>100</v>
      </c>
      <c r="BQ93" s="29">
        <f t="shared" si="87"/>
        <v>100</v>
      </c>
      <c r="BR93" s="65"/>
      <c r="BS93" s="29">
        <f t="shared" si="105"/>
        <v>100</v>
      </c>
      <c r="BT93" s="29">
        <f t="shared" si="98"/>
        <v>100</v>
      </c>
      <c r="BU93" s="29">
        <f t="shared" si="99"/>
        <v>100</v>
      </c>
      <c r="BW93" s="8">
        <f>IF(W93="","",VLOOKUP('Regular Symbol'!W93,'Regular Symbol'!$O$3:$T$13,6,0))</f>
        <v>6</v>
      </c>
      <c r="BX93" s="8">
        <f>IF(X93="","",VLOOKUP('Regular Symbol'!X93,'Regular Symbol'!$O$3:$T$13,6,0))</f>
        <v>4</v>
      </c>
      <c r="BY93" s="8">
        <f>IF(Y93="","",VLOOKUP('Regular Symbol'!Y93,'Regular Symbol'!$O$3:$T$13,6,0))</f>
        <v>1</v>
      </c>
      <c r="CA93" s="8" t="str">
        <f t="shared" si="79"/>
        <v>Q</v>
      </c>
      <c r="CB93" s="8" t="str">
        <f t="shared" si="80"/>
        <v>A</v>
      </c>
      <c r="CC93" s="8" t="str">
        <f t="shared" si="81"/>
        <v>M1</v>
      </c>
    </row>
    <row r="94" spans="1:81" ht="16.8" customHeight="1" thickBot="1">
      <c r="A94" s="83" t="s">
        <v>4</v>
      </c>
      <c r="B94" s="81"/>
      <c r="C94" s="81"/>
      <c r="D94" s="81"/>
      <c r="E94" s="81"/>
      <c r="F94" s="23"/>
      <c r="H94" s="83" t="s">
        <v>4</v>
      </c>
      <c r="I94" s="81"/>
      <c r="J94" s="81"/>
      <c r="K94" s="81"/>
      <c r="L94" s="81"/>
      <c r="M94" s="23"/>
      <c r="O94" s="83" t="s">
        <v>4</v>
      </c>
      <c r="P94" s="81"/>
      <c r="Q94" s="81"/>
      <c r="R94" s="81"/>
      <c r="S94" s="81"/>
      <c r="T94" s="23"/>
      <c r="V94" s="27">
        <v>91</v>
      </c>
      <c r="W94" s="25" t="s">
        <v>83</v>
      </c>
      <c r="X94" s="25" t="s">
        <v>81</v>
      </c>
      <c r="Y94" s="25" t="s">
        <v>81</v>
      </c>
      <c r="AA94" s="29">
        <v>1</v>
      </c>
      <c r="AB94" s="29">
        <v>1</v>
      </c>
      <c r="AC94" s="29">
        <v>1</v>
      </c>
      <c r="AD94" s="65"/>
      <c r="AE94" s="29">
        <f t="shared" si="88"/>
        <v>1</v>
      </c>
      <c r="AF94" s="29">
        <f t="shared" si="89"/>
        <v>1</v>
      </c>
      <c r="AG94" s="29">
        <f t="shared" si="90"/>
        <v>1</v>
      </c>
      <c r="AH94" s="65"/>
      <c r="AI94" s="29">
        <f t="shared" si="100"/>
        <v>1</v>
      </c>
      <c r="AJ94" s="29">
        <f t="shared" si="101"/>
        <v>1</v>
      </c>
      <c r="AK94" s="29">
        <f t="shared" si="102"/>
        <v>1</v>
      </c>
      <c r="AM94" s="29">
        <v>1</v>
      </c>
      <c r="AN94" s="29">
        <v>1</v>
      </c>
      <c r="AO94" s="29">
        <v>1</v>
      </c>
      <c r="AQ94" s="29">
        <f t="shared" si="91"/>
        <v>1</v>
      </c>
      <c r="AR94" s="29">
        <f t="shared" si="82"/>
        <v>1</v>
      </c>
      <c r="AS94" s="29">
        <f t="shared" si="83"/>
        <v>1</v>
      </c>
      <c r="AT94" s="65"/>
      <c r="AU94" s="29">
        <f t="shared" si="103"/>
        <v>1</v>
      </c>
      <c r="AV94" s="29">
        <f t="shared" si="92"/>
        <v>1</v>
      </c>
      <c r="AW94" s="29">
        <f t="shared" si="93"/>
        <v>1</v>
      </c>
      <c r="AY94" s="29">
        <v>1</v>
      </c>
      <c r="AZ94" s="29">
        <v>1</v>
      </c>
      <c r="BA94" s="29">
        <v>1</v>
      </c>
      <c r="BC94" s="29">
        <f t="shared" si="94"/>
        <v>1</v>
      </c>
      <c r="BD94" s="29">
        <f t="shared" si="84"/>
        <v>1</v>
      </c>
      <c r="BE94" s="29">
        <f t="shared" si="85"/>
        <v>1</v>
      </c>
      <c r="BF94" s="65"/>
      <c r="BG94" s="29">
        <f t="shared" si="104"/>
        <v>1</v>
      </c>
      <c r="BH94" s="29">
        <f t="shared" si="95"/>
        <v>1</v>
      </c>
      <c r="BI94" s="29">
        <f t="shared" si="96"/>
        <v>1</v>
      </c>
      <c r="BK94" s="29">
        <v>100</v>
      </c>
      <c r="BL94" s="29">
        <v>100</v>
      </c>
      <c r="BM94" s="29">
        <v>100</v>
      </c>
      <c r="BO94" s="29">
        <f t="shared" si="97"/>
        <v>100</v>
      </c>
      <c r="BP94" s="29">
        <f t="shared" si="86"/>
        <v>100</v>
      </c>
      <c r="BQ94" s="29">
        <f t="shared" si="87"/>
        <v>100</v>
      </c>
      <c r="BR94" s="65"/>
      <c r="BS94" s="29">
        <f t="shared" si="105"/>
        <v>100</v>
      </c>
      <c r="BT94" s="29">
        <f t="shared" si="98"/>
        <v>100</v>
      </c>
      <c r="BU94" s="29">
        <f t="shared" si="99"/>
        <v>100</v>
      </c>
      <c r="BW94" s="8">
        <f>IF(W94="","",VLOOKUP('Regular Symbol'!W94,'Regular Symbol'!$O$3:$T$13,6,0))</f>
        <v>6</v>
      </c>
      <c r="BX94" s="8">
        <f>IF(X94="","",VLOOKUP('Regular Symbol'!X94,'Regular Symbol'!$O$3:$T$13,6,0))</f>
        <v>4</v>
      </c>
      <c r="BY94" s="8">
        <f>IF(Y94="","",VLOOKUP('Regular Symbol'!Y94,'Regular Symbol'!$O$3:$T$13,6,0))</f>
        <v>4</v>
      </c>
      <c r="CA94" s="8" t="str">
        <f t="shared" si="79"/>
        <v>Q</v>
      </c>
      <c r="CB94" s="8" t="str">
        <f t="shared" si="80"/>
        <v>A</v>
      </c>
      <c r="CC94" s="8" t="str">
        <f t="shared" si="81"/>
        <v>A</v>
      </c>
    </row>
    <row r="95" spans="1:81" ht="16.8" customHeight="1" thickBot="1">
      <c r="A95" s="61" t="s">
        <v>0</v>
      </c>
      <c r="B95" s="62" t="s">
        <v>5</v>
      </c>
      <c r="C95" s="14" t="s">
        <v>1</v>
      </c>
      <c r="D95" s="14" t="s">
        <v>2</v>
      </c>
      <c r="E95" s="15" t="s">
        <v>3</v>
      </c>
      <c r="F95" s="63"/>
      <c r="H95" s="61" t="s">
        <v>0</v>
      </c>
      <c r="I95" s="62" t="s">
        <v>5</v>
      </c>
      <c r="J95" s="14" t="s">
        <v>1</v>
      </c>
      <c r="K95" s="14" t="s">
        <v>2</v>
      </c>
      <c r="L95" s="15" t="s">
        <v>3</v>
      </c>
      <c r="M95" s="63"/>
      <c r="O95" s="61" t="s">
        <v>0</v>
      </c>
      <c r="P95" s="62" t="s">
        <v>5</v>
      </c>
      <c r="Q95" s="14" t="s">
        <v>1</v>
      </c>
      <c r="R95" s="14" t="s">
        <v>2</v>
      </c>
      <c r="S95" s="15" t="s">
        <v>3</v>
      </c>
      <c r="T95" s="63"/>
      <c r="V95" s="27">
        <v>92</v>
      </c>
      <c r="W95" s="25" t="s">
        <v>18</v>
      </c>
      <c r="X95" s="25" t="s">
        <v>81</v>
      </c>
      <c r="Y95" s="25" t="s">
        <v>81</v>
      </c>
      <c r="AA95" s="29">
        <v>1</v>
      </c>
      <c r="AB95" s="29">
        <v>1</v>
      </c>
      <c r="AC95" s="29">
        <v>1</v>
      </c>
      <c r="AD95" s="65"/>
      <c r="AE95" s="29">
        <f t="shared" si="88"/>
        <v>1</v>
      </c>
      <c r="AF95" s="29">
        <f t="shared" si="89"/>
        <v>1</v>
      </c>
      <c r="AG95" s="29">
        <f t="shared" si="90"/>
        <v>1</v>
      </c>
      <c r="AH95" s="65"/>
      <c r="AI95" s="29">
        <f t="shared" si="100"/>
        <v>1</v>
      </c>
      <c r="AJ95" s="29">
        <f t="shared" si="101"/>
        <v>1</v>
      </c>
      <c r="AK95" s="29">
        <f t="shared" si="102"/>
        <v>1</v>
      </c>
      <c r="AM95" s="29">
        <v>1</v>
      </c>
      <c r="AN95" s="29">
        <v>1</v>
      </c>
      <c r="AO95" s="29">
        <v>1</v>
      </c>
      <c r="AQ95" s="29">
        <f t="shared" si="91"/>
        <v>1</v>
      </c>
      <c r="AR95" s="29">
        <f t="shared" si="82"/>
        <v>1</v>
      </c>
      <c r="AS95" s="29">
        <f t="shared" si="83"/>
        <v>1</v>
      </c>
      <c r="AT95" s="65"/>
      <c r="AU95" s="29">
        <f t="shared" si="103"/>
        <v>1</v>
      </c>
      <c r="AV95" s="29">
        <f t="shared" si="92"/>
        <v>1</v>
      </c>
      <c r="AW95" s="29">
        <f t="shared" si="93"/>
        <v>1</v>
      </c>
      <c r="AY95" s="29">
        <v>1</v>
      </c>
      <c r="AZ95" s="29">
        <v>1</v>
      </c>
      <c r="BA95" s="29">
        <v>1</v>
      </c>
      <c r="BC95" s="29">
        <f t="shared" si="94"/>
        <v>1</v>
      </c>
      <c r="BD95" s="29">
        <f t="shared" si="84"/>
        <v>1</v>
      </c>
      <c r="BE95" s="29">
        <f t="shared" si="85"/>
        <v>1</v>
      </c>
      <c r="BF95" s="65"/>
      <c r="BG95" s="29">
        <f t="shared" si="104"/>
        <v>1</v>
      </c>
      <c r="BH95" s="29">
        <f t="shared" si="95"/>
        <v>1</v>
      </c>
      <c r="BI95" s="29">
        <f t="shared" si="96"/>
        <v>1</v>
      </c>
      <c r="BK95" s="29">
        <v>100</v>
      </c>
      <c r="BL95" s="29">
        <v>100</v>
      </c>
      <c r="BM95" s="29">
        <v>100</v>
      </c>
      <c r="BO95" s="29">
        <f t="shared" si="97"/>
        <v>100</v>
      </c>
      <c r="BP95" s="29">
        <f t="shared" si="86"/>
        <v>100</v>
      </c>
      <c r="BQ95" s="29">
        <f t="shared" si="87"/>
        <v>100</v>
      </c>
      <c r="BR95" s="65"/>
      <c r="BS95" s="29">
        <f t="shared" si="105"/>
        <v>100</v>
      </c>
      <c r="BT95" s="29">
        <f t="shared" si="98"/>
        <v>100</v>
      </c>
      <c r="BU95" s="29">
        <f t="shared" si="99"/>
        <v>100</v>
      </c>
      <c r="BW95" s="8">
        <f>IF(W95="","",VLOOKUP('Regular Symbol'!W95,'Regular Symbol'!$O$3:$T$13,6,0))</f>
        <v>3</v>
      </c>
      <c r="BX95" s="8">
        <f>IF(X95="","",VLOOKUP('Regular Symbol'!X95,'Regular Symbol'!$O$3:$T$13,6,0))</f>
        <v>4</v>
      </c>
      <c r="BY95" s="8">
        <f>IF(Y95="","",VLOOKUP('Regular Symbol'!Y95,'Regular Symbol'!$O$3:$T$13,6,0))</f>
        <v>4</v>
      </c>
      <c r="CA95" s="8" t="str">
        <f t="shared" si="79"/>
        <v>M3</v>
      </c>
      <c r="CB95" s="8" t="str">
        <f t="shared" si="80"/>
        <v>A</v>
      </c>
      <c r="CC95" s="8" t="str">
        <f t="shared" si="81"/>
        <v>A</v>
      </c>
    </row>
    <row r="96" spans="1:81" ht="16.8" customHeight="1">
      <c r="A96" s="41" t="s">
        <v>6</v>
      </c>
      <c r="B96" s="43" t="s">
        <v>33</v>
      </c>
      <c r="C96" s="155">
        <f>SUM(C81:C91)</f>
        <v>16614</v>
      </c>
      <c r="D96" s="155">
        <f>SUM(D81:D91)</f>
        <v>38659</v>
      </c>
      <c r="E96" s="84">
        <f>SUM(E81:E91)</f>
        <v>37331</v>
      </c>
      <c r="F96" s="69"/>
      <c r="H96" s="41" t="str" cm="1">
        <f t="array" ref="H96:I103">A96:B103</f>
        <v>--</v>
      </c>
      <c r="I96" s="43" t="str">
        <v>WW,C1,M1,M2,M3,M4,A,K,Q,J,TE,NI</v>
      </c>
      <c r="J96" s="155">
        <f ca="1">SUM(J81:J91)</f>
        <v>16614</v>
      </c>
      <c r="K96" s="155">
        <f ca="1">SUM(K81:K91)</f>
        <v>38659</v>
      </c>
      <c r="L96" s="84">
        <f ca="1">SUM(L81:L91)</f>
        <v>37331</v>
      </c>
      <c r="M96" s="69"/>
      <c r="O96" s="41" t="str" cm="1">
        <f t="array" ref="O96:P103">_xlfn.ANCHORARRAY(H96)</f>
        <v>--</v>
      </c>
      <c r="P96" s="43" t="str">
        <v>WW,C1,M1,M2,M3,M4,A,K,Q,J,TE,NI</v>
      </c>
      <c r="Q96" s="155">
        <f ca="1">SUM(Q81:Q91)</f>
        <v>16614</v>
      </c>
      <c r="R96" s="155">
        <f ca="1">SUM(R81:R91)</f>
        <v>38659</v>
      </c>
      <c r="S96" s="84">
        <f ca="1">SUM(S81:S91)</f>
        <v>37331</v>
      </c>
      <c r="T96" s="69"/>
      <c r="V96" s="27">
        <v>93</v>
      </c>
      <c r="W96" s="25" t="s">
        <v>18</v>
      </c>
      <c r="X96" s="25" t="s">
        <v>82</v>
      </c>
      <c r="Y96" s="25" t="s">
        <v>81</v>
      </c>
      <c r="AA96" s="29">
        <v>1</v>
      </c>
      <c r="AB96" s="29">
        <v>1</v>
      </c>
      <c r="AC96" s="29">
        <v>1</v>
      </c>
      <c r="AD96" s="65"/>
      <c r="AE96" s="29">
        <f t="shared" si="88"/>
        <v>1</v>
      </c>
      <c r="AF96" s="29">
        <f t="shared" si="89"/>
        <v>1</v>
      </c>
      <c r="AG96" s="29">
        <f t="shared" si="90"/>
        <v>1</v>
      </c>
      <c r="AH96" s="65"/>
      <c r="AI96" s="29">
        <f t="shared" si="100"/>
        <v>1</v>
      </c>
      <c r="AJ96" s="29">
        <f t="shared" si="101"/>
        <v>1</v>
      </c>
      <c r="AK96" s="29">
        <f t="shared" si="102"/>
        <v>1</v>
      </c>
      <c r="AM96" s="29">
        <v>1</v>
      </c>
      <c r="AN96" s="29">
        <v>1</v>
      </c>
      <c r="AO96" s="29">
        <v>1</v>
      </c>
      <c r="AQ96" s="29">
        <f t="shared" si="91"/>
        <v>1</v>
      </c>
      <c r="AR96" s="29">
        <f t="shared" si="82"/>
        <v>1</v>
      </c>
      <c r="AS96" s="29">
        <f t="shared" si="83"/>
        <v>1</v>
      </c>
      <c r="AT96" s="65"/>
      <c r="AU96" s="29">
        <f t="shared" si="103"/>
        <v>1</v>
      </c>
      <c r="AV96" s="29">
        <f t="shared" si="92"/>
        <v>1</v>
      </c>
      <c r="AW96" s="29">
        <f t="shared" si="93"/>
        <v>1</v>
      </c>
      <c r="AY96" s="29">
        <v>1</v>
      </c>
      <c r="AZ96" s="29">
        <v>1</v>
      </c>
      <c r="BA96" s="29">
        <v>1</v>
      </c>
      <c r="BC96" s="29">
        <f t="shared" si="94"/>
        <v>1</v>
      </c>
      <c r="BD96" s="29">
        <f t="shared" si="84"/>
        <v>1</v>
      </c>
      <c r="BE96" s="29">
        <f t="shared" si="85"/>
        <v>1</v>
      </c>
      <c r="BF96" s="65"/>
      <c r="BG96" s="29">
        <f t="shared" si="104"/>
        <v>1</v>
      </c>
      <c r="BH96" s="29">
        <f t="shared" si="95"/>
        <v>1</v>
      </c>
      <c r="BI96" s="29">
        <f t="shared" si="96"/>
        <v>1</v>
      </c>
      <c r="BK96" s="29">
        <v>100</v>
      </c>
      <c r="BL96" s="29">
        <v>100</v>
      </c>
      <c r="BM96" s="29">
        <v>100</v>
      </c>
      <c r="BO96" s="29">
        <f t="shared" si="97"/>
        <v>100</v>
      </c>
      <c r="BP96" s="29">
        <f t="shared" si="86"/>
        <v>100</v>
      </c>
      <c r="BQ96" s="29">
        <f t="shared" si="87"/>
        <v>100</v>
      </c>
      <c r="BR96" s="65"/>
      <c r="BS96" s="29">
        <f t="shared" si="105"/>
        <v>100</v>
      </c>
      <c r="BT96" s="29">
        <f t="shared" si="98"/>
        <v>100</v>
      </c>
      <c r="BU96" s="29">
        <f t="shared" si="99"/>
        <v>100</v>
      </c>
      <c r="BW96" s="8">
        <f>IF(W96="","",VLOOKUP('Regular Symbol'!W96,'Regular Symbol'!$O$3:$T$13,6,0))</f>
        <v>3</v>
      </c>
      <c r="BX96" s="8">
        <f>IF(X96="","",VLOOKUP('Regular Symbol'!X96,'Regular Symbol'!$O$3:$T$13,6,0))</f>
        <v>5</v>
      </c>
      <c r="BY96" s="8">
        <f>IF(Y96="","",VLOOKUP('Regular Symbol'!Y96,'Regular Symbol'!$O$3:$T$13,6,0))</f>
        <v>4</v>
      </c>
      <c r="CA96" s="8" t="str">
        <f t="shared" si="79"/>
        <v>M3</v>
      </c>
      <c r="CB96" s="8" t="str">
        <f t="shared" si="80"/>
        <v>K</v>
      </c>
      <c r="CC96" s="8" t="str">
        <f t="shared" si="81"/>
        <v>A</v>
      </c>
    </row>
    <row r="97" spans="1:81" ht="16.8" customHeight="1">
      <c r="A97" s="78" t="s">
        <v>19</v>
      </c>
      <c r="B97" s="48" t="s">
        <v>20</v>
      </c>
      <c r="C97" s="155">
        <f>C$81+C$82</f>
        <v>4754</v>
      </c>
      <c r="D97" s="155">
        <f>D$81+D$82</f>
        <v>14664</v>
      </c>
      <c r="E97" s="84">
        <f>E$81+E$82</f>
        <v>15185</v>
      </c>
      <c r="F97" s="69"/>
      <c r="H97" s="78" t="str">
        <v>W1</v>
      </c>
      <c r="I97" s="48" t="str">
        <v>WW,M1</v>
      </c>
      <c r="J97" s="155">
        <f>J$81+J$82</f>
        <v>4532</v>
      </c>
      <c r="K97" s="155">
        <f ca="1">K$81+K$82</f>
        <v>13845</v>
      </c>
      <c r="L97" s="84">
        <f ca="1">L$81+L$82</f>
        <v>13930</v>
      </c>
      <c r="M97" s="69"/>
      <c r="O97" s="78" t="str">
        <v>W1</v>
      </c>
      <c r="P97" s="48" t="str">
        <v>WW,M1</v>
      </c>
      <c r="Q97" s="155">
        <f>Q$81+Q$82</f>
        <v>4754</v>
      </c>
      <c r="R97" s="155">
        <f ca="1">R$81+R$82</f>
        <v>14664</v>
      </c>
      <c r="S97" s="84">
        <f ca="1">S$81+S$82</f>
        <v>14144</v>
      </c>
      <c r="T97" s="69"/>
      <c r="V97" s="27">
        <v>94</v>
      </c>
      <c r="W97" s="25" t="s">
        <v>84</v>
      </c>
      <c r="X97" s="25" t="s">
        <v>82</v>
      </c>
      <c r="Y97" s="25" t="s">
        <v>84</v>
      </c>
      <c r="AA97" s="29">
        <v>1</v>
      </c>
      <c r="AB97" s="29">
        <v>1</v>
      </c>
      <c r="AC97" s="29">
        <v>1</v>
      </c>
      <c r="AD97" s="65"/>
      <c r="AE97" s="29">
        <f t="shared" si="88"/>
        <v>1</v>
      </c>
      <c r="AF97" s="29">
        <f t="shared" si="89"/>
        <v>1</v>
      </c>
      <c r="AG97" s="29">
        <f t="shared" si="90"/>
        <v>1</v>
      </c>
      <c r="AH97" s="65"/>
      <c r="AI97" s="29">
        <f t="shared" si="100"/>
        <v>1</v>
      </c>
      <c r="AJ97" s="29">
        <f t="shared" si="101"/>
        <v>1</v>
      </c>
      <c r="AK97" s="29">
        <f t="shared" si="102"/>
        <v>1</v>
      </c>
      <c r="AM97" s="29">
        <v>1</v>
      </c>
      <c r="AN97" s="29">
        <v>1</v>
      </c>
      <c r="AO97" s="29">
        <v>1</v>
      </c>
      <c r="AQ97" s="29">
        <f t="shared" si="91"/>
        <v>1</v>
      </c>
      <c r="AR97" s="29">
        <f t="shared" si="82"/>
        <v>1</v>
      </c>
      <c r="AS97" s="29">
        <f t="shared" si="83"/>
        <v>1</v>
      </c>
      <c r="AT97" s="65"/>
      <c r="AU97" s="29">
        <f t="shared" si="103"/>
        <v>1</v>
      </c>
      <c r="AV97" s="29">
        <f t="shared" si="92"/>
        <v>1</v>
      </c>
      <c r="AW97" s="29">
        <f t="shared" si="93"/>
        <v>1</v>
      </c>
      <c r="AY97" s="29">
        <v>1</v>
      </c>
      <c r="AZ97" s="29">
        <v>1</v>
      </c>
      <c r="BA97" s="29">
        <v>1</v>
      </c>
      <c r="BC97" s="29">
        <f t="shared" si="94"/>
        <v>1</v>
      </c>
      <c r="BD97" s="29">
        <f t="shared" si="84"/>
        <v>1</v>
      </c>
      <c r="BE97" s="29">
        <f t="shared" si="85"/>
        <v>1</v>
      </c>
      <c r="BF97" s="65"/>
      <c r="BG97" s="29">
        <f t="shared" si="104"/>
        <v>1</v>
      </c>
      <c r="BH97" s="29">
        <f t="shared" si="95"/>
        <v>1</v>
      </c>
      <c r="BI97" s="29">
        <f t="shared" si="96"/>
        <v>1</v>
      </c>
      <c r="BK97" s="29">
        <v>100</v>
      </c>
      <c r="BL97" s="29">
        <v>100</v>
      </c>
      <c r="BM97" s="29">
        <v>100</v>
      </c>
      <c r="BO97" s="29">
        <f t="shared" si="97"/>
        <v>100</v>
      </c>
      <c r="BP97" s="29">
        <f t="shared" si="86"/>
        <v>100</v>
      </c>
      <c r="BQ97" s="29">
        <f t="shared" si="87"/>
        <v>100</v>
      </c>
      <c r="BR97" s="65"/>
      <c r="BS97" s="29">
        <f t="shared" si="105"/>
        <v>100</v>
      </c>
      <c r="BT97" s="29">
        <f t="shared" si="98"/>
        <v>100</v>
      </c>
      <c r="BU97" s="29">
        <f t="shared" si="99"/>
        <v>100</v>
      </c>
      <c r="BW97" s="8">
        <f>IF(W97="","",VLOOKUP('Regular Symbol'!W97,'Regular Symbol'!$O$3:$T$13,6,0))</f>
        <v>7</v>
      </c>
      <c r="BX97" s="8">
        <f>IF(X97="","",VLOOKUP('Regular Symbol'!X97,'Regular Symbol'!$O$3:$T$13,6,0))</f>
        <v>5</v>
      </c>
      <c r="BY97" s="8">
        <f>IF(Y97="","",VLOOKUP('Regular Symbol'!Y97,'Regular Symbol'!$O$3:$T$13,6,0))</f>
        <v>7</v>
      </c>
      <c r="CA97" s="8" t="str">
        <f t="shared" si="79"/>
        <v>J</v>
      </c>
      <c r="CB97" s="8" t="str">
        <f t="shared" si="80"/>
        <v>K</v>
      </c>
      <c r="CC97" s="8" t="str">
        <f t="shared" si="81"/>
        <v>J</v>
      </c>
    </row>
    <row r="98" spans="1:81" ht="16.8" customHeight="1">
      <c r="A98" s="78" t="s">
        <v>21</v>
      </c>
      <c r="B98" s="48" t="s">
        <v>22</v>
      </c>
      <c r="C98" s="155">
        <f>C$81+C$83</f>
        <v>4654</v>
      </c>
      <c r="D98" s="155">
        <f>D$81+D$83</f>
        <v>14864</v>
      </c>
      <c r="E98" s="84">
        <f>E$81+E$83</f>
        <v>15585</v>
      </c>
      <c r="F98" s="69"/>
      <c r="H98" s="78" t="str">
        <v>W2</v>
      </c>
      <c r="I98" s="48" t="str">
        <v>WW,M2</v>
      </c>
      <c r="J98" s="155">
        <f>J$81+J$83</f>
        <v>4432</v>
      </c>
      <c r="K98" s="155">
        <f ca="1">K$81+K$83</f>
        <v>15247</v>
      </c>
      <c r="L98" s="84">
        <f>L$81+L$83</f>
        <v>14330</v>
      </c>
      <c r="M98" s="69"/>
      <c r="O98" s="78" t="str">
        <v>W2</v>
      </c>
      <c r="P98" s="48" t="str">
        <v>WW,M2</v>
      </c>
      <c r="Q98" s="155">
        <f>Q$81+Q$83</f>
        <v>4654</v>
      </c>
      <c r="R98" s="155">
        <f ca="1">R$81+R$83</f>
        <v>17034</v>
      </c>
      <c r="S98" s="84">
        <f>S$81+S$83</f>
        <v>14544</v>
      </c>
      <c r="T98" s="69"/>
      <c r="V98" s="27">
        <v>95</v>
      </c>
      <c r="W98" s="25" t="s">
        <v>84</v>
      </c>
      <c r="X98" s="25" t="s">
        <v>82</v>
      </c>
      <c r="Y98" s="25" t="s">
        <v>84</v>
      </c>
      <c r="AA98" s="29">
        <v>1</v>
      </c>
      <c r="AB98" s="29">
        <v>1</v>
      </c>
      <c r="AC98" s="29">
        <v>1</v>
      </c>
      <c r="AD98" s="65"/>
      <c r="AE98" s="29">
        <f t="shared" si="88"/>
        <v>1</v>
      </c>
      <c r="AF98" s="29">
        <f t="shared" si="89"/>
        <v>1</v>
      </c>
      <c r="AG98" s="29">
        <f t="shared" si="90"/>
        <v>1</v>
      </c>
      <c r="AH98" s="65"/>
      <c r="AI98" s="29">
        <f t="shared" si="100"/>
        <v>1</v>
      </c>
      <c r="AJ98" s="29">
        <f t="shared" si="101"/>
        <v>1</v>
      </c>
      <c r="AK98" s="29">
        <f t="shared" si="102"/>
        <v>1</v>
      </c>
      <c r="AM98" s="29">
        <v>1</v>
      </c>
      <c r="AN98" s="29">
        <v>1</v>
      </c>
      <c r="AO98" s="29">
        <v>1</v>
      </c>
      <c r="AQ98" s="29">
        <f t="shared" si="91"/>
        <v>1</v>
      </c>
      <c r="AR98" s="29">
        <f t="shared" si="82"/>
        <v>1</v>
      </c>
      <c r="AS98" s="29">
        <f t="shared" si="83"/>
        <v>1</v>
      </c>
      <c r="AT98" s="65"/>
      <c r="AU98" s="29">
        <f t="shared" si="103"/>
        <v>1</v>
      </c>
      <c r="AV98" s="29">
        <f t="shared" si="92"/>
        <v>1</v>
      </c>
      <c r="AW98" s="29">
        <f t="shared" si="93"/>
        <v>1</v>
      </c>
      <c r="AY98" s="29">
        <v>1</v>
      </c>
      <c r="AZ98" s="29">
        <v>1</v>
      </c>
      <c r="BA98" s="29">
        <v>1</v>
      </c>
      <c r="BC98" s="29">
        <f t="shared" si="94"/>
        <v>1</v>
      </c>
      <c r="BD98" s="29">
        <f t="shared" si="84"/>
        <v>1</v>
      </c>
      <c r="BE98" s="29">
        <f t="shared" si="85"/>
        <v>1</v>
      </c>
      <c r="BF98" s="65"/>
      <c r="BG98" s="29">
        <f t="shared" si="104"/>
        <v>1</v>
      </c>
      <c r="BH98" s="29">
        <f t="shared" si="95"/>
        <v>1</v>
      </c>
      <c r="BI98" s="29">
        <f t="shared" si="96"/>
        <v>1</v>
      </c>
      <c r="BK98" s="29">
        <v>100</v>
      </c>
      <c r="BL98" s="29">
        <v>100</v>
      </c>
      <c r="BM98" s="29">
        <v>100</v>
      </c>
      <c r="BO98" s="29">
        <f t="shared" si="97"/>
        <v>100</v>
      </c>
      <c r="BP98" s="29">
        <f t="shared" si="86"/>
        <v>100</v>
      </c>
      <c r="BQ98" s="29">
        <f t="shared" si="87"/>
        <v>100</v>
      </c>
      <c r="BR98" s="65"/>
      <c r="BS98" s="29">
        <f t="shared" si="105"/>
        <v>100</v>
      </c>
      <c r="BT98" s="29">
        <f t="shared" si="98"/>
        <v>100</v>
      </c>
      <c r="BU98" s="29">
        <f t="shared" si="99"/>
        <v>100</v>
      </c>
      <c r="BW98" s="8">
        <f>IF(W98="","",VLOOKUP('Regular Symbol'!W98,'Regular Symbol'!$O$3:$T$13,6,0))</f>
        <v>7</v>
      </c>
      <c r="BX98" s="8">
        <f>IF(X98="","",VLOOKUP('Regular Symbol'!X98,'Regular Symbol'!$O$3:$T$13,6,0))</f>
        <v>5</v>
      </c>
      <c r="BY98" s="8">
        <f>IF(Y98="","",VLOOKUP('Regular Symbol'!Y98,'Regular Symbol'!$O$3:$T$13,6,0))</f>
        <v>7</v>
      </c>
      <c r="CA98" s="8" t="str">
        <f t="shared" si="79"/>
        <v>J</v>
      </c>
      <c r="CB98" s="8" t="str">
        <f t="shared" si="80"/>
        <v>K</v>
      </c>
      <c r="CC98" s="8" t="str">
        <f t="shared" si="81"/>
        <v>J</v>
      </c>
    </row>
    <row r="99" spans="1:81" ht="16.8" customHeight="1">
      <c r="A99" s="78" t="s">
        <v>23</v>
      </c>
      <c r="B99" s="48" t="s">
        <v>24</v>
      </c>
      <c r="C99" s="155">
        <f>C$81+C$84</f>
        <v>4754</v>
      </c>
      <c r="D99" s="155">
        <f>D$81+D$84</f>
        <v>15849</v>
      </c>
      <c r="E99" s="84">
        <f>E$81+E$84</f>
        <v>14644</v>
      </c>
      <c r="F99" s="69"/>
      <c r="H99" s="78" t="str">
        <v>W3</v>
      </c>
      <c r="I99" s="48" t="str">
        <v>WW,M3</v>
      </c>
      <c r="J99" s="155">
        <f>J$81+J$84</f>
        <v>4532</v>
      </c>
      <c r="K99" s="155">
        <f ca="1">K$81+K$84</f>
        <v>14546</v>
      </c>
      <c r="L99" s="84">
        <f>L$81+L$84</f>
        <v>14430</v>
      </c>
      <c r="M99" s="69"/>
      <c r="O99" s="78" t="str">
        <v>W3</v>
      </c>
      <c r="P99" s="48" t="str">
        <v>WW,M3</v>
      </c>
      <c r="Q99" s="155">
        <f>Q$81+Q$84</f>
        <v>4754</v>
      </c>
      <c r="R99" s="155">
        <f ca="1">R$81+R$84</f>
        <v>14764</v>
      </c>
      <c r="S99" s="84">
        <f>S$81+S$84</f>
        <v>15685</v>
      </c>
      <c r="T99" s="69"/>
      <c r="V99" s="27">
        <v>96</v>
      </c>
      <c r="W99" s="25" t="s">
        <v>84</v>
      </c>
      <c r="X99" s="25" t="s">
        <v>83</v>
      </c>
      <c r="Y99" s="25" t="s">
        <v>84</v>
      </c>
      <c r="AA99" s="29">
        <v>1</v>
      </c>
      <c r="AB99" s="29">
        <v>1</v>
      </c>
      <c r="AC99" s="29">
        <v>1</v>
      </c>
      <c r="AD99" s="65"/>
      <c r="AE99" s="29">
        <f t="shared" si="88"/>
        <v>1</v>
      </c>
      <c r="AF99" s="29">
        <f t="shared" si="89"/>
        <v>1</v>
      </c>
      <c r="AG99" s="29">
        <f t="shared" si="90"/>
        <v>1</v>
      </c>
      <c r="AH99" s="65"/>
      <c r="AI99" s="29">
        <f t="shared" si="100"/>
        <v>1</v>
      </c>
      <c r="AJ99" s="29">
        <f t="shared" si="101"/>
        <v>1</v>
      </c>
      <c r="AK99" s="29">
        <f t="shared" si="102"/>
        <v>1</v>
      </c>
      <c r="AM99" s="29">
        <v>1</v>
      </c>
      <c r="AN99" s="29">
        <v>1</v>
      </c>
      <c r="AO99" s="29">
        <v>1</v>
      </c>
      <c r="AQ99" s="29">
        <f t="shared" si="91"/>
        <v>1</v>
      </c>
      <c r="AR99" s="29">
        <f t="shared" si="82"/>
        <v>1</v>
      </c>
      <c r="AS99" s="29">
        <f t="shared" si="83"/>
        <v>1</v>
      </c>
      <c r="AT99" s="65"/>
      <c r="AU99" s="29">
        <f t="shared" si="103"/>
        <v>1</v>
      </c>
      <c r="AV99" s="29">
        <f t="shared" si="92"/>
        <v>1</v>
      </c>
      <c r="AW99" s="29">
        <f t="shared" si="93"/>
        <v>1</v>
      </c>
      <c r="AY99" s="29">
        <v>1</v>
      </c>
      <c r="AZ99" s="29">
        <v>1</v>
      </c>
      <c r="BA99" s="29">
        <v>1</v>
      </c>
      <c r="BC99" s="29">
        <f t="shared" si="94"/>
        <v>1</v>
      </c>
      <c r="BD99" s="29">
        <f t="shared" si="84"/>
        <v>1</v>
      </c>
      <c r="BE99" s="29">
        <f t="shared" si="85"/>
        <v>1</v>
      </c>
      <c r="BF99" s="65"/>
      <c r="BG99" s="29">
        <f t="shared" si="104"/>
        <v>1</v>
      </c>
      <c r="BH99" s="29">
        <f t="shared" si="95"/>
        <v>1</v>
      </c>
      <c r="BI99" s="29">
        <f t="shared" si="96"/>
        <v>1</v>
      </c>
      <c r="BK99" s="29">
        <v>100</v>
      </c>
      <c r="BL99" s="29">
        <v>100</v>
      </c>
      <c r="BM99" s="29">
        <v>100</v>
      </c>
      <c r="BO99" s="29">
        <f t="shared" si="97"/>
        <v>100</v>
      </c>
      <c r="BP99" s="29">
        <f t="shared" si="86"/>
        <v>100</v>
      </c>
      <c r="BQ99" s="29">
        <f t="shared" si="87"/>
        <v>100</v>
      </c>
      <c r="BR99" s="65"/>
      <c r="BS99" s="29">
        <f t="shared" si="105"/>
        <v>100</v>
      </c>
      <c r="BT99" s="29">
        <f t="shared" si="98"/>
        <v>100</v>
      </c>
      <c r="BU99" s="29">
        <f t="shared" si="99"/>
        <v>100</v>
      </c>
      <c r="BW99" s="8">
        <f>IF(W99="","",VLOOKUP('Regular Symbol'!W99,'Regular Symbol'!$O$3:$T$13,6,0))</f>
        <v>7</v>
      </c>
      <c r="BX99" s="8">
        <f>IF(X99="","",VLOOKUP('Regular Symbol'!X99,'Regular Symbol'!$O$3:$T$13,6,0))</f>
        <v>6</v>
      </c>
      <c r="BY99" s="8">
        <f>IF(Y99="","",VLOOKUP('Regular Symbol'!Y99,'Regular Symbol'!$O$3:$T$13,6,0))</f>
        <v>7</v>
      </c>
      <c r="CA99" s="8" t="str">
        <f t="shared" si="79"/>
        <v>J</v>
      </c>
      <c r="CB99" s="8" t="str">
        <f t="shared" si="80"/>
        <v>Q</v>
      </c>
      <c r="CC99" s="8" t="str">
        <f t="shared" si="81"/>
        <v>J</v>
      </c>
    </row>
    <row r="100" spans="1:81" ht="16.8" customHeight="1">
      <c r="A100" s="78" t="s">
        <v>55</v>
      </c>
      <c r="B100" s="48" t="s">
        <v>34</v>
      </c>
      <c r="C100" s="155">
        <f>C$81+C$85</f>
        <v>5154</v>
      </c>
      <c r="D100" s="155">
        <f>D$81+D$85</f>
        <v>19604</v>
      </c>
      <c r="E100" s="84">
        <f>E$81+E$85</f>
        <v>15185</v>
      </c>
      <c r="F100" s="69"/>
      <c r="H100" s="78" t="str">
        <v>WA</v>
      </c>
      <c r="I100" s="48" t="str">
        <v>WW,A</v>
      </c>
      <c r="J100" s="155">
        <f>J$81+J$85</f>
        <v>5626</v>
      </c>
      <c r="K100" s="155">
        <f ca="1">K$81+K$85</f>
        <v>17450</v>
      </c>
      <c r="L100" s="84">
        <f>L$81+L$85</f>
        <v>14507</v>
      </c>
      <c r="M100" s="69"/>
      <c r="O100" s="78" t="str">
        <v>WA</v>
      </c>
      <c r="P100" s="48" t="str">
        <v>WW,A</v>
      </c>
      <c r="Q100" s="155">
        <f>Q$81+Q$85</f>
        <v>6394</v>
      </c>
      <c r="R100" s="155">
        <f ca="1">R$81+R$85</f>
        <v>16349</v>
      </c>
      <c r="S100" s="84">
        <f>S$81+S$85</f>
        <v>15185</v>
      </c>
      <c r="T100" s="69"/>
      <c r="V100" s="27">
        <v>97</v>
      </c>
      <c r="W100" s="25" t="s">
        <v>18</v>
      </c>
      <c r="X100" s="25" t="s">
        <v>83</v>
      </c>
      <c r="Y100" s="25" t="s">
        <v>17</v>
      </c>
      <c r="AA100" s="29">
        <v>1</v>
      </c>
      <c r="AB100" s="29">
        <v>1</v>
      </c>
      <c r="AC100" s="29">
        <v>1</v>
      </c>
      <c r="AD100" s="65"/>
      <c r="AE100" s="29">
        <f t="shared" si="88"/>
        <v>1</v>
      </c>
      <c r="AF100" s="29">
        <f t="shared" si="89"/>
        <v>1</v>
      </c>
      <c r="AG100" s="29">
        <f t="shared" si="90"/>
        <v>1</v>
      </c>
      <c r="AH100" s="65"/>
      <c r="AI100" s="29">
        <f t="shared" si="100"/>
        <v>1</v>
      </c>
      <c r="AJ100" s="29">
        <f t="shared" si="101"/>
        <v>1</v>
      </c>
      <c r="AK100" s="29">
        <f t="shared" si="102"/>
        <v>1</v>
      </c>
      <c r="AM100" s="29">
        <v>1</v>
      </c>
      <c r="AN100" s="29">
        <v>1</v>
      </c>
      <c r="AO100" s="29">
        <v>1</v>
      </c>
      <c r="AQ100" s="29">
        <f t="shared" si="91"/>
        <v>1</v>
      </c>
      <c r="AR100" s="29">
        <f t="shared" si="82"/>
        <v>1</v>
      </c>
      <c r="AS100" s="29">
        <f t="shared" si="83"/>
        <v>1</v>
      </c>
      <c r="AT100" s="65"/>
      <c r="AU100" s="29">
        <f t="shared" si="103"/>
        <v>1</v>
      </c>
      <c r="AV100" s="29">
        <f t="shared" si="92"/>
        <v>1</v>
      </c>
      <c r="AW100" s="29">
        <f t="shared" si="93"/>
        <v>1</v>
      </c>
      <c r="AY100" s="29">
        <v>1</v>
      </c>
      <c r="AZ100" s="29">
        <v>1</v>
      </c>
      <c r="BA100" s="29">
        <v>1</v>
      </c>
      <c r="BC100" s="29">
        <f t="shared" si="94"/>
        <v>1</v>
      </c>
      <c r="BD100" s="29">
        <f t="shared" si="84"/>
        <v>1</v>
      </c>
      <c r="BE100" s="29">
        <f t="shared" si="85"/>
        <v>1</v>
      </c>
      <c r="BF100" s="65"/>
      <c r="BG100" s="29">
        <f t="shared" si="104"/>
        <v>1</v>
      </c>
      <c r="BH100" s="29">
        <f t="shared" si="95"/>
        <v>1</v>
      </c>
      <c r="BI100" s="29">
        <f t="shared" si="96"/>
        <v>1</v>
      </c>
      <c r="BK100" s="29">
        <v>100</v>
      </c>
      <c r="BL100" s="29">
        <v>100</v>
      </c>
      <c r="BM100" s="29">
        <v>100</v>
      </c>
      <c r="BO100" s="29">
        <f t="shared" si="97"/>
        <v>100</v>
      </c>
      <c r="BP100" s="29">
        <f t="shared" si="86"/>
        <v>100</v>
      </c>
      <c r="BQ100" s="29">
        <f t="shared" si="87"/>
        <v>100</v>
      </c>
      <c r="BR100" s="65"/>
      <c r="BS100" s="29">
        <f t="shared" si="105"/>
        <v>100</v>
      </c>
      <c r="BT100" s="29">
        <f t="shared" si="98"/>
        <v>100</v>
      </c>
      <c r="BU100" s="29">
        <f t="shared" si="99"/>
        <v>100</v>
      </c>
      <c r="BW100" s="8">
        <f>IF(W100="","",VLOOKUP('Regular Symbol'!W100,'Regular Symbol'!$O$3:$T$13,6,0))</f>
        <v>3</v>
      </c>
      <c r="BX100" s="8">
        <f>IF(X100="","",VLOOKUP('Regular Symbol'!X100,'Regular Symbol'!$O$3:$T$13,6,0))</f>
        <v>6</v>
      </c>
      <c r="BY100" s="8">
        <f>IF(Y100="","",VLOOKUP('Regular Symbol'!Y100,'Regular Symbol'!$O$3:$T$13,6,0))</f>
        <v>2</v>
      </c>
      <c r="CA100" s="8" t="str">
        <f t="shared" si="79"/>
        <v>M3</v>
      </c>
      <c r="CB100" s="8" t="str">
        <f t="shared" si="80"/>
        <v>Q</v>
      </c>
      <c r="CC100" s="8" t="str">
        <f t="shared" si="81"/>
        <v>M2</v>
      </c>
    </row>
    <row r="101" spans="1:81" ht="16.8" customHeight="1">
      <c r="A101" s="78" t="s">
        <v>56</v>
      </c>
      <c r="B101" s="48" t="s">
        <v>35</v>
      </c>
      <c r="C101" s="155">
        <f>C$81+C$86</f>
        <v>5874</v>
      </c>
      <c r="D101" s="155">
        <f>D$81+D$86</f>
        <v>17234</v>
      </c>
      <c r="E101" s="84">
        <f>E$81+E$86</f>
        <v>16626</v>
      </c>
      <c r="F101" s="69"/>
      <c r="H101" s="78" t="str">
        <v>WK</v>
      </c>
      <c r="I101" s="48" t="str">
        <v>WW,K</v>
      </c>
      <c r="J101" s="155">
        <f>J$81+J$86</f>
        <v>5379</v>
      </c>
      <c r="K101" s="155">
        <f ca="1">K$81+K$86</f>
        <v>15447</v>
      </c>
      <c r="L101" s="84">
        <f>L$81+L$86</f>
        <v>14907</v>
      </c>
      <c r="M101" s="69"/>
      <c r="O101" s="78" t="str">
        <v>WK</v>
      </c>
      <c r="P101" s="48" t="str">
        <v>WW,K</v>
      </c>
      <c r="Q101" s="155">
        <f ca="1">Q$81+Q$86</f>
        <v>5254</v>
      </c>
      <c r="R101" s="155">
        <f ca="1">R$81+R$86</f>
        <v>15064</v>
      </c>
      <c r="S101" s="84">
        <f>S$81+S$86</f>
        <v>14544</v>
      </c>
      <c r="T101" s="69"/>
      <c r="V101" s="27">
        <v>98</v>
      </c>
      <c r="W101" s="25" t="s">
        <v>18</v>
      </c>
      <c r="X101" s="25" t="s">
        <v>81</v>
      </c>
      <c r="Y101" s="25" t="s">
        <v>17</v>
      </c>
      <c r="AA101" s="29">
        <v>1</v>
      </c>
      <c r="AB101" s="29">
        <v>1</v>
      </c>
      <c r="AC101" s="29">
        <v>1</v>
      </c>
      <c r="AD101" s="65"/>
      <c r="AE101" s="29">
        <f t="shared" si="88"/>
        <v>1</v>
      </c>
      <c r="AF101" s="29">
        <f t="shared" si="89"/>
        <v>1</v>
      </c>
      <c r="AG101" s="29">
        <f t="shared" si="90"/>
        <v>1</v>
      </c>
      <c r="AH101" s="65"/>
      <c r="AI101" s="29">
        <f t="shared" si="100"/>
        <v>1</v>
      </c>
      <c r="AJ101" s="29">
        <f t="shared" si="101"/>
        <v>1</v>
      </c>
      <c r="AK101" s="29">
        <f t="shared" si="102"/>
        <v>1</v>
      </c>
      <c r="AM101" s="29">
        <v>1</v>
      </c>
      <c r="AN101" s="29">
        <v>1</v>
      </c>
      <c r="AO101" s="29">
        <v>1</v>
      </c>
      <c r="AQ101" s="29">
        <f t="shared" si="91"/>
        <v>1</v>
      </c>
      <c r="AR101" s="29">
        <f t="shared" si="82"/>
        <v>1</v>
      </c>
      <c r="AS101" s="29">
        <f t="shared" si="83"/>
        <v>1</v>
      </c>
      <c r="AT101" s="65"/>
      <c r="AU101" s="29">
        <f t="shared" si="103"/>
        <v>1</v>
      </c>
      <c r="AV101" s="29">
        <f t="shared" si="92"/>
        <v>1</v>
      </c>
      <c r="AW101" s="29">
        <f t="shared" si="93"/>
        <v>1</v>
      </c>
      <c r="AY101" s="29">
        <v>1</v>
      </c>
      <c r="AZ101" s="29">
        <v>1</v>
      </c>
      <c r="BA101" s="29">
        <v>1</v>
      </c>
      <c r="BC101" s="29">
        <f t="shared" si="94"/>
        <v>1</v>
      </c>
      <c r="BD101" s="29">
        <f t="shared" si="84"/>
        <v>1</v>
      </c>
      <c r="BE101" s="29">
        <f t="shared" si="85"/>
        <v>1</v>
      </c>
      <c r="BF101" s="65"/>
      <c r="BG101" s="29">
        <f t="shared" si="104"/>
        <v>1</v>
      </c>
      <c r="BH101" s="29">
        <f t="shared" si="95"/>
        <v>1</v>
      </c>
      <c r="BI101" s="29">
        <f t="shared" si="96"/>
        <v>1</v>
      </c>
      <c r="BK101" s="29">
        <v>100</v>
      </c>
      <c r="BL101" s="29">
        <v>100</v>
      </c>
      <c r="BM101" s="29">
        <v>100</v>
      </c>
      <c r="BO101" s="29">
        <f t="shared" si="97"/>
        <v>100</v>
      </c>
      <c r="BP101" s="29">
        <f t="shared" si="86"/>
        <v>100</v>
      </c>
      <c r="BQ101" s="29">
        <f t="shared" si="87"/>
        <v>100</v>
      </c>
      <c r="BR101" s="65"/>
      <c r="BS101" s="29">
        <f t="shared" si="105"/>
        <v>100</v>
      </c>
      <c r="BT101" s="29">
        <f t="shared" si="98"/>
        <v>100</v>
      </c>
      <c r="BU101" s="29">
        <f t="shared" si="99"/>
        <v>100</v>
      </c>
      <c r="BW101" s="8">
        <f>IF(W101="","",VLOOKUP('Regular Symbol'!W101,'Regular Symbol'!$O$3:$T$13,6,0))</f>
        <v>3</v>
      </c>
      <c r="BX101" s="8">
        <f>IF(X101="","",VLOOKUP('Regular Symbol'!X101,'Regular Symbol'!$O$3:$T$13,6,0))</f>
        <v>4</v>
      </c>
      <c r="BY101" s="8">
        <f>IF(Y101="","",VLOOKUP('Regular Symbol'!Y101,'Regular Symbol'!$O$3:$T$13,6,0))</f>
        <v>2</v>
      </c>
      <c r="CA101" s="8" t="str">
        <f t="shared" si="79"/>
        <v>M3</v>
      </c>
      <c r="CB101" s="8" t="str">
        <f t="shared" si="80"/>
        <v>A</v>
      </c>
      <c r="CC101" s="8" t="str">
        <f t="shared" si="81"/>
        <v>M2</v>
      </c>
    </row>
    <row r="102" spans="1:81" ht="16.8" customHeight="1">
      <c r="A102" s="78" t="s">
        <v>57</v>
      </c>
      <c r="B102" s="48" t="s">
        <v>36</v>
      </c>
      <c r="C102" s="155">
        <f>C$81+C$87</f>
        <v>5674</v>
      </c>
      <c r="D102" s="155">
        <f>D$81+D$87</f>
        <v>15164</v>
      </c>
      <c r="E102" s="84">
        <f>E$81+E$87</f>
        <v>14544</v>
      </c>
      <c r="F102" s="69"/>
      <c r="H102" s="78" t="str">
        <v>WQ</v>
      </c>
      <c r="I102" s="48" t="str">
        <v>WW,Q</v>
      </c>
      <c r="J102" s="155">
        <f>J$81+J$87</f>
        <v>5179</v>
      </c>
      <c r="K102" s="155">
        <f ca="1">K$81+K$87</f>
        <v>16148</v>
      </c>
      <c r="L102" s="84">
        <f>L$81+L$87</f>
        <v>14907</v>
      </c>
      <c r="M102" s="69"/>
      <c r="O102" s="78" t="str">
        <v>WQ</v>
      </c>
      <c r="P102" s="48" t="str">
        <v>WW,Q</v>
      </c>
      <c r="Q102" s="155">
        <f>Q$81+Q$87</f>
        <v>5054</v>
      </c>
      <c r="R102" s="155">
        <f ca="1">R$81+R$87</f>
        <v>18419</v>
      </c>
      <c r="S102" s="84">
        <f>S$81+S$87</f>
        <v>16626</v>
      </c>
      <c r="T102" s="69"/>
      <c r="V102" s="27">
        <v>99</v>
      </c>
      <c r="W102" s="25" t="s">
        <v>81</v>
      </c>
      <c r="X102" s="25" t="s">
        <v>81</v>
      </c>
      <c r="Y102" s="25" t="s">
        <v>17</v>
      </c>
      <c r="AA102" s="29">
        <v>1</v>
      </c>
      <c r="AB102" s="29">
        <v>1</v>
      </c>
      <c r="AC102" s="29">
        <v>1</v>
      </c>
      <c r="AD102" s="65"/>
      <c r="AE102" s="29">
        <f t="shared" si="88"/>
        <v>1</v>
      </c>
      <c r="AF102" s="29">
        <f t="shared" si="89"/>
        <v>1</v>
      </c>
      <c r="AG102" s="29">
        <f t="shared" si="90"/>
        <v>1</v>
      </c>
      <c r="AH102" s="65"/>
      <c r="AI102" s="29">
        <f t="shared" si="100"/>
        <v>1</v>
      </c>
      <c r="AJ102" s="29">
        <f t="shared" si="101"/>
        <v>1</v>
      </c>
      <c r="AK102" s="29">
        <f t="shared" si="102"/>
        <v>1</v>
      </c>
      <c r="AM102" s="29">
        <v>1</v>
      </c>
      <c r="AN102" s="29">
        <v>1</v>
      </c>
      <c r="AO102" s="29">
        <v>1</v>
      </c>
      <c r="AQ102" s="29">
        <f t="shared" si="91"/>
        <v>1</v>
      </c>
      <c r="AR102" s="29">
        <f t="shared" si="82"/>
        <v>1</v>
      </c>
      <c r="AS102" s="29">
        <f t="shared" si="83"/>
        <v>1</v>
      </c>
      <c r="AT102" s="65"/>
      <c r="AU102" s="29">
        <f t="shared" si="103"/>
        <v>1</v>
      </c>
      <c r="AV102" s="29">
        <f t="shared" si="92"/>
        <v>1</v>
      </c>
      <c r="AW102" s="29">
        <f t="shared" si="93"/>
        <v>1</v>
      </c>
      <c r="AY102" s="29">
        <v>1</v>
      </c>
      <c r="AZ102" s="29">
        <v>1</v>
      </c>
      <c r="BA102" s="29">
        <v>1</v>
      </c>
      <c r="BC102" s="29">
        <f t="shared" si="94"/>
        <v>1</v>
      </c>
      <c r="BD102" s="29">
        <f t="shared" si="84"/>
        <v>1</v>
      </c>
      <c r="BE102" s="29">
        <f t="shared" si="85"/>
        <v>1</v>
      </c>
      <c r="BF102" s="65"/>
      <c r="BG102" s="29">
        <f t="shared" si="104"/>
        <v>1</v>
      </c>
      <c r="BH102" s="29">
        <f t="shared" si="95"/>
        <v>1</v>
      </c>
      <c r="BI102" s="29">
        <f t="shared" si="96"/>
        <v>1</v>
      </c>
      <c r="BK102" s="29">
        <v>100</v>
      </c>
      <c r="BL102" s="29">
        <v>100</v>
      </c>
      <c r="BM102" s="29">
        <v>100</v>
      </c>
      <c r="BO102" s="29">
        <f t="shared" si="97"/>
        <v>100</v>
      </c>
      <c r="BP102" s="29">
        <f t="shared" si="86"/>
        <v>100</v>
      </c>
      <c r="BQ102" s="29">
        <f t="shared" si="87"/>
        <v>100</v>
      </c>
      <c r="BR102" s="65"/>
      <c r="BS102" s="29">
        <f t="shared" si="105"/>
        <v>100</v>
      </c>
      <c r="BT102" s="29">
        <f t="shared" si="98"/>
        <v>100</v>
      </c>
      <c r="BU102" s="29">
        <f t="shared" si="99"/>
        <v>100</v>
      </c>
      <c r="BW102" s="8">
        <f>IF(W102="","",VLOOKUP('Regular Symbol'!W102,'Regular Symbol'!$O$3:$T$13,6,0))</f>
        <v>4</v>
      </c>
      <c r="BX102" s="8">
        <f>IF(X102="","",VLOOKUP('Regular Symbol'!X102,'Regular Symbol'!$O$3:$T$13,6,0))</f>
        <v>4</v>
      </c>
      <c r="BY102" s="8">
        <f>IF(Y102="","",VLOOKUP('Regular Symbol'!Y102,'Regular Symbol'!$O$3:$T$13,6,0))</f>
        <v>2</v>
      </c>
      <c r="CA102" s="8" t="str">
        <f t="shared" si="79"/>
        <v>A</v>
      </c>
      <c r="CB102" s="8" t="str">
        <f t="shared" si="80"/>
        <v>A</v>
      </c>
      <c r="CC102" s="8" t="str">
        <f t="shared" si="81"/>
        <v>M2</v>
      </c>
    </row>
    <row r="103" spans="1:81" ht="16.8" customHeight="1" thickBot="1">
      <c r="A103" s="73" t="s">
        <v>58</v>
      </c>
      <c r="B103" s="53" t="s">
        <v>37</v>
      </c>
      <c r="C103" s="154">
        <f>C$81+C$88</f>
        <v>5874</v>
      </c>
      <c r="D103" s="154">
        <f>D$81+D$88</f>
        <v>14864</v>
      </c>
      <c r="E103" s="17">
        <f>E$81+E$88</f>
        <v>16626</v>
      </c>
      <c r="F103" s="69"/>
      <c r="H103" s="73" t="str">
        <v>WJ</v>
      </c>
      <c r="I103" s="53" t="str">
        <v>WW,J</v>
      </c>
      <c r="J103" s="154">
        <f ca="1">J$81+J$88</f>
        <v>5726</v>
      </c>
      <c r="K103" s="154">
        <f ca="1">K$81+K$88</f>
        <v>14646</v>
      </c>
      <c r="L103" s="17">
        <f>L$81+L$88</f>
        <v>16638</v>
      </c>
      <c r="M103" s="69"/>
      <c r="O103" s="73" t="str">
        <v>WJ</v>
      </c>
      <c r="P103" s="53" t="str">
        <v>WW,J</v>
      </c>
      <c r="Q103" s="154">
        <f ca="1">Q$81+Q$88</f>
        <v>5874</v>
      </c>
      <c r="R103" s="154">
        <f ca="1">R$81+R$88</f>
        <v>15949</v>
      </c>
      <c r="S103" s="17">
        <f>S$81+S$88</f>
        <v>17667</v>
      </c>
      <c r="T103" s="69"/>
      <c r="V103" s="27">
        <v>100</v>
      </c>
      <c r="W103" s="25" t="s">
        <v>81</v>
      </c>
      <c r="X103" s="25" t="s">
        <v>82</v>
      </c>
      <c r="Y103" s="25" t="s">
        <v>82</v>
      </c>
      <c r="AA103" s="29">
        <v>1</v>
      </c>
      <c r="AB103" s="29">
        <v>1</v>
      </c>
      <c r="AC103" s="29">
        <v>1</v>
      </c>
      <c r="AD103" s="65"/>
      <c r="AE103" s="29">
        <f t="shared" si="88"/>
        <v>1</v>
      </c>
      <c r="AF103" s="29">
        <f t="shared" si="89"/>
        <v>1</v>
      </c>
      <c r="AG103" s="29">
        <f t="shared" si="90"/>
        <v>1</v>
      </c>
      <c r="AH103" s="65"/>
      <c r="AI103" s="29">
        <f t="shared" si="100"/>
        <v>1</v>
      </c>
      <c r="AJ103" s="29">
        <f t="shared" si="101"/>
        <v>1</v>
      </c>
      <c r="AK103" s="29">
        <f t="shared" si="102"/>
        <v>1</v>
      </c>
      <c r="AM103" s="29">
        <v>1</v>
      </c>
      <c r="AN103" s="29">
        <v>1</v>
      </c>
      <c r="AO103" s="29">
        <v>1</v>
      </c>
      <c r="AQ103" s="29">
        <f t="shared" si="91"/>
        <v>1</v>
      </c>
      <c r="AR103" s="29">
        <f t="shared" si="82"/>
        <v>1</v>
      </c>
      <c r="AS103" s="29">
        <f t="shared" si="83"/>
        <v>1</v>
      </c>
      <c r="AT103" s="65"/>
      <c r="AU103" s="29">
        <f t="shared" si="103"/>
        <v>1</v>
      </c>
      <c r="AV103" s="29">
        <f t="shared" si="92"/>
        <v>1</v>
      </c>
      <c r="AW103" s="29">
        <f t="shared" si="93"/>
        <v>1</v>
      </c>
      <c r="AY103" s="29">
        <v>1</v>
      </c>
      <c r="AZ103" s="29">
        <v>1</v>
      </c>
      <c r="BA103" s="29">
        <v>1</v>
      </c>
      <c r="BC103" s="29">
        <f t="shared" si="94"/>
        <v>1</v>
      </c>
      <c r="BD103" s="29">
        <f t="shared" si="84"/>
        <v>1</v>
      </c>
      <c r="BE103" s="29">
        <f t="shared" si="85"/>
        <v>1</v>
      </c>
      <c r="BF103" s="65"/>
      <c r="BG103" s="29">
        <f t="shared" si="104"/>
        <v>1</v>
      </c>
      <c r="BH103" s="29">
        <f t="shared" si="95"/>
        <v>1</v>
      </c>
      <c r="BI103" s="29">
        <f t="shared" si="96"/>
        <v>1</v>
      </c>
      <c r="BK103" s="29">
        <v>100</v>
      </c>
      <c r="BL103" s="29">
        <v>100</v>
      </c>
      <c r="BM103" s="29">
        <v>100</v>
      </c>
      <c r="BO103" s="29">
        <f t="shared" si="97"/>
        <v>100</v>
      </c>
      <c r="BP103" s="29">
        <f t="shared" si="86"/>
        <v>100</v>
      </c>
      <c r="BQ103" s="29">
        <f t="shared" si="87"/>
        <v>100</v>
      </c>
      <c r="BR103" s="65"/>
      <c r="BS103" s="29">
        <f t="shared" si="105"/>
        <v>100</v>
      </c>
      <c r="BT103" s="29">
        <f t="shared" si="98"/>
        <v>100</v>
      </c>
      <c r="BU103" s="29">
        <f t="shared" si="99"/>
        <v>100</v>
      </c>
      <c r="BW103" s="8">
        <f>IF(W103="","",VLOOKUP('Regular Symbol'!W103,'Regular Symbol'!$O$3:$T$13,6,0))</f>
        <v>4</v>
      </c>
      <c r="BX103" s="8">
        <f>IF(X103="","",VLOOKUP('Regular Symbol'!X103,'Regular Symbol'!$O$3:$T$13,6,0))</f>
        <v>5</v>
      </c>
      <c r="BY103" s="8">
        <f>IF(Y103="","",VLOOKUP('Regular Symbol'!Y103,'Regular Symbol'!$O$3:$T$13,6,0))</f>
        <v>5</v>
      </c>
      <c r="CA103" s="8" t="str">
        <f t="shared" si="79"/>
        <v>A</v>
      </c>
      <c r="CB103" s="8" t="str">
        <f t="shared" si="80"/>
        <v>K</v>
      </c>
      <c r="CC103" s="8" t="str">
        <f t="shared" si="81"/>
        <v>K</v>
      </c>
    </row>
    <row r="104" spans="1:81" ht="16.8" customHeight="1">
      <c r="V104" s="27">
        <v>101</v>
      </c>
      <c r="W104" s="25" t="s">
        <v>82</v>
      </c>
      <c r="X104" s="25" t="s">
        <v>82</v>
      </c>
      <c r="Y104" s="25" t="s">
        <v>82</v>
      </c>
      <c r="AA104" s="29">
        <v>1</v>
      </c>
      <c r="AB104" s="29">
        <v>1</v>
      </c>
      <c r="AC104" s="29">
        <v>1</v>
      </c>
      <c r="AD104" s="65"/>
      <c r="AE104" s="29">
        <f t="shared" si="88"/>
        <v>1</v>
      </c>
      <c r="AF104" s="29">
        <f t="shared" si="89"/>
        <v>1</v>
      </c>
      <c r="AG104" s="29">
        <f t="shared" si="90"/>
        <v>1</v>
      </c>
      <c r="AH104" s="65"/>
      <c r="AI104" s="29">
        <f t="shared" si="100"/>
        <v>1</v>
      </c>
      <c r="AJ104" s="29">
        <f t="shared" si="101"/>
        <v>1</v>
      </c>
      <c r="AK104" s="29">
        <f t="shared" si="102"/>
        <v>1</v>
      </c>
      <c r="AM104" s="29">
        <v>1</v>
      </c>
      <c r="AN104" s="29">
        <v>1</v>
      </c>
      <c r="AO104" s="29">
        <v>1</v>
      </c>
      <c r="AQ104" s="29">
        <f t="shared" si="91"/>
        <v>1</v>
      </c>
      <c r="AR104" s="29">
        <f t="shared" si="82"/>
        <v>1</v>
      </c>
      <c r="AS104" s="29">
        <f t="shared" si="83"/>
        <v>1</v>
      </c>
      <c r="AT104" s="65"/>
      <c r="AU104" s="29">
        <f t="shared" si="103"/>
        <v>1</v>
      </c>
      <c r="AV104" s="29">
        <f t="shared" si="92"/>
        <v>1</v>
      </c>
      <c r="AW104" s="29">
        <f t="shared" si="93"/>
        <v>1</v>
      </c>
      <c r="AY104" s="29">
        <v>1</v>
      </c>
      <c r="AZ104" s="29">
        <v>1</v>
      </c>
      <c r="BA104" s="29">
        <v>1</v>
      </c>
      <c r="BC104" s="29">
        <f t="shared" si="94"/>
        <v>1</v>
      </c>
      <c r="BD104" s="29">
        <f t="shared" si="84"/>
        <v>1</v>
      </c>
      <c r="BE104" s="29">
        <f t="shared" si="85"/>
        <v>1</v>
      </c>
      <c r="BF104" s="65"/>
      <c r="BG104" s="29">
        <f t="shared" si="104"/>
        <v>1</v>
      </c>
      <c r="BH104" s="29">
        <f t="shared" si="95"/>
        <v>1</v>
      </c>
      <c r="BI104" s="29">
        <f t="shared" si="96"/>
        <v>1</v>
      </c>
      <c r="BK104" s="29">
        <v>100</v>
      </c>
      <c r="BL104" s="29">
        <v>100</v>
      </c>
      <c r="BM104" s="29">
        <v>100</v>
      </c>
      <c r="BO104" s="29">
        <f t="shared" si="97"/>
        <v>100</v>
      </c>
      <c r="BP104" s="29">
        <f t="shared" si="86"/>
        <v>100</v>
      </c>
      <c r="BQ104" s="29">
        <f t="shared" si="87"/>
        <v>100</v>
      </c>
      <c r="BR104" s="65"/>
      <c r="BS104" s="29">
        <f t="shared" si="105"/>
        <v>100</v>
      </c>
      <c r="BT104" s="29">
        <f t="shared" si="98"/>
        <v>100</v>
      </c>
      <c r="BU104" s="29">
        <f t="shared" si="99"/>
        <v>100</v>
      </c>
      <c r="BW104" s="8">
        <f>IF(W104="","",VLOOKUP('Regular Symbol'!W104,'Regular Symbol'!$O$3:$T$13,6,0))</f>
        <v>5</v>
      </c>
      <c r="BX104" s="8">
        <f>IF(X104="","",VLOOKUP('Regular Symbol'!X104,'Regular Symbol'!$O$3:$T$13,6,0))</f>
        <v>5</v>
      </c>
      <c r="BY104" s="8">
        <f>IF(Y104="","",VLOOKUP('Regular Symbol'!Y104,'Regular Symbol'!$O$3:$T$13,6,0))</f>
        <v>5</v>
      </c>
      <c r="CA104" s="8" t="str">
        <f t="shared" si="79"/>
        <v>K</v>
      </c>
      <c r="CB104" s="8" t="str">
        <f t="shared" si="80"/>
        <v>K</v>
      </c>
      <c r="CC104" s="8" t="str">
        <f t="shared" si="81"/>
        <v>K</v>
      </c>
    </row>
    <row r="105" spans="1:81" ht="16.8" customHeight="1">
      <c r="V105" s="27">
        <v>102</v>
      </c>
      <c r="W105" s="25" t="s">
        <v>82</v>
      </c>
      <c r="X105" s="25" t="s">
        <v>18</v>
      </c>
      <c r="Y105" s="25" t="s">
        <v>82</v>
      </c>
      <c r="AA105" s="29">
        <v>1</v>
      </c>
      <c r="AB105" s="29">
        <v>1</v>
      </c>
      <c r="AC105" s="29">
        <v>1</v>
      </c>
      <c r="AD105" s="65"/>
      <c r="AE105" s="29">
        <f t="shared" si="88"/>
        <v>1</v>
      </c>
      <c r="AF105" s="29">
        <f t="shared" si="89"/>
        <v>1</v>
      </c>
      <c r="AG105" s="29">
        <f t="shared" si="90"/>
        <v>1</v>
      </c>
      <c r="AH105" s="65"/>
      <c r="AI105" s="29">
        <f t="shared" si="100"/>
        <v>1</v>
      </c>
      <c r="AJ105" s="29">
        <f t="shared" si="101"/>
        <v>1</v>
      </c>
      <c r="AK105" s="29">
        <f t="shared" si="102"/>
        <v>1</v>
      </c>
      <c r="AM105" s="29">
        <v>1</v>
      </c>
      <c r="AN105" s="29">
        <v>1</v>
      </c>
      <c r="AO105" s="29">
        <v>1</v>
      </c>
      <c r="AQ105" s="29">
        <f t="shared" si="91"/>
        <v>1</v>
      </c>
      <c r="AR105" s="29">
        <f t="shared" si="82"/>
        <v>1</v>
      </c>
      <c r="AS105" s="29">
        <f t="shared" si="83"/>
        <v>1</v>
      </c>
      <c r="AT105" s="65"/>
      <c r="AU105" s="29">
        <f t="shared" si="103"/>
        <v>1</v>
      </c>
      <c r="AV105" s="29">
        <f t="shared" si="92"/>
        <v>1</v>
      </c>
      <c r="AW105" s="29">
        <f t="shared" si="93"/>
        <v>1</v>
      </c>
      <c r="AY105" s="29">
        <v>1</v>
      </c>
      <c r="AZ105" s="29">
        <v>1</v>
      </c>
      <c r="BA105" s="29">
        <v>1</v>
      </c>
      <c r="BC105" s="29">
        <f t="shared" si="94"/>
        <v>1</v>
      </c>
      <c r="BD105" s="29">
        <f t="shared" si="84"/>
        <v>1</v>
      </c>
      <c r="BE105" s="29">
        <f t="shared" si="85"/>
        <v>1</v>
      </c>
      <c r="BF105" s="65"/>
      <c r="BG105" s="29">
        <f t="shared" si="104"/>
        <v>1</v>
      </c>
      <c r="BH105" s="29">
        <f t="shared" si="95"/>
        <v>1</v>
      </c>
      <c r="BI105" s="29">
        <f t="shared" si="96"/>
        <v>1</v>
      </c>
      <c r="BK105" s="29">
        <v>100</v>
      </c>
      <c r="BL105" s="29">
        <v>100</v>
      </c>
      <c r="BM105" s="29">
        <v>100</v>
      </c>
      <c r="BO105" s="29">
        <f t="shared" si="97"/>
        <v>100</v>
      </c>
      <c r="BP105" s="29">
        <f t="shared" si="86"/>
        <v>100</v>
      </c>
      <c r="BQ105" s="29">
        <f t="shared" si="87"/>
        <v>100</v>
      </c>
      <c r="BR105" s="65"/>
      <c r="BS105" s="29">
        <f t="shared" si="105"/>
        <v>100</v>
      </c>
      <c r="BT105" s="29">
        <f t="shared" si="98"/>
        <v>100</v>
      </c>
      <c r="BU105" s="29">
        <f t="shared" si="99"/>
        <v>100</v>
      </c>
      <c r="BW105" s="8">
        <f>IF(W105="","",VLOOKUP('Regular Symbol'!W105,'Regular Symbol'!$O$3:$T$13,6,0))</f>
        <v>5</v>
      </c>
      <c r="BX105" s="8">
        <f>IF(X105="","",VLOOKUP('Regular Symbol'!X105,'Regular Symbol'!$O$3:$T$13,6,0))</f>
        <v>3</v>
      </c>
      <c r="BY105" s="8">
        <f>IF(Y105="","",VLOOKUP('Regular Symbol'!Y105,'Regular Symbol'!$O$3:$T$13,6,0))</f>
        <v>5</v>
      </c>
      <c r="CA105" s="8" t="str">
        <f t="shared" si="79"/>
        <v>K</v>
      </c>
      <c r="CB105" s="8" t="str">
        <f t="shared" si="80"/>
        <v>M3</v>
      </c>
      <c r="CC105" s="8" t="str">
        <f t="shared" si="81"/>
        <v>K</v>
      </c>
    </row>
    <row r="106" spans="1:81" ht="16.8" customHeight="1">
      <c r="V106" s="27">
        <v>103</v>
      </c>
      <c r="W106" s="25" t="s">
        <v>82</v>
      </c>
      <c r="X106" s="25" t="s">
        <v>18</v>
      </c>
      <c r="Y106" s="25" t="s">
        <v>16</v>
      </c>
      <c r="AA106" s="29">
        <v>1</v>
      </c>
      <c r="AB106" s="29">
        <v>1</v>
      </c>
      <c r="AC106" s="29">
        <v>1</v>
      </c>
      <c r="AD106" s="65"/>
      <c r="AE106" s="29">
        <f t="shared" si="88"/>
        <v>1</v>
      </c>
      <c r="AF106" s="29">
        <f t="shared" si="89"/>
        <v>1</v>
      </c>
      <c r="AG106" s="29">
        <f t="shared" si="90"/>
        <v>1</v>
      </c>
      <c r="AH106" s="65"/>
      <c r="AI106" s="29">
        <f t="shared" si="100"/>
        <v>1</v>
      </c>
      <c r="AJ106" s="29">
        <f t="shared" si="101"/>
        <v>1</v>
      </c>
      <c r="AK106" s="29">
        <f t="shared" si="102"/>
        <v>1</v>
      </c>
      <c r="AM106" s="29">
        <v>1</v>
      </c>
      <c r="AN106" s="29">
        <v>1</v>
      </c>
      <c r="AO106" s="29">
        <v>1</v>
      </c>
      <c r="AQ106" s="29">
        <f t="shared" si="91"/>
        <v>1</v>
      </c>
      <c r="AR106" s="29">
        <f t="shared" si="82"/>
        <v>1</v>
      </c>
      <c r="AS106" s="29">
        <f t="shared" si="83"/>
        <v>1</v>
      </c>
      <c r="AT106" s="65"/>
      <c r="AU106" s="29">
        <f t="shared" si="103"/>
        <v>1</v>
      </c>
      <c r="AV106" s="29">
        <f t="shared" si="92"/>
        <v>1</v>
      </c>
      <c r="AW106" s="29">
        <f t="shared" si="93"/>
        <v>1</v>
      </c>
      <c r="AY106" s="29">
        <v>1</v>
      </c>
      <c r="AZ106" s="29">
        <v>1</v>
      </c>
      <c r="BA106" s="29">
        <v>1</v>
      </c>
      <c r="BC106" s="29">
        <f t="shared" si="94"/>
        <v>1</v>
      </c>
      <c r="BD106" s="29">
        <f t="shared" si="84"/>
        <v>1</v>
      </c>
      <c r="BE106" s="29">
        <f t="shared" si="85"/>
        <v>1</v>
      </c>
      <c r="BF106" s="65"/>
      <c r="BG106" s="29">
        <f t="shared" si="104"/>
        <v>1</v>
      </c>
      <c r="BH106" s="29">
        <f t="shared" si="95"/>
        <v>1</v>
      </c>
      <c r="BI106" s="29">
        <f t="shared" si="96"/>
        <v>1</v>
      </c>
      <c r="BK106" s="29">
        <v>100</v>
      </c>
      <c r="BL106" s="29">
        <v>100</v>
      </c>
      <c r="BM106" s="29">
        <v>100</v>
      </c>
      <c r="BO106" s="29">
        <f t="shared" si="97"/>
        <v>100</v>
      </c>
      <c r="BP106" s="29">
        <f t="shared" si="86"/>
        <v>100</v>
      </c>
      <c r="BQ106" s="29">
        <f t="shared" si="87"/>
        <v>100</v>
      </c>
      <c r="BR106" s="65"/>
      <c r="BS106" s="29">
        <f t="shared" si="105"/>
        <v>100</v>
      </c>
      <c r="BT106" s="29">
        <f t="shared" si="98"/>
        <v>100</v>
      </c>
      <c r="BU106" s="29">
        <f t="shared" si="99"/>
        <v>100</v>
      </c>
      <c r="BW106" s="8">
        <f>IF(W106="","",VLOOKUP('Regular Symbol'!W106,'Regular Symbol'!$O$3:$T$13,6,0))</f>
        <v>5</v>
      </c>
      <c r="BX106" s="8">
        <f>IF(X106="","",VLOOKUP('Regular Symbol'!X106,'Regular Symbol'!$O$3:$T$13,6,0))</f>
        <v>3</v>
      </c>
      <c r="BY106" s="8">
        <f>IF(Y106="","",VLOOKUP('Regular Symbol'!Y106,'Regular Symbol'!$O$3:$T$13,6,0))</f>
        <v>1</v>
      </c>
      <c r="CA106" s="8" t="str">
        <f t="shared" si="79"/>
        <v>K</v>
      </c>
      <c r="CB106" s="8" t="str">
        <f t="shared" si="80"/>
        <v>M3</v>
      </c>
      <c r="CC106" s="8" t="str">
        <f t="shared" si="81"/>
        <v>M1</v>
      </c>
    </row>
    <row r="107" spans="1:81" ht="16.8" customHeight="1">
      <c r="V107" s="27">
        <v>104</v>
      </c>
      <c r="W107" s="25" t="s">
        <v>83</v>
      </c>
      <c r="X107" s="25" t="s">
        <v>18</v>
      </c>
      <c r="Y107" s="25" t="s">
        <v>16</v>
      </c>
      <c r="AA107" s="29">
        <v>1</v>
      </c>
      <c r="AB107" s="29">
        <v>1</v>
      </c>
      <c r="AC107" s="29">
        <v>1</v>
      </c>
      <c r="AD107" s="65"/>
      <c r="AE107" s="29">
        <f t="shared" si="88"/>
        <v>1</v>
      </c>
      <c r="AF107" s="29">
        <f t="shared" si="89"/>
        <v>1</v>
      </c>
      <c r="AG107" s="29">
        <f t="shared" si="90"/>
        <v>1</v>
      </c>
      <c r="AH107" s="65"/>
      <c r="AI107" s="29">
        <f t="shared" si="100"/>
        <v>1</v>
      </c>
      <c r="AJ107" s="29">
        <f t="shared" si="101"/>
        <v>1</v>
      </c>
      <c r="AK107" s="29">
        <f t="shared" si="102"/>
        <v>1</v>
      </c>
      <c r="AM107" s="29">
        <v>1</v>
      </c>
      <c r="AN107" s="29">
        <v>1</v>
      </c>
      <c r="AO107" s="29">
        <v>1</v>
      </c>
      <c r="AQ107" s="29">
        <f t="shared" si="91"/>
        <v>1</v>
      </c>
      <c r="AR107" s="29">
        <f t="shared" si="82"/>
        <v>1</v>
      </c>
      <c r="AS107" s="29">
        <f t="shared" si="83"/>
        <v>1</v>
      </c>
      <c r="AT107" s="65"/>
      <c r="AU107" s="29">
        <f t="shared" si="103"/>
        <v>1</v>
      </c>
      <c r="AV107" s="29">
        <f t="shared" si="92"/>
        <v>1</v>
      </c>
      <c r="AW107" s="29">
        <f t="shared" si="93"/>
        <v>1</v>
      </c>
      <c r="AY107" s="29">
        <v>1</v>
      </c>
      <c r="AZ107" s="29">
        <v>1</v>
      </c>
      <c r="BA107" s="29">
        <v>1</v>
      </c>
      <c r="BC107" s="29">
        <f t="shared" si="94"/>
        <v>1</v>
      </c>
      <c r="BD107" s="29">
        <f t="shared" si="84"/>
        <v>1</v>
      </c>
      <c r="BE107" s="29">
        <f t="shared" si="85"/>
        <v>1</v>
      </c>
      <c r="BF107" s="65"/>
      <c r="BG107" s="29">
        <f t="shared" si="104"/>
        <v>1</v>
      </c>
      <c r="BH107" s="29">
        <f t="shared" si="95"/>
        <v>1</v>
      </c>
      <c r="BI107" s="29">
        <f t="shared" si="96"/>
        <v>1</v>
      </c>
      <c r="BK107" s="29">
        <v>100</v>
      </c>
      <c r="BL107" s="29">
        <v>100</v>
      </c>
      <c r="BM107" s="29">
        <v>100</v>
      </c>
      <c r="BO107" s="29">
        <f t="shared" si="97"/>
        <v>100</v>
      </c>
      <c r="BP107" s="29">
        <f t="shared" si="86"/>
        <v>100</v>
      </c>
      <c r="BQ107" s="29">
        <f t="shared" si="87"/>
        <v>100</v>
      </c>
      <c r="BR107" s="65"/>
      <c r="BS107" s="29">
        <f t="shared" si="105"/>
        <v>100</v>
      </c>
      <c r="BT107" s="29">
        <f t="shared" si="98"/>
        <v>100</v>
      </c>
      <c r="BU107" s="29">
        <f t="shared" si="99"/>
        <v>100</v>
      </c>
      <c r="BW107" s="8">
        <f>IF(W107="","",VLOOKUP('Regular Symbol'!W107,'Regular Symbol'!$O$3:$T$13,6,0))</f>
        <v>6</v>
      </c>
      <c r="BX107" s="8">
        <f>IF(X107="","",VLOOKUP('Regular Symbol'!X107,'Regular Symbol'!$O$3:$T$13,6,0))</f>
        <v>3</v>
      </c>
      <c r="BY107" s="8">
        <f>IF(Y107="","",VLOOKUP('Regular Symbol'!Y107,'Regular Symbol'!$O$3:$T$13,6,0))</f>
        <v>1</v>
      </c>
      <c r="CA107" s="8" t="str">
        <f t="shared" si="79"/>
        <v>Q</v>
      </c>
      <c r="CB107" s="8" t="str">
        <f t="shared" si="80"/>
        <v>M3</v>
      </c>
      <c r="CC107" s="8" t="str">
        <f t="shared" si="81"/>
        <v>M1</v>
      </c>
    </row>
    <row r="108" spans="1:81" ht="16.8" customHeight="1">
      <c r="V108" s="27">
        <v>105</v>
      </c>
      <c r="W108" s="25" t="s">
        <v>83</v>
      </c>
      <c r="X108" s="25" t="s">
        <v>84</v>
      </c>
      <c r="Y108" s="25" t="s">
        <v>16</v>
      </c>
      <c r="AA108" s="29">
        <v>1</v>
      </c>
      <c r="AB108" s="29">
        <v>1</v>
      </c>
      <c r="AC108" s="29">
        <v>1</v>
      </c>
      <c r="AD108" s="65"/>
      <c r="AE108" s="29">
        <f t="shared" si="88"/>
        <v>1</v>
      </c>
      <c r="AF108" s="29">
        <f t="shared" si="89"/>
        <v>1</v>
      </c>
      <c r="AG108" s="29">
        <f t="shared" si="90"/>
        <v>1</v>
      </c>
      <c r="AH108" s="65"/>
      <c r="AI108" s="29">
        <f t="shared" si="100"/>
        <v>1</v>
      </c>
      <c r="AJ108" s="29">
        <f t="shared" si="101"/>
        <v>1</v>
      </c>
      <c r="AK108" s="29">
        <f t="shared" si="102"/>
        <v>1</v>
      </c>
      <c r="AM108" s="29">
        <v>1</v>
      </c>
      <c r="AN108" s="29">
        <v>1</v>
      </c>
      <c r="AO108" s="29">
        <v>1</v>
      </c>
      <c r="AQ108" s="29">
        <f t="shared" si="91"/>
        <v>1</v>
      </c>
      <c r="AR108" s="29">
        <f t="shared" si="82"/>
        <v>1</v>
      </c>
      <c r="AS108" s="29">
        <f t="shared" si="83"/>
        <v>1</v>
      </c>
      <c r="AT108" s="65"/>
      <c r="AU108" s="29">
        <f t="shared" si="103"/>
        <v>1</v>
      </c>
      <c r="AV108" s="29">
        <f t="shared" si="92"/>
        <v>1</v>
      </c>
      <c r="AW108" s="29">
        <f t="shared" si="93"/>
        <v>1</v>
      </c>
      <c r="AY108" s="29">
        <v>1</v>
      </c>
      <c r="AZ108" s="29">
        <v>1</v>
      </c>
      <c r="BA108" s="29">
        <v>1</v>
      </c>
      <c r="BC108" s="29">
        <f t="shared" si="94"/>
        <v>1</v>
      </c>
      <c r="BD108" s="29">
        <f t="shared" si="84"/>
        <v>1</v>
      </c>
      <c r="BE108" s="29">
        <f t="shared" si="85"/>
        <v>1</v>
      </c>
      <c r="BF108" s="65"/>
      <c r="BG108" s="29">
        <f t="shared" si="104"/>
        <v>1</v>
      </c>
      <c r="BH108" s="29">
        <f t="shared" si="95"/>
        <v>1</v>
      </c>
      <c r="BI108" s="29">
        <f t="shared" si="96"/>
        <v>1</v>
      </c>
      <c r="BK108" s="29">
        <v>100</v>
      </c>
      <c r="BL108" s="29">
        <v>100</v>
      </c>
      <c r="BM108" s="29">
        <v>100</v>
      </c>
      <c r="BO108" s="29">
        <f t="shared" si="97"/>
        <v>100</v>
      </c>
      <c r="BP108" s="29">
        <f t="shared" si="86"/>
        <v>100</v>
      </c>
      <c r="BQ108" s="29">
        <f t="shared" si="87"/>
        <v>100</v>
      </c>
      <c r="BR108" s="65"/>
      <c r="BS108" s="29">
        <f t="shared" si="105"/>
        <v>100</v>
      </c>
      <c r="BT108" s="29">
        <f t="shared" si="98"/>
        <v>100</v>
      </c>
      <c r="BU108" s="29">
        <f t="shared" si="99"/>
        <v>100</v>
      </c>
      <c r="BW108" s="8">
        <f>IF(W108="","",VLOOKUP('Regular Symbol'!W108,'Regular Symbol'!$O$3:$T$13,6,0))</f>
        <v>6</v>
      </c>
      <c r="BX108" s="8">
        <f>IF(X108="","",VLOOKUP('Regular Symbol'!X108,'Regular Symbol'!$O$3:$T$13,6,0))</f>
        <v>7</v>
      </c>
      <c r="BY108" s="8">
        <f>IF(Y108="","",VLOOKUP('Regular Symbol'!Y108,'Regular Symbol'!$O$3:$T$13,6,0))</f>
        <v>1</v>
      </c>
      <c r="CA108" s="8" t="str">
        <f t="shared" si="79"/>
        <v>Q</v>
      </c>
      <c r="CB108" s="8" t="str">
        <f t="shared" si="80"/>
        <v>J</v>
      </c>
      <c r="CC108" s="8" t="str">
        <f t="shared" si="81"/>
        <v>M1</v>
      </c>
    </row>
    <row r="109" spans="1:81" ht="16.8" customHeight="1">
      <c r="V109" s="27">
        <v>106</v>
      </c>
      <c r="W109" s="25" t="s">
        <v>17</v>
      </c>
      <c r="X109" s="25" t="s">
        <v>84</v>
      </c>
      <c r="Y109" s="25" t="s">
        <v>18</v>
      </c>
      <c r="AA109" s="29">
        <v>1</v>
      </c>
      <c r="AB109" s="29">
        <v>1</v>
      </c>
      <c r="AC109" s="29">
        <v>1</v>
      </c>
      <c r="AD109" s="65"/>
      <c r="AE109" s="29">
        <f t="shared" si="88"/>
        <v>1</v>
      </c>
      <c r="AF109" s="29">
        <f t="shared" si="89"/>
        <v>1</v>
      </c>
      <c r="AG109" s="29">
        <f t="shared" si="90"/>
        <v>1</v>
      </c>
      <c r="AH109" s="65"/>
      <c r="AI109" s="29">
        <f t="shared" si="100"/>
        <v>1</v>
      </c>
      <c r="AJ109" s="29">
        <f t="shared" si="101"/>
        <v>1</v>
      </c>
      <c r="AK109" s="29">
        <f t="shared" si="102"/>
        <v>1</v>
      </c>
      <c r="AM109" s="29">
        <v>1</v>
      </c>
      <c r="AN109" s="29">
        <v>1</v>
      </c>
      <c r="AO109" s="29">
        <v>1</v>
      </c>
      <c r="AQ109" s="29">
        <f t="shared" si="91"/>
        <v>1</v>
      </c>
      <c r="AR109" s="29">
        <f t="shared" si="82"/>
        <v>1</v>
      </c>
      <c r="AS109" s="29">
        <f t="shared" si="83"/>
        <v>1</v>
      </c>
      <c r="AT109" s="65"/>
      <c r="AU109" s="29">
        <f t="shared" si="103"/>
        <v>1</v>
      </c>
      <c r="AV109" s="29">
        <f t="shared" si="92"/>
        <v>1</v>
      </c>
      <c r="AW109" s="29">
        <f t="shared" si="93"/>
        <v>1</v>
      </c>
      <c r="AY109" s="29">
        <v>1</v>
      </c>
      <c r="AZ109" s="29">
        <v>1</v>
      </c>
      <c r="BA109" s="29">
        <v>1</v>
      </c>
      <c r="BC109" s="29">
        <f t="shared" si="94"/>
        <v>1</v>
      </c>
      <c r="BD109" s="29">
        <f t="shared" si="84"/>
        <v>1</v>
      </c>
      <c r="BE109" s="29">
        <f t="shared" si="85"/>
        <v>1</v>
      </c>
      <c r="BF109" s="65"/>
      <c r="BG109" s="29">
        <f t="shared" si="104"/>
        <v>1</v>
      </c>
      <c r="BH109" s="29">
        <f t="shared" si="95"/>
        <v>1</v>
      </c>
      <c r="BI109" s="29">
        <f t="shared" si="96"/>
        <v>1</v>
      </c>
      <c r="BK109" s="29">
        <v>100</v>
      </c>
      <c r="BL109" s="29">
        <v>100</v>
      </c>
      <c r="BM109" s="29">
        <v>100</v>
      </c>
      <c r="BO109" s="29">
        <f t="shared" si="97"/>
        <v>100</v>
      </c>
      <c r="BP109" s="29">
        <f t="shared" si="86"/>
        <v>100</v>
      </c>
      <c r="BQ109" s="29">
        <f t="shared" si="87"/>
        <v>100</v>
      </c>
      <c r="BR109" s="65"/>
      <c r="BS109" s="29">
        <f t="shared" si="105"/>
        <v>100</v>
      </c>
      <c r="BT109" s="29">
        <f t="shared" si="98"/>
        <v>100</v>
      </c>
      <c r="BU109" s="29">
        <f t="shared" si="99"/>
        <v>100</v>
      </c>
      <c r="BW109" s="8">
        <f>IF(W109="","",VLOOKUP('Regular Symbol'!W109,'Regular Symbol'!$O$3:$T$13,6,0))</f>
        <v>2</v>
      </c>
      <c r="BX109" s="8">
        <f>IF(X109="","",VLOOKUP('Regular Symbol'!X109,'Regular Symbol'!$O$3:$T$13,6,0))</f>
        <v>7</v>
      </c>
      <c r="BY109" s="8">
        <f>IF(Y109="","",VLOOKUP('Regular Symbol'!Y109,'Regular Symbol'!$O$3:$T$13,6,0))</f>
        <v>3</v>
      </c>
      <c r="CA109" s="8" t="str">
        <f t="shared" si="79"/>
        <v>M2</v>
      </c>
      <c r="CB109" s="8" t="str">
        <f t="shared" si="80"/>
        <v>J</v>
      </c>
      <c r="CC109" s="8" t="str">
        <f t="shared" si="81"/>
        <v>M3</v>
      </c>
    </row>
    <row r="110" spans="1:81" ht="16.8" customHeight="1">
      <c r="V110" s="27">
        <v>107</v>
      </c>
      <c r="W110" s="25" t="s">
        <v>17</v>
      </c>
      <c r="X110" s="25" t="s">
        <v>84</v>
      </c>
      <c r="Y110" s="25" t="s">
        <v>18</v>
      </c>
      <c r="AA110" s="29">
        <v>1</v>
      </c>
      <c r="AB110" s="29">
        <v>1</v>
      </c>
      <c r="AC110" s="29">
        <v>1</v>
      </c>
      <c r="AD110" s="65"/>
      <c r="AE110" s="29">
        <f t="shared" si="88"/>
        <v>1</v>
      </c>
      <c r="AF110" s="29">
        <f t="shared" si="89"/>
        <v>1</v>
      </c>
      <c r="AG110" s="29">
        <f t="shared" si="90"/>
        <v>1</v>
      </c>
      <c r="AH110" s="65"/>
      <c r="AI110" s="29">
        <f t="shared" si="100"/>
        <v>1</v>
      </c>
      <c r="AJ110" s="29">
        <f t="shared" si="101"/>
        <v>1</v>
      </c>
      <c r="AK110" s="29">
        <f t="shared" si="102"/>
        <v>1</v>
      </c>
      <c r="AM110" s="29">
        <v>1</v>
      </c>
      <c r="AN110" s="29">
        <v>1</v>
      </c>
      <c r="AO110" s="29">
        <v>1</v>
      </c>
      <c r="AQ110" s="29">
        <f t="shared" si="91"/>
        <v>1</v>
      </c>
      <c r="AR110" s="29">
        <f t="shared" si="82"/>
        <v>1</v>
      </c>
      <c r="AS110" s="29">
        <f t="shared" si="83"/>
        <v>1</v>
      </c>
      <c r="AT110" s="65"/>
      <c r="AU110" s="29">
        <f t="shared" si="103"/>
        <v>1</v>
      </c>
      <c r="AV110" s="29">
        <f t="shared" si="92"/>
        <v>1</v>
      </c>
      <c r="AW110" s="29">
        <f t="shared" si="93"/>
        <v>1</v>
      </c>
      <c r="AY110" s="29">
        <v>1</v>
      </c>
      <c r="AZ110" s="29">
        <v>1</v>
      </c>
      <c r="BA110" s="29">
        <v>1</v>
      </c>
      <c r="BC110" s="29">
        <f t="shared" si="94"/>
        <v>1</v>
      </c>
      <c r="BD110" s="29">
        <f t="shared" si="84"/>
        <v>1</v>
      </c>
      <c r="BE110" s="29">
        <f t="shared" si="85"/>
        <v>1</v>
      </c>
      <c r="BF110" s="65"/>
      <c r="BG110" s="29">
        <f t="shared" si="104"/>
        <v>1</v>
      </c>
      <c r="BH110" s="29">
        <f t="shared" si="95"/>
        <v>1</v>
      </c>
      <c r="BI110" s="29">
        <f t="shared" si="96"/>
        <v>1</v>
      </c>
      <c r="BK110" s="29">
        <v>100</v>
      </c>
      <c r="BL110" s="29">
        <v>100</v>
      </c>
      <c r="BM110" s="29">
        <v>100</v>
      </c>
      <c r="BO110" s="29">
        <f t="shared" si="97"/>
        <v>100</v>
      </c>
      <c r="BP110" s="29">
        <f t="shared" si="86"/>
        <v>100</v>
      </c>
      <c r="BQ110" s="29">
        <f t="shared" si="87"/>
        <v>100</v>
      </c>
      <c r="BR110" s="65"/>
      <c r="BS110" s="29">
        <f t="shared" si="105"/>
        <v>100</v>
      </c>
      <c r="BT110" s="29">
        <f t="shared" si="98"/>
        <v>100</v>
      </c>
      <c r="BU110" s="29">
        <f t="shared" si="99"/>
        <v>100</v>
      </c>
      <c r="BW110" s="8">
        <f>IF(W110="","",VLOOKUP('Regular Symbol'!W110,'Regular Symbol'!$O$3:$T$13,6,0))</f>
        <v>2</v>
      </c>
      <c r="BX110" s="8">
        <f>IF(X110="","",VLOOKUP('Regular Symbol'!X110,'Regular Symbol'!$O$3:$T$13,6,0))</f>
        <v>7</v>
      </c>
      <c r="BY110" s="8">
        <f>IF(Y110="","",VLOOKUP('Regular Symbol'!Y110,'Regular Symbol'!$O$3:$T$13,6,0))</f>
        <v>3</v>
      </c>
      <c r="CA110" s="8" t="str">
        <f t="shared" si="79"/>
        <v>M2</v>
      </c>
      <c r="CB110" s="8" t="str">
        <f t="shared" si="80"/>
        <v>J</v>
      </c>
      <c r="CC110" s="8" t="str">
        <f t="shared" si="81"/>
        <v>M3</v>
      </c>
    </row>
    <row r="111" spans="1:81" ht="16.8" customHeight="1">
      <c r="V111" s="27">
        <v>108</v>
      </c>
      <c r="W111" s="25" t="s">
        <v>17</v>
      </c>
      <c r="X111" s="25" t="s">
        <v>16</v>
      </c>
      <c r="Y111" s="25" t="s">
        <v>18</v>
      </c>
      <c r="AA111" s="29">
        <v>1</v>
      </c>
      <c r="AB111" s="29">
        <v>1</v>
      </c>
      <c r="AC111" s="29">
        <v>1</v>
      </c>
      <c r="AD111" s="65"/>
      <c r="AE111" s="29">
        <f t="shared" si="88"/>
        <v>1</v>
      </c>
      <c r="AF111" s="29">
        <f t="shared" si="89"/>
        <v>1</v>
      </c>
      <c r="AG111" s="29">
        <f t="shared" si="90"/>
        <v>1</v>
      </c>
      <c r="AH111" s="65"/>
      <c r="AI111" s="29">
        <f t="shared" si="100"/>
        <v>1</v>
      </c>
      <c r="AJ111" s="29">
        <f t="shared" si="101"/>
        <v>1</v>
      </c>
      <c r="AK111" s="29">
        <f t="shared" si="102"/>
        <v>1</v>
      </c>
      <c r="AM111" s="29">
        <v>1</v>
      </c>
      <c r="AN111" s="29">
        <v>1</v>
      </c>
      <c r="AO111" s="29">
        <v>1</v>
      </c>
      <c r="AQ111" s="29">
        <f t="shared" si="91"/>
        <v>1</v>
      </c>
      <c r="AR111" s="29">
        <f t="shared" si="82"/>
        <v>1</v>
      </c>
      <c r="AS111" s="29">
        <f t="shared" si="83"/>
        <v>1</v>
      </c>
      <c r="AT111" s="65"/>
      <c r="AU111" s="29">
        <f t="shared" si="103"/>
        <v>1</v>
      </c>
      <c r="AV111" s="29">
        <f t="shared" si="92"/>
        <v>1</v>
      </c>
      <c r="AW111" s="29">
        <f t="shared" si="93"/>
        <v>1</v>
      </c>
      <c r="AY111" s="29">
        <v>1</v>
      </c>
      <c r="AZ111" s="29">
        <v>1</v>
      </c>
      <c r="BA111" s="29">
        <v>1</v>
      </c>
      <c r="BC111" s="29">
        <f t="shared" si="94"/>
        <v>1</v>
      </c>
      <c r="BD111" s="29">
        <f t="shared" si="84"/>
        <v>1</v>
      </c>
      <c r="BE111" s="29">
        <f t="shared" si="85"/>
        <v>1</v>
      </c>
      <c r="BF111" s="65"/>
      <c r="BG111" s="29">
        <f t="shared" si="104"/>
        <v>1</v>
      </c>
      <c r="BH111" s="29">
        <f t="shared" si="95"/>
        <v>1</v>
      </c>
      <c r="BI111" s="29">
        <f t="shared" si="96"/>
        <v>1</v>
      </c>
      <c r="BK111" s="29">
        <v>100</v>
      </c>
      <c r="BL111" s="29">
        <v>100</v>
      </c>
      <c r="BM111" s="29">
        <v>100</v>
      </c>
      <c r="BO111" s="29">
        <f t="shared" si="97"/>
        <v>100</v>
      </c>
      <c r="BP111" s="29">
        <f t="shared" si="86"/>
        <v>100</v>
      </c>
      <c r="BQ111" s="29">
        <f t="shared" si="87"/>
        <v>100</v>
      </c>
      <c r="BR111" s="65"/>
      <c r="BS111" s="29">
        <f t="shared" si="105"/>
        <v>100</v>
      </c>
      <c r="BT111" s="29">
        <f t="shared" si="98"/>
        <v>100</v>
      </c>
      <c r="BU111" s="29">
        <f t="shared" si="99"/>
        <v>100</v>
      </c>
      <c r="BW111" s="8">
        <f>IF(W111="","",VLOOKUP('Regular Symbol'!W111,'Regular Symbol'!$O$3:$T$13,6,0))</f>
        <v>2</v>
      </c>
      <c r="BX111" s="8">
        <f>IF(X111="","",VLOOKUP('Regular Symbol'!X111,'Regular Symbol'!$O$3:$T$13,6,0))</f>
        <v>1</v>
      </c>
      <c r="BY111" s="8">
        <f>IF(Y111="","",VLOOKUP('Regular Symbol'!Y111,'Regular Symbol'!$O$3:$T$13,6,0))</f>
        <v>3</v>
      </c>
      <c r="CA111" s="8" t="str">
        <f t="shared" si="79"/>
        <v>M2</v>
      </c>
      <c r="CB111" s="8" t="str">
        <f t="shared" si="80"/>
        <v>M1</v>
      </c>
      <c r="CC111" s="8" t="str">
        <f t="shared" si="81"/>
        <v>M3</v>
      </c>
    </row>
    <row r="112" spans="1:81" ht="16.8" customHeight="1">
      <c r="V112" s="27">
        <v>109</v>
      </c>
      <c r="W112" s="25" t="s">
        <v>83</v>
      </c>
      <c r="X112" s="25" t="s">
        <v>16</v>
      </c>
      <c r="Y112" s="25" t="s">
        <v>84</v>
      </c>
      <c r="AA112" s="29">
        <v>1</v>
      </c>
      <c r="AB112" s="29">
        <v>1</v>
      </c>
      <c r="AC112" s="29">
        <v>1</v>
      </c>
      <c r="AD112" s="65"/>
      <c r="AE112" s="29">
        <f t="shared" si="88"/>
        <v>1</v>
      </c>
      <c r="AF112" s="29">
        <f t="shared" si="89"/>
        <v>1</v>
      </c>
      <c r="AG112" s="29">
        <f t="shared" si="90"/>
        <v>1</v>
      </c>
      <c r="AH112" s="65"/>
      <c r="AI112" s="29">
        <f t="shared" si="100"/>
        <v>1</v>
      </c>
      <c r="AJ112" s="29">
        <f t="shared" si="101"/>
        <v>1</v>
      </c>
      <c r="AK112" s="29">
        <f t="shared" si="102"/>
        <v>1</v>
      </c>
      <c r="AM112" s="29">
        <v>1</v>
      </c>
      <c r="AN112" s="29">
        <v>1</v>
      </c>
      <c r="AO112" s="29">
        <v>1</v>
      </c>
      <c r="AQ112" s="29">
        <f t="shared" si="91"/>
        <v>1</v>
      </c>
      <c r="AR112" s="29">
        <f t="shared" si="82"/>
        <v>1</v>
      </c>
      <c r="AS112" s="29">
        <f t="shared" si="83"/>
        <v>1</v>
      </c>
      <c r="AT112" s="65"/>
      <c r="AU112" s="29">
        <f t="shared" si="103"/>
        <v>1</v>
      </c>
      <c r="AV112" s="29">
        <f t="shared" si="92"/>
        <v>1</v>
      </c>
      <c r="AW112" s="29">
        <f t="shared" si="93"/>
        <v>1</v>
      </c>
      <c r="AY112" s="29">
        <v>1</v>
      </c>
      <c r="AZ112" s="29">
        <v>1</v>
      </c>
      <c r="BA112" s="29">
        <v>1</v>
      </c>
      <c r="BC112" s="29">
        <f t="shared" si="94"/>
        <v>1</v>
      </c>
      <c r="BD112" s="29">
        <f t="shared" si="84"/>
        <v>1</v>
      </c>
      <c r="BE112" s="29">
        <f t="shared" si="85"/>
        <v>1</v>
      </c>
      <c r="BF112" s="65"/>
      <c r="BG112" s="29">
        <f t="shared" si="104"/>
        <v>1</v>
      </c>
      <c r="BH112" s="29">
        <f t="shared" si="95"/>
        <v>1</v>
      </c>
      <c r="BI112" s="29">
        <f t="shared" si="96"/>
        <v>1</v>
      </c>
      <c r="BK112" s="29">
        <v>100</v>
      </c>
      <c r="BL112" s="29">
        <v>100</v>
      </c>
      <c r="BM112" s="29">
        <v>100</v>
      </c>
      <c r="BO112" s="29">
        <f t="shared" si="97"/>
        <v>100</v>
      </c>
      <c r="BP112" s="29">
        <f t="shared" si="86"/>
        <v>100</v>
      </c>
      <c r="BQ112" s="29">
        <f t="shared" si="87"/>
        <v>100</v>
      </c>
      <c r="BR112" s="65"/>
      <c r="BS112" s="29">
        <f t="shared" si="105"/>
        <v>100</v>
      </c>
      <c r="BT112" s="29">
        <f t="shared" si="98"/>
        <v>100</v>
      </c>
      <c r="BU112" s="29">
        <f t="shared" si="99"/>
        <v>100</v>
      </c>
      <c r="BW112" s="8">
        <f>IF(W112="","",VLOOKUP('Regular Symbol'!W112,'Regular Symbol'!$O$3:$T$13,6,0))</f>
        <v>6</v>
      </c>
      <c r="BX112" s="8">
        <f>IF(X112="","",VLOOKUP('Regular Symbol'!X112,'Regular Symbol'!$O$3:$T$13,6,0))</f>
        <v>1</v>
      </c>
      <c r="BY112" s="8">
        <f>IF(Y112="","",VLOOKUP('Regular Symbol'!Y112,'Regular Symbol'!$O$3:$T$13,6,0))</f>
        <v>7</v>
      </c>
      <c r="CA112" s="8" t="str">
        <f t="shared" si="79"/>
        <v>Q</v>
      </c>
      <c r="CB112" s="8" t="str">
        <f t="shared" si="80"/>
        <v>M1</v>
      </c>
      <c r="CC112" s="8" t="str">
        <f t="shared" si="81"/>
        <v>J</v>
      </c>
    </row>
    <row r="113" spans="22:81" ht="16.8" customHeight="1">
      <c r="V113" s="27">
        <v>110</v>
      </c>
      <c r="W113" s="25" t="s">
        <v>83</v>
      </c>
      <c r="X113" s="25" t="s">
        <v>16</v>
      </c>
      <c r="Y113" s="25" t="s">
        <v>84</v>
      </c>
      <c r="AA113" s="29">
        <v>1</v>
      </c>
      <c r="AB113" s="29">
        <v>1</v>
      </c>
      <c r="AC113" s="29">
        <v>1</v>
      </c>
      <c r="AD113" s="65"/>
      <c r="AE113" s="29">
        <f t="shared" si="88"/>
        <v>1</v>
      </c>
      <c r="AF113" s="29">
        <f t="shared" si="89"/>
        <v>1</v>
      </c>
      <c r="AG113" s="29">
        <f t="shared" si="90"/>
        <v>1</v>
      </c>
      <c r="AH113" s="65"/>
      <c r="AI113" s="29">
        <f t="shared" si="100"/>
        <v>1</v>
      </c>
      <c r="AJ113" s="29">
        <f t="shared" si="101"/>
        <v>1</v>
      </c>
      <c r="AK113" s="29">
        <f t="shared" si="102"/>
        <v>1</v>
      </c>
      <c r="AM113" s="29">
        <v>1</v>
      </c>
      <c r="AN113" s="29">
        <v>1</v>
      </c>
      <c r="AO113" s="29">
        <v>1</v>
      </c>
      <c r="AQ113" s="29">
        <f t="shared" si="91"/>
        <v>1</v>
      </c>
      <c r="AR113" s="29">
        <f t="shared" si="82"/>
        <v>1</v>
      </c>
      <c r="AS113" s="29">
        <f t="shared" si="83"/>
        <v>1</v>
      </c>
      <c r="AT113" s="65"/>
      <c r="AU113" s="29">
        <f t="shared" si="103"/>
        <v>1</v>
      </c>
      <c r="AV113" s="29">
        <f t="shared" si="92"/>
        <v>1</v>
      </c>
      <c r="AW113" s="29">
        <f t="shared" si="93"/>
        <v>1</v>
      </c>
      <c r="AY113" s="29">
        <v>1</v>
      </c>
      <c r="AZ113" s="29">
        <v>1</v>
      </c>
      <c r="BA113" s="29">
        <v>1</v>
      </c>
      <c r="BC113" s="29">
        <f t="shared" si="94"/>
        <v>1</v>
      </c>
      <c r="BD113" s="29">
        <f t="shared" si="84"/>
        <v>1</v>
      </c>
      <c r="BE113" s="29">
        <f t="shared" si="85"/>
        <v>1</v>
      </c>
      <c r="BF113" s="65"/>
      <c r="BG113" s="29">
        <f t="shared" si="104"/>
        <v>1</v>
      </c>
      <c r="BH113" s="29">
        <f t="shared" si="95"/>
        <v>1</v>
      </c>
      <c r="BI113" s="29">
        <f t="shared" si="96"/>
        <v>1</v>
      </c>
      <c r="BK113" s="29">
        <v>100</v>
      </c>
      <c r="BL113" s="29">
        <v>100</v>
      </c>
      <c r="BM113" s="29">
        <v>100</v>
      </c>
      <c r="BO113" s="29">
        <f t="shared" si="97"/>
        <v>100</v>
      </c>
      <c r="BP113" s="29">
        <f t="shared" si="86"/>
        <v>100</v>
      </c>
      <c r="BQ113" s="29">
        <f t="shared" si="87"/>
        <v>100</v>
      </c>
      <c r="BR113" s="65"/>
      <c r="BS113" s="29">
        <f t="shared" si="105"/>
        <v>100</v>
      </c>
      <c r="BT113" s="29">
        <f t="shared" si="98"/>
        <v>100</v>
      </c>
      <c r="BU113" s="29">
        <f t="shared" si="99"/>
        <v>100</v>
      </c>
      <c r="BW113" s="8">
        <f>IF(W113="","",VLOOKUP('Regular Symbol'!W113,'Regular Symbol'!$O$3:$T$13,6,0))</f>
        <v>6</v>
      </c>
      <c r="BX113" s="8">
        <f>IF(X113="","",VLOOKUP('Regular Symbol'!X113,'Regular Symbol'!$O$3:$T$13,6,0))</f>
        <v>1</v>
      </c>
      <c r="BY113" s="8">
        <f>IF(Y113="","",VLOOKUP('Regular Symbol'!Y113,'Regular Symbol'!$O$3:$T$13,6,0))</f>
        <v>7</v>
      </c>
      <c r="CA113" s="8" t="str">
        <f t="shared" si="79"/>
        <v>Q</v>
      </c>
      <c r="CB113" s="8" t="str">
        <f t="shared" si="80"/>
        <v>M1</v>
      </c>
      <c r="CC113" s="8" t="str">
        <f t="shared" si="81"/>
        <v>J</v>
      </c>
    </row>
    <row r="114" spans="22:81" ht="16.8" customHeight="1">
      <c r="V114" s="27">
        <v>111</v>
      </c>
      <c r="W114" s="25" t="s">
        <v>81</v>
      </c>
      <c r="X114" s="25" t="s">
        <v>84</v>
      </c>
      <c r="Y114" s="25" t="s">
        <v>84</v>
      </c>
      <c r="AA114" s="29">
        <v>1</v>
      </c>
      <c r="AB114" s="29">
        <v>1</v>
      </c>
      <c r="AC114" s="29">
        <v>1</v>
      </c>
      <c r="AD114" s="65"/>
      <c r="AE114" s="29">
        <f t="shared" si="88"/>
        <v>1</v>
      </c>
      <c r="AF114" s="29">
        <f t="shared" si="89"/>
        <v>1</v>
      </c>
      <c r="AG114" s="29">
        <f t="shared" si="90"/>
        <v>1</v>
      </c>
      <c r="AH114" s="65"/>
      <c r="AI114" s="29">
        <f t="shared" si="100"/>
        <v>1</v>
      </c>
      <c r="AJ114" s="29">
        <f t="shared" si="101"/>
        <v>1</v>
      </c>
      <c r="AK114" s="29">
        <f t="shared" si="102"/>
        <v>1</v>
      </c>
      <c r="AM114" s="29">
        <v>1</v>
      </c>
      <c r="AN114" s="29">
        <v>1</v>
      </c>
      <c r="AO114" s="29">
        <v>1</v>
      </c>
      <c r="AQ114" s="29">
        <f t="shared" si="91"/>
        <v>1</v>
      </c>
      <c r="AR114" s="29">
        <f t="shared" si="82"/>
        <v>1</v>
      </c>
      <c r="AS114" s="29">
        <f t="shared" si="83"/>
        <v>1</v>
      </c>
      <c r="AT114" s="65"/>
      <c r="AU114" s="29">
        <f t="shared" si="103"/>
        <v>1</v>
      </c>
      <c r="AV114" s="29">
        <f t="shared" si="92"/>
        <v>1</v>
      </c>
      <c r="AW114" s="29">
        <f t="shared" si="93"/>
        <v>1</v>
      </c>
      <c r="AY114" s="29">
        <v>1</v>
      </c>
      <c r="AZ114" s="29">
        <v>1</v>
      </c>
      <c r="BA114" s="29">
        <v>1</v>
      </c>
      <c r="BC114" s="29">
        <f t="shared" si="94"/>
        <v>1</v>
      </c>
      <c r="BD114" s="29">
        <f t="shared" si="84"/>
        <v>1</v>
      </c>
      <c r="BE114" s="29">
        <f t="shared" si="85"/>
        <v>1</v>
      </c>
      <c r="BF114" s="65"/>
      <c r="BG114" s="29">
        <f t="shared" si="104"/>
        <v>1</v>
      </c>
      <c r="BH114" s="29">
        <f t="shared" si="95"/>
        <v>1</v>
      </c>
      <c r="BI114" s="29">
        <f t="shared" si="96"/>
        <v>1</v>
      </c>
      <c r="BK114" s="29">
        <v>100</v>
      </c>
      <c r="BL114" s="29">
        <v>100</v>
      </c>
      <c r="BM114" s="29">
        <v>100</v>
      </c>
      <c r="BO114" s="29">
        <f t="shared" si="97"/>
        <v>100</v>
      </c>
      <c r="BP114" s="29">
        <f t="shared" si="86"/>
        <v>100</v>
      </c>
      <c r="BQ114" s="29">
        <f t="shared" si="87"/>
        <v>100</v>
      </c>
      <c r="BR114" s="65"/>
      <c r="BS114" s="29">
        <f t="shared" si="105"/>
        <v>100</v>
      </c>
      <c r="BT114" s="29">
        <f t="shared" si="98"/>
        <v>100</v>
      </c>
      <c r="BU114" s="29">
        <f t="shared" si="99"/>
        <v>100</v>
      </c>
      <c r="BW114" s="8">
        <f>IF(W114="","",VLOOKUP('Regular Symbol'!W114,'Regular Symbol'!$O$3:$T$13,6,0))</f>
        <v>4</v>
      </c>
      <c r="BX114" s="8">
        <f>IF(X114="","",VLOOKUP('Regular Symbol'!X114,'Regular Symbol'!$O$3:$T$13,6,0))</f>
        <v>7</v>
      </c>
      <c r="BY114" s="8">
        <f>IF(Y114="","",VLOOKUP('Regular Symbol'!Y114,'Regular Symbol'!$O$3:$T$13,6,0))</f>
        <v>7</v>
      </c>
      <c r="CA114" s="8" t="str">
        <f t="shared" si="79"/>
        <v>A</v>
      </c>
      <c r="CB114" s="8" t="str">
        <f t="shared" si="80"/>
        <v>J</v>
      </c>
      <c r="CC114" s="8" t="str">
        <f t="shared" si="81"/>
        <v>J</v>
      </c>
    </row>
    <row r="115" spans="22:81" ht="16.8" customHeight="1">
      <c r="V115" s="27">
        <v>112</v>
      </c>
      <c r="W115" s="25" t="s">
        <v>81</v>
      </c>
      <c r="X115" s="25" t="s">
        <v>84</v>
      </c>
      <c r="Y115" s="25" t="s">
        <v>84</v>
      </c>
      <c r="AA115" s="29">
        <v>1</v>
      </c>
      <c r="AB115" s="29">
        <v>1</v>
      </c>
      <c r="AC115" s="29">
        <v>1</v>
      </c>
      <c r="AD115" s="65"/>
      <c r="AE115" s="29">
        <f t="shared" si="88"/>
        <v>1</v>
      </c>
      <c r="AF115" s="29">
        <f t="shared" si="89"/>
        <v>1</v>
      </c>
      <c r="AG115" s="29">
        <f t="shared" si="90"/>
        <v>1</v>
      </c>
      <c r="AH115" s="65"/>
      <c r="AI115" s="29">
        <f t="shared" si="100"/>
        <v>1</v>
      </c>
      <c r="AJ115" s="29">
        <f t="shared" si="101"/>
        <v>1</v>
      </c>
      <c r="AK115" s="29">
        <f t="shared" si="102"/>
        <v>1</v>
      </c>
      <c r="AM115" s="29">
        <v>1</v>
      </c>
      <c r="AN115" s="29">
        <v>1</v>
      </c>
      <c r="AO115" s="29">
        <v>1</v>
      </c>
      <c r="AQ115" s="29">
        <f t="shared" si="91"/>
        <v>1</v>
      </c>
      <c r="AR115" s="29">
        <f t="shared" si="82"/>
        <v>1</v>
      </c>
      <c r="AS115" s="29">
        <f t="shared" si="83"/>
        <v>1</v>
      </c>
      <c r="AT115" s="65"/>
      <c r="AU115" s="29">
        <f t="shared" si="103"/>
        <v>1</v>
      </c>
      <c r="AV115" s="29">
        <f t="shared" si="92"/>
        <v>1</v>
      </c>
      <c r="AW115" s="29">
        <f t="shared" si="93"/>
        <v>1</v>
      </c>
      <c r="AY115" s="29">
        <v>1</v>
      </c>
      <c r="AZ115" s="29">
        <v>1</v>
      </c>
      <c r="BA115" s="29">
        <v>1</v>
      </c>
      <c r="BC115" s="29">
        <f t="shared" si="94"/>
        <v>1</v>
      </c>
      <c r="BD115" s="29">
        <f t="shared" si="84"/>
        <v>1</v>
      </c>
      <c r="BE115" s="29">
        <f t="shared" si="85"/>
        <v>1</v>
      </c>
      <c r="BF115" s="65"/>
      <c r="BG115" s="29">
        <f t="shared" si="104"/>
        <v>1</v>
      </c>
      <c r="BH115" s="29">
        <f t="shared" si="95"/>
        <v>1</v>
      </c>
      <c r="BI115" s="29">
        <f t="shared" si="96"/>
        <v>1</v>
      </c>
      <c r="BK115" s="29">
        <v>100</v>
      </c>
      <c r="BL115" s="29">
        <v>100</v>
      </c>
      <c r="BM115" s="29">
        <v>100</v>
      </c>
      <c r="BO115" s="29">
        <f t="shared" si="97"/>
        <v>100</v>
      </c>
      <c r="BP115" s="29">
        <f t="shared" si="86"/>
        <v>100</v>
      </c>
      <c r="BQ115" s="29">
        <f t="shared" si="87"/>
        <v>100</v>
      </c>
      <c r="BR115" s="65"/>
      <c r="BS115" s="29">
        <f t="shared" si="105"/>
        <v>100</v>
      </c>
      <c r="BT115" s="29">
        <f t="shared" si="98"/>
        <v>100</v>
      </c>
      <c r="BU115" s="29">
        <f t="shared" si="99"/>
        <v>100</v>
      </c>
      <c r="BW115" s="8">
        <f>IF(W115="","",VLOOKUP('Regular Symbol'!W115,'Regular Symbol'!$O$3:$T$13,6,0))</f>
        <v>4</v>
      </c>
      <c r="BX115" s="8">
        <f>IF(X115="","",VLOOKUP('Regular Symbol'!X115,'Regular Symbol'!$O$3:$T$13,6,0))</f>
        <v>7</v>
      </c>
      <c r="BY115" s="8">
        <f>IF(Y115="","",VLOOKUP('Regular Symbol'!Y115,'Regular Symbol'!$O$3:$T$13,6,0))</f>
        <v>7</v>
      </c>
      <c r="CA115" s="8" t="str">
        <f t="shared" si="79"/>
        <v>A</v>
      </c>
      <c r="CB115" s="8" t="str">
        <f t="shared" si="80"/>
        <v>J</v>
      </c>
      <c r="CC115" s="8" t="str">
        <f t="shared" si="81"/>
        <v>J</v>
      </c>
    </row>
    <row r="116" spans="22:81" ht="16.8" customHeight="1">
      <c r="V116" s="27">
        <v>113</v>
      </c>
      <c r="W116" s="25" t="s">
        <v>17</v>
      </c>
      <c r="X116" s="25" t="s">
        <v>84</v>
      </c>
      <c r="Y116" s="25" t="s">
        <v>81</v>
      </c>
      <c r="AA116" s="29">
        <v>1</v>
      </c>
      <c r="AB116" s="29">
        <v>1</v>
      </c>
      <c r="AC116" s="29">
        <v>1</v>
      </c>
      <c r="AD116" s="65"/>
      <c r="AE116" s="29">
        <f t="shared" si="88"/>
        <v>1</v>
      </c>
      <c r="AF116" s="29">
        <f t="shared" si="89"/>
        <v>1</v>
      </c>
      <c r="AG116" s="29">
        <f t="shared" si="90"/>
        <v>1</v>
      </c>
      <c r="AH116" s="65"/>
      <c r="AI116" s="29">
        <f t="shared" si="100"/>
        <v>1</v>
      </c>
      <c r="AJ116" s="29">
        <f t="shared" si="101"/>
        <v>1</v>
      </c>
      <c r="AK116" s="29">
        <f t="shared" si="102"/>
        <v>1</v>
      </c>
      <c r="AM116" s="29">
        <v>1</v>
      </c>
      <c r="AN116" s="29">
        <v>1</v>
      </c>
      <c r="AO116" s="29">
        <v>1</v>
      </c>
      <c r="AQ116" s="29">
        <f t="shared" si="91"/>
        <v>1</v>
      </c>
      <c r="AR116" s="29">
        <f t="shared" si="82"/>
        <v>1</v>
      </c>
      <c r="AS116" s="29">
        <f t="shared" si="83"/>
        <v>1</v>
      </c>
      <c r="AT116" s="65"/>
      <c r="AU116" s="29">
        <f t="shared" si="103"/>
        <v>1</v>
      </c>
      <c r="AV116" s="29">
        <f t="shared" si="92"/>
        <v>1</v>
      </c>
      <c r="AW116" s="29">
        <f t="shared" si="93"/>
        <v>1</v>
      </c>
      <c r="AY116" s="29">
        <v>1</v>
      </c>
      <c r="AZ116" s="29">
        <v>1</v>
      </c>
      <c r="BA116" s="29">
        <v>1</v>
      </c>
      <c r="BC116" s="29">
        <f t="shared" si="94"/>
        <v>1</v>
      </c>
      <c r="BD116" s="29">
        <f t="shared" si="84"/>
        <v>1</v>
      </c>
      <c r="BE116" s="29">
        <f t="shared" si="85"/>
        <v>1</v>
      </c>
      <c r="BF116" s="65"/>
      <c r="BG116" s="29">
        <f t="shared" si="104"/>
        <v>1</v>
      </c>
      <c r="BH116" s="29">
        <f t="shared" si="95"/>
        <v>1</v>
      </c>
      <c r="BI116" s="29">
        <f t="shared" si="96"/>
        <v>1</v>
      </c>
      <c r="BK116" s="29">
        <v>100</v>
      </c>
      <c r="BL116" s="29">
        <v>100</v>
      </c>
      <c r="BM116" s="29">
        <v>100</v>
      </c>
      <c r="BO116" s="29">
        <f t="shared" si="97"/>
        <v>100</v>
      </c>
      <c r="BP116" s="29">
        <f t="shared" si="86"/>
        <v>100</v>
      </c>
      <c r="BQ116" s="29">
        <f t="shared" si="87"/>
        <v>100</v>
      </c>
      <c r="BR116" s="65"/>
      <c r="BS116" s="29">
        <f t="shared" si="105"/>
        <v>100</v>
      </c>
      <c r="BT116" s="29">
        <f t="shared" si="98"/>
        <v>100</v>
      </c>
      <c r="BU116" s="29">
        <f t="shared" si="99"/>
        <v>100</v>
      </c>
      <c r="BW116" s="8">
        <f>IF(W116="","",VLOOKUP('Regular Symbol'!W116,'Regular Symbol'!$O$3:$T$13,6,0))</f>
        <v>2</v>
      </c>
      <c r="BX116" s="8">
        <f>IF(X116="","",VLOOKUP('Regular Symbol'!X116,'Regular Symbol'!$O$3:$T$13,6,0))</f>
        <v>7</v>
      </c>
      <c r="BY116" s="8">
        <f>IF(Y116="","",VLOOKUP('Regular Symbol'!Y116,'Regular Symbol'!$O$3:$T$13,6,0))</f>
        <v>4</v>
      </c>
      <c r="CA116" s="8" t="str">
        <f t="shared" si="79"/>
        <v>M2</v>
      </c>
      <c r="CB116" s="8" t="str">
        <f t="shared" si="80"/>
        <v>J</v>
      </c>
      <c r="CC116" s="8" t="str">
        <f t="shared" si="81"/>
        <v>A</v>
      </c>
    </row>
    <row r="117" spans="22:81" ht="16.8" customHeight="1">
      <c r="V117" s="27">
        <v>114</v>
      </c>
      <c r="W117" s="25" t="s">
        <v>84</v>
      </c>
      <c r="X117" s="25" t="s">
        <v>16</v>
      </c>
      <c r="Y117" s="25" t="s">
        <v>81</v>
      </c>
      <c r="AA117" s="29">
        <v>1</v>
      </c>
      <c r="AB117" s="29">
        <v>1</v>
      </c>
      <c r="AC117" s="29">
        <v>1</v>
      </c>
      <c r="AD117" s="65"/>
      <c r="AE117" s="29">
        <f t="shared" si="88"/>
        <v>1</v>
      </c>
      <c r="AF117" s="29">
        <f t="shared" si="89"/>
        <v>1</v>
      </c>
      <c r="AG117" s="29">
        <f t="shared" si="90"/>
        <v>1</v>
      </c>
      <c r="AH117" s="65"/>
      <c r="AI117" s="29">
        <f t="shared" si="100"/>
        <v>1</v>
      </c>
      <c r="AJ117" s="29">
        <f t="shared" si="101"/>
        <v>1</v>
      </c>
      <c r="AK117" s="29">
        <f t="shared" si="102"/>
        <v>1</v>
      </c>
      <c r="AM117" s="29">
        <v>1</v>
      </c>
      <c r="AN117" s="29">
        <v>1</v>
      </c>
      <c r="AO117" s="29">
        <v>1</v>
      </c>
      <c r="AQ117" s="29">
        <f t="shared" si="91"/>
        <v>1</v>
      </c>
      <c r="AR117" s="29">
        <f t="shared" si="82"/>
        <v>1</v>
      </c>
      <c r="AS117" s="29">
        <f t="shared" si="83"/>
        <v>1</v>
      </c>
      <c r="AT117" s="65"/>
      <c r="AU117" s="29">
        <f t="shared" si="103"/>
        <v>1</v>
      </c>
      <c r="AV117" s="29">
        <f t="shared" si="92"/>
        <v>1</v>
      </c>
      <c r="AW117" s="29">
        <f t="shared" si="93"/>
        <v>1</v>
      </c>
      <c r="AY117" s="29">
        <v>1</v>
      </c>
      <c r="AZ117" s="29">
        <v>1</v>
      </c>
      <c r="BA117" s="29">
        <v>1</v>
      </c>
      <c r="BC117" s="29">
        <f t="shared" si="94"/>
        <v>1</v>
      </c>
      <c r="BD117" s="29">
        <f t="shared" si="84"/>
        <v>1</v>
      </c>
      <c r="BE117" s="29">
        <f t="shared" si="85"/>
        <v>1</v>
      </c>
      <c r="BF117" s="65"/>
      <c r="BG117" s="29">
        <f t="shared" si="104"/>
        <v>1</v>
      </c>
      <c r="BH117" s="29">
        <f t="shared" si="95"/>
        <v>1</v>
      </c>
      <c r="BI117" s="29">
        <f t="shared" si="96"/>
        <v>1</v>
      </c>
      <c r="BK117" s="29">
        <v>100</v>
      </c>
      <c r="BL117" s="29">
        <v>100</v>
      </c>
      <c r="BM117" s="29">
        <v>100</v>
      </c>
      <c r="BO117" s="29">
        <f t="shared" si="97"/>
        <v>100</v>
      </c>
      <c r="BP117" s="29">
        <f t="shared" si="86"/>
        <v>100</v>
      </c>
      <c r="BQ117" s="29">
        <f t="shared" si="87"/>
        <v>100</v>
      </c>
      <c r="BR117" s="65"/>
      <c r="BS117" s="29">
        <f t="shared" si="105"/>
        <v>100</v>
      </c>
      <c r="BT117" s="29">
        <f t="shared" si="98"/>
        <v>100</v>
      </c>
      <c r="BU117" s="29">
        <f t="shared" si="99"/>
        <v>100</v>
      </c>
      <c r="BW117" s="8">
        <f>IF(W117="","",VLOOKUP('Regular Symbol'!W117,'Regular Symbol'!$O$3:$T$13,6,0))</f>
        <v>7</v>
      </c>
      <c r="BX117" s="8">
        <f>IF(X117="","",VLOOKUP('Regular Symbol'!X117,'Regular Symbol'!$O$3:$T$13,6,0))</f>
        <v>1</v>
      </c>
      <c r="BY117" s="8">
        <f>IF(Y117="","",VLOOKUP('Regular Symbol'!Y117,'Regular Symbol'!$O$3:$T$13,6,0))</f>
        <v>4</v>
      </c>
      <c r="CA117" s="8" t="str">
        <f t="shared" si="79"/>
        <v>J</v>
      </c>
      <c r="CB117" s="8" t="str">
        <f t="shared" si="80"/>
        <v>M1</v>
      </c>
      <c r="CC117" s="8" t="str">
        <f t="shared" si="81"/>
        <v>A</v>
      </c>
    </row>
    <row r="118" spans="22:81" ht="16.8" customHeight="1">
      <c r="V118" s="27">
        <v>115</v>
      </c>
      <c r="W118" s="25" t="s">
        <v>84</v>
      </c>
      <c r="X118" s="25" t="s">
        <v>16</v>
      </c>
      <c r="Y118" s="25" t="s">
        <v>81</v>
      </c>
      <c r="AA118" s="29">
        <v>1</v>
      </c>
      <c r="AB118" s="29">
        <v>1</v>
      </c>
      <c r="AC118" s="29">
        <v>1</v>
      </c>
      <c r="AD118" s="65"/>
      <c r="AE118" s="29">
        <f t="shared" si="88"/>
        <v>1</v>
      </c>
      <c r="AF118" s="29">
        <f t="shared" si="89"/>
        <v>1</v>
      </c>
      <c r="AG118" s="29">
        <f t="shared" si="90"/>
        <v>1</v>
      </c>
      <c r="AH118" s="65"/>
      <c r="AI118" s="29">
        <f t="shared" si="100"/>
        <v>1</v>
      </c>
      <c r="AJ118" s="29">
        <f t="shared" si="101"/>
        <v>1</v>
      </c>
      <c r="AK118" s="29">
        <f t="shared" si="102"/>
        <v>1</v>
      </c>
      <c r="AM118" s="29">
        <v>1</v>
      </c>
      <c r="AN118" s="29">
        <v>1</v>
      </c>
      <c r="AO118" s="29">
        <v>1</v>
      </c>
      <c r="AQ118" s="29">
        <f t="shared" si="91"/>
        <v>1</v>
      </c>
      <c r="AR118" s="29">
        <f t="shared" si="82"/>
        <v>1</v>
      </c>
      <c r="AS118" s="29">
        <f t="shared" si="83"/>
        <v>1</v>
      </c>
      <c r="AT118" s="65"/>
      <c r="AU118" s="29">
        <f t="shared" si="103"/>
        <v>1</v>
      </c>
      <c r="AV118" s="29">
        <f t="shared" si="92"/>
        <v>1</v>
      </c>
      <c r="AW118" s="29">
        <f t="shared" si="93"/>
        <v>1</v>
      </c>
      <c r="AY118" s="29">
        <v>1</v>
      </c>
      <c r="AZ118" s="29">
        <v>1</v>
      </c>
      <c r="BA118" s="29">
        <v>1</v>
      </c>
      <c r="BC118" s="29">
        <f t="shared" si="94"/>
        <v>1</v>
      </c>
      <c r="BD118" s="29">
        <f t="shared" si="84"/>
        <v>1</v>
      </c>
      <c r="BE118" s="29">
        <f t="shared" si="85"/>
        <v>1</v>
      </c>
      <c r="BF118" s="65"/>
      <c r="BG118" s="29">
        <f t="shared" si="104"/>
        <v>1</v>
      </c>
      <c r="BH118" s="29">
        <f t="shared" si="95"/>
        <v>1</v>
      </c>
      <c r="BI118" s="29">
        <f t="shared" si="96"/>
        <v>1</v>
      </c>
      <c r="BK118" s="29">
        <v>100</v>
      </c>
      <c r="BL118" s="29">
        <v>100</v>
      </c>
      <c r="BM118" s="29">
        <v>100</v>
      </c>
      <c r="BO118" s="29">
        <f t="shared" si="97"/>
        <v>100</v>
      </c>
      <c r="BP118" s="29">
        <f t="shared" si="86"/>
        <v>100</v>
      </c>
      <c r="BQ118" s="29">
        <f t="shared" si="87"/>
        <v>100</v>
      </c>
      <c r="BR118" s="65"/>
      <c r="BS118" s="29">
        <f t="shared" si="105"/>
        <v>100</v>
      </c>
      <c r="BT118" s="29">
        <f t="shared" si="98"/>
        <v>100</v>
      </c>
      <c r="BU118" s="29">
        <f t="shared" si="99"/>
        <v>100</v>
      </c>
      <c r="BW118" s="8">
        <f>IF(W118="","",VLOOKUP('Regular Symbol'!W118,'Regular Symbol'!$O$3:$T$13,6,0))</f>
        <v>7</v>
      </c>
      <c r="BX118" s="8">
        <f>IF(X118="","",VLOOKUP('Regular Symbol'!X118,'Regular Symbol'!$O$3:$T$13,6,0))</f>
        <v>1</v>
      </c>
      <c r="BY118" s="8">
        <f>IF(Y118="","",VLOOKUP('Regular Symbol'!Y118,'Regular Symbol'!$O$3:$T$13,6,0))</f>
        <v>4</v>
      </c>
      <c r="CA118" s="8" t="str">
        <f t="shared" si="79"/>
        <v>J</v>
      </c>
      <c r="CB118" s="8" t="str">
        <f t="shared" si="80"/>
        <v>M1</v>
      </c>
      <c r="CC118" s="8" t="str">
        <f t="shared" si="81"/>
        <v>A</v>
      </c>
    </row>
    <row r="119" spans="22:81" ht="16.8" customHeight="1">
      <c r="V119" s="27">
        <v>116</v>
      </c>
      <c r="W119" s="25" t="s">
        <v>17</v>
      </c>
      <c r="X119" s="25" t="s">
        <v>16</v>
      </c>
      <c r="Y119" s="25" t="s">
        <v>18</v>
      </c>
      <c r="AA119" s="29">
        <v>1</v>
      </c>
      <c r="AB119" s="29">
        <v>1</v>
      </c>
      <c r="AC119" s="29">
        <v>1</v>
      </c>
      <c r="AD119" s="65"/>
      <c r="AE119" s="29">
        <f t="shared" si="88"/>
        <v>1</v>
      </c>
      <c r="AF119" s="29">
        <f t="shared" si="89"/>
        <v>1</v>
      </c>
      <c r="AG119" s="29">
        <f t="shared" si="90"/>
        <v>1</v>
      </c>
      <c r="AH119" s="65"/>
      <c r="AI119" s="29">
        <f t="shared" si="100"/>
        <v>1</v>
      </c>
      <c r="AJ119" s="29">
        <f t="shared" si="101"/>
        <v>1</v>
      </c>
      <c r="AK119" s="29">
        <f t="shared" si="102"/>
        <v>1</v>
      </c>
      <c r="AM119" s="29">
        <v>1</v>
      </c>
      <c r="AN119" s="29">
        <v>1</v>
      </c>
      <c r="AO119" s="29">
        <v>1</v>
      </c>
      <c r="AQ119" s="29">
        <f t="shared" si="91"/>
        <v>1</v>
      </c>
      <c r="AR119" s="29">
        <f t="shared" si="82"/>
        <v>1</v>
      </c>
      <c r="AS119" s="29">
        <f t="shared" si="83"/>
        <v>1</v>
      </c>
      <c r="AT119" s="65"/>
      <c r="AU119" s="29">
        <f t="shared" si="103"/>
        <v>1</v>
      </c>
      <c r="AV119" s="29">
        <f t="shared" si="92"/>
        <v>1</v>
      </c>
      <c r="AW119" s="29">
        <f t="shared" si="93"/>
        <v>1</v>
      </c>
      <c r="AY119" s="29">
        <v>1</v>
      </c>
      <c r="AZ119" s="29">
        <v>1</v>
      </c>
      <c r="BA119" s="29">
        <v>1</v>
      </c>
      <c r="BC119" s="29">
        <f t="shared" si="94"/>
        <v>1</v>
      </c>
      <c r="BD119" s="29">
        <f t="shared" si="84"/>
        <v>1</v>
      </c>
      <c r="BE119" s="29">
        <f t="shared" si="85"/>
        <v>1</v>
      </c>
      <c r="BF119" s="65"/>
      <c r="BG119" s="29">
        <f t="shared" si="104"/>
        <v>1</v>
      </c>
      <c r="BH119" s="29">
        <f t="shared" si="95"/>
        <v>1</v>
      </c>
      <c r="BI119" s="29">
        <f t="shared" si="96"/>
        <v>1</v>
      </c>
      <c r="BK119" s="29">
        <v>100</v>
      </c>
      <c r="BL119" s="29">
        <v>100</v>
      </c>
      <c r="BM119" s="29">
        <v>100</v>
      </c>
      <c r="BO119" s="29">
        <f t="shared" si="97"/>
        <v>100</v>
      </c>
      <c r="BP119" s="29">
        <f t="shared" si="86"/>
        <v>100</v>
      </c>
      <c r="BQ119" s="29">
        <f t="shared" si="87"/>
        <v>100</v>
      </c>
      <c r="BR119" s="65"/>
      <c r="BS119" s="29">
        <f t="shared" si="105"/>
        <v>100</v>
      </c>
      <c r="BT119" s="29">
        <f t="shared" si="98"/>
        <v>100</v>
      </c>
      <c r="BU119" s="29">
        <f t="shared" si="99"/>
        <v>100</v>
      </c>
      <c r="BW119" s="8">
        <f>IF(W119="","",VLOOKUP('Regular Symbol'!W119,'Regular Symbol'!$O$3:$T$13,6,0))</f>
        <v>2</v>
      </c>
      <c r="BX119" s="8">
        <f>IF(X119="","",VLOOKUP('Regular Symbol'!X119,'Regular Symbol'!$O$3:$T$13,6,0))</f>
        <v>1</v>
      </c>
      <c r="BY119" s="8">
        <f>IF(Y119="","",VLOOKUP('Regular Symbol'!Y119,'Regular Symbol'!$O$3:$T$13,6,0))</f>
        <v>3</v>
      </c>
      <c r="CA119" s="8" t="str">
        <f t="shared" si="79"/>
        <v>M2</v>
      </c>
      <c r="CB119" s="8" t="str">
        <f t="shared" si="80"/>
        <v>M1</v>
      </c>
      <c r="CC119" s="8" t="str">
        <f t="shared" si="81"/>
        <v>M3</v>
      </c>
    </row>
    <row r="120" spans="22:81" ht="16.8" customHeight="1">
      <c r="V120" s="27">
        <v>117</v>
      </c>
      <c r="W120" s="25" t="s">
        <v>83</v>
      </c>
      <c r="X120" s="25" t="s">
        <v>83</v>
      </c>
      <c r="Y120" s="25" t="s">
        <v>18</v>
      </c>
      <c r="AA120" s="29">
        <v>1</v>
      </c>
      <c r="AB120" s="29">
        <v>1</v>
      </c>
      <c r="AC120" s="29">
        <v>1</v>
      </c>
      <c r="AD120" s="65"/>
      <c r="AE120" s="29">
        <f t="shared" si="88"/>
        <v>1</v>
      </c>
      <c r="AF120" s="29">
        <f t="shared" si="89"/>
        <v>1</v>
      </c>
      <c r="AG120" s="29">
        <f t="shared" si="90"/>
        <v>1</v>
      </c>
      <c r="AH120" s="65"/>
      <c r="AI120" s="29">
        <f t="shared" si="100"/>
        <v>1</v>
      </c>
      <c r="AJ120" s="29">
        <f t="shared" si="101"/>
        <v>1</v>
      </c>
      <c r="AK120" s="29">
        <f t="shared" si="102"/>
        <v>1</v>
      </c>
      <c r="AM120" s="29">
        <v>1</v>
      </c>
      <c r="AN120" s="29">
        <v>1</v>
      </c>
      <c r="AO120" s="29">
        <v>1</v>
      </c>
      <c r="AQ120" s="29">
        <f t="shared" si="91"/>
        <v>1</v>
      </c>
      <c r="AR120" s="29">
        <f t="shared" si="82"/>
        <v>1</v>
      </c>
      <c r="AS120" s="29">
        <f t="shared" si="83"/>
        <v>1</v>
      </c>
      <c r="AT120" s="65"/>
      <c r="AU120" s="29">
        <f t="shared" si="103"/>
        <v>1</v>
      </c>
      <c r="AV120" s="29">
        <f t="shared" si="92"/>
        <v>1</v>
      </c>
      <c r="AW120" s="29">
        <f t="shared" si="93"/>
        <v>1</v>
      </c>
      <c r="AY120" s="29">
        <v>1</v>
      </c>
      <c r="AZ120" s="29">
        <v>1</v>
      </c>
      <c r="BA120" s="29">
        <v>1</v>
      </c>
      <c r="BC120" s="29">
        <f t="shared" si="94"/>
        <v>1</v>
      </c>
      <c r="BD120" s="29">
        <f t="shared" si="84"/>
        <v>1</v>
      </c>
      <c r="BE120" s="29">
        <f t="shared" si="85"/>
        <v>1</v>
      </c>
      <c r="BF120" s="65"/>
      <c r="BG120" s="29">
        <f t="shared" si="104"/>
        <v>1</v>
      </c>
      <c r="BH120" s="29">
        <f t="shared" si="95"/>
        <v>1</v>
      </c>
      <c r="BI120" s="29">
        <f t="shared" si="96"/>
        <v>1</v>
      </c>
      <c r="BK120" s="29">
        <v>447</v>
      </c>
      <c r="BL120" s="29">
        <v>100</v>
      </c>
      <c r="BM120" s="29">
        <v>100</v>
      </c>
      <c r="BO120" s="29">
        <f t="shared" si="97"/>
        <v>100</v>
      </c>
      <c r="BP120" s="29">
        <f t="shared" si="86"/>
        <v>100</v>
      </c>
      <c r="BQ120" s="29">
        <f t="shared" si="87"/>
        <v>100</v>
      </c>
      <c r="BR120" s="65"/>
      <c r="BS120" s="29">
        <f t="shared" si="105"/>
        <v>100</v>
      </c>
      <c r="BT120" s="29">
        <f t="shared" si="98"/>
        <v>100</v>
      </c>
      <c r="BU120" s="29">
        <f t="shared" si="99"/>
        <v>100</v>
      </c>
      <c r="BW120" s="8">
        <f>IF(W120="","",VLOOKUP('Regular Symbol'!W120,'Regular Symbol'!$O$3:$T$13,6,0))</f>
        <v>6</v>
      </c>
      <c r="BX120" s="8">
        <f>IF(X120="","",VLOOKUP('Regular Symbol'!X120,'Regular Symbol'!$O$3:$T$13,6,0))</f>
        <v>6</v>
      </c>
      <c r="BY120" s="8">
        <f>IF(Y120="","",VLOOKUP('Regular Symbol'!Y120,'Regular Symbol'!$O$3:$T$13,6,0))</f>
        <v>3</v>
      </c>
      <c r="CA120" s="8" t="str">
        <f t="shared" si="79"/>
        <v>Q</v>
      </c>
      <c r="CB120" s="8" t="str">
        <f t="shared" si="80"/>
        <v>Q</v>
      </c>
      <c r="CC120" s="8" t="str">
        <f t="shared" si="81"/>
        <v>M3</v>
      </c>
    </row>
    <row r="121" spans="22:81" ht="16.8" customHeight="1">
      <c r="V121" s="27">
        <v>118</v>
      </c>
      <c r="W121" s="25" t="s">
        <v>83</v>
      </c>
      <c r="X121" s="25" t="s">
        <v>83</v>
      </c>
      <c r="Y121" s="25" t="s">
        <v>18</v>
      </c>
      <c r="AA121" s="29">
        <v>1</v>
      </c>
      <c r="AB121" s="29">
        <v>1</v>
      </c>
      <c r="AC121" s="29">
        <v>1</v>
      </c>
      <c r="AD121" s="65"/>
      <c r="AE121" s="29">
        <f t="shared" si="88"/>
        <v>1</v>
      </c>
      <c r="AF121" s="29">
        <f t="shared" si="89"/>
        <v>1</v>
      </c>
      <c r="AG121" s="29">
        <f t="shared" si="90"/>
        <v>1</v>
      </c>
      <c r="AH121" s="65"/>
      <c r="AI121" s="29">
        <f t="shared" si="100"/>
        <v>1</v>
      </c>
      <c r="AJ121" s="29">
        <f t="shared" si="101"/>
        <v>1</v>
      </c>
      <c r="AK121" s="29">
        <f t="shared" si="102"/>
        <v>1</v>
      </c>
      <c r="AM121" s="29">
        <v>1</v>
      </c>
      <c r="AN121" s="29">
        <v>1</v>
      </c>
      <c r="AO121" s="29">
        <v>1</v>
      </c>
      <c r="AQ121" s="29">
        <f t="shared" si="91"/>
        <v>1</v>
      </c>
      <c r="AR121" s="29">
        <f t="shared" si="82"/>
        <v>1</v>
      </c>
      <c r="AS121" s="29">
        <f t="shared" si="83"/>
        <v>1</v>
      </c>
      <c r="AT121" s="65"/>
      <c r="AU121" s="29">
        <f t="shared" si="103"/>
        <v>1</v>
      </c>
      <c r="AV121" s="29">
        <f t="shared" si="92"/>
        <v>1</v>
      </c>
      <c r="AW121" s="29">
        <f t="shared" si="93"/>
        <v>1</v>
      </c>
      <c r="AY121" s="29">
        <v>1</v>
      </c>
      <c r="AZ121" s="29">
        <v>1</v>
      </c>
      <c r="BA121" s="29">
        <v>1</v>
      </c>
      <c r="BC121" s="29">
        <f t="shared" si="94"/>
        <v>1</v>
      </c>
      <c r="BD121" s="29">
        <f t="shared" si="84"/>
        <v>1</v>
      </c>
      <c r="BE121" s="29">
        <f t="shared" si="85"/>
        <v>1</v>
      </c>
      <c r="BF121" s="65"/>
      <c r="BG121" s="29">
        <f t="shared" si="104"/>
        <v>1</v>
      </c>
      <c r="BH121" s="29">
        <f t="shared" si="95"/>
        <v>1</v>
      </c>
      <c r="BI121" s="29">
        <f t="shared" si="96"/>
        <v>1</v>
      </c>
      <c r="BK121" s="29">
        <v>373</v>
      </c>
      <c r="BL121" s="29">
        <v>100</v>
      </c>
      <c r="BM121" s="29">
        <v>100</v>
      </c>
      <c r="BO121" s="29">
        <f t="shared" si="97"/>
        <v>447</v>
      </c>
      <c r="BP121" s="29">
        <f t="shared" si="86"/>
        <v>100</v>
      </c>
      <c r="BQ121" s="29">
        <f t="shared" si="87"/>
        <v>100</v>
      </c>
      <c r="BR121" s="65"/>
      <c r="BS121" s="29">
        <f t="shared" si="105"/>
        <v>100</v>
      </c>
      <c r="BT121" s="29">
        <f t="shared" si="98"/>
        <v>100</v>
      </c>
      <c r="BU121" s="29">
        <f t="shared" si="99"/>
        <v>100</v>
      </c>
      <c r="BW121" s="8">
        <f>IF(W121="","",VLOOKUP('Regular Symbol'!W121,'Regular Symbol'!$O$3:$T$13,6,0))</f>
        <v>6</v>
      </c>
      <c r="BX121" s="8">
        <f>IF(X121="","",VLOOKUP('Regular Symbol'!X121,'Regular Symbol'!$O$3:$T$13,6,0))</f>
        <v>6</v>
      </c>
      <c r="BY121" s="8">
        <f>IF(Y121="","",VLOOKUP('Regular Symbol'!Y121,'Regular Symbol'!$O$3:$T$13,6,0))</f>
        <v>3</v>
      </c>
      <c r="CA121" s="8" t="str">
        <f t="shared" si="79"/>
        <v>Q</v>
      </c>
      <c r="CB121" s="8" t="str">
        <f t="shared" si="80"/>
        <v>Q</v>
      </c>
      <c r="CC121" s="8" t="str">
        <f t="shared" si="81"/>
        <v>M3</v>
      </c>
    </row>
    <row r="122" spans="22:81" ht="16.8" customHeight="1">
      <c r="V122" s="27">
        <v>119</v>
      </c>
      <c r="W122" s="25" t="s">
        <v>15</v>
      </c>
      <c r="X122" s="25" t="s">
        <v>17</v>
      </c>
      <c r="Y122" s="25" t="s">
        <v>82</v>
      </c>
      <c r="AA122" s="29">
        <v>1</v>
      </c>
      <c r="AB122" s="29">
        <v>1</v>
      </c>
      <c r="AC122" s="29">
        <v>1</v>
      </c>
      <c r="AD122" s="65"/>
      <c r="AE122" s="29">
        <f t="shared" si="88"/>
        <v>1</v>
      </c>
      <c r="AF122" s="29">
        <f t="shared" si="89"/>
        <v>1</v>
      </c>
      <c r="AG122" s="29">
        <f t="shared" si="90"/>
        <v>1</v>
      </c>
      <c r="AH122" s="65"/>
      <c r="AI122" s="29">
        <f t="shared" si="100"/>
        <v>1</v>
      </c>
      <c r="AJ122" s="29">
        <f t="shared" si="101"/>
        <v>1</v>
      </c>
      <c r="AK122" s="29">
        <f t="shared" si="102"/>
        <v>1</v>
      </c>
      <c r="AM122" s="29">
        <v>1</v>
      </c>
      <c r="AN122" s="29">
        <v>1</v>
      </c>
      <c r="AO122" s="29">
        <v>1</v>
      </c>
      <c r="AQ122" s="29">
        <f t="shared" si="91"/>
        <v>1</v>
      </c>
      <c r="AR122" s="29">
        <f t="shared" si="82"/>
        <v>1</v>
      </c>
      <c r="AS122" s="29">
        <f t="shared" si="83"/>
        <v>1</v>
      </c>
      <c r="AT122" s="65"/>
      <c r="AU122" s="29">
        <f t="shared" si="103"/>
        <v>1</v>
      </c>
      <c r="AV122" s="29">
        <f t="shared" si="92"/>
        <v>1</v>
      </c>
      <c r="AW122" s="29">
        <f t="shared" si="93"/>
        <v>1</v>
      </c>
      <c r="AY122" s="29">
        <v>1</v>
      </c>
      <c r="AZ122" s="29">
        <v>1</v>
      </c>
      <c r="BA122" s="29">
        <v>1</v>
      </c>
      <c r="BC122" s="29">
        <f t="shared" si="94"/>
        <v>1</v>
      </c>
      <c r="BD122" s="29">
        <f t="shared" si="84"/>
        <v>1</v>
      </c>
      <c r="BE122" s="29">
        <f t="shared" si="85"/>
        <v>1</v>
      </c>
      <c r="BF122" s="65"/>
      <c r="BG122" s="29">
        <f t="shared" si="104"/>
        <v>1</v>
      </c>
      <c r="BH122" s="29">
        <f t="shared" si="95"/>
        <v>1</v>
      </c>
      <c r="BI122" s="29">
        <f t="shared" si="96"/>
        <v>1</v>
      </c>
      <c r="BK122" s="29">
        <v>298</v>
      </c>
      <c r="BL122" s="29">
        <v>100</v>
      </c>
      <c r="BM122" s="29">
        <v>100</v>
      </c>
      <c r="BO122" s="29">
        <f t="shared" si="97"/>
        <v>373</v>
      </c>
      <c r="BP122" s="29">
        <f t="shared" si="86"/>
        <v>100</v>
      </c>
      <c r="BQ122" s="29">
        <f t="shared" si="87"/>
        <v>100</v>
      </c>
      <c r="BR122" s="65"/>
      <c r="BS122" s="29">
        <f t="shared" si="105"/>
        <v>447</v>
      </c>
      <c r="BT122" s="29">
        <f t="shared" si="98"/>
        <v>100</v>
      </c>
      <c r="BU122" s="29">
        <f t="shared" si="99"/>
        <v>100</v>
      </c>
      <c r="BW122" s="8">
        <f>IF(W122="","",VLOOKUP('Regular Symbol'!W122,'Regular Symbol'!$O$3:$T$13,6,0))</f>
        <v>0</v>
      </c>
      <c r="BX122" s="8">
        <f>IF(X122="","",VLOOKUP('Regular Symbol'!X122,'Regular Symbol'!$O$3:$T$13,6,0))</f>
        <v>2</v>
      </c>
      <c r="BY122" s="8">
        <f>IF(Y122="","",VLOOKUP('Regular Symbol'!Y122,'Regular Symbol'!$O$3:$T$13,6,0))</f>
        <v>5</v>
      </c>
      <c r="CA122" s="8" t="str">
        <f t="shared" si="79"/>
        <v>Wild</v>
      </c>
      <c r="CB122" s="8" t="str">
        <f t="shared" si="80"/>
        <v>M2</v>
      </c>
      <c r="CC122" s="8" t="str">
        <f t="shared" si="81"/>
        <v>K</v>
      </c>
    </row>
    <row r="123" spans="22:81" ht="16.8" customHeight="1">
      <c r="V123" s="27">
        <v>120</v>
      </c>
      <c r="W123" s="25" t="s">
        <v>15</v>
      </c>
      <c r="X123" s="25" t="s">
        <v>17</v>
      </c>
      <c r="Y123" s="25" t="s">
        <v>82</v>
      </c>
      <c r="AA123" s="29">
        <v>1</v>
      </c>
      <c r="AB123" s="29">
        <v>1</v>
      </c>
      <c r="AC123" s="29">
        <v>1</v>
      </c>
      <c r="AD123" s="65"/>
      <c r="AE123" s="29">
        <f t="shared" si="88"/>
        <v>1</v>
      </c>
      <c r="AF123" s="29">
        <f t="shared" si="89"/>
        <v>1</v>
      </c>
      <c r="AG123" s="29">
        <f t="shared" si="90"/>
        <v>1</v>
      </c>
      <c r="AH123" s="65"/>
      <c r="AI123" s="29">
        <f t="shared" si="100"/>
        <v>1</v>
      </c>
      <c r="AJ123" s="29">
        <f t="shared" si="101"/>
        <v>1</v>
      </c>
      <c r="AK123" s="29">
        <f t="shared" si="102"/>
        <v>1</v>
      </c>
      <c r="AM123" s="29">
        <v>1</v>
      </c>
      <c r="AN123" s="29">
        <v>1</v>
      </c>
      <c r="AO123" s="29">
        <v>1</v>
      </c>
      <c r="AQ123" s="29">
        <f t="shared" si="91"/>
        <v>1</v>
      </c>
      <c r="AR123" s="29">
        <f t="shared" si="82"/>
        <v>1</v>
      </c>
      <c r="AS123" s="29">
        <f t="shared" si="83"/>
        <v>1</v>
      </c>
      <c r="AT123" s="65"/>
      <c r="AU123" s="29">
        <f t="shared" si="103"/>
        <v>1</v>
      </c>
      <c r="AV123" s="29">
        <f t="shared" si="92"/>
        <v>1</v>
      </c>
      <c r="AW123" s="29">
        <f t="shared" si="93"/>
        <v>1</v>
      </c>
      <c r="AY123" s="29">
        <v>1</v>
      </c>
      <c r="AZ123" s="29">
        <v>1</v>
      </c>
      <c r="BA123" s="29">
        <v>1</v>
      </c>
      <c r="BC123" s="29">
        <f t="shared" si="94"/>
        <v>1</v>
      </c>
      <c r="BD123" s="29">
        <f t="shared" si="84"/>
        <v>1</v>
      </c>
      <c r="BE123" s="29">
        <f t="shared" si="85"/>
        <v>1</v>
      </c>
      <c r="BF123" s="65"/>
      <c r="BG123" s="29">
        <f t="shared" si="104"/>
        <v>1</v>
      </c>
      <c r="BH123" s="29">
        <f t="shared" si="95"/>
        <v>1</v>
      </c>
      <c r="BI123" s="29">
        <f t="shared" si="96"/>
        <v>1</v>
      </c>
      <c r="BK123" s="29">
        <v>373</v>
      </c>
      <c r="BL123" s="29">
        <v>100</v>
      </c>
      <c r="BM123" s="29">
        <v>100</v>
      </c>
      <c r="BO123" s="29">
        <f t="shared" si="97"/>
        <v>298</v>
      </c>
      <c r="BP123" s="29">
        <f t="shared" si="86"/>
        <v>100</v>
      </c>
      <c r="BQ123" s="29">
        <f t="shared" si="87"/>
        <v>100</v>
      </c>
      <c r="BR123" s="65"/>
      <c r="BS123" s="29">
        <f t="shared" si="105"/>
        <v>373</v>
      </c>
      <c r="BT123" s="29">
        <f t="shared" si="98"/>
        <v>100</v>
      </c>
      <c r="BU123" s="29">
        <f t="shared" si="99"/>
        <v>100</v>
      </c>
      <c r="BW123" s="8">
        <f>IF(W123="","",VLOOKUP('Regular Symbol'!W123,'Regular Symbol'!$O$3:$T$13,6,0))</f>
        <v>0</v>
      </c>
      <c r="BX123" s="8">
        <f>IF(X123="","",VLOOKUP('Regular Symbol'!X123,'Regular Symbol'!$O$3:$T$13,6,0))</f>
        <v>2</v>
      </c>
      <c r="BY123" s="8">
        <f>IF(Y123="","",VLOOKUP('Regular Symbol'!Y123,'Regular Symbol'!$O$3:$T$13,6,0))</f>
        <v>5</v>
      </c>
      <c r="CA123" s="8" t="str">
        <f t="shared" si="79"/>
        <v>Wild</v>
      </c>
      <c r="CB123" s="8" t="str">
        <f t="shared" si="80"/>
        <v>M2</v>
      </c>
      <c r="CC123" s="8" t="str">
        <f t="shared" si="81"/>
        <v>K</v>
      </c>
    </row>
    <row r="124" spans="22:81" ht="16.8" customHeight="1">
      <c r="V124" s="27">
        <v>121</v>
      </c>
      <c r="W124" s="25" t="s">
        <v>25</v>
      </c>
      <c r="X124" s="25" t="s">
        <v>84</v>
      </c>
      <c r="Y124" s="25" t="s">
        <v>82</v>
      </c>
      <c r="AA124" s="29">
        <v>1</v>
      </c>
      <c r="AB124" s="29">
        <v>1</v>
      </c>
      <c r="AC124" s="29">
        <v>1</v>
      </c>
      <c r="AD124" s="65"/>
      <c r="AE124" s="29">
        <f t="shared" si="88"/>
        <v>1</v>
      </c>
      <c r="AF124" s="29">
        <f t="shared" si="89"/>
        <v>1</v>
      </c>
      <c r="AG124" s="29">
        <f t="shared" si="90"/>
        <v>1</v>
      </c>
      <c r="AH124" s="65"/>
      <c r="AI124" s="29">
        <f t="shared" si="100"/>
        <v>1</v>
      </c>
      <c r="AJ124" s="29">
        <f t="shared" si="101"/>
        <v>1</v>
      </c>
      <c r="AK124" s="29">
        <f t="shared" si="102"/>
        <v>1</v>
      </c>
      <c r="AM124" s="29">
        <v>1</v>
      </c>
      <c r="AN124" s="29">
        <v>1</v>
      </c>
      <c r="AO124" s="29">
        <v>1</v>
      </c>
      <c r="AQ124" s="29">
        <f t="shared" si="91"/>
        <v>1</v>
      </c>
      <c r="AR124" s="29">
        <f t="shared" si="82"/>
        <v>1</v>
      </c>
      <c r="AS124" s="29">
        <f t="shared" si="83"/>
        <v>1</v>
      </c>
      <c r="AT124" s="65"/>
      <c r="AU124" s="29">
        <f t="shared" si="103"/>
        <v>1</v>
      </c>
      <c r="AV124" s="29">
        <f t="shared" si="92"/>
        <v>1</v>
      </c>
      <c r="AW124" s="29">
        <f t="shared" si="93"/>
        <v>1</v>
      </c>
      <c r="AY124" s="29">
        <v>1</v>
      </c>
      <c r="AZ124" s="29">
        <v>1</v>
      </c>
      <c r="BA124" s="29">
        <v>1</v>
      </c>
      <c r="BC124" s="29">
        <f t="shared" si="94"/>
        <v>1</v>
      </c>
      <c r="BD124" s="29">
        <f t="shared" si="84"/>
        <v>1</v>
      </c>
      <c r="BE124" s="29">
        <f t="shared" si="85"/>
        <v>1</v>
      </c>
      <c r="BF124" s="65"/>
      <c r="BG124" s="29">
        <f t="shared" si="104"/>
        <v>1</v>
      </c>
      <c r="BH124" s="29">
        <f t="shared" si="95"/>
        <v>1</v>
      </c>
      <c r="BI124" s="29">
        <f t="shared" si="96"/>
        <v>1</v>
      </c>
      <c r="BK124" s="29">
        <v>447</v>
      </c>
      <c r="BL124" s="29">
        <v>100</v>
      </c>
      <c r="BM124" s="29">
        <v>100</v>
      </c>
      <c r="BO124" s="29">
        <f t="shared" si="97"/>
        <v>373</v>
      </c>
      <c r="BP124" s="29">
        <f t="shared" si="86"/>
        <v>100</v>
      </c>
      <c r="BQ124" s="29">
        <f t="shared" si="87"/>
        <v>100</v>
      </c>
      <c r="BR124" s="65"/>
      <c r="BS124" s="29">
        <f t="shared" si="105"/>
        <v>298</v>
      </c>
      <c r="BT124" s="29">
        <f t="shared" si="98"/>
        <v>100</v>
      </c>
      <c r="BU124" s="29">
        <f t="shared" si="99"/>
        <v>100</v>
      </c>
      <c r="BW124" s="8">
        <f>IF(W124="","",VLOOKUP('Regular Symbol'!W124,'Regular Symbol'!$O$3:$T$13,6,0))</f>
        <v>0</v>
      </c>
      <c r="BX124" s="8">
        <f>IF(X124="","",VLOOKUP('Regular Symbol'!X124,'Regular Symbol'!$O$3:$T$13,6,0))</f>
        <v>7</v>
      </c>
      <c r="BY124" s="8">
        <f>IF(Y124="","",VLOOKUP('Regular Symbol'!Y124,'Regular Symbol'!$O$3:$T$13,6,0))</f>
        <v>5</v>
      </c>
      <c r="CA124" s="8" t="str">
        <f t="shared" si="79"/>
        <v>Wild</v>
      </c>
      <c r="CB124" s="8" t="str">
        <f t="shared" si="80"/>
        <v>J</v>
      </c>
      <c r="CC124" s="8" t="str">
        <f t="shared" si="81"/>
        <v>K</v>
      </c>
    </row>
    <row r="125" spans="22:81" ht="16.8" customHeight="1">
      <c r="V125" s="27">
        <v>122</v>
      </c>
      <c r="W125" s="25" t="s">
        <v>84</v>
      </c>
      <c r="X125" s="25" t="s">
        <v>84</v>
      </c>
      <c r="Y125" s="25" t="s">
        <v>18</v>
      </c>
      <c r="AA125" s="29">
        <v>1</v>
      </c>
      <c r="AB125" s="29">
        <v>1</v>
      </c>
      <c r="AC125" s="29">
        <v>1</v>
      </c>
      <c r="AD125" s="65"/>
      <c r="AE125" s="29">
        <f t="shared" si="88"/>
        <v>1</v>
      </c>
      <c r="AF125" s="29">
        <f t="shared" si="89"/>
        <v>1</v>
      </c>
      <c r="AG125" s="29">
        <f t="shared" si="90"/>
        <v>1</v>
      </c>
      <c r="AH125" s="65"/>
      <c r="AI125" s="29">
        <f t="shared" si="100"/>
        <v>1</v>
      </c>
      <c r="AJ125" s="29">
        <f t="shared" si="101"/>
        <v>1</v>
      </c>
      <c r="AK125" s="29">
        <f t="shared" si="102"/>
        <v>1</v>
      </c>
      <c r="AM125" s="29">
        <v>1</v>
      </c>
      <c r="AN125" s="29">
        <v>1</v>
      </c>
      <c r="AO125" s="29">
        <v>1</v>
      </c>
      <c r="AQ125" s="29">
        <f t="shared" si="91"/>
        <v>1</v>
      </c>
      <c r="AR125" s="29">
        <f t="shared" si="82"/>
        <v>1</v>
      </c>
      <c r="AS125" s="29">
        <f t="shared" si="83"/>
        <v>1</v>
      </c>
      <c r="AT125" s="65"/>
      <c r="AU125" s="29">
        <f t="shared" si="103"/>
        <v>1</v>
      </c>
      <c r="AV125" s="29">
        <f t="shared" si="92"/>
        <v>1</v>
      </c>
      <c r="AW125" s="29">
        <f t="shared" si="93"/>
        <v>1</v>
      </c>
      <c r="AY125" s="29">
        <v>1</v>
      </c>
      <c r="AZ125" s="29">
        <v>1</v>
      </c>
      <c r="BA125" s="29">
        <v>1</v>
      </c>
      <c r="BC125" s="29">
        <f t="shared" si="94"/>
        <v>1</v>
      </c>
      <c r="BD125" s="29">
        <f t="shared" si="84"/>
        <v>1</v>
      </c>
      <c r="BE125" s="29">
        <f t="shared" si="85"/>
        <v>1</v>
      </c>
      <c r="BF125" s="65"/>
      <c r="BG125" s="29">
        <f t="shared" si="104"/>
        <v>1</v>
      </c>
      <c r="BH125" s="29">
        <f t="shared" si="95"/>
        <v>1</v>
      </c>
      <c r="BI125" s="29">
        <f t="shared" si="96"/>
        <v>1</v>
      </c>
      <c r="BK125" s="29">
        <v>100</v>
      </c>
      <c r="BL125" s="29">
        <v>100</v>
      </c>
      <c r="BM125" s="29">
        <v>100</v>
      </c>
      <c r="BO125" s="29">
        <f t="shared" si="97"/>
        <v>447</v>
      </c>
      <c r="BP125" s="29">
        <f t="shared" si="86"/>
        <v>100</v>
      </c>
      <c r="BQ125" s="29">
        <f t="shared" si="87"/>
        <v>100</v>
      </c>
      <c r="BR125" s="65"/>
      <c r="BS125" s="29">
        <f t="shared" si="105"/>
        <v>373</v>
      </c>
      <c r="BT125" s="29">
        <f t="shared" si="98"/>
        <v>100</v>
      </c>
      <c r="BU125" s="29">
        <f t="shared" si="99"/>
        <v>100</v>
      </c>
      <c r="BW125" s="8">
        <f>IF(W125="","",VLOOKUP('Regular Symbol'!W125,'Regular Symbol'!$O$3:$T$13,6,0))</f>
        <v>7</v>
      </c>
      <c r="BX125" s="8">
        <f>IF(X125="","",VLOOKUP('Regular Symbol'!X125,'Regular Symbol'!$O$3:$T$13,6,0))</f>
        <v>7</v>
      </c>
      <c r="BY125" s="8">
        <f>IF(Y125="","",VLOOKUP('Regular Symbol'!Y125,'Regular Symbol'!$O$3:$T$13,6,0))</f>
        <v>3</v>
      </c>
      <c r="CA125" s="8" t="str">
        <f t="shared" si="79"/>
        <v>J</v>
      </c>
      <c r="CB125" s="8" t="str">
        <f t="shared" si="80"/>
        <v>J</v>
      </c>
      <c r="CC125" s="8" t="str">
        <f t="shared" si="81"/>
        <v>M3</v>
      </c>
    </row>
    <row r="126" spans="22:81" ht="16.8" customHeight="1">
      <c r="V126" s="27">
        <v>123</v>
      </c>
      <c r="W126" s="25"/>
      <c r="X126" s="25" t="s">
        <v>18</v>
      </c>
      <c r="Y126" s="25" t="s">
        <v>18</v>
      </c>
      <c r="AA126" s="29"/>
      <c r="AB126" s="29">
        <v>1</v>
      </c>
      <c r="AC126" s="29">
        <v>1</v>
      </c>
      <c r="AD126" s="65"/>
      <c r="AE126" s="29">
        <f t="shared" si="88"/>
        <v>1</v>
      </c>
      <c r="AF126" s="29">
        <f t="shared" si="89"/>
        <v>1</v>
      </c>
      <c r="AG126" s="29">
        <f t="shared" si="90"/>
        <v>1</v>
      </c>
      <c r="AH126" s="65"/>
      <c r="AI126" s="29">
        <f t="shared" si="100"/>
        <v>1</v>
      </c>
      <c r="AJ126" s="29">
        <f t="shared" si="101"/>
        <v>1</v>
      </c>
      <c r="AK126" s="29">
        <f t="shared" si="102"/>
        <v>1</v>
      </c>
      <c r="AM126" s="29"/>
      <c r="AN126" s="29">
        <v>1</v>
      </c>
      <c r="AO126" s="29">
        <v>1</v>
      </c>
      <c r="AQ126" s="29">
        <f t="shared" si="91"/>
        <v>1</v>
      </c>
      <c r="AR126" s="29">
        <f t="shared" si="82"/>
        <v>1</v>
      </c>
      <c r="AS126" s="29">
        <f t="shared" si="83"/>
        <v>1</v>
      </c>
      <c r="AT126" s="65"/>
      <c r="AU126" s="29">
        <f t="shared" si="103"/>
        <v>1</v>
      </c>
      <c r="AV126" s="29">
        <f t="shared" si="92"/>
        <v>1</v>
      </c>
      <c r="AW126" s="29">
        <f t="shared" si="93"/>
        <v>1</v>
      </c>
      <c r="AY126" s="29"/>
      <c r="AZ126" s="29">
        <v>1</v>
      </c>
      <c r="BA126" s="29">
        <v>1</v>
      </c>
      <c r="BC126" s="29">
        <f t="shared" si="94"/>
        <v>1</v>
      </c>
      <c r="BD126" s="29">
        <f t="shared" si="84"/>
        <v>1</v>
      </c>
      <c r="BE126" s="29">
        <f t="shared" si="85"/>
        <v>1</v>
      </c>
      <c r="BF126" s="65"/>
      <c r="BG126" s="29">
        <f t="shared" si="104"/>
        <v>1</v>
      </c>
      <c r="BH126" s="29">
        <f t="shared" si="95"/>
        <v>1</v>
      </c>
      <c r="BI126" s="29">
        <f t="shared" si="96"/>
        <v>1</v>
      </c>
      <c r="BK126" s="29"/>
      <c r="BL126" s="29">
        <v>100</v>
      </c>
      <c r="BM126" s="29">
        <v>100</v>
      </c>
      <c r="BO126" s="29">
        <f t="shared" si="97"/>
        <v>100</v>
      </c>
      <c r="BP126" s="29">
        <f t="shared" si="86"/>
        <v>100</v>
      </c>
      <c r="BQ126" s="29">
        <f t="shared" si="87"/>
        <v>100</v>
      </c>
      <c r="BR126" s="65"/>
      <c r="BS126" s="29">
        <f t="shared" si="105"/>
        <v>447</v>
      </c>
      <c r="BT126" s="29">
        <f t="shared" si="98"/>
        <v>100</v>
      </c>
      <c r="BU126" s="29">
        <f t="shared" si="99"/>
        <v>100</v>
      </c>
      <c r="BW126" s="8" t="str">
        <f>IF(W126="","",VLOOKUP('Regular Symbol'!W126,'Regular Symbol'!$O$3:$T$13,6,0))</f>
        <v/>
      </c>
      <c r="BX126" s="8">
        <f>IF(X126="","",VLOOKUP('Regular Symbol'!X126,'Regular Symbol'!$O$3:$T$13,6,0))</f>
        <v>3</v>
      </c>
      <c r="BY126" s="8">
        <f>IF(Y126="","",VLOOKUP('Regular Symbol'!Y126,'Regular Symbol'!$O$3:$T$13,6,0))</f>
        <v>3</v>
      </c>
      <c r="CA126" s="8" t="str">
        <f t="shared" si="79"/>
        <v/>
      </c>
      <c r="CB126" s="8" t="str">
        <f t="shared" si="80"/>
        <v>M3</v>
      </c>
      <c r="CC126" s="8" t="str">
        <f t="shared" si="81"/>
        <v>M3</v>
      </c>
    </row>
    <row r="127" spans="22:81" ht="16.8" customHeight="1">
      <c r="V127" s="27">
        <v>124</v>
      </c>
      <c r="W127" s="25"/>
      <c r="X127" s="25" t="s">
        <v>18</v>
      </c>
      <c r="Y127" s="25" t="s">
        <v>83</v>
      </c>
      <c r="AA127" s="29"/>
      <c r="AB127" s="29">
        <v>1</v>
      </c>
      <c r="AC127" s="29">
        <v>1</v>
      </c>
      <c r="AD127" s="65"/>
      <c r="AE127" s="29" t="str">
        <f t="shared" si="88"/>
        <v/>
      </c>
      <c r="AF127" s="29">
        <f t="shared" si="89"/>
        <v>1</v>
      </c>
      <c r="AG127" s="29">
        <f t="shared" si="90"/>
        <v>1</v>
      </c>
      <c r="AH127" s="65"/>
      <c r="AI127" s="29">
        <f t="shared" si="100"/>
        <v>1</v>
      </c>
      <c r="AJ127" s="29">
        <f t="shared" si="101"/>
        <v>1</v>
      </c>
      <c r="AK127" s="29">
        <f t="shared" si="102"/>
        <v>1</v>
      </c>
      <c r="AM127" s="29"/>
      <c r="AN127" s="29">
        <v>1</v>
      </c>
      <c r="AO127" s="29">
        <v>1</v>
      </c>
      <c r="AQ127" s="29" t="str">
        <f t="shared" si="91"/>
        <v/>
      </c>
      <c r="AR127" s="29">
        <f t="shared" si="82"/>
        <v>1</v>
      </c>
      <c r="AS127" s="29">
        <f t="shared" si="83"/>
        <v>1</v>
      </c>
      <c r="AT127" s="65"/>
      <c r="AU127" s="29">
        <f t="shared" si="103"/>
        <v>1</v>
      </c>
      <c r="AV127" s="29">
        <f t="shared" si="92"/>
        <v>1</v>
      </c>
      <c r="AW127" s="29">
        <f t="shared" si="93"/>
        <v>1</v>
      </c>
      <c r="AY127" s="29"/>
      <c r="AZ127" s="29">
        <v>1</v>
      </c>
      <c r="BA127" s="29">
        <v>1</v>
      </c>
      <c r="BC127" s="29" t="str">
        <f t="shared" si="94"/>
        <v/>
      </c>
      <c r="BD127" s="29">
        <f t="shared" si="84"/>
        <v>1</v>
      </c>
      <c r="BE127" s="29">
        <f t="shared" si="85"/>
        <v>1</v>
      </c>
      <c r="BF127" s="65"/>
      <c r="BG127" s="29">
        <f t="shared" si="104"/>
        <v>1</v>
      </c>
      <c r="BH127" s="29">
        <f t="shared" si="95"/>
        <v>1</v>
      </c>
      <c r="BI127" s="29">
        <f t="shared" si="96"/>
        <v>1</v>
      </c>
      <c r="BK127" s="29"/>
      <c r="BL127" s="29">
        <v>100</v>
      </c>
      <c r="BM127" s="29">
        <v>100</v>
      </c>
      <c r="BO127" s="29" t="str">
        <f t="shared" si="97"/>
        <v/>
      </c>
      <c r="BP127" s="29">
        <f t="shared" si="86"/>
        <v>100</v>
      </c>
      <c r="BQ127" s="29">
        <f t="shared" si="87"/>
        <v>100</v>
      </c>
      <c r="BR127" s="65"/>
      <c r="BS127" s="29">
        <f t="shared" si="105"/>
        <v>100</v>
      </c>
      <c r="BT127" s="29">
        <f t="shared" si="98"/>
        <v>100</v>
      </c>
      <c r="BU127" s="29">
        <f t="shared" si="99"/>
        <v>100</v>
      </c>
      <c r="BW127" s="8" t="str">
        <f>IF(W127="","",VLOOKUP('Regular Symbol'!W127,'Regular Symbol'!$O$3:$T$13,6,0))</f>
        <v/>
      </c>
      <c r="BX127" s="8">
        <f>IF(X127="","",VLOOKUP('Regular Symbol'!X127,'Regular Symbol'!$O$3:$T$13,6,0))</f>
        <v>3</v>
      </c>
      <c r="BY127" s="8">
        <f>IF(Y127="","",VLOOKUP('Regular Symbol'!Y127,'Regular Symbol'!$O$3:$T$13,6,0))</f>
        <v>6</v>
      </c>
      <c r="CA127" s="8" t="str">
        <f t="shared" si="79"/>
        <v/>
      </c>
      <c r="CB127" s="8" t="str">
        <f t="shared" si="80"/>
        <v>M3</v>
      </c>
      <c r="CC127" s="8" t="str">
        <f t="shared" si="81"/>
        <v>Q</v>
      </c>
    </row>
    <row r="128" spans="22:81" ht="16.8" customHeight="1">
      <c r="V128" s="27">
        <v>125</v>
      </c>
      <c r="W128" s="25"/>
      <c r="X128" s="25" t="s">
        <v>18</v>
      </c>
      <c r="Y128" s="25" t="s">
        <v>83</v>
      </c>
      <c r="AA128" s="29"/>
      <c r="AB128" s="29">
        <v>1</v>
      </c>
      <c r="AC128" s="29">
        <v>1</v>
      </c>
      <c r="AD128" s="65"/>
      <c r="AE128" s="29" t="str">
        <f t="shared" si="88"/>
        <v/>
      </c>
      <c r="AF128" s="29">
        <f t="shared" si="89"/>
        <v>1</v>
      </c>
      <c r="AG128" s="29">
        <f t="shared" si="90"/>
        <v>1</v>
      </c>
      <c r="AH128" s="65"/>
      <c r="AI128" s="29" t="str">
        <f t="shared" si="100"/>
        <v/>
      </c>
      <c r="AJ128" s="29">
        <f t="shared" si="101"/>
        <v>1</v>
      </c>
      <c r="AK128" s="29">
        <f t="shared" si="102"/>
        <v>1</v>
      </c>
      <c r="AM128" s="29"/>
      <c r="AN128" s="29">
        <v>1</v>
      </c>
      <c r="AO128" s="29">
        <v>1</v>
      </c>
      <c r="AQ128" s="29" t="str">
        <f t="shared" si="91"/>
        <v/>
      </c>
      <c r="AR128" s="29">
        <f t="shared" si="82"/>
        <v>1</v>
      </c>
      <c r="AS128" s="29">
        <f t="shared" si="83"/>
        <v>1</v>
      </c>
      <c r="AT128" s="65"/>
      <c r="AU128" s="29" t="str">
        <f t="shared" si="103"/>
        <v/>
      </c>
      <c r="AV128" s="29">
        <f t="shared" si="92"/>
        <v>1</v>
      </c>
      <c r="AW128" s="29">
        <f t="shared" si="93"/>
        <v>1</v>
      </c>
      <c r="AY128" s="29"/>
      <c r="AZ128" s="29">
        <v>1</v>
      </c>
      <c r="BA128" s="29">
        <v>1</v>
      </c>
      <c r="BC128" s="29" t="str">
        <f t="shared" si="94"/>
        <v/>
      </c>
      <c r="BD128" s="29">
        <f t="shared" si="84"/>
        <v>1</v>
      </c>
      <c r="BE128" s="29">
        <f t="shared" si="85"/>
        <v>1</v>
      </c>
      <c r="BF128" s="65"/>
      <c r="BG128" s="29" t="str">
        <f t="shared" si="104"/>
        <v/>
      </c>
      <c r="BH128" s="29">
        <f t="shared" si="95"/>
        <v>1</v>
      </c>
      <c r="BI128" s="29">
        <f t="shared" si="96"/>
        <v>1</v>
      </c>
      <c r="BK128" s="29"/>
      <c r="BL128" s="29">
        <v>100</v>
      </c>
      <c r="BM128" s="29">
        <v>100</v>
      </c>
      <c r="BO128" s="29" t="str">
        <f t="shared" si="97"/>
        <v/>
      </c>
      <c r="BP128" s="29">
        <f t="shared" si="86"/>
        <v>100</v>
      </c>
      <c r="BQ128" s="29">
        <f t="shared" si="87"/>
        <v>100</v>
      </c>
      <c r="BR128" s="65"/>
      <c r="BS128" s="29" t="str">
        <f t="shared" si="105"/>
        <v/>
      </c>
      <c r="BT128" s="29">
        <f t="shared" si="98"/>
        <v>100</v>
      </c>
      <c r="BU128" s="29">
        <f t="shared" si="99"/>
        <v>100</v>
      </c>
      <c r="BW128" s="8" t="str">
        <f>IF(W128="","",VLOOKUP('Regular Symbol'!W128,'Regular Symbol'!$O$3:$T$13,6,0))</f>
        <v/>
      </c>
      <c r="BX128" s="8">
        <f>IF(X128="","",VLOOKUP('Regular Symbol'!X128,'Regular Symbol'!$O$3:$T$13,6,0))</f>
        <v>3</v>
      </c>
      <c r="BY128" s="8">
        <f>IF(Y128="","",VLOOKUP('Regular Symbol'!Y128,'Regular Symbol'!$O$3:$T$13,6,0))</f>
        <v>6</v>
      </c>
      <c r="CA128" s="8" t="str">
        <f t="shared" si="79"/>
        <v/>
      </c>
      <c r="CB128" s="8" t="str">
        <f t="shared" si="80"/>
        <v>M3</v>
      </c>
      <c r="CC128" s="8" t="str">
        <f t="shared" si="81"/>
        <v>Q</v>
      </c>
    </row>
    <row r="129" spans="22:81" ht="16.8" customHeight="1">
      <c r="V129" s="27">
        <v>126</v>
      </c>
      <c r="W129" s="25"/>
      <c r="X129" s="25" t="s">
        <v>82</v>
      </c>
      <c r="Y129" s="25" t="s">
        <v>83</v>
      </c>
      <c r="AA129" s="29"/>
      <c r="AB129" s="29">
        <v>1</v>
      </c>
      <c r="AC129" s="29">
        <v>1</v>
      </c>
      <c r="AD129" s="65"/>
      <c r="AE129" s="29" t="str">
        <f t="shared" si="88"/>
        <v/>
      </c>
      <c r="AF129" s="29">
        <f t="shared" si="89"/>
        <v>1</v>
      </c>
      <c r="AG129" s="29">
        <f t="shared" si="90"/>
        <v>1</v>
      </c>
      <c r="AH129" s="65"/>
      <c r="AI129" s="29" t="str">
        <f t="shared" si="100"/>
        <v/>
      </c>
      <c r="AJ129" s="29">
        <f t="shared" si="101"/>
        <v>1</v>
      </c>
      <c r="AK129" s="29">
        <f t="shared" si="102"/>
        <v>1</v>
      </c>
      <c r="AM129" s="29"/>
      <c r="AN129" s="29">
        <v>1</v>
      </c>
      <c r="AO129" s="29">
        <v>1</v>
      </c>
      <c r="AQ129" s="29" t="str">
        <f t="shared" si="91"/>
        <v/>
      </c>
      <c r="AR129" s="29">
        <f t="shared" si="82"/>
        <v>1</v>
      </c>
      <c r="AS129" s="29">
        <f t="shared" si="83"/>
        <v>1</v>
      </c>
      <c r="AT129" s="65"/>
      <c r="AU129" s="29" t="str">
        <f t="shared" si="103"/>
        <v/>
      </c>
      <c r="AV129" s="29">
        <f t="shared" si="92"/>
        <v>1</v>
      </c>
      <c r="AW129" s="29">
        <f t="shared" si="93"/>
        <v>1</v>
      </c>
      <c r="AY129" s="29"/>
      <c r="AZ129" s="29">
        <v>1</v>
      </c>
      <c r="BA129" s="29">
        <v>1</v>
      </c>
      <c r="BC129" s="29" t="str">
        <f t="shared" si="94"/>
        <v/>
      </c>
      <c r="BD129" s="29">
        <f t="shared" si="84"/>
        <v>1</v>
      </c>
      <c r="BE129" s="29">
        <f t="shared" si="85"/>
        <v>1</v>
      </c>
      <c r="BF129" s="65"/>
      <c r="BG129" s="29" t="str">
        <f t="shared" si="104"/>
        <v/>
      </c>
      <c r="BH129" s="29">
        <f t="shared" si="95"/>
        <v>1</v>
      </c>
      <c r="BI129" s="29">
        <f t="shared" si="96"/>
        <v>1</v>
      </c>
      <c r="BK129" s="29"/>
      <c r="BL129" s="29">
        <v>100</v>
      </c>
      <c r="BM129" s="29">
        <v>100</v>
      </c>
      <c r="BO129" s="29" t="str">
        <f t="shared" si="97"/>
        <v/>
      </c>
      <c r="BP129" s="29">
        <f t="shared" si="86"/>
        <v>100</v>
      </c>
      <c r="BQ129" s="29">
        <f t="shared" si="87"/>
        <v>100</v>
      </c>
      <c r="BR129" s="65"/>
      <c r="BS129" s="29" t="str">
        <f t="shared" si="105"/>
        <v/>
      </c>
      <c r="BT129" s="29">
        <f t="shared" si="98"/>
        <v>100</v>
      </c>
      <c r="BU129" s="29">
        <f t="shared" si="99"/>
        <v>100</v>
      </c>
      <c r="BW129" s="8" t="str">
        <f>IF(W129="","",VLOOKUP('Regular Symbol'!W129,'Regular Symbol'!$O$3:$T$13,6,0))</f>
        <v/>
      </c>
      <c r="BX129" s="8">
        <f>IF(X129="","",VLOOKUP('Regular Symbol'!X129,'Regular Symbol'!$O$3:$T$13,6,0))</f>
        <v>5</v>
      </c>
      <c r="BY129" s="8">
        <f>IF(Y129="","",VLOOKUP('Regular Symbol'!Y129,'Regular Symbol'!$O$3:$T$13,6,0))</f>
        <v>6</v>
      </c>
      <c r="CA129" s="8" t="str">
        <f t="shared" si="79"/>
        <v/>
      </c>
      <c r="CB129" s="8" t="str">
        <f t="shared" si="80"/>
        <v>K</v>
      </c>
      <c r="CC129" s="8" t="str">
        <f t="shared" si="81"/>
        <v>Q</v>
      </c>
    </row>
    <row r="130" spans="22:81" ht="16.8" customHeight="1">
      <c r="V130" s="27">
        <v>127</v>
      </c>
      <c r="W130" s="25"/>
      <c r="X130" s="25" t="s">
        <v>82</v>
      </c>
      <c r="Y130" s="25" t="s">
        <v>27</v>
      </c>
      <c r="AA130" s="29"/>
      <c r="AB130" s="29">
        <v>1</v>
      </c>
      <c r="AC130" s="29">
        <v>1</v>
      </c>
      <c r="AD130" s="65"/>
      <c r="AE130" s="29" t="str">
        <f t="shared" si="88"/>
        <v/>
      </c>
      <c r="AF130" s="29">
        <f t="shared" si="89"/>
        <v>1</v>
      </c>
      <c r="AG130" s="29">
        <f t="shared" si="90"/>
        <v>1</v>
      </c>
      <c r="AH130" s="65"/>
      <c r="AI130" s="29" t="str">
        <f t="shared" si="100"/>
        <v/>
      </c>
      <c r="AJ130" s="29">
        <f t="shared" si="101"/>
        <v>1</v>
      </c>
      <c r="AK130" s="29">
        <f t="shared" si="102"/>
        <v>1</v>
      </c>
      <c r="AM130" s="29"/>
      <c r="AN130" s="29">
        <v>1</v>
      </c>
      <c r="AO130" s="29">
        <v>1</v>
      </c>
      <c r="AQ130" s="29" t="str">
        <f t="shared" si="91"/>
        <v/>
      </c>
      <c r="AR130" s="29">
        <f t="shared" si="82"/>
        <v>1</v>
      </c>
      <c r="AS130" s="29">
        <f t="shared" si="83"/>
        <v>1</v>
      </c>
      <c r="AT130" s="65"/>
      <c r="AU130" s="29" t="str">
        <f t="shared" si="103"/>
        <v/>
      </c>
      <c r="AV130" s="29">
        <f t="shared" si="92"/>
        <v>1</v>
      </c>
      <c r="AW130" s="29">
        <f t="shared" si="93"/>
        <v>1</v>
      </c>
      <c r="AY130" s="29"/>
      <c r="AZ130" s="29">
        <v>1</v>
      </c>
      <c r="BA130" s="29">
        <v>1</v>
      </c>
      <c r="BC130" s="29" t="str">
        <f t="shared" si="94"/>
        <v/>
      </c>
      <c r="BD130" s="29">
        <f t="shared" si="84"/>
        <v>1</v>
      </c>
      <c r="BE130" s="29">
        <f t="shared" si="85"/>
        <v>1</v>
      </c>
      <c r="BF130" s="65"/>
      <c r="BG130" s="29" t="str">
        <f t="shared" si="104"/>
        <v/>
      </c>
      <c r="BH130" s="29">
        <f t="shared" si="95"/>
        <v>1</v>
      </c>
      <c r="BI130" s="29">
        <f t="shared" si="96"/>
        <v>1</v>
      </c>
      <c r="BK130" s="29"/>
      <c r="BL130" s="29">
        <v>100</v>
      </c>
      <c r="BM130" s="29">
        <v>100</v>
      </c>
      <c r="BO130" s="29" t="str">
        <f t="shared" si="97"/>
        <v/>
      </c>
      <c r="BP130" s="29">
        <f t="shared" si="86"/>
        <v>100</v>
      </c>
      <c r="BQ130" s="29">
        <f t="shared" si="87"/>
        <v>100</v>
      </c>
      <c r="BR130" s="65"/>
      <c r="BS130" s="29" t="str">
        <f t="shared" si="105"/>
        <v/>
      </c>
      <c r="BT130" s="29">
        <f t="shared" si="98"/>
        <v>100</v>
      </c>
      <c r="BU130" s="29">
        <f t="shared" si="99"/>
        <v>100</v>
      </c>
      <c r="BW130" s="8" t="str">
        <f>IF(W130="","",VLOOKUP('Regular Symbol'!W130,'Regular Symbol'!$O$3:$T$13,6,0))</f>
        <v/>
      </c>
      <c r="BX130" s="8">
        <f>IF(X130="","",VLOOKUP('Regular Symbol'!X130,'Regular Symbol'!$O$3:$T$13,6,0))</f>
        <v>5</v>
      </c>
      <c r="BY130" s="8">
        <f>IF(Y130="","",VLOOKUP('Regular Symbol'!Y130,'Regular Symbol'!$O$3:$T$13,6,0))</f>
        <v>2</v>
      </c>
      <c r="CA130" s="8" t="str">
        <f t="shared" si="79"/>
        <v/>
      </c>
      <c r="CB130" s="8" t="str">
        <f t="shared" si="80"/>
        <v>K</v>
      </c>
      <c r="CC130" s="8" t="str">
        <f t="shared" si="81"/>
        <v>M2</v>
      </c>
    </row>
    <row r="131" spans="22:81" ht="16.8" customHeight="1">
      <c r="V131" s="27">
        <v>128</v>
      </c>
      <c r="W131" s="25"/>
      <c r="X131" s="25" t="s">
        <v>83</v>
      </c>
      <c r="Y131" s="25" t="s">
        <v>17</v>
      </c>
      <c r="AA131" s="29"/>
      <c r="AB131" s="29">
        <v>1</v>
      </c>
      <c r="AC131" s="29">
        <v>1</v>
      </c>
      <c r="AD131" s="65"/>
      <c r="AE131" s="29" t="str">
        <f t="shared" si="88"/>
        <v/>
      </c>
      <c r="AF131" s="29">
        <f t="shared" si="89"/>
        <v>1</v>
      </c>
      <c r="AG131" s="29">
        <f t="shared" si="90"/>
        <v>1</v>
      </c>
      <c r="AH131" s="65"/>
      <c r="AI131" s="29" t="str">
        <f t="shared" si="100"/>
        <v/>
      </c>
      <c r="AJ131" s="29">
        <f t="shared" si="101"/>
        <v>1</v>
      </c>
      <c r="AK131" s="29">
        <f t="shared" si="102"/>
        <v>1</v>
      </c>
      <c r="AM131" s="29"/>
      <c r="AN131" s="29">
        <v>1</v>
      </c>
      <c r="AO131" s="29">
        <v>1</v>
      </c>
      <c r="AQ131" s="29" t="str">
        <f t="shared" si="91"/>
        <v/>
      </c>
      <c r="AR131" s="29">
        <f t="shared" si="82"/>
        <v>1</v>
      </c>
      <c r="AS131" s="29">
        <f t="shared" si="83"/>
        <v>1</v>
      </c>
      <c r="AT131" s="65"/>
      <c r="AU131" s="29" t="str">
        <f t="shared" si="103"/>
        <v/>
      </c>
      <c r="AV131" s="29">
        <f t="shared" si="92"/>
        <v>1</v>
      </c>
      <c r="AW131" s="29">
        <f t="shared" si="93"/>
        <v>1</v>
      </c>
      <c r="AY131" s="29"/>
      <c r="AZ131" s="29">
        <v>1</v>
      </c>
      <c r="BA131" s="29">
        <v>1</v>
      </c>
      <c r="BC131" s="29" t="str">
        <f t="shared" si="94"/>
        <v/>
      </c>
      <c r="BD131" s="29">
        <f t="shared" si="84"/>
        <v>1</v>
      </c>
      <c r="BE131" s="29">
        <f t="shared" si="85"/>
        <v>1</v>
      </c>
      <c r="BF131" s="65"/>
      <c r="BG131" s="29" t="str">
        <f t="shared" si="104"/>
        <v/>
      </c>
      <c r="BH131" s="29">
        <f t="shared" si="95"/>
        <v>1</v>
      </c>
      <c r="BI131" s="29">
        <f t="shared" si="96"/>
        <v>1</v>
      </c>
      <c r="BK131" s="29"/>
      <c r="BL131" s="29">
        <v>100</v>
      </c>
      <c r="BM131" s="29">
        <v>677</v>
      </c>
      <c r="BO131" s="29" t="str">
        <f t="shared" si="97"/>
        <v/>
      </c>
      <c r="BP131" s="29">
        <f t="shared" si="86"/>
        <v>100</v>
      </c>
      <c r="BQ131" s="29">
        <f t="shared" si="87"/>
        <v>100</v>
      </c>
      <c r="BR131" s="65"/>
      <c r="BS131" s="29" t="str">
        <f t="shared" si="105"/>
        <v/>
      </c>
      <c r="BT131" s="29">
        <f t="shared" si="98"/>
        <v>100</v>
      </c>
      <c r="BU131" s="29">
        <f t="shared" si="99"/>
        <v>100</v>
      </c>
      <c r="BW131" s="8" t="str">
        <f>IF(W131="","",VLOOKUP('Regular Symbol'!W131,'Regular Symbol'!$O$3:$T$13,6,0))</f>
        <v/>
      </c>
      <c r="BX131" s="8">
        <f>IF(X131="","",VLOOKUP('Regular Symbol'!X131,'Regular Symbol'!$O$3:$T$13,6,0))</f>
        <v>6</v>
      </c>
      <c r="BY131" s="8">
        <f>IF(Y131="","",VLOOKUP('Regular Symbol'!Y131,'Regular Symbol'!$O$3:$T$13,6,0))</f>
        <v>2</v>
      </c>
      <c r="CA131" s="8" t="str">
        <f t="shared" ref="CA131:CA194" si="118">IF(W131&lt;&gt;"", VLOOKUP(W131,$O$3:$P$13,2,0), "")</f>
        <v/>
      </c>
      <c r="CB131" s="8" t="str">
        <f t="shared" ref="CB131:CB194" si="119">IF(X131&lt;&gt;"", VLOOKUP(X131,$O$3:$P$13,2,0), "")</f>
        <v>Q</v>
      </c>
      <c r="CC131" s="8" t="str">
        <f t="shared" ref="CC131:CC194" si="120">IF(Y131&lt;&gt;"", VLOOKUP(Y131,$O$3:$P$13,2,0), "")</f>
        <v>M2</v>
      </c>
    </row>
    <row r="132" spans="22:81" ht="16.8" customHeight="1">
      <c r="V132" s="27">
        <v>129</v>
      </c>
      <c r="W132" s="25"/>
      <c r="X132" s="25" t="s">
        <v>83</v>
      </c>
      <c r="Y132" s="25" t="s">
        <v>17</v>
      </c>
      <c r="AA132" s="29"/>
      <c r="AB132" s="29">
        <v>1</v>
      </c>
      <c r="AC132" s="29">
        <v>1</v>
      </c>
      <c r="AD132" s="65"/>
      <c r="AE132" s="29" t="str">
        <f t="shared" si="88"/>
        <v/>
      </c>
      <c r="AF132" s="29">
        <f t="shared" si="89"/>
        <v>1</v>
      </c>
      <c r="AG132" s="29">
        <f t="shared" si="90"/>
        <v>1</v>
      </c>
      <c r="AH132" s="65"/>
      <c r="AI132" s="29" t="str">
        <f t="shared" si="100"/>
        <v/>
      </c>
      <c r="AJ132" s="29">
        <f t="shared" si="101"/>
        <v>1</v>
      </c>
      <c r="AK132" s="29">
        <f t="shared" si="102"/>
        <v>1</v>
      </c>
      <c r="AM132" s="29"/>
      <c r="AN132" s="29">
        <v>1</v>
      </c>
      <c r="AO132" s="29">
        <v>1</v>
      </c>
      <c r="AQ132" s="29" t="str">
        <f t="shared" si="91"/>
        <v/>
      </c>
      <c r="AR132" s="29">
        <f t="shared" ref="AR132:AR195" si="121">IF(AN131="","",AN131)</f>
        <v>1</v>
      </c>
      <c r="AS132" s="29">
        <f t="shared" ref="AS132:AS195" si="122">IF(AO131="","",AO131)</f>
        <v>1</v>
      </c>
      <c r="AT132" s="65"/>
      <c r="AU132" s="29" t="str">
        <f t="shared" si="103"/>
        <v/>
      </c>
      <c r="AV132" s="29">
        <f t="shared" si="92"/>
        <v>1</v>
      </c>
      <c r="AW132" s="29">
        <f t="shared" si="93"/>
        <v>1</v>
      </c>
      <c r="AY132" s="29"/>
      <c r="AZ132" s="29">
        <v>1</v>
      </c>
      <c r="BA132" s="29">
        <v>1</v>
      </c>
      <c r="BC132" s="29" t="str">
        <f t="shared" si="94"/>
        <v/>
      </c>
      <c r="BD132" s="29">
        <f t="shared" ref="BD132:BD195" si="123">IF(AZ131="","",AZ131)</f>
        <v>1</v>
      </c>
      <c r="BE132" s="29">
        <f t="shared" ref="BE132:BE195" si="124">IF(BA131="","",BA131)</f>
        <v>1</v>
      </c>
      <c r="BF132" s="65"/>
      <c r="BG132" s="29" t="str">
        <f t="shared" si="104"/>
        <v/>
      </c>
      <c r="BH132" s="29">
        <f t="shared" si="95"/>
        <v>1</v>
      </c>
      <c r="BI132" s="29">
        <f t="shared" si="96"/>
        <v>1</v>
      </c>
      <c r="BK132" s="29"/>
      <c r="BL132" s="29">
        <v>100</v>
      </c>
      <c r="BM132" s="29">
        <v>564</v>
      </c>
      <c r="BO132" s="29" t="str">
        <f t="shared" si="97"/>
        <v/>
      </c>
      <c r="BP132" s="29">
        <f t="shared" ref="BP132:BP195" si="125">IF(BL131="","",BL131)</f>
        <v>100</v>
      </c>
      <c r="BQ132" s="29">
        <f t="shared" ref="BQ132:BQ195" si="126">IF(BM131="","",BM131)</f>
        <v>677</v>
      </c>
      <c r="BR132" s="65"/>
      <c r="BS132" s="29" t="str">
        <f t="shared" si="105"/>
        <v/>
      </c>
      <c r="BT132" s="29">
        <f t="shared" si="98"/>
        <v>100</v>
      </c>
      <c r="BU132" s="29">
        <f t="shared" si="99"/>
        <v>100</v>
      </c>
      <c r="BW132" s="8" t="str">
        <f>IF(W132="","",VLOOKUP('Regular Symbol'!W132,'Regular Symbol'!$O$3:$T$13,6,0))</f>
        <v/>
      </c>
      <c r="BX132" s="8">
        <f>IF(X132="","",VLOOKUP('Regular Symbol'!X132,'Regular Symbol'!$O$3:$T$13,6,0))</f>
        <v>6</v>
      </c>
      <c r="BY132" s="8">
        <f>IF(Y132="","",VLOOKUP('Regular Symbol'!Y132,'Regular Symbol'!$O$3:$T$13,6,0))</f>
        <v>2</v>
      </c>
      <c r="CA132" s="8" t="str">
        <f t="shared" si="118"/>
        <v/>
      </c>
      <c r="CB132" s="8" t="str">
        <f t="shared" si="119"/>
        <v>Q</v>
      </c>
      <c r="CC132" s="8" t="str">
        <f t="shared" si="120"/>
        <v>M2</v>
      </c>
    </row>
    <row r="133" spans="22:81" ht="16.8" customHeight="1">
      <c r="V133" s="27">
        <v>130</v>
      </c>
      <c r="W133" s="25"/>
      <c r="X133" s="25" t="s">
        <v>83</v>
      </c>
      <c r="Y133" s="25" t="s">
        <v>25</v>
      </c>
      <c r="AA133" s="29"/>
      <c r="AB133" s="29">
        <v>1</v>
      </c>
      <c r="AC133" s="29">
        <v>1</v>
      </c>
      <c r="AD133" s="65"/>
      <c r="AE133" s="29" t="str">
        <f t="shared" ref="AE133:AE196" si="127">IF(AA132="","",AA132)</f>
        <v/>
      </c>
      <c r="AF133" s="29">
        <f t="shared" ref="AF133:AF196" si="128">IF(AB132="","",AB132)</f>
        <v>1</v>
      </c>
      <c r="AG133" s="29">
        <f t="shared" ref="AG133:AG196" si="129">IF(AC132="","",AC132)</f>
        <v>1</v>
      </c>
      <c r="AH133" s="65"/>
      <c r="AI133" s="29" t="str">
        <f t="shared" si="100"/>
        <v/>
      </c>
      <c r="AJ133" s="29">
        <f t="shared" si="101"/>
        <v>1</v>
      </c>
      <c r="AK133" s="29">
        <f t="shared" si="102"/>
        <v>1</v>
      </c>
      <c r="AM133" s="29"/>
      <c r="AN133" s="29">
        <v>1</v>
      </c>
      <c r="AO133" s="29">
        <v>1</v>
      </c>
      <c r="AQ133" s="29" t="str">
        <f t="shared" ref="AQ133:AQ196" si="130">IF(AM132="","",AM132)</f>
        <v/>
      </c>
      <c r="AR133" s="29">
        <f t="shared" si="121"/>
        <v>1</v>
      </c>
      <c r="AS133" s="29">
        <f t="shared" si="122"/>
        <v>1</v>
      </c>
      <c r="AT133" s="65"/>
      <c r="AU133" s="29" t="str">
        <f t="shared" si="103"/>
        <v/>
      </c>
      <c r="AV133" s="29">
        <f t="shared" ref="AV133:AV196" si="131">IF(AN131="","",AN131)</f>
        <v>1</v>
      </c>
      <c r="AW133" s="29">
        <f t="shared" ref="AW133:AW196" si="132">IF(AO131="","",AO131)</f>
        <v>1</v>
      </c>
      <c r="AY133" s="29"/>
      <c r="AZ133" s="29">
        <v>1</v>
      </c>
      <c r="BA133" s="29">
        <v>1</v>
      </c>
      <c r="BC133" s="29" t="str">
        <f t="shared" ref="BC133:BC196" si="133">IF(AY132="","",AY132)</f>
        <v/>
      </c>
      <c r="BD133" s="29">
        <f t="shared" si="123"/>
        <v>1</v>
      </c>
      <c r="BE133" s="29">
        <f t="shared" si="124"/>
        <v>1</v>
      </c>
      <c r="BF133" s="65"/>
      <c r="BG133" s="29" t="str">
        <f t="shared" si="104"/>
        <v/>
      </c>
      <c r="BH133" s="29">
        <f t="shared" ref="BH133:BH196" si="134">IF(AZ131="","",AZ131)</f>
        <v>1</v>
      </c>
      <c r="BI133" s="29">
        <f t="shared" ref="BI133:BI196" si="135">IF(BA131="","",BA131)</f>
        <v>1</v>
      </c>
      <c r="BK133" s="29"/>
      <c r="BL133" s="29">
        <v>100</v>
      </c>
      <c r="BM133" s="29">
        <v>451</v>
      </c>
      <c r="BO133" s="29" t="str">
        <f t="shared" ref="BO133:BO196" si="136">IF(BK132="","",BK132)</f>
        <v/>
      </c>
      <c r="BP133" s="29">
        <f t="shared" si="125"/>
        <v>100</v>
      </c>
      <c r="BQ133" s="29">
        <f t="shared" si="126"/>
        <v>564</v>
      </c>
      <c r="BR133" s="65"/>
      <c r="BS133" s="29" t="str">
        <f t="shared" si="105"/>
        <v/>
      </c>
      <c r="BT133" s="29">
        <f t="shared" ref="BT133:BT196" si="137">IF(BL131="","",BL131)</f>
        <v>100</v>
      </c>
      <c r="BU133" s="29">
        <f t="shared" ref="BU133:BU196" si="138">IF(BM131="","",BM131)</f>
        <v>677</v>
      </c>
      <c r="BW133" s="8" t="str">
        <f>IF(W133="","",VLOOKUP('Regular Symbol'!W133,'Regular Symbol'!$O$3:$T$13,6,0))</f>
        <v/>
      </c>
      <c r="BX133" s="8">
        <f>IF(X133="","",VLOOKUP('Regular Symbol'!X133,'Regular Symbol'!$O$3:$T$13,6,0))</f>
        <v>6</v>
      </c>
      <c r="BY133" s="8">
        <f>IF(Y133="","",VLOOKUP('Regular Symbol'!Y133,'Regular Symbol'!$O$3:$T$13,6,0))</f>
        <v>0</v>
      </c>
      <c r="CA133" s="8" t="str">
        <f t="shared" si="118"/>
        <v/>
      </c>
      <c r="CB133" s="8" t="str">
        <f t="shared" si="119"/>
        <v>Q</v>
      </c>
      <c r="CC133" s="8" t="str">
        <f t="shared" si="120"/>
        <v>Wild</v>
      </c>
    </row>
    <row r="134" spans="22:81" ht="16.8" customHeight="1">
      <c r="V134" s="27">
        <v>131</v>
      </c>
      <c r="W134" s="25"/>
      <c r="X134" s="25" t="s">
        <v>18</v>
      </c>
      <c r="Y134" s="25" t="s">
        <v>25</v>
      </c>
      <c r="AA134" s="29"/>
      <c r="AB134" s="29">
        <v>1</v>
      </c>
      <c r="AC134" s="29">
        <v>1</v>
      </c>
      <c r="AD134" s="65"/>
      <c r="AE134" s="29" t="str">
        <f t="shared" si="127"/>
        <v/>
      </c>
      <c r="AF134" s="29">
        <f t="shared" si="128"/>
        <v>1</v>
      </c>
      <c r="AG134" s="29">
        <f t="shared" si="129"/>
        <v>1</v>
      </c>
      <c r="AH134" s="65"/>
      <c r="AI134" s="29" t="str">
        <f t="shared" ref="AI134:AI197" si="139">IF(AA132="","",AA132)</f>
        <v/>
      </c>
      <c r="AJ134" s="29">
        <f t="shared" ref="AJ134:AJ197" si="140">IF(AB132="","",AB132)</f>
        <v>1</v>
      </c>
      <c r="AK134" s="29">
        <f t="shared" ref="AK134:AK197" si="141">IF(AC132="","",AC132)</f>
        <v>1</v>
      </c>
      <c r="AM134" s="29"/>
      <c r="AN134" s="29">
        <v>1</v>
      </c>
      <c r="AO134" s="29">
        <v>1</v>
      </c>
      <c r="AQ134" s="29" t="str">
        <f t="shared" si="130"/>
        <v/>
      </c>
      <c r="AR134" s="29">
        <f t="shared" si="121"/>
        <v>1</v>
      </c>
      <c r="AS134" s="29">
        <f t="shared" si="122"/>
        <v>1</v>
      </c>
      <c r="AT134" s="65"/>
      <c r="AU134" s="29" t="str">
        <f t="shared" ref="AU134:AU197" si="142">IF(AM132="","",AM132)</f>
        <v/>
      </c>
      <c r="AV134" s="29">
        <f t="shared" si="131"/>
        <v>1</v>
      </c>
      <c r="AW134" s="29">
        <f t="shared" si="132"/>
        <v>1</v>
      </c>
      <c r="AY134" s="29"/>
      <c r="AZ134" s="29">
        <v>1</v>
      </c>
      <c r="BA134" s="29">
        <v>1</v>
      </c>
      <c r="BC134" s="29" t="str">
        <f t="shared" si="133"/>
        <v/>
      </c>
      <c r="BD134" s="29">
        <f t="shared" si="123"/>
        <v>1</v>
      </c>
      <c r="BE134" s="29">
        <f t="shared" si="124"/>
        <v>1</v>
      </c>
      <c r="BF134" s="65"/>
      <c r="BG134" s="29" t="str">
        <f t="shared" ref="BG134:BG197" si="143">IF(AY132="","",AY132)</f>
        <v/>
      </c>
      <c r="BH134" s="29">
        <f t="shared" si="134"/>
        <v>1</v>
      </c>
      <c r="BI134" s="29">
        <f t="shared" si="135"/>
        <v>1</v>
      </c>
      <c r="BK134" s="29"/>
      <c r="BL134" s="29">
        <v>100</v>
      </c>
      <c r="BM134" s="29">
        <v>564</v>
      </c>
      <c r="BO134" s="29" t="str">
        <f t="shared" si="136"/>
        <v/>
      </c>
      <c r="BP134" s="29">
        <f t="shared" si="125"/>
        <v>100</v>
      </c>
      <c r="BQ134" s="29">
        <f t="shared" si="126"/>
        <v>451</v>
      </c>
      <c r="BR134" s="65"/>
      <c r="BS134" s="29" t="str">
        <f t="shared" ref="BS134:BS197" si="144">IF(BK132="","",BK132)</f>
        <v/>
      </c>
      <c r="BT134" s="29">
        <f t="shared" si="137"/>
        <v>100</v>
      </c>
      <c r="BU134" s="29">
        <f t="shared" si="138"/>
        <v>564</v>
      </c>
      <c r="BW134" s="8" t="str">
        <f>IF(W134="","",VLOOKUP('Regular Symbol'!W134,'Regular Symbol'!$O$3:$T$13,6,0))</f>
        <v/>
      </c>
      <c r="BX134" s="8">
        <f>IF(X134="","",VLOOKUP('Regular Symbol'!X134,'Regular Symbol'!$O$3:$T$13,6,0))</f>
        <v>3</v>
      </c>
      <c r="BY134" s="8">
        <f>IF(Y134="","",VLOOKUP('Regular Symbol'!Y134,'Regular Symbol'!$O$3:$T$13,6,0))</f>
        <v>0</v>
      </c>
      <c r="CA134" s="8" t="str">
        <f t="shared" si="118"/>
        <v/>
      </c>
      <c r="CB134" s="8" t="str">
        <f t="shared" si="119"/>
        <v>M3</v>
      </c>
      <c r="CC134" s="8" t="str">
        <f t="shared" si="120"/>
        <v>Wild</v>
      </c>
    </row>
    <row r="135" spans="22:81" ht="16.8" customHeight="1">
      <c r="V135" s="27">
        <v>132</v>
      </c>
      <c r="W135" s="25"/>
      <c r="X135" s="25" t="s">
        <v>18</v>
      </c>
      <c r="Y135" s="25" t="s">
        <v>25</v>
      </c>
      <c r="AA135" s="29"/>
      <c r="AB135" s="29">
        <v>1</v>
      </c>
      <c r="AC135" s="29">
        <v>1</v>
      </c>
      <c r="AD135" s="65"/>
      <c r="AE135" s="29" t="str">
        <f t="shared" si="127"/>
        <v/>
      </c>
      <c r="AF135" s="29">
        <f t="shared" si="128"/>
        <v>1</v>
      </c>
      <c r="AG135" s="29">
        <f t="shared" si="129"/>
        <v>1</v>
      </c>
      <c r="AH135" s="65"/>
      <c r="AI135" s="29" t="str">
        <f t="shared" si="139"/>
        <v/>
      </c>
      <c r="AJ135" s="29">
        <f t="shared" si="140"/>
        <v>1</v>
      </c>
      <c r="AK135" s="29">
        <f t="shared" si="141"/>
        <v>1</v>
      </c>
      <c r="AM135" s="29"/>
      <c r="AN135" s="29">
        <v>1</v>
      </c>
      <c r="AO135" s="29">
        <v>1</v>
      </c>
      <c r="AQ135" s="29" t="str">
        <f t="shared" si="130"/>
        <v/>
      </c>
      <c r="AR135" s="29">
        <f t="shared" si="121"/>
        <v>1</v>
      </c>
      <c r="AS135" s="29">
        <f t="shared" si="122"/>
        <v>1</v>
      </c>
      <c r="AT135" s="65"/>
      <c r="AU135" s="29" t="str">
        <f t="shared" si="142"/>
        <v/>
      </c>
      <c r="AV135" s="29">
        <f t="shared" si="131"/>
        <v>1</v>
      </c>
      <c r="AW135" s="29">
        <f t="shared" si="132"/>
        <v>1</v>
      </c>
      <c r="AY135" s="29"/>
      <c r="AZ135" s="29">
        <v>1</v>
      </c>
      <c r="BA135" s="29">
        <v>1</v>
      </c>
      <c r="BC135" s="29" t="str">
        <f t="shared" si="133"/>
        <v/>
      </c>
      <c r="BD135" s="29">
        <f t="shared" si="123"/>
        <v>1</v>
      </c>
      <c r="BE135" s="29">
        <f t="shared" si="124"/>
        <v>1</v>
      </c>
      <c r="BF135" s="65"/>
      <c r="BG135" s="29" t="str">
        <f t="shared" si="143"/>
        <v/>
      </c>
      <c r="BH135" s="29">
        <f t="shared" si="134"/>
        <v>1</v>
      </c>
      <c r="BI135" s="29">
        <f t="shared" si="135"/>
        <v>1</v>
      </c>
      <c r="BK135" s="29"/>
      <c r="BL135" s="29">
        <v>100</v>
      </c>
      <c r="BM135" s="29">
        <v>677</v>
      </c>
      <c r="BO135" s="29" t="str">
        <f t="shared" si="136"/>
        <v/>
      </c>
      <c r="BP135" s="29">
        <f t="shared" si="125"/>
        <v>100</v>
      </c>
      <c r="BQ135" s="29">
        <f t="shared" si="126"/>
        <v>564</v>
      </c>
      <c r="BR135" s="65"/>
      <c r="BS135" s="29" t="str">
        <f t="shared" si="144"/>
        <v/>
      </c>
      <c r="BT135" s="29">
        <f t="shared" si="137"/>
        <v>100</v>
      </c>
      <c r="BU135" s="29">
        <f t="shared" si="138"/>
        <v>451</v>
      </c>
      <c r="BW135" s="8" t="str">
        <f>IF(W135="","",VLOOKUP('Regular Symbol'!W135,'Regular Symbol'!$O$3:$T$13,6,0))</f>
        <v/>
      </c>
      <c r="BX135" s="8">
        <f>IF(X135="","",VLOOKUP('Regular Symbol'!X135,'Regular Symbol'!$O$3:$T$13,6,0))</f>
        <v>3</v>
      </c>
      <c r="BY135" s="8">
        <f>IF(Y135="","",VLOOKUP('Regular Symbol'!Y135,'Regular Symbol'!$O$3:$T$13,6,0))</f>
        <v>0</v>
      </c>
      <c r="CA135" s="8" t="str">
        <f t="shared" si="118"/>
        <v/>
      </c>
      <c r="CB135" s="8" t="str">
        <f t="shared" si="119"/>
        <v>M3</v>
      </c>
      <c r="CC135" s="8" t="str">
        <f t="shared" si="120"/>
        <v>Wild</v>
      </c>
    </row>
    <row r="136" spans="22:81" ht="16.8" customHeight="1">
      <c r="V136" s="27">
        <v>133</v>
      </c>
      <c r="W136" s="25"/>
      <c r="X136" s="25" t="s">
        <v>18</v>
      </c>
      <c r="Y136" s="25" t="s">
        <v>83</v>
      </c>
      <c r="AA136" s="29"/>
      <c r="AB136" s="29">
        <v>1</v>
      </c>
      <c r="AC136" s="29">
        <v>1</v>
      </c>
      <c r="AD136" s="65"/>
      <c r="AE136" s="29" t="str">
        <f t="shared" si="127"/>
        <v/>
      </c>
      <c r="AF136" s="29">
        <f t="shared" si="128"/>
        <v>1</v>
      </c>
      <c r="AG136" s="29">
        <f t="shared" si="129"/>
        <v>1</v>
      </c>
      <c r="AH136" s="65"/>
      <c r="AI136" s="29" t="str">
        <f t="shared" si="139"/>
        <v/>
      </c>
      <c r="AJ136" s="29">
        <f t="shared" si="140"/>
        <v>1</v>
      </c>
      <c r="AK136" s="29">
        <f t="shared" si="141"/>
        <v>1</v>
      </c>
      <c r="AM136" s="29"/>
      <c r="AN136" s="29">
        <v>1</v>
      </c>
      <c r="AO136" s="29">
        <v>1</v>
      </c>
      <c r="AQ136" s="29" t="str">
        <f t="shared" si="130"/>
        <v/>
      </c>
      <c r="AR136" s="29">
        <f t="shared" si="121"/>
        <v>1</v>
      </c>
      <c r="AS136" s="29">
        <f t="shared" si="122"/>
        <v>1</v>
      </c>
      <c r="AT136" s="65"/>
      <c r="AU136" s="29" t="str">
        <f t="shared" si="142"/>
        <v/>
      </c>
      <c r="AV136" s="29">
        <f t="shared" si="131"/>
        <v>1</v>
      </c>
      <c r="AW136" s="29">
        <f t="shared" si="132"/>
        <v>1</v>
      </c>
      <c r="AY136" s="29"/>
      <c r="AZ136" s="29">
        <v>1</v>
      </c>
      <c r="BA136" s="29">
        <v>1</v>
      </c>
      <c r="BC136" s="29" t="str">
        <f t="shared" si="133"/>
        <v/>
      </c>
      <c r="BD136" s="29">
        <f t="shared" si="123"/>
        <v>1</v>
      </c>
      <c r="BE136" s="29">
        <f t="shared" si="124"/>
        <v>1</v>
      </c>
      <c r="BF136" s="65"/>
      <c r="BG136" s="29" t="str">
        <f t="shared" si="143"/>
        <v/>
      </c>
      <c r="BH136" s="29">
        <f t="shared" si="134"/>
        <v>1</v>
      </c>
      <c r="BI136" s="29">
        <f t="shared" si="135"/>
        <v>1</v>
      </c>
      <c r="BK136" s="29"/>
      <c r="BL136" s="29">
        <v>100</v>
      </c>
      <c r="BM136" s="29">
        <v>100</v>
      </c>
      <c r="BO136" s="29" t="str">
        <f t="shared" si="136"/>
        <v/>
      </c>
      <c r="BP136" s="29">
        <f t="shared" si="125"/>
        <v>100</v>
      </c>
      <c r="BQ136" s="29">
        <f t="shared" si="126"/>
        <v>677</v>
      </c>
      <c r="BR136" s="65"/>
      <c r="BS136" s="29" t="str">
        <f t="shared" si="144"/>
        <v/>
      </c>
      <c r="BT136" s="29">
        <f t="shared" si="137"/>
        <v>100</v>
      </c>
      <c r="BU136" s="29">
        <f t="shared" si="138"/>
        <v>564</v>
      </c>
      <c r="BW136" s="8" t="str">
        <f>IF(W136="","",VLOOKUP('Regular Symbol'!W136,'Regular Symbol'!$O$3:$T$13,6,0))</f>
        <v/>
      </c>
      <c r="BX136" s="8">
        <f>IF(X136="","",VLOOKUP('Regular Symbol'!X136,'Regular Symbol'!$O$3:$T$13,6,0))</f>
        <v>3</v>
      </c>
      <c r="BY136" s="8">
        <f>IF(Y136="","",VLOOKUP('Regular Symbol'!Y136,'Regular Symbol'!$O$3:$T$13,6,0))</f>
        <v>6</v>
      </c>
      <c r="CA136" s="8" t="str">
        <f t="shared" si="118"/>
        <v/>
      </c>
      <c r="CB136" s="8" t="str">
        <f t="shared" si="119"/>
        <v>M3</v>
      </c>
      <c r="CC136" s="8" t="str">
        <f t="shared" si="120"/>
        <v>Q</v>
      </c>
    </row>
    <row r="137" spans="22:81" ht="16.8" customHeight="1">
      <c r="V137" s="27">
        <v>134</v>
      </c>
      <c r="W137" s="25"/>
      <c r="X137" s="25" t="s">
        <v>82</v>
      </c>
      <c r="Y137" s="25" t="s">
        <v>83</v>
      </c>
      <c r="AA137" s="29"/>
      <c r="AB137" s="29">
        <v>1</v>
      </c>
      <c r="AC137" s="29">
        <v>1</v>
      </c>
      <c r="AD137" s="65"/>
      <c r="AE137" s="29" t="str">
        <f t="shared" si="127"/>
        <v/>
      </c>
      <c r="AF137" s="29">
        <f t="shared" si="128"/>
        <v>1</v>
      </c>
      <c r="AG137" s="29">
        <f t="shared" si="129"/>
        <v>1</v>
      </c>
      <c r="AH137" s="65"/>
      <c r="AI137" s="29" t="str">
        <f t="shared" si="139"/>
        <v/>
      </c>
      <c r="AJ137" s="29">
        <f t="shared" si="140"/>
        <v>1</v>
      </c>
      <c r="AK137" s="29">
        <f t="shared" si="141"/>
        <v>1</v>
      </c>
      <c r="AM137" s="29"/>
      <c r="AN137" s="29">
        <v>1</v>
      </c>
      <c r="AO137" s="29">
        <v>1</v>
      </c>
      <c r="AQ137" s="29" t="str">
        <f t="shared" si="130"/>
        <v/>
      </c>
      <c r="AR137" s="29">
        <f t="shared" si="121"/>
        <v>1</v>
      </c>
      <c r="AS137" s="29">
        <f t="shared" si="122"/>
        <v>1</v>
      </c>
      <c r="AT137" s="65"/>
      <c r="AU137" s="29" t="str">
        <f t="shared" si="142"/>
        <v/>
      </c>
      <c r="AV137" s="29">
        <f t="shared" si="131"/>
        <v>1</v>
      </c>
      <c r="AW137" s="29">
        <f t="shared" si="132"/>
        <v>1</v>
      </c>
      <c r="AY137" s="29"/>
      <c r="AZ137" s="29">
        <v>1</v>
      </c>
      <c r="BA137" s="29">
        <v>1</v>
      </c>
      <c r="BC137" s="29" t="str">
        <f t="shared" si="133"/>
        <v/>
      </c>
      <c r="BD137" s="29">
        <f t="shared" si="123"/>
        <v>1</v>
      </c>
      <c r="BE137" s="29">
        <f t="shared" si="124"/>
        <v>1</v>
      </c>
      <c r="BF137" s="65"/>
      <c r="BG137" s="29" t="str">
        <f t="shared" si="143"/>
        <v/>
      </c>
      <c r="BH137" s="29">
        <f t="shared" si="134"/>
        <v>1</v>
      </c>
      <c r="BI137" s="29">
        <f t="shared" si="135"/>
        <v>1</v>
      </c>
      <c r="BK137" s="29"/>
      <c r="BL137" s="29">
        <v>100</v>
      </c>
      <c r="BM137" s="29">
        <v>100</v>
      </c>
      <c r="BO137" s="29" t="str">
        <f t="shared" si="136"/>
        <v/>
      </c>
      <c r="BP137" s="29">
        <f t="shared" si="125"/>
        <v>100</v>
      </c>
      <c r="BQ137" s="29">
        <f t="shared" si="126"/>
        <v>100</v>
      </c>
      <c r="BR137" s="65"/>
      <c r="BS137" s="29" t="str">
        <f t="shared" si="144"/>
        <v/>
      </c>
      <c r="BT137" s="29">
        <f t="shared" si="137"/>
        <v>100</v>
      </c>
      <c r="BU137" s="29">
        <f t="shared" si="138"/>
        <v>677</v>
      </c>
      <c r="BW137" s="8" t="str">
        <f>IF(W137="","",VLOOKUP('Regular Symbol'!W137,'Regular Symbol'!$O$3:$T$13,6,0))</f>
        <v/>
      </c>
      <c r="BX137" s="8">
        <f>IF(X137="","",VLOOKUP('Regular Symbol'!X137,'Regular Symbol'!$O$3:$T$13,6,0))</f>
        <v>5</v>
      </c>
      <c r="BY137" s="8">
        <f>IF(Y137="","",VLOOKUP('Regular Symbol'!Y137,'Regular Symbol'!$O$3:$T$13,6,0))</f>
        <v>6</v>
      </c>
      <c r="CA137" s="8" t="str">
        <f t="shared" si="118"/>
        <v/>
      </c>
      <c r="CB137" s="8" t="str">
        <f t="shared" si="119"/>
        <v>K</v>
      </c>
      <c r="CC137" s="8" t="str">
        <f t="shared" si="120"/>
        <v>Q</v>
      </c>
    </row>
    <row r="138" spans="22:81" ht="16.8" customHeight="1">
      <c r="V138" s="27">
        <v>135</v>
      </c>
      <c r="W138" s="25"/>
      <c r="X138" s="25" t="s">
        <v>82</v>
      </c>
      <c r="Y138" s="25" t="s">
        <v>16</v>
      </c>
      <c r="AA138" s="29"/>
      <c r="AB138" s="29">
        <v>1</v>
      </c>
      <c r="AC138" s="29">
        <v>1</v>
      </c>
      <c r="AD138" s="65"/>
      <c r="AE138" s="29" t="str">
        <f t="shared" si="127"/>
        <v/>
      </c>
      <c r="AF138" s="29">
        <f t="shared" si="128"/>
        <v>1</v>
      </c>
      <c r="AG138" s="29">
        <f t="shared" si="129"/>
        <v>1</v>
      </c>
      <c r="AH138" s="65"/>
      <c r="AI138" s="29" t="str">
        <f t="shared" si="139"/>
        <v/>
      </c>
      <c r="AJ138" s="29">
        <f t="shared" si="140"/>
        <v>1</v>
      </c>
      <c r="AK138" s="29">
        <f t="shared" si="141"/>
        <v>1</v>
      </c>
      <c r="AM138" s="29"/>
      <c r="AN138" s="29">
        <v>1</v>
      </c>
      <c r="AO138" s="29">
        <v>1</v>
      </c>
      <c r="AQ138" s="29" t="str">
        <f t="shared" si="130"/>
        <v/>
      </c>
      <c r="AR138" s="29">
        <f t="shared" si="121"/>
        <v>1</v>
      </c>
      <c r="AS138" s="29">
        <f t="shared" si="122"/>
        <v>1</v>
      </c>
      <c r="AT138" s="65"/>
      <c r="AU138" s="29" t="str">
        <f t="shared" si="142"/>
        <v/>
      </c>
      <c r="AV138" s="29">
        <f t="shared" si="131"/>
        <v>1</v>
      </c>
      <c r="AW138" s="29">
        <f t="shared" si="132"/>
        <v>1</v>
      </c>
      <c r="AY138" s="29"/>
      <c r="AZ138" s="29">
        <v>1</v>
      </c>
      <c r="BA138" s="29">
        <v>1</v>
      </c>
      <c r="BC138" s="29" t="str">
        <f t="shared" si="133"/>
        <v/>
      </c>
      <c r="BD138" s="29">
        <f t="shared" si="123"/>
        <v>1</v>
      </c>
      <c r="BE138" s="29">
        <f t="shared" si="124"/>
        <v>1</v>
      </c>
      <c r="BF138" s="65"/>
      <c r="BG138" s="29" t="str">
        <f t="shared" si="143"/>
        <v/>
      </c>
      <c r="BH138" s="29">
        <f t="shared" si="134"/>
        <v>1</v>
      </c>
      <c r="BI138" s="29">
        <f t="shared" si="135"/>
        <v>1</v>
      </c>
      <c r="BK138" s="29"/>
      <c r="BL138" s="29">
        <v>100</v>
      </c>
      <c r="BM138" s="29">
        <v>100</v>
      </c>
      <c r="BO138" s="29" t="str">
        <f t="shared" si="136"/>
        <v/>
      </c>
      <c r="BP138" s="29">
        <f t="shared" si="125"/>
        <v>100</v>
      </c>
      <c r="BQ138" s="29">
        <f t="shared" si="126"/>
        <v>100</v>
      </c>
      <c r="BR138" s="65"/>
      <c r="BS138" s="29" t="str">
        <f t="shared" si="144"/>
        <v/>
      </c>
      <c r="BT138" s="29">
        <f t="shared" si="137"/>
        <v>100</v>
      </c>
      <c r="BU138" s="29">
        <f t="shared" si="138"/>
        <v>100</v>
      </c>
      <c r="BW138" s="8" t="str">
        <f>IF(W138="","",VLOOKUP('Regular Symbol'!W138,'Regular Symbol'!$O$3:$T$13,6,0))</f>
        <v/>
      </c>
      <c r="BX138" s="8">
        <f>IF(X138="","",VLOOKUP('Regular Symbol'!X138,'Regular Symbol'!$O$3:$T$13,6,0))</f>
        <v>5</v>
      </c>
      <c r="BY138" s="8">
        <f>IF(Y138="","",VLOOKUP('Regular Symbol'!Y138,'Regular Symbol'!$O$3:$T$13,6,0))</f>
        <v>1</v>
      </c>
      <c r="CA138" s="8" t="str">
        <f t="shared" si="118"/>
        <v/>
      </c>
      <c r="CB138" s="8" t="str">
        <f t="shared" si="119"/>
        <v>K</v>
      </c>
      <c r="CC138" s="8" t="str">
        <f t="shared" si="120"/>
        <v>M1</v>
      </c>
    </row>
    <row r="139" spans="22:81" ht="16.8" customHeight="1">
      <c r="V139" s="27">
        <v>136</v>
      </c>
      <c r="W139" s="25"/>
      <c r="X139" s="25" t="s">
        <v>82</v>
      </c>
      <c r="Y139" s="25" t="s">
        <v>16</v>
      </c>
      <c r="AA139" s="29"/>
      <c r="AB139" s="29">
        <v>1</v>
      </c>
      <c r="AC139" s="29">
        <v>1</v>
      </c>
      <c r="AD139" s="65"/>
      <c r="AE139" s="29" t="str">
        <f t="shared" si="127"/>
        <v/>
      </c>
      <c r="AF139" s="29">
        <f t="shared" si="128"/>
        <v>1</v>
      </c>
      <c r="AG139" s="29">
        <f t="shared" si="129"/>
        <v>1</v>
      </c>
      <c r="AH139" s="65"/>
      <c r="AI139" s="29" t="str">
        <f t="shared" si="139"/>
        <v/>
      </c>
      <c r="AJ139" s="29">
        <f t="shared" si="140"/>
        <v>1</v>
      </c>
      <c r="AK139" s="29">
        <f t="shared" si="141"/>
        <v>1</v>
      </c>
      <c r="AM139" s="29"/>
      <c r="AN139" s="29">
        <v>1</v>
      </c>
      <c r="AO139" s="29">
        <v>1</v>
      </c>
      <c r="AQ139" s="29" t="str">
        <f t="shared" si="130"/>
        <v/>
      </c>
      <c r="AR139" s="29">
        <f t="shared" si="121"/>
        <v>1</v>
      </c>
      <c r="AS139" s="29">
        <f t="shared" si="122"/>
        <v>1</v>
      </c>
      <c r="AT139" s="65"/>
      <c r="AU139" s="29" t="str">
        <f t="shared" si="142"/>
        <v/>
      </c>
      <c r="AV139" s="29">
        <f t="shared" si="131"/>
        <v>1</v>
      </c>
      <c r="AW139" s="29">
        <f t="shared" si="132"/>
        <v>1</v>
      </c>
      <c r="AY139" s="29"/>
      <c r="AZ139" s="29">
        <v>1</v>
      </c>
      <c r="BA139" s="29">
        <v>1</v>
      </c>
      <c r="BC139" s="29" t="str">
        <f t="shared" si="133"/>
        <v/>
      </c>
      <c r="BD139" s="29">
        <f t="shared" si="123"/>
        <v>1</v>
      </c>
      <c r="BE139" s="29">
        <f t="shared" si="124"/>
        <v>1</v>
      </c>
      <c r="BF139" s="65"/>
      <c r="BG139" s="29" t="str">
        <f t="shared" si="143"/>
        <v/>
      </c>
      <c r="BH139" s="29">
        <f t="shared" si="134"/>
        <v>1</v>
      </c>
      <c r="BI139" s="29">
        <f t="shared" si="135"/>
        <v>1</v>
      </c>
      <c r="BK139" s="29"/>
      <c r="BL139" s="29">
        <v>100</v>
      </c>
      <c r="BM139" s="29">
        <v>100</v>
      </c>
      <c r="BO139" s="29" t="str">
        <f t="shared" si="136"/>
        <v/>
      </c>
      <c r="BP139" s="29">
        <f t="shared" si="125"/>
        <v>100</v>
      </c>
      <c r="BQ139" s="29">
        <f t="shared" si="126"/>
        <v>100</v>
      </c>
      <c r="BR139" s="65"/>
      <c r="BS139" s="29" t="str">
        <f t="shared" si="144"/>
        <v/>
      </c>
      <c r="BT139" s="29">
        <f t="shared" si="137"/>
        <v>100</v>
      </c>
      <c r="BU139" s="29">
        <f t="shared" si="138"/>
        <v>100</v>
      </c>
      <c r="BW139" s="8" t="str">
        <f>IF(W139="","",VLOOKUP('Regular Symbol'!W139,'Regular Symbol'!$O$3:$T$13,6,0))</f>
        <v/>
      </c>
      <c r="BX139" s="8">
        <f>IF(X139="","",VLOOKUP('Regular Symbol'!X139,'Regular Symbol'!$O$3:$T$13,6,0))</f>
        <v>5</v>
      </c>
      <c r="BY139" s="8">
        <f>IF(Y139="","",VLOOKUP('Regular Symbol'!Y139,'Regular Symbol'!$O$3:$T$13,6,0))</f>
        <v>1</v>
      </c>
      <c r="CA139" s="8" t="str">
        <f t="shared" si="118"/>
        <v/>
      </c>
      <c r="CB139" s="8" t="str">
        <f t="shared" si="119"/>
        <v>K</v>
      </c>
      <c r="CC139" s="8" t="str">
        <f t="shared" si="120"/>
        <v>M1</v>
      </c>
    </row>
    <row r="140" spans="22:81" ht="16.8" customHeight="1">
      <c r="V140" s="27">
        <v>137</v>
      </c>
      <c r="W140" s="25"/>
      <c r="X140" s="25" t="s">
        <v>16</v>
      </c>
      <c r="Y140" s="25" t="s">
        <v>16</v>
      </c>
      <c r="AA140" s="29"/>
      <c r="AB140" s="29">
        <v>1</v>
      </c>
      <c r="AC140" s="29">
        <v>1</v>
      </c>
      <c r="AD140" s="65"/>
      <c r="AE140" s="29" t="str">
        <f t="shared" si="127"/>
        <v/>
      </c>
      <c r="AF140" s="29">
        <f t="shared" si="128"/>
        <v>1</v>
      </c>
      <c r="AG140" s="29">
        <f t="shared" si="129"/>
        <v>1</v>
      </c>
      <c r="AH140" s="65"/>
      <c r="AI140" s="29" t="str">
        <f t="shared" si="139"/>
        <v/>
      </c>
      <c r="AJ140" s="29">
        <f t="shared" si="140"/>
        <v>1</v>
      </c>
      <c r="AK140" s="29">
        <f t="shared" si="141"/>
        <v>1</v>
      </c>
      <c r="AM140" s="29"/>
      <c r="AN140" s="29">
        <v>1</v>
      </c>
      <c r="AO140" s="29">
        <v>1</v>
      </c>
      <c r="AQ140" s="29" t="str">
        <f t="shared" si="130"/>
        <v/>
      </c>
      <c r="AR140" s="29">
        <f t="shared" si="121"/>
        <v>1</v>
      </c>
      <c r="AS140" s="29">
        <f t="shared" si="122"/>
        <v>1</v>
      </c>
      <c r="AT140" s="65"/>
      <c r="AU140" s="29" t="str">
        <f t="shared" si="142"/>
        <v/>
      </c>
      <c r="AV140" s="29">
        <f t="shared" si="131"/>
        <v>1</v>
      </c>
      <c r="AW140" s="29">
        <f t="shared" si="132"/>
        <v>1</v>
      </c>
      <c r="AY140" s="29"/>
      <c r="AZ140" s="29">
        <v>1</v>
      </c>
      <c r="BA140" s="29">
        <v>1</v>
      </c>
      <c r="BC140" s="29" t="str">
        <f t="shared" si="133"/>
        <v/>
      </c>
      <c r="BD140" s="29">
        <f t="shared" si="123"/>
        <v>1</v>
      </c>
      <c r="BE140" s="29">
        <f t="shared" si="124"/>
        <v>1</v>
      </c>
      <c r="BF140" s="65"/>
      <c r="BG140" s="29" t="str">
        <f t="shared" si="143"/>
        <v/>
      </c>
      <c r="BH140" s="29">
        <f t="shared" si="134"/>
        <v>1</v>
      </c>
      <c r="BI140" s="29">
        <f t="shared" si="135"/>
        <v>1</v>
      </c>
      <c r="BK140" s="29"/>
      <c r="BL140" s="29">
        <v>100</v>
      </c>
      <c r="BM140" s="29">
        <v>100</v>
      </c>
      <c r="BO140" s="29" t="str">
        <f t="shared" si="136"/>
        <v/>
      </c>
      <c r="BP140" s="29">
        <f t="shared" si="125"/>
        <v>100</v>
      </c>
      <c r="BQ140" s="29">
        <f t="shared" si="126"/>
        <v>100</v>
      </c>
      <c r="BR140" s="65"/>
      <c r="BS140" s="29" t="str">
        <f t="shared" si="144"/>
        <v/>
      </c>
      <c r="BT140" s="29">
        <f t="shared" si="137"/>
        <v>100</v>
      </c>
      <c r="BU140" s="29">
        <f t="shared" si="138"/>
        <v>100</v>
      </c>
      <c r="BW140" s="8" t="str">
        <f>IF(W140="","",VLOOKUP('Regular Symbol'!W140,'Regular Symbol'!$O$3:$T$13,6,0))</f>
        <v/>
      </c>
      <c r="BX140" s="8">
        <f>IF(X140="","",VLOOKUP('Regular Symbol'!X140,'Regular Symbol'!$O$3:$T$13,6,0))</f>
        <v>1</v>
      </c>
      <c r="BY140" s="8">
        <f>IF(Y140="","",VLOOKUP('Regular Symbol'!Y140,'Regular Symbol'!$O$3:$T$13,6,0))</f>
        <v>1</v>
      </c>
      <c r="CA140" s="8" t="str">
        <f t="shared" si="118"/>
        <v/>
      </c>
      <c r="CB140" s="8" t="str">
        <f t="shared" si="119"/>
        <v>M1</v>
      </c>
      <c r="CC140" s="8" t="str">
        <f t="shared" si="120"/>
        <v>M1</v>
      </c>
    </row>
    <row r="141" spans="22:81" ht="16.8" customHeight="1">
      <c r="V141" s="27">
        <v>138</v>
      </c>
      <c r="W141" s="25"/>
      <c r="X141" s="25" t="s">
        <v>16</v>
      </c>
      <c r="Y141" s="25" t="s">
        <v>82</v>
      </c>
      <c r="AA141" s="29"/>
      <c r="AB141" s="29">
        <v>1</v>
      </c>
      <c r="AC141" s="29">
        <v>1</v>
      </c>
      <c r="AD141" s="65"/>
      <c r="AE141" s="29" t="str">
        <f t="shared" si="127"/>
        <v/>
      </c>
      <c r="AF141" s="29">
        <f t="shared" si="128"/>
        <v>1</v>
      </c>
      <c r="AG141" s="29">
        <f t="shared" si="129"/>
        <v>1</v>
      </c>
      <c r="AH141" s="65"/>
      <c r="AI141" s="29" t="str">
        <f t="shared" si="139"/>
        <v/>
      </c>
      <c r="AJ141" s="29">
        <f t="shared" si="140"/>
        <v>1</v>
      </c>
      <c r="AK141" s="29">
        <f t="shared" si="141"/>
        <v>1</v>
      </c>
      <c r="AM141" s="29"/>
      <c r="AN141" s="29">
        <v>1</v>
      </c>
      <c r="AO141" s="29">
        <v>1</v>
      </c>
      <c r="AQ141" s="29" t="str">
        <f t="shared" si="130"/>
        <v/>
      </c>
      <c r="AR141" s="29">
        <f t="shared" si="121"/>
        <v>1</v>
      </c>
      <c r="AS141" s="29">
        <f t="shared" si="122"/>
        <v>1</v>
      </c>
      <c r="AT141" s="65"/>
      <c r="AU141" s="29" t="str">
        <f t="shared" si="142"/>
        <v/>
      </c>
      <c r="AV141" s="29">
        <f t="shared" si="131"/>
        <v>1</v>
      </c>
      <c r="AW141" s="29">
        <f t="shared" si="132"/>
        <v>1</v>
      </c>
      <c r="AY141" s="29"/>
      <c r="AZ141" s="29">
        <v>1</v>
      </c>
      <c r="BA141" s="29">
        <v>1</v>
      </c>
      <c r="BC141" s="29" t="str">
        <f t="shared" si="133"/>
        <v/>
      </c>
      <c r="BD141" s="29">
        <f t="shared" si="123"/>
        <v>1</v>
      </c>
      <c r="BE141" s="29">
        <f t="shared" si="124"/>
        <v>1</v>
      </c>
      <c r="BF141" s="65"/>
      <c r="BG141" s="29" t="str">
        <f t="shared" si="143"/>
        <v/>
      </c>
      <c r="BH141" s="29">
        <f t="shared" si="134"/>
        <v>1</v>
      </c>
      <c r="BI141" s="29">
        <f t="shared" si="135"/>
        <v>1</v>
      </c>
      <c r="BK141" s="29"/>
      <c r="BL141" s="29">
        <v>100</v>
      </c>
      <c r="BM141" s="29">
        <v>100</v>
      </c>
      <c r="BO141" s="29" t="str">
        <f t="shared" si="136"/>
        <v/>
      </c>
      <c r="BP141" s="29">
        <f t="shared" si="125"/>
        <v>100</v>
      </c>
      <c r="BQ141" s="29">
        <f t="shared" si="126"/>
        <v>100</v>
      </c>
      <c r="BR141" s="65"/>
      <c r="BS141" s="29" t="str">
        <f t="shared" si="144"/>
        <v/>
      </c>
      <c r="BT141" s="29">
        <f t="shared" si="137"/>
        <v>100</v>
      </c>
      <c r="BU141" s="29">
        <f t="shared" si="138"/>
        <v>100</v>
      </c>
      <c r="BW141" s="8" t="str">
        <f>IF(W141="","",VLOOKUP('Regular Symbol'!W141,'Regular Symbol'!$O$3:$T$13,6,0))</f>
        <v/>
      </c>
      <c r="BX141" s="8">
        <f>IF(X141="","",VLOOKUP('Regular Symbol'!X141,'Regular Symbol'!$O$3:$T$13,6,0))</f>
        <v>1</v>
      </c>
      <c r="BY141" s="8">
        <f>IF(Y141="","",VLOOKUP('Regular Symbol'!Y141,'Regular Symbol'!$O$3:$T$13,6,0))</f>
        <v>5</v>
      </c>
      <c r="CA141" s="8" t="str">
        <f t="shared" si="118"/>
        <v/>
      </c>
      <c r="CB141" s="8" t="str">
        <f t="shared" si="119"/>
        <v>M1</v>
      </c>
      <c r="CC141" s="8" t="str">
        <f t="shared" si="120"/>
        <v>K</v>
      </c>
    </row>
    <row r="142" spans="22:81" ht="16.8" customHeight="1">
      <c r="V142" s="27">
        <v>139</v>
      </c>
      <c r="W142" s="25"/>
      <c r="X142" s="25" t="s">
        <v>81</v>
      </c>
      <c r="Y142" s="25" t="s">
        <v>82</v>
      </c>
      <c r="AA142" s="29"/>
      <c r="AB142" s="29">
        <v>1</v>
      </c>
      <c r="AC142" s="29">
        <v>1</v>
      </c>
      <c r="AD142" s="65"/>
      <c r="AE142" s="29" t="str">
        <f t="shared" si="127"/>
        <v/>
      </c>
      <c r="AF142" s="29">
        <f t="shared" si="128"/>
        <v>1</v>
      </c>
      <c r="AG142" s="29">
        <f t="shared" si="129"/>
        <v>1</v>
      </c>
      <c r="AH142" s="65"/>
      <c r="AI142" s="29" t="str">
        <f t="shared" si="139"/>
        <v/>
      </c>
      <c r="AJ142" s="29">
        <f t="shared" si="140"/>
        <v>1</v>
      </c>
      <c r="AK142" s="29">
        <f t="shared" si="141"/>
        <v>1</v>
      </c>
      <c r="AM142" s="29"/>
      <c r="AN142" s="29">
        <v>1</v>
      </c>
      <c r="AO142" s="29">
        <v>1</v>
      </c>
      <c r="AQ142" s="29" t="str">
        <f t="shared" si="130"/>
        <v/>
      </c>
      <c r="AR142" s="29">
        <f t="shared" si="121"/>
        <v>1</v>
      </c>
      <c r="AS142" s="29">
        <f t="shared" si="122"/>
        <v>1</v>
      </c>
      <c r="AT142" s="65"/>
      <c r="AU142" s="29" t="str">
        <f t="shared" si="142"/>
        <v/>
      </c>
      <c r="AV142" s="29">
        <f t="shared" si="131"/>
        <v>1</v>
      </c>
      <c r="AW142" s="29">
        <f t="shared" si="132"/>
        <v>1</v>
      </c>
      <c r="AY142" s="29"/>
      <c r="AZ142" s="29">
        <v>1</v>
      </c>
      <c r="BA142" s="29">
        <v>1</v>
      </c>
      <c r="BC142" s="29" t="str">
        <f t="shared" si="133"/>
        <v/>
      </c>
      <c r="BD142" s="29">
        <f t="shared" si="123"/>
        <v>1</v>
      </c>
      <c r="BE142" s="29">
        <f t="shared" si="124"/>
        <v>1</v>
      </c>
      <c r="BF142" s="65"/>
      <c r="BG142" s="29" t="str">
        <f t="shared" si="143"/>
        <v/>
      </c>
      <c r="BH142" s="29">
        <f t="shared" si="134"/>
        <v>1</v>
      </c>
      <c r="BI142" s="29">
        <f t="shared" si="135"/>
        <v>1</v>
      </c>
      <c r="BK142" s="29"/>
      <c r="BL142" s="29">
        <v>701</v>
      </c>
      <c r="BM142" s="29">
        <v>677</v>
      </c>
      <c r="BO142" s="29" t="str">
        <f t="shared" si="136"/>
        <v/>
      </c>
      <c r="BP142" s="29">
        <f t="shared" si="125"/>
        <v>100</v>
      </c>
      <c r="BQ142" s="29">
        <f t="shared" si="126"/>
        <v>100</v>
      </c>
      <c r="BR142" s="65"/>
      <c r="BS142" s="29" t="str">
        <f t="shared" si="144"/>
        <v/>
      </c>
      <c r="BT142" s="29">
        <f t="shared" si="137"/>
        <v>100</v>
      </c>
      <c r="BU142" s="29">
        <f t="shared" si="138"/>
        <v>100</v>
      </c>
      <c r="BW142" s="8" t="str">
        <f>IF(W142="","",VLOOKUP('Regular Symbol'!W142,'Regular Symbol'!$O$3:$T$13,6,0))</f>
        <v/>
      </c>
      <c r="BX142" s="8">
        <f>IF(X142="","",VLOOKUP('Regular Symbol'!X142,'Regular Symbol'!$O$3:$T$13,6,0))</f>
        <v>4</v>
      </c>
      <c r="BY142" s="8">
        <f>IF(Y142="","",VLOOKUP('Regular Symbol'!Y142,'Regular Symbol'!$O$3:$T$13,6,0))</f>
        <v>5</v>
      </c>
      <c r="CA142" s="8" t="str">
        <f t="shared" si="118"/>
        <v/>
      </c>
      <c r="CB142" s="8" t="str">
        <f t="shared" si="119"/>
        <v>A</v>
      </c>
      <c r="CC142" s="8" t="str">
        <f t="shared" si="120"/>
        <v>K</v>
      </c>
    </row>
    <row r="143" spans="22:81" ht="16.8" customHeight="1">
      <c r="V143" s="27">
        <v>140</v>
      </c>
      <c r="W143" s="25"/>
      <c r="X143" s="25" t="s">
        <v>81</v>
      </c>
      <c r="Y143" s="25" t="s">
        <v>82</v>
      </c>
      <c r="AA143" s="29"/>
      <c r="AB143" s="29">
        <v>1</v>
      </c>
      <c r="AC143" s="29">
        <v>1</v>
      </c>
      <c r="AD143" s="65"/>
      <c r="AE143" s="29" t="str">
        <f t="shared" si="127"/>
        <v/>
      </c>
      <c r="AF143" s="29">
        <f t="shared" si="128"/>
        <v>1</v>
      </c>
      <c r="AG143" s="29">
        <f t="shared" si="129"/>
        <v>1</v>
      </c>
      <c r="AH143" s="65"/>
      <c r="AI143" s="29" t="str">
        <f t="shared" si="139"/>
        <v/>
      </c>
      <c r="AJ143" s="29">
        <f t="shared" si="140"/>
        <v>1</v>
      </c>
      <c r="AK143" s="29">
        <f t="shared" si="141"/>
        <v>1</v>
      </c>
      <c r="AM143" s="29"/>
      <c r="AN143" s="29">
        <v>1</v>
      </c>
      <c r="AO143" s="29">
        <v>1</v>
      </c>
      <c r="AQ143" s="29" t="str">
        <f t="shared" si="130"/>
        <v/>
      </c>
      <c r="AR143" s="29">
        <f t="shared" si="121"/>
        <v>1</v>
      </c>
      <c r="AS143" s="29">
        <f t="shared" si="122"/>
        <v>1</v>
      </c>
      <c r="AT143" s="65"/>
      <c r="AU143" s="29" t="str">
        <f t="shared" si="142"/>
        <v/>
      </c>
      <c r="AV143" s="29">
        <f t="shared" si="131"/>
        <v>1</v>
      </c>
      <c r="AW143" s="29">
        <f t="shared" si="132"/>
        <v>1</v>
      </c>
      <c r="AY143" s="29"/>
      <c r="AZ143" s="29">
        <v>1</v>
      </c>
      <c r="BA143" s="29">
        <v>1</v>
      </c>
      <c r="BC143" s="29" t="str">
        <f t="shared" si="133"/>
        <v/>
      </c>
      <c r="BD143" s="29">
        <f t="shared" si="123"/>
        <v>1</v>
      </c>
      <c r="BE143" s="29">
        <f t="shared" si="124"/>
        <v>1</v>
      </c>
      <c r="BF143" s="65"/>
      <c r="BG143" s="29" t="str">
        <f t="shared" si="143"/>
        <v/>
      </c>
      <c r="BH143" s="29">
        <f t="shared" si="134"/>
        <v>1</v>
      </c>
      <c r="BI143" s="29">
        <f t="shared" si="135"/>
        <v>1</v>
      </c>
      <c r="BK143" s="29"/>
      <c r="BL143" s="29">
        <v>584</v>
      </c>
      <c r="BM143" s="29">
        <v>564</v>
      </c>
      <c r="BO143" s="29" t="str">
        <f t="shared" si="136"/>
        <v/>
      </c>
      <c r="BP143" s="29">
        <f t="shared" si="125"/>
        <v>701</v>
      </c>
      <c r="BQ143" s="29">
        <f t="shared" si="126"/>
        <v>677</v>
      </c>
      <c r="BR143" s="65"/>
      <c r="BS143" s="29" t="str">
        <f t="shared" si="144"/>
        <v/>
      </c>
      <c r="BT143" s="29">
        <f t="shared" si="137"/>
        <v>100</v>
      </c>
      <c r="BU143" s="29">
        <f t="shared" si="138"/>
        <v>100</v>
      </c>
      <c r="BW143" s="8" t="str">
        <f>IF(W143="","",VLOOKUP('Regular Symbol'!W143,'Regular Symbol'!$O$3:$T$13,6,0))</f>
        <v/>
      </c>
      <c r="BX143" s="8">
        <f>IF(X143="","",VLOOKUP('Regular Symbol'!X143,'Regular Symbol'!$O$3:$T$13,6,0))</f>
        <v>4</v>
      </c>
      <c r="BY143" s="8">
        <f>IF(Y143="","",VLOOKUP('Regular Symbol'!Y143,'Regular Symbol'!$O$3:$T$13,6,0))</f>
        <v>5</v>
      </c>
      <c r="CA143" s="8" t="str">
        <f t="shared" si="118"/>
        <v/>
      </c>
      <c r="CB143" s="8" t="str">
        <f t="shared" si="119"/>
        <v>A</v>
      </c>
      <c r="CC143" s="8" t="str">
        <f t="shared" si="120"/>
        <v>K</v>
      </c>
    </row>
    <row r="144" spans="22:81" ht="16.8" customHeight="1">
      <c r="V144" s="27">
        <v>141</v>
      </c>
      <c r="W144" s="25"/>
      <c r="X144" s="25" t="s">
        <v>25</v>
      </c>
      <c r="Y144" s="25" t="s">
        <v>15</v>
      </c>
      <c r="AA144" s="29"/>
      <c r="AB144" s="29">
        <v>1</v>
      </c>
      <c r="AC144" s="29">
        <v>1</v>
      </c>
      <c r="AD144" s="65"/>
      <c r="AE144" s="29" t="str">
        <f t="shared" si="127"/>
        <v/>
      </c>
      <c r="AF144" s="29">
        <f t="shared" si="128"/>
        <v>1</v>
      </c>
      <c r="AG144" s="29">
        <f t="shared" si="129"/>
        <v>1</v>
      </c>
      <c r="AH144" s="65"/>
      <c r="AI144" s="29" t="str">
        <f t="shared" si="139"/>
        <v/>
      </c>
      <c r="AJ144" s="29">
        <f t="shared" si="140"/>
        <v>1</v>
      </c>
      <c r="AK144" s="29">
        <f t="shared" si="141"/>
        <v>1</v>
      </c>
      <c r="AM144" s="29"/>
      <c r="AN144" s="29">
        <v>1</v>
      </c>
      <c r="AO144" s="29">
        <v>1</v>
      </c>
      <c r="AQ144" s="29" t="str">
        <f t="shared" si="130"/>
        <v/>
      </c>
      <c r="AR144" s="29">
        <f t="shared" si="121"/>
        <v>1</v>
      </c>
      <c r="AS144" s="29">
        <f t="shared" si="122"/>
        <v>1</v>
      </c>
      <c r="AT144" s="65"/>
      <c r="AU144" s="29" t="str">
        <f t="shared" si="142"/>
        <v/>
      </c>
      <c r="AV144" s="29">
        <f t="shared" si="131"/>
        <v>1</v>
      </c>
      <c r="AW144" s="29">
        <f t="shared" si="132"/>
        <v>1</v>
      </c>
      <c r="AY144" s="29"/>
      <c r="AZ144" s="29">
        <v>1</v>
      </c>
      <c r="BA144" s="29">
        <v>1</v>
      </c>
      <c r="BC144" s="29" t="str">
        <f t="shared" si="133"/>
        <v/>
      </c>
      <c r="BD144" s="29">
        <f t="shared" si="123"/>
        <v>1</v>
      </c>
      <c r="BE144" s="29">
        <f t="shared" si="124"/>
        <v>1</v>
      </c>
      <c r="BF144" s="65"/>
      <c r="BG144" s="29" t="str">
        <f t="shared" si="143"/>
        <v/>
      </c>
      <c r="BH144" s="29">
        <f t="shared" si="134"/>
        <v>1</v>
      </c>
      <c r="BI144" s="29">
        <f t="shared" si="135"/>
        <v>1</v>
      </c>
      <c r="BK144" s="29"/>
      <c r="BL144" s="29">
        <v>467</v>
      </c>
      <c r="BM144" s="29">
        <v>451</v>
      </c>
      <c r="BO144" s="29" t="str">
        <f t="shared" si="136"/>
        <v/>
      </c>
      <c r="BP144" s="29">
        <f t="shared" si="125"/>
        <v>584</v>
      </c>
      <c r="BQ144" s="29">
        <f t="shared" si="126"/>
        <v>564</v>
      </c>
      <c r="BR144" s="65"/>
      <c r="BS144" s="29" t="str">
        <f t="shared" si="144"/>
        <v/>
      </c>
      <c r="BT144" s="29">
        <f t="shared" si="137"/>
        <v>701</v>
      </c>
      <c r="BU144" s="29">
        <f t="shared" si="138"/>
        <v>677</v>
      </c>
      <c r="BW144" s="8" t="str">
        <f>IF(W144="","",VLOOKUP('Regular Symbol'!W144,'Regular Symbol'!$O$3:$T$13,6,0))</f>
        <v/>
      </c>
      <c r="BX144" s="8">
        <f>IF(X144="","",VLOOKUP('Regular Symbol'!X144,'Regular Symbol'!$O$3:$T$13,6,0))</f>
        <v>0</v>
      </c>
      <c r="BY144" s="8">
        <f>IF(Y144="","",VLOOKUP('Regular Symbol'!Y144,'Regular Symbol'!$O$3:$T$13,6,0))</f>
        <v>0</v>
      </c>
      <c r="CA144" s="8" t="str">
        <f t="shared" si="118"/>
        <v/>
      </c>
      <c r="CB144" s="8" t="str">
        <f t="shared" si="119"/>
        <v>Wild</v>
      </c>
      <c r="CC144" s="8" t="str">
        <f t="shared" si="120"/>
        <v>Wild</v>
      </c>
    </row>
    <row r="145" spans="22:81" ht="16.8" customHeight="1">
      <c r="V145" s="27">
        <v>142</v>
      </c>
      <c r="W145" s="25"/>
      <c r="X145" s="25" t="s">
        <v>25</v>
      </c>
      <c r="Y145" s="25" t="s">
        <v>15</v>
      </c>
      <c r="AA145" s="29"/>
      <c r="AB145" s="29">
        <v>1</v>
      </c>
      <c r="AC145" s="29">
        <v>1</v>
      </c>
      <c r="AD145" s="65"/>
      <c r="AE145" s="29" t="str">
        <f t="shared" si="127"/>
        <v/>
      </c>
      <c r="AF145" s="29">
        <f t="shared" si="128"/>
        <v>1</v>
      </c>
      <c r="AG145" s="29">
        <f t="shared" si="129"/>
        <v>1</v>
      </c>
      <c r="AH145" s="65"/>
      <c r="AI145" s="29" t="str">
        <f t="shared" si="139"/>
        <v/>
      </c>
      <c r="AJ145" s="29">
        <f t="shared" si="140"/>
        <v>1</v>
      </c>
      <c r="AK145" s="29">
        <f t="shared" si="141"/>
        <v>1</v>
      </c>
      <c r="AM145" s="29"/>
      <c r="AN145" s="29">
        <v>1</v>
      </c>
      <c r="AO145" s="29">
        <v>1</v>
      </c>
      <c r="AQ145" s="29" t="str">
        <f t="shared" si="130"/>
        <v/>
      </c>
      <c r="AR145" s="29">
        <f t="shared" si="121"/>
        <v>1</v>
      </c>
      <c r="AS145" s="29">
        <f t="shared" si="122"/>
        <v>1</v>
      </c>
      <c r="AT145" s="65"/>
      <c r="AU145" s="29" t="str">
        <f t="shared" si="142"/>
        <v/>
      </c>
      <c r="AV145" s="29">
        <f t="shared" si="131"/>
        <v>1</v>
      </c>
      <c r="AW145" s="29">
        <f t="shared" si="132"/>
        <v>1</v>
      </c>
      <c r="AY145" s="29"/>
      <c r="AZ145" s="29">
        <v>1</v>
      </c>
      <c r="BA145" s="29">
        <v>1</v>
      </c>
      <c r="BC145" s="29" t="str">
        <f t="shared" si="133"/>
        <v/>
      </c>
      <c r="BD145" s="29">
        <f t="shared" si="123"/>
        <v>1</v>
      </c>
      <c r="BE145" s="29">
        <f t="shared" si="124"/>
        <v>1</v>
      </c>
      <c r="BF145" s="65"/>
      <c r="BG145" s="29" t="str">
        <f t="shared" si="143"/>
        <v/>
      </c>
      <c r="BH145" s="29">
        <f t="shared" si="134"/>
        <v>1</v>
      </c>
      <c r="BI145" s="29">
        <f t="shared" si="135"/>
        <v>1</v>
      </c>
      <c r="BK145" s="29"/>
      <c r="BL145" s="29">
        <v>584</v>
      </c>
      <c r="BM145" s="29">
        <v>564</v>
      </c>
      <c r="BO145" s="29" t="str">
        <f t="shared" si="136"/>
        <v/>
      </c>
      <c r="BP145" s="29">
        <f t="shared" si="125"/>
        <v>467</v>
      </c>
      <c r="BQ145" s="29">
        <f t="shared" si="126"/>
        <v>451</v>
      </c>
      <c r="BR145" s="65"/>
      <c r="BS145" s="29" t="str">
        <f t="shared" si="144"/>
        <v/>
      </c>
      <c r="BT145" s="29">
        <f t="shared" si="137"/>
        <v>584</v>
      </c>
      <c r="BU145" s="29">
        <f t="shared" si="138"/>
        <v>564</v>
      </c>
      <c r="BW145" s="8" t="str">
        <f>IF(W145="","",VLOOKUP('Regular Symbol'!W145,'Regular Symbol'!$O$3:$T$13,6,0))</f>
        <v/>
      </c>
      <c r="BX145" s="8">
        <f>IF(X145="","",VLOOKUP('Regular Symbol'!X145,'Regular Symbol'!$O$3:$T$13,6,0))</f>
        <v>0</v>
      </c>
      <c r="BY145" s="8">
        <f>IF(Y145="","",VLOOKUP('Regular Symbol'!Y145,'Regular Symbol'!$O$3:$T$13,6,0))</f>
        <v>0</v>
      </c>
      <c r="CA145" s="8" t="str">
        <f t="shared" si="118"/>
        <v/>
      </c>
      <c r="CB145" s="8" t="str">
        <f t="shared" si="119"/>
        <v>Wild</v>
      </c>
      <c r="CC145" s="8" t="str">
        <f t="shared" si="120"/>
        <v>Wild</v>
      </c>
    </row>
    <row r="146" spans="22:81" ht="16.8" customHeight="1">
      <c r="V146" s="27">
        <v>143</v>
      </c>
      <c r="W146" s="25"/>
      <c r="X146" s="25" t="s">
        <v>25</v>
      </c>
      <c r="Y146" s="25" t="s">
        <v>25</v>
      </c>
      <c r="AA146" s="29"/>
      <c r="AB146" s="29">
        <v>1</v>
      </c>
      <c r="AC146" s="29">
        <v>1</v>
      </c>
      <c r="AD146" s="65"/>
      <c r="AE146" s="29" t="str">
        <f t="shared" si="127"/>
        <v/>
      </c>
      <c r="AF146" s="29">
        <f t="shared" si="128"/>
        <v>1</v>
      </c>
      <c r="AG146" s="29">
        <f t="shared" si="129"/>
        <v>1</v>
      </c>
      <c r="AH146" s="65"/>
      <c r="AI146" s="29" t="str">
        <f t="shared" si="139"/>
        <v/>
      </c>
      <c r="AJ146" s="29">
        <f t="shared" si="140"/>
        <v>1</v>
      </c>
      <c r="AK146" s="29">
        <f t="shared" si="141"/>
        <v>1</v>
      </c>
      <c r="AM146" s="29"/>
      <c r="AN146" s="29">
        <v>1</v>
      </c>
      <c r="AO146" s="29">
        <v>1</v>
      </c>
      <c r="AQ146" s="29" t="str">
        <f t="shared" si="130"/>
        <v/>
      </c>
      <c r="AR146" s="29">
        <f t="shared" si="121"/>
        <v>1</v>
      </c>
      <c r="AS146" s="29">
        <f t="shared" si="122"/>
        <v>1</v>
      </c>
      <c r="AT146" s="65"/>
      <c r="AU146" s="29" t="str">
        <f t="shared" si="142"/>
        <v/>
      </c>
      <c r="AV146" s="29">
        <f t="shared" si="131"/>
        <v>1</v>
      </c>
      <c r="AW146" s="29">
        <f t="shared" si="132"/>
        <v>1</v>
      </c>
      <c r="AY146" s="29"/>
      <c r="AZ146" s="29">
        <v>1</v>
      </c>
      <c r="BA146" s="29">
        <v>1</v>
      </c>
      <c r="BC146" s="29" t="str">
        <f t="shared" si="133"/>
        <v/>
      </c>
      <c r="BD146" s="29">
        <f t="shared" si="123"/>
        <v>1</v>
      </c>
      <c r="BE146" s="29">
        <f t="shared" si="124"/>
        <v>1</v>
      </c>
      <c r="BF146" s="65"/>
      <c r="BG146" s="29" t="str">
        <f t="shared" si="143"/>
        <v/>
      </c>
      <c r="BH146" s="29">
        <f t="shared" si="134"/>
        <v>1</v>
      </c>
      <c r="BI146" s="29">
        <f t="shared" si="135"/>
        <v>1</v>
      </c>
      <c r="BK146" s="29"/>
      <c r="BL146" s="29">
        <v>701</v>
      </c>
      <c r="BM146" s="29">
        <v>677</v>
      </c>
      <c r="BO146" s="29" t="str">
        <f t="shared" si="136"/>
        <v/>
      </c>
      <c r="BP146" s="29">
        <f t="shared" si="125"/>
        <v>584</v>
      </c>
      <c r="BQ146" s="29">
        <f t="shared" si="126"/>
        <v>564</v>
      </c>
      <c r="BR146" s="65"/>
      <c r="BS146" s="29" t="str">
        <f t="shared" si="144"/>
        <v/>
      </c>
      <c r="BT146" s="29">
        <f t="shared" si="137"/>
        <v>467</v>
      </c>
      <c r="BU146" s="29">
        <f t="shared" si="138"/>
        <v>451</v>
      </c>
      <c r="BW146" s="8" t="str">
        <f>IF(W146="","",VLOOKUP('Regular Symbol'!W146,'Regular Symbol'!$O$3:$T$13,6,0))</f>
        <v/>
      </c>
      <c r="BX146" s="8">
        <f>IF(X146="","",VLOOKUP('Regular Symbol'!X146,'Regular Symbol'!$O$3:$T$13,6,0))</f>
        <v>0</v>
      </c>
      <c r="BY146" s="8">
        <f>IF(Y146="","",VLOOKUP('Regular Symbol'!Y146,'Regular Symbol'!$O$3:$T$13,6,0))</f>
        <v>0</v>
      </c>
      <c r="CA146" s="8" t="str">
        <f t="shared" si="118"/>
        <v/>
      </c>
      <c r="CB146" s="8" t="str">
        <f t="shared" si="119"/>
        <v>Wild</v>
      </c>
      <c r="CC146" s="8" t="str">
        <f t="shared" si="120"/>
        <v>Wild</v>
      </c>
    </row>
    <row r="147" spans="22:81" ht="16.8" customHeight="1">
      <c r="V147" s="27">
        <v>144</v>
      </c>
      <c r="W147" s="25"/>
      <c r="X147" s="25" t="s">
        <v>17</v>
      </c>
      <c r="Y147" s="25" t="s">
        <v>84</v>
      </c>
      <c r="AA147" s="29"/>
      <c r="AB147" s="29">
        <v>1</v>
      </c>
      <c r="AC147" s="29">
        <v>1</v>
      </c>
      <c r="AD147" s="65"/>
      <c r="AE147" s="29" t="str">
        <f t="shared" si="127"/>
        <v/>
      </c>
      <c r="AF147" s="29">
        <f t="shared" si="128"/>
        <v>1</v>
      </c>
      <c r="AG147" s="29">
        <f t="shared" si="129"/>
        <v>1</v>
      </c>
      <c r="AH147" s="65"/>
      <c r="AI147" s="29" t="str">
        <f t="shared" si="139"/>
        <v/>
      </c>
      <c r="AJ147" s="29">
        <f t="shared" si="140"/>
        <v>1</v>
      </c>
      <c r="AK147" s="29">
        <f t="shared" si="141"/>
        <v>1</v>
      </c>
      <c r="AM147" s="29"/>
      <c r="AN147" s="29">
        <v>1</v>
      </c>
      <c r="AO147" s="29">
        <v>1</v>
      </c>
      <c r="AQ147" s="29" t="str">
        <f t="shared" si="130"/>
        <v/>
      </c>
      <c r="AR147" s="29">
        <f t="shared" si="121"/>
        <v>1</v>
      </c>
      <c r="AS147" s="29">
        <f t="shared" si="122"/>
        <v>1</v>
      </c>
      <c r="AT147" s="65"/>
      <c r="AU147" s="29" t="str">
        <f t="shared" si="142"/>
        <v/>
      </c>
      <c r="AV147" s="29">
        <f t="shared" si="131"/>
        <v>1</v>
      </c>
      <c r="AW147" s="29">
        <f t="shared" si="132"/>
        <v>1</v>
      </c>
      <c r="AY147" s="29"/>
      <c r="AZ147" s="29">
        <v>1</v>
      </c>
      <c r="BA147" s="29">
        <v>1</v>
      </c>
      <c r="BC147" s="29" t="str">
        <f t="shared" si="133"/>
        <v/>
      </c>
      <c r="BD147" s="29">
        <f t="shared" si="123"/>
        <v>1</v>
      </c>
      <c r="BE147" s="29">
        <f t="shared" si="124"/>
        <v>1</v>
      </c>
      <c r="BF147" s="65"/>
      <c r="BG147" s="29" t="str">
        <f t="shared" si="143"/>
        <v/>
      </c>
      <c r="BH147" s="29">
        <f t="shared" si="134"/>
        <v>1</v>
      </c>
      <c r="BI147" s="29">
        <f t="shared" si="135"/>
        <v>1</v>
      </c>
      <c r="BK147" s="29"/>
      <c r="BL147" s="29">
        <v>100</v>
      </c>
      <c r="BM147" s="29">
        <v>100</v>
      </c>
      <c r="BO147" s="29" t="str">
        <f t="shared" si="136"/>
        <v/>
      </c>
      <c r="BP147" s="29">
        <f t="shared" si="125"/>
        <v>701</v>
      </c>
      <c r="BQ147" s="29">
        <f t="shared" si="126"/>
        <v>677</v>
      </c>
      <c r="BR147" s="65"/>
      <c r="BS147" s="29" t="str">
        <f t="shared" si="144"/>
        <v/>
      </c>
      <c r="BT147" s="29">
        <f t="shared" si="137"/>
        <v>584</v>
      </c>
      <c r="BU147" s="29">
        <f t="shared" si="138"/>
        <v>564</v>
      </c>
      <c r="BW147" s="8" t="str">
        <f>IF(W147="","",VLOOKUP('Regular Symbol'!W147,'Regular Symbol'!$O$3:$T$13,6,0))</f>
        <v/>
      </c>
      <c r="BX147" s="8">
        <f>IF(X147="","",VLOOKUP('Regular Symbol'!X147,'Regular Symbol'!$O$3:$T$13,6,0))</f>
        <v>2</v>
      </c>
      <c r="BY147" s="8">
        <f>IF(Y147="","",VLOOKUP('Regular Symbol'!Y147,'Regular Symbol'!$O$3:$T$13,6,0))</f>
        <v>7</v>
      </c>
      <c r="CA147" s="8" t="str">
        <f t="shared" si="118"/>
        <v/>
      </c>
      <c r="CB147" s="8" t="str">
        <f t="shared" si="119"/>
        <v>M2</v>
      </c>
      <c r="CC147" s="8" t="str">
        <f t="shared" si="120"/>
        <v>J</v>
      </c>
    </row>
    <row r="148" spans="22:81" ht="16.8" customHeight="1">
      <c r="V148" s="27">
        <v>145</v>
      </c>
      <c r="W148" s="25"/>
      <c r="X148" s="25" t="s">
        <v>17</v>
      </c>
      <c r="Y148" s="25" t="s">
        <v>84</v>
      </c>
      <c r="AA148" s="29"/>
      <c r="AB148" s="29">
        <v>1</v>
      </c>
      <c r="AC148" s="29">
        <v>1</v>
      </c>
      <c r="AD148" s="65"/>
      <c r="AE148" s="29" t="str">
        <f t="shared" si="127"/>
        <v/>
      </c>
      <c r="AF148" s="29">
        <f t="shared" si="128"/>
        <v>1</v>
      </c>
      <c r="AG148" s="29">
        <f t="shared" si="129"/>
        <v>1</v>
      </c>
      <c r="AH148" s="65"/>
      <c r="AI148" s="29" t="str">
        <f t="shared" si="139"/>
        <v/>
      </c>
      <c r="AJ148" s="29">
        <f t="shared" si="140"/>
        <v>1</v>
      </c>
      <c r="AK148" s="29">
        <f t="shared" si="141"/>
        <v>1</v>
      </c>
      <c r="AM148" s="29"/>
      <c r="AN148" s="29">
        <v>1</v>
      </c>
      <c r="AO148" s="29">
        <v>1</v>
      </c>
      <c r="AQ148" s="29" t="str">
        <f t="shared" si="130"/>
        <v/>
      </c>
      <c r="AR148" s="29">
        <f t="shared" si="121"/>
        <v>1</v>
      </c>
      <c r="AS148" s="29">
        <f t="shared" si="122"/>
        <v>1</v>
      </c>
      <c r="AT148" s="65"/>
      <c r="AU148" s="29" t="str">
        <f t="shared" si="142"/>
        <v/>
      </c>
      <c r="AV148" s="29">
        <f t="shared" si="131"/>
        <v>1</v>
      </c>
      <c r="AW148" s="29">
        <f t="shared" si="132"/>
        <v>1</v>
      </c>
      <c r="AY148" s="29"/>
      <c r="AZ148" s="29">
        <v>1</v>
      </c>
      <c r="BA148" s="29">
        <v>1</v>
      </c>
      <c r="BC148" s="29" t="str">
        <f t="shared" si="133"/>
        <v/>
      </c>
      <c r="BD148" s="29">
        <f t="shared" si="123"/>
        <v>1</v>
      </c>
      <c r="BE148" s="29">
        <f t="shared" si="124"/>
        <v>1</v>
      </c>
      <c r="BF148" s="65"/>
      <c r="BG148" s="29" t="str">
        <f t="shared" si="143"/>
        <v/>
      </c>
      <c r="BH148" s="29">
        <f t="shared" si="134"/>
        <v>1</v>
      </c>
      <c r="BI148" s="29">
        <f t="shared" si="135"/>
        <v>1</v>
      </c>
      <c r="BK148" s="29"/>
      <c r="BL148" s="29">
        <v>100</v>
      </c>
      <c r="BM148" s="29">
        <v>100</v>
      </c>
      <c r="BO148" s="29" t="str">
        <f t="shared" si="136"/>
        <v/>
      </c>
      <c r="BP148" s="29">
        <f t="shared" si="125"/>
        <v>100</v>
      </c>
      <c r="BQ148" s="29">
        <f t="shared" si="126"/>
        <v>100</v>
      </c>
      <c r="BR148" s="65"/>
      <c r="BS148" s="29" t="str">
        <f t="shared" si="144"/>
        <v/>
      </c>
      <c r="BT148" s="29">
        <f t="shared" si="137"/>
        <v>701</v>
      </c>
      <c r="BU148" s="29">
        <f t="shared" si="138"/>
        <v>677</v>
      </c>
      <c r="BW148" s="8" t="str">
        <f>IF(W148="","",VLOOKUP('Regular Symbol'!W148,'Regular Symbol'!$O$3:$T$13,6,0))</f>
        <v/>
      </c>
      <c r="BX148" s="8">
        <f>IF(X148="","",VLOOKUP('Regular Symbol'!X148,'Regular Symbol'!$O$3:$T$13,6,0))</f>
        <v>2</v>
      </c>
      <c r="BY148" s="8">
        <f>IF(Y148="","",VLOOKUP('Regular Symbol'!Y148,'Regular Symbol'!$O$3:$T$13,6,0))</f>
        <v>7</v>
      </c>
      <c r="CA148" s="8" t="str">
        <f t="shared" si="118"/>
        <v/>
      </c>
      <c r="CB148" s="8" t="str">
        <f t="shared" si="119"/>
        <v>M2</v>
      </c>
      <c r="CC148" s="8" t="str">
        <f t="shared" si="120"/>
        <v>J</v>
      </c>
    </row>
    <row r="149" spans="22:81" ht="16.8" customHeight="1">
      <c r="V149" s="27">
        <v>146</v>
      </c>
      <c r="W149" s="25"/>
      <c r="X149" s="25" t="s">
        <v>84</v>
      </c>
      <c r="Y149" s="25" t="s">
        <v>84</v>
      </c>
      <c r="AA149" s="29"/>
      <c r="AB149" s="29">
        <v>1</v>
      </c>
      <c r="AC149" s="29">
        <v>1</v>
      </c>
      <c r="AD149" s="65"/>
      <c r="AE149" s="29" t="str">
        <f t="shared" si="127"/>
        <v/>
      </c>
      <c r="AF149" s="29">
        <f t="shared" si="128"/>
        <v>1</v>
      </c>
      <c r="AG149" s="29">
        <f t="shared" si="129"/>
        <v>1</v>
      </c>
      <c r="AH149" s="65"/>
      <c r="AI149" s="29" t="str">
        <f t="shared" si="139"/>
        <v/>
      </c>
      <c r="AJ149" s="29">
        <f t="shared" si="140"/>
        <v>1</v>
      </c>
      <c r="AK149" s="29">
        <f t="shared" si="141"/>
        <v>1</v>
      </c>
      <c r="AM149" s="29"/>
      <c r="AN149" s="29">
        <v>1</v>
      </c>
      <c r="AO149" s="29">
        <v>1</v>
      </c>
      <c r="AQ149" s="29" t="str">
        <f t="shared" si="130"/>
        <v/>
      </c>
      <c r="AR149" s="29">
        <f t="shared" si="121"/>
        <v>1</v>
      </c>
      <c r="AS149" s="29">
        <f t="shared" si="122"/>
        <v>1</v>
      </c>
      <c r="AT149" s="65"/>
      <c r="AU149" s="29" t="str">
        <f t="shared" si="142"/>
        <v/>
      </c>
      <c r="AV149" s="29">
        <f t="shared" si="131"/>
        <v>1</v>
      </c>
      <c r="AW149" s="29">
        <f t="shared" si="132"/>
        <v>1</v>
      </c>
      <c r="AY149" s="29"/>
      <c r="AZ149" s="29">
        <v>1</v>
      </c>
      <c r="BA149" s="29">
        <v>1</v>
      </c>
      <c r="BC149" s="29" t="str">
        <f t="shared" si="133"/>
        <v/>
      </c>
      <c r="BD149" s="29">
        <f t="shared" si="123"/>
        <v>1</v>
      </c>
      <c r="BE149" s="29">
        <f t="shared" si="124"/>
        <v>1</v>
      </c>
      <c r="BF149" s="65"/>
      <c r="BG149" s="29" t="str">
        <f t="shared" si="143"/>
        <v/>
      </c>
      <c r="BH149" s="29">
        <f t="shared" si="134"/>
        <v>1</v>
      </c>
      <c r="BI149" s="29">
        <f t="shared" si="135"/>
        <v>1</v>
      </c>
      <c r="BK149" s="29"/>
      <c r="BL149" s="29">
        <v>100</v>
      </c>
      <c r="BM149" s="29">
        <v>100</v>
      </c>
      <c r="BO149" s="29" t="str">
        <f t="shared" si="136"/>
        <v/>
      </c>
      <c r="BP149" s="29">
        <f t="shared" si="125"/>
        <v>100</v>
      </c>
      <c r="BQ149" s="29">
        <f t="shared" si="126"/>
        <v>100</v>
      </c>
      <c r="BR149" s="65"/>
      <c r="BS149" s="29" t="str">
        <f t="shared" si="144"/>
        <v/>
      </c>
      <c r="BT149" s="29">
        <f t="shared" si="137"/>
        <v>100</v>
      </c>
      <c r="BU149" s="29">
        <f t="shared" si="138"/>
        <v>100</v>
      </c>
      <c r="BW149" s="8" t="str">
        <f>IF(W149="","",VLOOKUP('Regular Symbol'!W149,'Regular Symbol'!$O$3:$T$13,6,0))</f>
        <v/>
      </c>
      <c r="BX149" s="8">
        <f>IF(X149="","",VLOOKUP('Regular Symbol'!X149,'Regular Symbol'!$O$3:$T$13,6,0))</f>
        <v>7</v>
      </c>
      <c r="BY149" s="8">
        <f>IF(Y149="","",VLOOKUP('Regular Symbol'!Y149,'Regular Symbol'!$O$3:$T$13,6,0))</f>
        <v>7</v>
      </c>
      <c r="CA149" s="8" t="str">
        <f t="shared" si="118"/>
        <v/>
      </c>
      <c r="CB149" s="8" t="str">
        <f t="shared" si="119"/>
        <v>J</v>
      </c>
      <c r="CC149" s="8" t="str">
        <f t="shared" si="120"/>
        <v>J</v>
      </c>
    </row>
    <row r="150" spans="22:81" ht="16.8" customHeight="1">
      <c r="V150" s="27">
        <v>147</v>
      </c>
      <c r="W150" s="25"/>
      <c r="X150" s="25" t="s">
        <v>84</v>
      </c>
      <c r="Y150" s="25" t="s">
        <v>18</v>
      </c>
      <c r="AA150" s="29"/>
      <c r="AB150" s="29">
        <v>1</v>
      </c>
      <c r="AC150" s="29">
        <v>1</v>
      </c>
      <c r="AD150" s="65"/>
      <c r="AE150" s="29" t="str">
        <f t="shared" si="127"/>
        <v/>
      </c>
      <c r="AF150" s="29">
        <f t="shared" si="128"/>
        <v>1</v>
      </c>
      <c r="AG150" s="29">
        <f t="shared" si="129"/>
        <v>1</v>
      </c>
      <c r="AH150" s="65"/>
      <c r="AI150" s="29" t="str">
        <f t="shared" si="139"/>
        <v/>
      </c>
      <c r="AJ150" s="29">
        <f t="shared" si="140"/>
        <v>1</v>
      </c>
      <c r="AK150" s="29">
        <f t="shared" si="141"/>
        <v>1</v>
      </c>
      <c r="AM150" s="29"/>
      <c r="AN150" s="29">
        <v>1</v>
      </c>
      <c r="AO150" s="29">
        <v>1</v>
      </c>
      <c r="AQ150" s="29" t="str">
        <f t="shared" si="130"/>
        <v/>
      </c>
      <c r="AR150" s="29">
        <f t="shared" si="121"/>
        <v>1</v>
      </c>
      <c r="AS150" s="29">
        <f t="shared" si="122"/>
        <v>1</v>
      </c>
      <c r="AT150" s="65"/>
      <c r="AU150" s="29" t="str">
        <f t="shared" si="142"/>
        <v/>
      </c>
      <c r="AV150" s="29">
        <f t="shared" si="131"/>
        <v>1</v>
      </c>
      <c r="AW150" s="29">
        <f t="shared" si="132"/>
        <v>1</v>
      </c>
      <c r="AY150" s="29"/>
      <c r="AZ150" s="29">
        <v>1</v>
      </c>
      <c r="BA150" s="29">
        <v>1</v>
      </c>
      <c r="BC150" s="29" t="str">
        <f t="shared" si="133"/>
        <v/>
      </c>
      <c r="BD150" s="29">
        <f t="shared" si="123"/>
        <v>1</v>
      </c>
      <c r="BE150" s="29">
        <f t="shared" si="124"/>
        <v>1</v>
      </c>
      <c r="BF150" s="65"/>
      <c r="BG150" s="29" t="str">
        <f t="shared" si="143"/>
        <v/>
      </c>
      <c r="BH150" s="29">
        <f t="shared" si="134"/>
        <v>1</v>
      </c>
      <c r="BI150" s="29">
        <f t="shared" si="135"/>
        <v>1</v>
      </c>
      <c r="BK150" s="29"/>
      <c r="BL150" s="29">
        <v>100</v>
      </c>
      <c r="BM150" s="29">
        <v>100</v>
      </c>
      <c r="BO150" s="29" t="str">
        <f t="shared" si="136"/>
        <v/>
      </c>
      <c r="BP150" s="29">
        <f t="shared" si="125"/>
        <v>100</v>
      </c>
      <c r="BQ150" s="29">
        <f t="shared" si="126"/>
        <v>100</v>
      </c>
      <c r="BR150" s="65"/>
      <c r="BS150" s="29" t="str">
        <f t="shared" si="144"/>
        <v/>
      </c>
      <c r="BT150" s="29">
        <f t="shared" si="137"/>
        <v>100</v>
      </c>
      <c r="BU150" s="29">
        <f t="shared" si="138"/>
        <v>100</v>
      </c>
      <c r="BW150" s="8" t="str">
        <f>IF(W150="","",VLOOKUP('Regular Symbol'!W150,'Regular Symbol'!$O$3:$T$13,6,0))</f>
        <v/>
      </c>
      <c r="BX150" s="8">
        <f>IF(X150="","",VLOOKUP('Regular Symbol'!X150,'Regular Symbol'!$O$3:$T$13,6,0))</f>
        <v>7</v>
      </c>
      <c r="BY150" s="8">
        <f>IF(Y150="","",VLOOKUP('Regular Symbol'!Y150,'Regular Symbol'!$O$3:$T$13,6,0))</f>
        <v>3</v>
      </c>
      <c r="CA150" s="8" t="str">
        <f t="shared" si="118"/>
        <v/>
      </c>
      <c r="CB150" s="8" t="str">
        <f t="shared" si="119"/>
        <v>J</v>
      </c>
      <c r="CC150" s="8" t="str">
        <f t="shared" si="120"/>
        <v>M3</v>
      </c>
    </row>
    <row r="151" spans="22:81" ht="16.8" customHeight="1">
      <c r="V151" s="27">
        <v>148</v>
      </c>
      <c r="W151" s="25"/>
      <c r="X151" s="25" t="s">
        <v>17</v>
      </c>
      <c r="Y151" s="25" t="s">
        <v>18</v>
      </c>
      <c r="AA151" s="29"/>
      <c r="AB151" s="29">
        <v>1</v>
      </c>
      <c r="AC151" s="29">
        <v>1</v>
      </c>
      <c r="AD151" s="65"/>
      <c r="AE151" s="29" t="str">
        <f t="shared" si="127"/>
        <v/>
      </c>
      <c r="AF151" s="29">
        <f t="shared" si="128"/>
        <v>1</v>
      </c>
      <c r="AG151" s="29">
        <f t="shared" si="129"/>
        <v>1</v>
      </c>
      <c r="AH151" s="65"/>
      <c r="AI151" s="29" t="str">
        <f t="shared" si="139"/>
        <v/>
      </c>
      <c r="AJ151" s="29">
        <f t="shared" si="140"/>
        <v>1</v>
      </c>
      <c r="AK151" s="29">
        <f t="shared" si="141"/>
        <v>1</v>
      </c>
      <c r="AM151" s="29"/>
      <c r="AN151" s="29">
        <v>1</v>
      </c>
      <c r="AO151" s="29">
        <v>1</v>
      </c>
      <c r="AQ151" s="29" t="str">
        <f t="shared" si="130"/>
        <v/>
      </c>
      <c r="AR151" s="29">
        <f t="shared" si="121"/>
        <v>1</v>
      </c>
      <c r="AS151" s="29">
        <f t="shared" si="122"/>
        <v>1</v>
      </c>
      <c r="AT151" s="65"/>
      <c r="AU151" s="29" t="str">
        <f t="shared" si="142"/>
        <v/>
      </c>
      <c r="AV151" s="29">
        <f t="shared" si="131"/>
        <v>1</v>
      </c>
      <c r="AW151" s="29">
        <f t="shared" si="132"/>
        <v>1</v>
      </c>
      <c r="AY151" s="29"/>
      <c r="AZ151" s="29">
        <v>1</v>
      </c>
      <c r="BA151" s="29">
        <v>1</v>
      </c>
      <c r="BC151" s="29" t="str">
        <f t="shared" si="133"/>
        <v/>
      </c>
      <c r="BD151" s="29">
        <f t="shared" si="123"/>
        <v>1</v>
      </c>
      <c r="BE151" s="29">
        <f t="shared" si="124"/>
        <v>1</v>
      </c>
      <c r="BF151" s="65"/>
      <c r="BG151" s="29" t="str">
        <f t="shared" si="143"/>
        <v/>
      </c>
      <c r="BH151" s="29">
        <f t="shared" si="134"/>
        <v>1</v>
      </c>
      <c r="BI151" s="29">
        <f t="shared" si="135"/>
        <v>1</v>
      </c>
      <c r="BK151" s="29"/>
      <c r="BL151" s="29">
        <v>100</v>
      </c>
      <c r="BM151" s="29">
        <v>100</v>
      </c>
      <c r="BO151" s="29" t="str">
        <f t="shared" si="136"/>
        <v/>
      </c>
      <c r="BP151" s="29">
        <f t="shared" si="125"/>
        <v>100</v>
      </c>
      <c r="BQ151" s="29">
        <f t="shared" si="126"/>
        <v>100</v>
      </c>
      <c r="BR151" s="65"/>
      <c r="BS151" s="29" t="str">
        <f t="shared" si="144"/>
        <v/>
      </c>
      <c r="BT151" s="29">
        <f t="shared" si="137"/>
        <v>100</v>
      </c>
      <c r="BU151" s="29">
        <f t="shared" si="138"/>
        <v>100</v>
      </c>
      <c r="BW151" s="8" t="str">
        <f>IF(W151="","",VLOOKUP('Regular Symbol'!W151,'Regular Symbol'!$O$3:$T$13,6,0))</f>
        <v/>
      </c>
      <c r="BX151" s="8">
        <f>IF(X151="","",VLOOKUP('Regular Symbol'!X151,'Regular Symbol'!$O$3:$T$13,6,0))</f>
        <v>2</v>
      </c>
      <c r="BY151" s="8">
        <f>IF(Y151="","",VLOOKUP('Regular Symbol'!Y151,'Regular Symbol'!$O$3:$T$13,6,0))</f>
        <v>3</v>
      </c>
      <c r="CA151" s="8" t="str">
        <f t="shared" si="118"/>
        <v/>
      </c>
      <c r="CB151" s="8" t="str">
        <f t="shared" si="119"/>
        <v>M2</v>
      </c>
      <c r="CC151" s="8" t="str">
        <f t="shared" si="120"/>
        <v>M3</v>
      </c>
    </row>
    <row r="152" spans="22:81" ht="16.8" customHeight="1">
      <c r="V152" s="27">
        <v>149</v>
      </c>
      <c r="W152" s="25"/>
      <c r="X152" s="25" t="s">
        <v>17</v>
      </c>
      <c r="Y152" s="25" t="s">
        <v>18</v>
      </c>
      <c r="AA152" s="29"/>
      <c r="AB152" s="29">
        <v>1</v>
      </c>
      <c r="AC152" s="29">
        <v>1</v>
      </c>
      <c r="AD152" s="65"/>
      <c r="AE152" s="29" t="str">
        <f t="shared" si="127"/>
        <v/>
      </c>
      <c r="AF152" s="29">
        <f t="shared" si="128"/>
        <v>1</v>
      </c>
      <c r="AG152" s="29">
        <f t="shared" si="129"/>
        <v>1</v>
      </c>
      <c r="AH152" s="65"/>
      <c r="AI152" s="29" t="str">
        <f t="shared" si="139"/>
        <v/>
      </c>
      <c r="AJ152" s="29">
        <f t="shared" si="140"/>
        <v>1</v>
      </c>
      <c r="AK152" s="29">
        <f t="shared" si="141"/>
        <v>1</v>
      </c>
      <c r="AM152" s="29"/>
      <c r="AN152" s="29">
        <v>1</v>
      </c>
      <c r="AO152" s="29">
        <v>1</v>
      </c>
      <c r="AQ152" s="29" t="str">
        <f t="shared" si="130"/>
        <v/>
      </c>
      <c r="AR152" s="29">
        <f t="shared" si="121"/>
        <v>1</v>
      </c>
      <c r="AS152" s="29">
        <f t="shared" si="122"/>
        <v>1</v>
      </c>
      <c r="AT152" s="65"/>
      <c r="AU152" s="29" t="str">
        <f t="shared" si="142"/>
        <v/>
      </c>
      <c r="AV152" s="29">
        <f t="shared" si="131"/>
        <v>1</v>
      </c>
      <c r="AW152" s="29">
        <f t="shared" si="132"/>
        <v>1</v>
      </c>
      <c r="AY152" s="29"/>
      <c r="AZ152" s="29">
        <v>1</v>
      </c>
      <c r="BA152" s="29">
        <v>1</v>
      </c>
      <c r="BC152" s="29" t="str">
        <f t="shared" si="133"/>
        <v/>
      </c>
      <c r="BD152" s="29">
        <f t="shared" si="123"/>
        <v>1</v>
      </c>
      <c r="BE152" s="29">
        <f t="shared" si="124"/>
        <v>1</v>
      </c>
      <c r="BF152" s="65"/>
      <c r="BG152" s="29" t="str">
        <f t="shared" si="143"/>
        <v/>
      </c>
      <c r="BH152" s="29">
        <f t="shared" si="134"/>
        <v>1</v>
      </c>
      <c r="BI152" s="29">
        <f t="shared" si="135"/>
        <v>1</v>
      </c>
      <c r="BK152" s="29"/>
      <c r="BL152" s="29">
        <v>100</v>
      </c>
      <c r="BM152" s="29">
        <v>100</v>
      </c>
      <c r="BO152" s="29" t="str">
        <f t="shared" si="136"/>
        <v/>
      </c>
      <c r="BP152" s="29">
        <f t="shared" si="125"/>
        <v>100</v>
      </c>
      <c r="BQ152" s="29">
        <f t="shared" si="126"/>
        <v>100</v>
      </c>
      <c r="BR152" s="65"/>
      <c r="BS152" s="29" t="str">
        <f t="shared" si="144"/>
        <v/>
      </c>
      <c r="BT152" s="29">
        <f t="shared" si="137"/>
        <v>100</v>
      </c>
      <c r="BU152" s="29">
        <f t="shared" si="138"/>
        <v>100</v>
      </c>
      <c r="BW152" s="8" t="str">
        <f>IF(W152="","",VLOOKUP('Regular Symbol'!W152,'Regular Symbol'!$O$3:$T$13,6,0))</f>
        <v/>
      </c>
      <c r="BX152" s="8">
        <f>IF(X152="","",VLOOKUP('Regular Symbol'!X152,'Regular Symbol'!$O$3:$T$13,6,0))</f>
        <v>2</v>
      </c>
      <c r="BY152" s="8">
        <f>IF(Y152="","",VLOOKUP('Regular Symbol'!Y152,'Regular Symbol'!$O$3:$T$13,6,0))</f>
        <v>3</v>
      </c>
      <c r="CA152" s="8" t="str">
        <f t="shared" si="118"/>
        <v/>
      </c>
      <c r="CB152" s="8" t="str">
        <f t="shared" si="119"/>
        <v>M2</v>
      </c>
      <c r="CC152" s="8" t="str">
        <f t="shared" si="120"/>
        <v>M3</v>
      </c>
    </row>
    <row r="153" spans="22:81" ht="16.8" customHeight="1">
      <c r="V153" s="27">
        <v>150</v>
      </c>
      <c r="W153" s="25"/>
      <c r="X153" s="25" t="s">
        <v>84</v>
      </c>
      <c r="Y153" s="25" t="s">
        <v>82</v>
      </c>
      <c r="AA153" s="29"/>
      <c r="AB153" s="29">
        <v>1</v>
      </c>
      <c r="AC153" s="29">
        <v>1</v>
      </c>
      <c r="AD153" s="65"/>
      <c r="AE153" s="29" t="str">
        <f t="shared" si="127"/>
        <v/>
      </c>
      <c r="AF153" s="29">
        <f t="shared" si="128"/>
        <v>1</v>
      </c>
      <c r="AG153" s="29">
        <f t="shared" si="129"/>
        <v>1</v>
      </c>
      <c r="AH153" s="65"/>
      <c r="AI153" s="29" t="str">
        <f t="shared" si="139"/>
        <v/>
      </c>
      <c r="AJ153" s="29">
        <f t="shared" si="140"/>
        <v>1</v>
      </c>
      <c r="AK153" s="29">
        <f t="shared" si="141"/>
        <v>1</v>
      </c>
      <c r="AM153" s="29"/>
      <c r="AN153" s="29">
        <v>1</v>
      </c>
      <c r="AO153" s="29">
        <v>1</v>
      </c>
      <c r="AQ153" s="29" t="str">
        <f t="shared" si="130"/>
        <v/>
      </c>
      <c r="AR153" s="29">
        <f t="shared" si="121"/>
        <v>1</v>
      </c>
      <c r="AS153" s="29">
        <f t="shared" si="122"/>
        <v>1</v>
      </c>
      <c r="AT153" s="65"/>
      <c r="AU153" s="29" t="str">
        <f t="shared" si="142"/>
        <v/>
      </c>
      <c r="AV153" s="29">
        <f t="shared" si="131"/>
        <v>1</v>
      </c>
      <c r="AW153" s="29">
        <f t="shared" si="132"/>
        <v>1</v>
      </c>
      <c r="AY153" s="29"/>
      <c r="AZ153" s="29">
        <v>1</v>
      </c>
      <c r="BA153" s="29">
        <v>1</v>
      </c>
      <c r="BC153" s="29" t="str">
        <f t="shared" si="133"/>
        <v/>
      </c>
      <c r="BD153" s="29">
        <f t="shared" si="123"/>
        <v>1</v>
      </c>
      <c r="BE153" s="29">
        <f t="shared" si="124"/>
        <v>1</v>
      </c>
      <c r="BF153" s="65"/>
      <c r="BG153" s="29" t="str">
        <f t="shared" si="143"/>
        <v/>
      </c>
      <c r="BH153" s="29">
        <f t="shared" si="134"/>
        <v>1</v>
      </c>
      <c r="BI153" s="29">
        <f t="shared" si="135"/>
        <v>1</v>
      </c>
      <c r="BK153" s="29"/>
      <c r="BL153" s="29">
        <v>100</v>
      </c>
      <c r="BM153" s="29">
        <v>100</v>
      </c>
      <c r="BO153" s="29" t="str">
        <f t="shared" si="136"/>
        <v/>
      </c>
      <c r="BP153" s="29">
        <f t="shared" si="125"/>
        <v>100</v>
      </c>
      <c r="BQ153" s="29">
        <f t="shared" si="126"/>
        <v>100</v>
      </c>
      <c r="BR153" s="65"/>
      <c r="BS153" s="29" t="str">
        <f t="shared" si="144"/>
        <v/>
      </c>
      <c r="BT153" s="29">
        <f t="shared" si="137"/>
        <v>100</v>
      </c>
      <c r="BU153" s="29">
        <f t="shared" si="138"/>
        <v>100</v>
      </c>
      <c r="BW153" s="8" t="str">
        <f>IF(W153="","",VLOOKUP('Regular Symbol'!W153,'Regular Symbol'!$O$3:$T$13,6,0))</f>
        <v/>
      </c>
      <c r="BX153" s="8">
        <f>IF(X153="","",VLOOKUP('Regular Symbol'!X153,'Regular Symbol'!$O$3:$T$13,6,0))</f>
        <v>7</v>
      </c>
      <c r="BY153" s="8">
        <f>IF(Y153="","",VLOOKUP('Regular Symbol'!Y153,'Regular Symbol'!$O$3:$T$13,6,0))</f>
        <v>5</v>
      </c>
      <c r="CA153" s="8" t="str">
        <f t="shared" si="118"/>
        <v/>
      </c>
      <c r="CB153" s="8" t="str">
        <f t="shared" si="119"/>
        <v>J</v>
      </c>
      <c r="CC153" s="8" t="str">
        <f t="shared" si="120"/>
        <v>K</v>
      </c>
    </row>
    <row r="154" spans="22:81" ht="16.8" customHeight="1">
      <c r="V154" s="27">
        <v>151</v>
      </c>
      <c r="W154" s="25"/>
      <c r="X154" s="25" t="s">
        <v>84</v>
      </c>
      <c r="Y154" s="25" t="s">
        <v>82</v>
      </c>
      <c r="AA154" s="29"/>
      <c r="AB154" s="29">
        <v>1</v>
      </c>
      <c r="AC154" s="29">
        <v>1</v>
      </c>
      <c r="AD154" s="65"/>
      <c r="AE154" s="29" t="str">
        <f t="shared" si="127"/>
        <v/>
      </c>
      <c r="AF154" s="29">
        <f t="shared" si="128"/>
        <v>1</v>
      </c>
      <c r="AG154" s="29">
        <f t="shared" si="129"/>
        <v>1</v>
      </c>
      <c r="AH154" s="65"/>
      <c r="AI154" s="29" t="str">
        <f t="shared" si="139"/>
        <v/>
      </c>
      <c r="AJ154" s="29">
        <f t="shared" si="140"/>
        <v>1</v>
      </c>
      <c r="AK154" s="29">
        <f t="shared" si="141"/>
        <v>1</v>
      </c>
      <c r="AM154" s="29"/>
      <c r="AN154" s="29">
        <v>1</v>
      </c>
      <c r="AO154" s="29">
        <v>1</v>
      </c>
      <c r="AQ154" s="29" t="str">
        <f t="shared" si="130"/>
        <v/>
      </c>
      <c r="AR154" s="29">
        <f t="shared" si="121"/>
        <v>1</v>
      </c>
      <c r="AS154" s="29">
        <f t="shared" si="122"/>
        <v>1</v>
      </c>
      <c r="AT154" s="65"/>
      <c r="AU154" s="29" t="str">
        <f t="shared" si="142"/>
        <v/>
      </c>
      <c r="AV154" s="29">
        <f t="shared" si="131"/>
        <v>1</v>
      </c>
      <c r="AW154" s="29">
        <f t="shared" si="132"/>
        <v>1</v>
      </c>
      <c r="AY154" s="29"/>
      <c r="AZ154" s="29">
        <v>1</v>
      </c>
      <c r="BA154" s="29">
        <v>1</v>
      </c>
      <c r="BC154" s="29" t="str">
        <f t="shared" si="133"/>
        <v/>
      </c>
      <c r="BD154" s="29">
        <f t="shared" si="123"/>
        <v>1</v>
      </c>
      <c r="BE154" s="29">
        <f t="shared" si="124"/>
        <v>1</v>
      </c>
      <c r="BF154" s="65"/>
      <c r="BG154" s="29" t="str">
        <f t="shared" si="143"/>
        <v/>
      </c>
      <c r="BH154" s="29">
        <f t="shared" si="134"/>
        <v>1</v>
      </c>
      <c r="BI154" s="29">
        <f t="shared" si="135"/>
        <v>1</v>
      </c>
      <c r="BK154" s="29"/>
      <c r="BL154" s="29">
        <v>100</v>
      </c>
      <c r="BM154" s="29">
        <v>100</v>
      </c>
      <c r="BO154" s="29" t="str">
        <f t="shared" si="136"/>
        <v/>
      </c>
      <c r="BP154" s="29">
        <f t="shared" si="125"/>
        <v>100</v>
      </c>
      <c r="BQ154" s="29">
        <f t="shared" si="126"/>
        <v>100</v>
      </c>
      <c r="BR154" s="65"/>
      <c r="BS154" s="29" t="str">
        <f t="shared" si="144"/>
        <v/>
      </c>
      <c r="BT154" s="29">
        <f t="shared" si="137"/>
        <v>100</v>
      </c>
      <c r="BU154" s="29">
        <f t="shared" si="138"/>
        <v>100</v>
      </c>
      <c r="BW154" s="8" t="str">
        <f>IF(W154="","",VLOOKUP('Regular Symbol'!W154,'Regular Symbol'!$O$3:$T$13,6,0))</f>
        <v/>
      </c>
      <c r="BX154" s="8">
        <f>IF(X154="","",VLOOKUP('Regular Symbol'!X154,'Regular Symbol'!$O$3:$T$13,6,0))</f>
        <v>7</v>
      </c>
      <c r="BY154" s="8">
        <f>IF(Y154="","",VLOOKUP('Regular Symbol'!Y154,'Regular Symbol'!$O$3:$T$13,6,0))</f>
        <v>5</v>
      </c>
      <c r="CA154" s="8" t="str">
        <f t="shared" si="118"/>
        <v/>
      </c>
      <c r="CB154" s="8" t="str">
        <f t="shared" si="119"/>
        <v>J</v>
      </c>
      <c r="CC154" s="8" t="str">
        <f t="shared" si="120"/>
        <v>K</v>
      </c>
    </row>
    <row r="155" spans="22:81" ht="16.8" customHeight="1">
      <c r="V155" s="27">
        <v>152</v>
      </c>
      <c r="W155" s="25"/>
      <c r="X155" s="25" t="s">
        <v>84</v>
      </c>
      <c r="Y155" s="25" t="s">
        <v>82</v>
      </c>
      <c r="AA155" s="29"/>
      <c r="AB155" s="29">
        <v>1</v>
      </c>
      <c r="AC155" s="29">
        <v>1</v>
      </c>
      <c r="AD155" s="65"/>
      <c r="AE155" s="29" t="str">
        <f t="shared" si="127"/>
        <v/>
      </c>
      <c r="AF155" s="29">
        <f t="shared" si="128"/>
        <v>1</v>
      </c>
      <c r="AG155" s="29">
        <f t="shared" si="129"/>
        <v>1</v>
      </c>
      <c r="AH155" s="65"/>
      <c r="AI155" s="29" t="str">
        <f t="shared" si="139"/>
        <v/>
      </c>
      <c r="AJ155" s="29">
        <f t="shared" si="140"/>
        <v>1</v>
      </c>
      <c r="AK155" s="29">
        <f t="shared" si="141"/>
        <v>1</v>
      </c>
      <c r="AM155" s="29"/>
      <c r="AN155" s="29">
        <v>1</v>
      </c>
      <c r="AO155" s="29">
        <v>1</v>
      </c>
      <c r="AQ155" s="29" t="str">
        <f t="shared" si="130"/>
        <v/>
      </c>
      <c r="AR155" s="29">
        <f t="shared" si="121"/>
        <v>1</v>
      </c>
      <c r="AS155" s="29">
        <f t="shared" si="122"/>
        <v>1</v>
      </c>
      <c r="AT155" s="65"/>
      <c r="AU155" s="29" t="str">
        <f t="shared" si="142"/>
        <v/>
      </c>
      <c r="AV155" s="29">
        <f t="shared" si="131"/>
        <v>1</v>
      </c>
      <c r="AW155" s="29">
        <f t="shared" si="132"/>
        <v>1</v>
      </c>
      <c r="AY155" s="29"/>
      <c r="AZ155" s="29">
        <v>1</v>
      </c>
      <c r="BA155" s="29">
        <v>1</v>
      </c>
      <c r="BC155" s="29" t="str">
        <f t="shared" si="133"/>
        <v/>
      </c>
      <c r="BD155" s="29">
        <f t="shared" si="123"/>
        <v>1</v>
      </c>
      <c r="BE155" s="29">
        <f t="shared" si="124"/>
        <v>1</v>
      </c>
      <c r="BF155" s="65"/>
      <c r="BG155" s="29" t="str">
        <f t="shared" si="143"/>
        <v/>
      </c>
      <c r="BH155" s="29">
        <f t="shared" si="134"/>
        <v>1</v>
      </c>
      <c r="BI155" s="29">
        <f t="shared" si="135"/>
        <v>1</v>
      </c>
      <c r="BK155" s="29"/>
      <c r="BL155" s="29">
        <v>100</v>
      </c>
      <c r="BM155" s="29">
        <v>100</v>
      </c>
      <c r="BO155" s="29" t="str">
        <f t="shared" si="136"/>
        <v/>
      </c>
      <c r="BP155" s="29">
        <f t="shared" si="125"/>
        <v>100</v>
      </c>
      <c r="BQ155" s="29">
        <f t="shared" si="126"/>
        <v>100</v>
      </c>
      <c r="BR155" s="65"/>
      <c r="BS155" s="29" t="str">
        <f t="shared" si="144"/>
        <v/>
      </c>
      <c r="BT155" s="29">
        <f t="shared" si="137"/>
        <v>100</v>
      </c>
      <c r="BU155" s="29">
        <f t="shared" si="138"/>
        <v>100</v>
      </c>
      <c r="BW155" s="8" t="str">
        <f>IF(W155="","",VLOOKUP('Regular Symbol'!W155,'Regular Symbol'!$O$3:$T$13,6,0))</f>
        <v/>
      </c>
      <c r="BX155" s="8">
        <f>IF(X155="","",VLOOKUP('Regular Symbol'!X155,'Regular Symbol'!$O$3:$T$13,6,0))</f>
        <v>7</v>
      </c>
      <c r="BY155" s="8">
        <f>IF(Y155="","",VLOOKUP('Regular Symbol'!Y155,'Regular Symbol'!$O$3:$T$13,6,0))</f>
        <v>5</v>
      </c>
      <c r="CA155" s="8" t="str">
        <f t="shared" si="118"/>
        <v/>
      </c>
      <c r="CB155" s="8" t="str">
        <f t="shared" si="119"/>
        <v>J</v>
      </c>
      <c r="CC155" s="8" t="str">
        <f t="shared" si="120"/>
        <v>K</v>
      </c>
    </row>
    <row r="156" spans="22:81" ht="16.8" customHeight="1">
      <c r="V156" s="27">
        <v>153</v>
      </c>
      <c r="W156" s="25"/>
      <c r="X156" s="25" t="s">
        <v>16</v>
      </c>
      <c r="Y156" s="25" t="s">
        <v>81</v>
      </c>
      <c r="AA156" s="29"/>
      <c r="AB156" s="29">
        <v>1</v>
      </c>
      <c r="AC156" s="29">
        <v>1</v>
      </c>
      <c r="AD156" s="65"/>
      <c r="AE156" s="29" t="str">
        <f t="shared" si="127"/>
        <v/>
      </c>
      <c r="AF156" s="29">
        <f t="shared" si="128"/>
        <v>1</v>
      </c>
      <c r="AG156" s="29">
        <f t="shared" si="129"/>
        <v>1</v>
      </c>
      <c r="AH156" s="65"/>
      <c r="AI156" s="29" t="str">
        <f t="shared" si="139"/>
        <v/>
      </c>
      <c r="AJ156" s="29">
        <f t="shared" si="140"/>
        <v>1</v>
      </c>
      <c r="AK156" s="29">
        <f t="shared" si="141"/>
        <v>1</v>
      </c>
      <c r="AM156" s="29"/>
      <c r="AN156" s="29">
        <v>1</v>
      </c>
      <c r="AO156" s="29">
        <v>1</v>
      </c>
      <c r="AQ156" s="29" t="str">
        <f t="shared" si="130"/>
        <v/>
      </c>
      <c r="AR156" s="29">
        <f t="shared" si="121"/>
        <v>1</v>
      </c>
      <c r="AS156" s="29">
        <f t="shared" si="122"/>
        <v>1</v>
      </c>
      <c r="AT156" s="65"/>
      <c r="AU156" s="29" t="str">
        <f t="shared" si="142"/>
        <v/>
      </c>
      <c r="AV156" s="29">
        <f t="shared" si="131"/>
        <v>1</v>
      </c>
      <c r="AW156" s="29">
        <f t="shared" si="132"/>
        <v>1</v>
      </c>
      <c r="AY156" s="29"/>
      <c r="AZ156" s="29">
        <v>1</v>
      </c>
      <c r="BA156" s="29">
        <v>1</v>
      </c>
      <c r="BC156" s="29" t="str">
        <f t="shared" si="133"/>
        <v/>
      </c>
      <c r="BD156" s="29">
        <f t="shared" si="123"/>
        <v>1</v>
      </c>
      <c r="BE156" s="29">
        <f t="shared" si="124"/>
        <v>1</v>
      </c>
      <c r="BF156" s="65"/>
      <c r="BG156" s="29" t="str">
        <f t="shared" si="143"/>
        <v/>
      </c>
      <c r="BH156" s="29">
        <f t="shared" si="134"/>
        <v>1</v>
      </c>
      <c r="BI156" s="29">
        <f t="shared" si="135"/>
        <v>1</v>
      </c>
      <c r="BK156" s="29"/>
      <c r="BL156" s="29">
        <v>100</v>
      </c>
      <c r="BM156" s="29">
        <v>100</v>
      </c>
      <c r="BO156" s="29" t="str">
        <f t="shared" si="136"/>
        <v/>
      </c>
      <c r="BP156" s="29">
        <f t="shared" si="125"/>
        <v>100</v>
      </c>
      <c r="BQ156" s="29">
        <f t="shared" si="126"/>
        <v>100</v>
      </c>
      <c r="BR156" s="65"/>
      <c r="BS156" s="29" t="str">
        <f t="shared" si="144"/>
        <v/>
      </c>
      <c r="BT156" s="29">
        <f t="shared" si="137"/>
        <v>100</v>
      </c>
      <c r="BU156" s="29">
        <f t="shared" si="138"/>
        <v>100</v>
      </c>
      <c r="BW156" s="8" t="str">
        <f>IF(W156="","",VLOOKUP('Regular Symbol'!W156,'Regular Symbol'!$O$3:$T$13,6,0))</f>
        <v/>
      </c>
      <c r="BX156" s="8">
        <f>IF(X156="","",VLOOKUP('Regular Symbol'!X156,'Regular Symbol'!$O$3:$T$13,6,0))</f>
        <v>1</v>
      </c>
      <c r="BY156" s="8">
        <f>IF(Y156="","",VLOOKUP('Regular Symbol'!Y156,'Regular Symbol'!$O$3:$T$13,6,0))</f>
        <v>4</v>
      </c>
      <c r="CA156" s="8" t="str">
        <f t="shared" si="118"/>
        <v/>
      </c>
      <c r="CB156" s="8" t="str">
        <f t="shared" si="119"/>
        <v>M1</v>
      </c>
      <c r="CC156" s="8" t="str">
        <f t="shared" si="120"/>
        <v>A</v>
      </c>
    </row>
    <row r="157" spans="22:81" ht="16.8" customHeight="1">
      <c r="V157" s="27">
        <v>154</v>
      </c>
      <c r="W157" s="25"/>
      <c r="X157" s="25" t="s">
        <v>16</v>
      </c>
      <c r="Y157" s="25" t="s">
        <v>81</v>
      </c>
      <c r="AA157" s="29"/>
      <c r="AB157" s="29">
        <v>1</v>
      </c>
      <c r="AC157" s="29">
        <v>1</v>
      </c>
      <c r="AD157" s="65"/>
      <c r="AE157" s="29" t="str">
        <f t="shared" si="127"/>
        <v/>
      </c>
      <c r="AF157" s="29">
        <f t="shared" si="128"/>
        <v>1</v>
      </c>
      <c r="AG157" s="29">
        <f t="shared" si="129"/>
        <v>1</v>
      </c>
      <c r="AH157" s="65"/>
      <c r="AI157" s="29" t="str">
        <f t="shared" si="139"/>
        <v/>
      </c>
      <c r="AJ157" s="29">
        <f t="shared" si="140"/>
        <v>1</v>
      </c>
      <c r="AK157" s="29">
        <f t="shared" si="141"/>
        <v>1</v>
      </c>
      <c r="AM157" s="29"/>
      <c r="AN157" s="29">
        <v>1</v>
      </c>
      <c r="AO157" s="29">
        <v>1</v>
      </c>
      <c r="AQ157" s="29" t="str">
        <f t="shared" si="130"/>
        <v/>
      </c>
      <c r="AR157" s="29">
        <f t="shared" si="121"/>
        <v>1</v>
      </c>
      <c r="AS157" s="29">
        <f t="shared" si="122"/>
        <v>1</v>
      </c>
      <c r="AT157" s="65"/>
      <c r="AU157" s="29" t="str">
        <f t="shared" si="142"/>
        <v/>
      </c>
      <c r="AV157" s="29">
        <f t="shared" si="131"/>
        <v>1</v>
      </c>
      <c r="AW157" s="29">
        <f t="shared" si="132"/>
        <v>1</v>
      </c>
      <c r="AY157" s="29"/>
      <c r="AZ157" s="29">
        <v>1</v>
      </c>
      <c r="BA157" s="29">
        <v>1</v>
      </c>
      <c r="BC157" s="29" t="str">
        <f t="shared" si="133"/>
        <v/>
      </c>
      <c r="BD157" s="29">
        <f t="shared" si="123"/>
        <v>1</v>
      </c>
      <c r="BE157" s="29">
        <f t="shared" si="124"/>
        <v>1</v>
      </c>
      <c r="BF157" s="65"/>
      <c r="BG157" s="29" t="str">
        <f t="shared" si="143"/>
        <v/>
      </c>
      <c r="BH157" s="29">
        <f t="shared" si="134"/>
        <v>1</v>
      </c>
      <c r="BI157" s="29">
        <f t="shared" si="135"/>
        <v>1</v>
      </c>
      <c r="BK157" s="29"/>
      <c r="BL157" s="29">
        <v>100</v>
      </c>
      <c r="BM157" s="29">
        <v>677</v>
      </c>
      <c r="BO157" s="29" t="str">
        <f t="shared" si="136"/>
        <v/>
      </c>
      <c r="BP157" s="29">
        <f t="shared" si="125"/>
        <v>100</v>
      </c>
      <c r="BQ157" s="29">
        <f t="shared" si="126"/>
        <v>100</v>
      </c>
      <c r="BR157" s="65"/>
      <c r="BS157" s="29" t="str">
        <f t="shared" si="144"/>
        <v/>
      </c>
      <c r="BT157" s="29">
        <f t="shared" si="137"/>
        <v>100</v>
      </c>
      <c r="BU157" s="29">
        <f t="shared" si="138"/>
        <v>100</v>
      </c>
      <c r="BW157" s="8" t="str">
        <f>IF(W157="","",VLOOKUP('Regular Symbol'!W157,'Regular Symbol'!$O$3:$T$13,6,0))</f>
        <v/>
      </c>
      <c r="BX157" s="8">
        <f>IF(X157="","",VLOOKUP('Regular Symbol'!X157,'Regular Symbol'!$O$3:$T$13,6,0))</f>
        <v>1</v>
      </c>
      <c r="BY157" s="8">
        <f>IF(Y157="","",VLOOKUP('Regular Symbol'!Y157,'Regular Symbol'!$O$3:$T$13,6,0))</f>
        <v>4</v>
      </c>
      <c r="CA157" s="8" t="str">
        <f t="shared" si="118"/>
        <v/>
      </c>
      <c r="CB157" s="8" t="str">
        <f t="shared" si="119"/>
        <v>M1</v>
      </c>
      <c r="CC157" s="8" t="str">
        <f t="shared" si="120"/>
        <v>A</v>
      </c>
    </row>
    <row r="158" spans="22:81" ht="16.8" customHeight="1">
      <c r="V158" s="27">
        <v>155</v>
      </c>
      <c r="W158" s="25"/>
      <c r="X158" s="25" t="s">
        <v>83</v>
      </c>
      <c r="Y158" s="25" t="s">
        <v>81</v>
      </c>
      <c r="AA158" s="29"/>
      <c r="AB158" s="29">
        <v>1</v>
      </c>
      <c r="AC158" s="29">
        <v>1</v>
      </c>
      <c r="AD158" s="65"/>
      <c r="AE158" s="29" t="str">
        <f t="shared" si="127"/>
        <v/>
      </c>
      <c r="AF158" s="29">
        <f t="shared" si="128"/>
        <v>1</v>
      </c>
      <c r="AG158" s="29">
        <f t="shared" si="129"/>
        <v>1</v>
      </c>
      <c r="AH158" s="65"/>
      <c r="AI158" s="29" t="str">
        <f t="shared" si="139"/>
        <v/>
      </c>
      <c r="AJ158" s="29">
        <f t="shared" si="140"/>
        <v>1</v>
      </c>
      <c r="AK158" s="29">
        <f t="shared" si="141"/>
        <v>1</v>
      </c>
      <c r="AM158" s="29"/>
      <c r="AN158" s="29">
        <v>1</v>
      </c>
      <c r="AO158" s="29">
        <v>1</v>
      </c>
      <c r="AQ158" s="29" t="str">
        <f t="shared" si="130"/>
        <v/>
      </c>
      <c r="AR158" s="29">
        <f t="shared" si="121"/>
        <v>1</v>
      </c>
      <c r="AS158" s="29">
        <f t="shared" si="122"/>
        <v>1</v>
      </c>
      <c r="AT158" s="65"/>
      <c r="AU158" s="29" t="str">
        <f t="shared" si="142"/>
        <v/>
      </c>
      <c r="AV158" s="29">
        <f t="shared" si="131"/>
        <v>1</v>
      </c>
      <c r="AW158" s="29">
        <f t="shared" si="132"/>
        <v>1</v>
      </c>
      <c r="AY158" s="29"/>
      <c r="AZ158" s="29">
        <v>1</v>
      </c>
      <c r="BA158" s="29">
        <v>1</v>
      </c>
      <c r="BC158" s="29" t="str">
        <f t="shared" si="133"/>
        <v/>
      </c>
      <c r="BD158" s="29">
        <f t="shared" si="123"/>
        <v>1</v>
      </c>
      <c r="BE158" s="29">
        <f t="shared" si="124"/>
        <v>1</v>
      </c>
      <c r="BF158" s="65"/>
      <c r="BG158" s="29" t="str">
        <f t="shared" si="143"/>
        <v/>
      </c>
      <c r="BH158" s="29">
        <f t="shared" si="134"/>
        <v>1</v>
      </c>
      <c r="BI158" s="29">
        <f t="shared" si="135"/>
        <v>1</v>
      </c>
      <c r="BK158" s="29"/>
      <c r="BL158" s="29">
        <v>100</v>
      </c>
      <c r="BM158" s="29">
        <v>564</v>
      </c>
      <c r="BO158" s="29" t="str">
        <f t="shared" si="136"/>
        <v/>
      </c>
      <c r="BP158" s="29">
        <f t="shared" si="125"/>
        <v>100</v>
      </c>
      <c r="BQ158" s="29">
        <f t="shared" si="126"/>
        <v>677</v>
      </c>
      <c r="BR158" s="65"/>
      <c r="BS158" s="29" t="str">
        <f t="shared" si="144"/>
        <v/>
      </c>
      <c r="BT158" s="29">
        <f t="shared" si="137"/>
        <v>100</v>
      </c>
      <c r="BU158" s="29">
        <f t="shared" si="138"/>
        <v>100</v>
      </c>
      <c r="BW158" s="8" t="str">
        <f>IF(W158="","",VLOOKUP('Regular Symbol'!W158,'Regular Symbol'!$O$3:$T$13,6,0))</f>
        <v/>
      </c>
      <c r="BX158" s="8">
        <f>IF(X158="","",VLOOKUP('Regular Symbol'!X158,'Regular Symbol'!$O$3:$T$13,6,0))</f>
        <v>6</v>
      </c>
      <c r="BY158" s="8">
        <f>IF(Y158="","",VLOOKUP('Regular Symbol'!Y158,'Regular Symbol'!$O$3:$T$13,6,0))</f>
        <v>4</v>
      </c>
      <c r="CA158" s="8" t="str">
        <f t="shared" si="118"/>
        <v/>
      </c>
      <c r="CB158" s="8" t="str">
        <f t="shared" si="119"/>
        <v>Q</v>
      </c>
      <c r="CC158" s="8" t="str">
        <f t="shared" si="120"/>
        <v>A</v>
      </c>
    </row>
    <row r="159" spans="22:81" ht="16.8" customHeight="1">
      <c r="V159" s="27">
        <v>156</v>
      </c>
      <c r="W159" s="25"/>
      <c r="X159" s="25" t="s">
        <v>83</v>
      </c>
      <c r="Y159" s="25" t="s">
        <v>25</v>
      </c>
      <c r="AA159" s="29"/>
      <c r="AB159" s="29">
        <v>1</v>
      </c>
      <c r="AC159" s="29">
        <v>1</v>
      </c>
      <c r="AD159" s="65"/>
      <c r="AE159" s="29" t="str">
        <f t="shared" si="127"/>
        <v/>
      </c>
      <c r="AF159" s="29">
        <f t="shared" si="128"/>
        <v>1</v>
      </c>
      <c r="AG159" s="29">
        <f t="shared" si="129"/>
        <v>1</v>
      </c>
      <c r="AH159" s="65"/>
      <c r="AI159" s="29" t="str">
        <f t="shared" si="139"/>
        <v/>
      </c>
      <c r="AJ159" s="29">
        <f t="shared" si="140"/>
        <v>1</v>
      </c>
      <c r="AK159" s="29">
        <f t="shared" si="141"/>
        <v>1</v>
      </c>
      <c r="AM159" s="29"/>
      <c r="AN159" s="29">
        <v>1</v>
      </c>
      <c r="AO159" s="29">
        <v>1</v>
      </c>
      <c r="AQ159" s="29" t="str">
        <f t="shared" si="130"/>
        <v/>
      </c>
      <c r="AR159" s="29">
        <f t="shared" si="121"/>
        <v>1</v>
      </c>
      <c r="AS159" s="29">
        <f t="shared" si="122"/>
        <v>1</v>
      </c>
      <c r="AT159" s="65"/>
      <c r="AU159" s="29" t="str">
        <f t="shared" si="142"/>
        <v/>
      </c>
      <c r="AV159" s="29">
        <f t="shared" si="131"/>
        <v>1</v>
      </c>
      <c r="AW159" s="29">
        <f t="shared" si="132"/>
        <v>1</v>
      </c>
      <c r="AY159" s="29"/>
      <c r="AZ159" s="29">
        <v>1</v>
      </c>
      <c r="BA159" s="29">
        <v>1</v>
      </c>
      <c r="BC159" s="29" t="str">
        <f t="shared" si="133"/>
        <v/>
      </c>
      <c r="BD159" s="29">
        <f t="shared" si="123"/>
        <v>1</v>
      </c>
      <c r="BE159" s="29">
        <f t="shared" si="124"/>
        <v>1</v>
      </c>
      <c r="BF159" s="65"/>
      <c r="BG159" s="29" t="str">
        <f t="shared" si="143"/>
        <v/>
      </c>
      <c r="BH159" s="29">
        <f t="shared" si="134"/>
        <v>1</v>
      </c>
      <c r="BI159" s="29">
        <f t="shared" si="135"/>
        <v>1</v>
      </c>
      <c r="BK159" s="29"/>
      <c r="BL159" s="29">
        <v>100</v>
      </c>
      <c r="BM159" s="29">
        <v>451</v>
      </c>
      <c r="BO159" s="29" t="str">
        <f t="shared" si="136"/>
        <v/>
      </c>
      <c r="BP159" s="29">
        <f t="shared" si="125"/>
        <v>100</v>
      </c>
      <c r="BQ159" s="29">
        <f t="shared" si="126"/>
        <v>564</v>
      </c>
      <c r="BR159" s="65"/>
      <c r="BS159" s="29" t="str">
        <f t="shared" si="144"/>
        <v/>
      </c>
      <c r="BT159" s="29">
        <f t="shared" si="137"/>
        <v>100</v>
      </c>
      <c r="BU159" s="29">
        <f t="shared" si="138"/>
        <v>677</v>
      </c>
      <c r="BW159" s="8" t="str">
        <f>IF(W159="","",VLOOKUP('Regular Symbol'!W159,'Regular Symbol'!$O$3:$T$13,6,0))</f>
        <v/>
      </c>
      <c r="BX159" s="8">
        <f>IF(X159="","",VLOOKUP('Regular Symbol'!X159,'Regular Symbol'!$O$3:$T$13,6,0))</f>
        <v>6</v>
      </c>
      <c r="BY159" s="8">
        <f>IF(Y159="","",VLOOKUP('Regular Symbol'!Y159,'Regular Symbol'!$O$3:$T$13,6,0))</f>
        <v>0</v>
      </c>
      <c r="CA159" s="8" t="str">
        <f t="shared" si="118"/>
        <v/>
      </c>
      <c r="CB159" s="8" t="str">
        <f t="shared" si="119"/>
        <v>Q</v>
      </c>
      <c r="CC159" s="8" t="str">
        <f t="shared" si="120"/>
        <v>Wild</v>
      </c>
    </row>
    <row r="160" spans="22:81" ht="16.8" customHeight="1">
      <c r="V160" s="27">
        <v>157</v>
      </c>
      <c r="W160" s="25"/>
      <c r="X160" s="25" t="s">
        <v>18</v>
      </c>
      <c r="Y160" s="25" t="s">
        <v>25</v>
      </c>
      <c r="AA160" s="29"/>
      <c r="AB160" s="29">
        <v>1</v>
      </c>
      <c r="AC160" s="29">
        <v>1</v>
      </c>
      <c r="AD160" s="65"/>
      <c r="AE160" s="29" t="str">
        <f t="shared" si="127"/>
        <v/>
      </c>
      <c r="AF160" s="29">
        <f t="shared" si="128"/>
        <v>1</v>
      </c>
      <c r="AG160" s="29">
        <f t="shared" si="129"/>
        <v>1</v>
      </c>
      <c r="AH160" s="65"/>
      <c r="AI160" s="29" t="str">
        <f t="shared" si="139"/>
        <v/>
      </c>
      <c r="AJ160" s="29">
        <f t="shared" si="140"/>
        <v>1</v>
      </c>
      <c r="AK160" s="29">
        <f t="shared" si="141"/>
        <v>1</v>
      </c>
      <c r="AM160" s="29"/>
      <c r="AN160" s="29">
        <v>1</v>
      </c>
      <c r="AO160" s="29">
        <v>1</v>
      </c>
      <c r="AQ160" s="29" t="str">
        <f t="shared" si="130"/>
        <v/>
      </c>
      <c r="AR160" s="29">
        <f t="shared" si="121"/>
        <v>1</v>
      </c>
      <c r="AS160" s="29">
        <f t="shared" si="122"/>
        <v>1</v>
      </c>
      <c r="AT160" s="65"/>
      <c r="AU160" s="29" t="str">
        <f t="shared" si="142"/>
        <v/>
      </c>
      <c r="AV160" s="29">
        <f t="shared" si="131"/>
        <v>1</v>
      </c>
      <c r="AW160" s="29">
        <f t="shared" si="132"/>
        <v>1</v>
      </c>
      <c r="AY160" s="29"/>
      <c r="AZ160" s="29">
        <v>1</v>
      </c>
      <c r="BA160" s="29">
        <v>1</v>
      </c>
      <c r="BC160" s="29" t="str">
        <f t="shared" si="133"/>
        <v/>
      </c>
      <c r="BD160" s="29">
        <f t="shared" si="123"/>
        <v>1</v>
      </c>
      <c r="BE160" s="29">
        <f t="shared" si="124"/>
        <v>1</v>
      </c>
      <c r="BF160" s="65"/>
      <c r="BG160" s="29" t="str">
        <f t="shared" si="143"/>
        <v/>
      </c>
      <c r="BH160" s="29">
        <f t="shared" si="134"/>
        <v>1</v>
      </c>
      <c r="BI160" s="29">
        <f t="shared" si="135"/>
        <v>1</v>
      </c>
      <c r="BK160" s="29"/>
      <c r="BL160" s="29">
        <v>100</v>
      </c>
      <c r="BM160" s="29">
        <v>564</v>
      </c>
      <c r="BO160" s="29" t="str">
        <f t="shared" si="136"/>
        <v/>
      </c>
      <c r="BP160" s="29">
        <f t="shared" si="125"/>
        <v>100</v>
      </c>
      <c r="BQ160" s="29">
        <f t="shared" si="126"/>
        <v>451</v>
      </c>
      <c r="BR160" s="65"/>
      <c r="BS160" s="29" t="str">
        <f t="shared" si="144"/>
        <v/>
      </c>
      <c r="BT160" s="29">
        <f t="shared" si="137"/>
        <v>100</v>
      </c>
      <c r="BU160" s="29">
        <f t="shared" si="138"/>
        <v>564</v>
      </c>
      <c r="BW160" s="8" t="str">
        <f>IF(W160="","",VLOOKUP('Regular Symbol'!W160,'Regular Symbol'!$O$3:$T$13,6,0))</f>
        <v/>
      </c>
      <c r="BX160" s="8">
        <f>IF(X160="","",VLOOKUP('Regular Symbol'!X160,'Regular Symbol'!$O$3:$T$13,6,0))</f>
        <v>3</v>
      </c>
      <c r="BY160" s="8">
        <f>IF(Y160="","",VLOOKUP('Regular Symbol'!Y160,'Regular Symbol'!$O$3:$T$13,6,0))</f>
        <v>0</v>
      </c>
      <c r="CA160" s="8" t="str">
        <f t="shared" si="118"/>
        <v/>
      </c>
      <c r="CB160" s="8" t="str">
        <f t="shared" si="119"/>
        <v>M3</v>
      </c>
      <c r="CC160" s="8" t="str">
        <f t="shared" si="120"/>
        <v>Wild</v>
      </c>
    </row>
    <row r="161" spans="22:81" ht="16.8" customHeight="1">
      <c r="V161" s="27">
        <v>158</v>
      </c>
      <c r="W161" s="25"/>
      <c r="X161" s="25" t="s">
        <v>18</v>
      </c>
      <c r="Y161" s="25" t="s">
        <v>25</v>
      </c>
      <c r="AA161" s="29"/>
      <c r="AB161" s="29">
        <v>1</v>
      </c>
      <c r="AC161" s="29">
        <v>1</v>
      </c>
      <c r="AD161" s="65"/>
      <c r="AE161" s="29" t="str">
        <f t="shared" si="127"/>
        <v/>
      </c>
      <c r="AF161" s="29">
        <f t="shared" si="128"/>
        <v>1</v>
      </c>
      <c r="AG161" s="29">
        <f t="shared" si="129"/>
        <v>1</v>
      </c>
      <c r="AH161" s="65"/>
      <c r="AI161" s="29" t="str">
        <f t="shared" si="139"/>
        <v/>
      </c>
      <c r="AJ161" s="29">
        <f t="shared" si="140"/>
        <v>1</v>
      </c>
      <c r="AK161" s="29">
        <f t="shared" si="141"/>
        <v>1</v>
      </c>
      <c r="AM161" s="29"/>
      <c r="AN161" s="29">
        <v>1</v>
      </c>
      <c r="AO161" s="29">
        <v>1</v>
      </c>
      <c r="AQ161" s="29" t="str">
        <f t="shared" si="130"/>
        <v/>
      </c>
      <c r="AR161" s="29">
        <f t="shared" si="121"/>
        <v>1</v>
      </c>
      <c r="AS161" s="29">
        <f t="shared" si="122"/>
        <v>1</v>
      </c>
      <c r="AT161" s="65"/>
      <c r="AU161" s="29" t="str">
        <f t="shared" si="142"/>
        <v/>
      </c>
      <c r="AV161" s="29">
        <f t="shared" si="131"/>
        <v>1</v>
      </c>
      <c r="AW161" s="29">
        <f t="shared" si="132"/>
        <v>1</v>
      </c>
      <c r="AY161" s="29"/>
      <c r="AZ161" s="29">
        <v>1</v>
      </c>
      <c r="BA161" s="29">
        <v>1</v>
      </c>
      <c r="BC161" s="29" t="str">
        <f t="shared" si="133"/>
        <v/>
      </c>
      <c r="BD161" s="29">
        <f t="shared" si="123"/>
        <v>1</v>
      </c>
      <c r="BE161" s="29">
        <f t="shared" si="124"/>
        <v>1</v>
      </c>
      <c r="BF161" s="65"/>
      <c r="BG161" s="29" t="str">
        <f t="shared" si="143"/>
        <v/>
      </c>
      <c r="BH161" s="29">
        <f t="shared" si="134"/>
        <v>1</v>
      </c>
      <c r="BI161" s="29">
        <f t="shared" si="135"/>
        <v>1</v>
      </c>
      <c r="BK161" s="29"/>
      <c r="BL161" s="29">
        <v>100</v>
      </c>
      <c r="BM161" s="29">
        <v>677</v>
      </c>
      <c r="BO161" s="29" t="str">
        <f t="shared" si="136"/>
        <v/>
      </c>
      <c r="BP161" s="29">
        <f t="shared" si="125"/>
        <v>100</v>
      </c>
      <c r="BQ161" s="29">
        <f t="shared" si="126"/>
        <v>564</v>
      </c>
      <c r="BR161" s="65"/>
      <c r="BS161" s="29" t="str">
        <f t="shared" si="144"/>
        <v/>
      </c>
      <c r="BT161" s="29">
        <f t="shared" si="137"/>
        <v>100</v>
      </c>
      <c r="BU161" s="29">
        <f t="shared" si="138"/>
        <v>451</v>
      </c>
      <c r="BW161" s="8" t="str">
        <f>IF(W161="","",VLOOKUP('Regular Symbol'!W161,'Regular Symbol'!$O$3:$T$13,6,0))</f>
        <v/>
      </c>
      <c r="BX161" s="8">
        <f>IF(X161="","",VLOOKUP('Regular Symbol'!X161,'Regular Symbol'!$O$3:$T$13,6,0))</f>
        <v>3</v>
      </c>
      <c r="BY161" s="8">
        <f>IF(Y161="","",VLOOKUP('Regular Symbol'!Y161,'Regular Symbol'!$O$3:$T$13,6,0))</f>
        <v>0</v>
      </c>
      <c r="CA161" s="8" t="str">
        <f t="shared" si="118"/>
        <v/>
      </c>
      <c r="CB161" s="8" t="str">
        <f t="shared" si="119"/>
        <v>M3</v>
      </c>
      <c r="CC161" s="8" t="str">
        <f t="shared" si="120"/>
        <v>Wild</v>
      </c>
    </row>
    <row r="162" spans="22:81" ht="16.8" customHeight="1">
      <c r="V162" s="27">
        <v>159</v>
      </c>
      <c r="W162" s="25"/>
      <c r="X162" s="25" t="s">
        <v>82</v>
      </c>
      <c r="Y162" s="25" t="s">
        <v>18</v>
      </c>
      <c r="AA162" s="29"/>
      <c r="AB162" s="29">
        <v>1</v>
      </c>
      <c r="AC162" s="29">
        <v>1</v>
      </c>
      <c r="AD162" s="65"/>
      <c r="AE162" s="29" t="str">
        <f t="shared" si="127"/>
        <v/>
      </c>
      <c r="AF162" s="29">
        <f t="shared" si="128"/>
        <v>1</v>
      </c>
      <c r="AG162" s="29">
        <f t="shared" si="129"/>
        <v>1</v>
      </c>
      <c r="AH162" s="65"/>
      <c r="AI162" s="29" t="str">
        <f t="shared" si="139"/>
        <v/>
      </c>
      <c r="AJ162" s="29">
        <f t="shared" si="140"/>
        <v>1</v>
      </c>
      <c r="AK162" s="29">
        <f t="shared" si="141"/>
        <v>1</v>
      </c>
      <c r="AM162" s="29"/>
      <c r="AN162" s="29">
        <v>1</v>
      </c>
      <c r="AO162" s="29">
        <v>1</v>
      </c>
      <c r="AQ162" s="29" t="str">
        <f t="shared" si="130"/>
        <v/>
      </c>
      <c r="AR162" s="29">
        <f t="shared" si="121"/>
        <v>1</v>
      </c>
      <c r="AS162" s="29">
        <f t="shared" si="122"/>
        <v>1</v>
      </c>
      <c r="AT162" s="65"/>
      <c r="AU162" s="29" t="str">
        <f t="shared" si="142"/>
        <v/>
      </c>
      <c r="AV162" s="29">
        <f t="shared" si="131"/>
        <v>1</v>
      </c>
      <c r="AW162" s="29">
        <f t="shared" si="132"/>
        <v>1</v>
      </c>
      <c r="AY162" s="29"/>
      <c r="AZ162" s="29">
        <v>1</v>
      </c>
      <c r="BA162" s="29">
        <v>1</v>
      </c>
      <c r="BC162" s="29" t="str">
        <f t="shared" si="133"/>
        <v/>
      </c>
      <c r="BD162" s="29">
        <f t="shared" si="123"/>
        <v>1</v>
      </c>
      <c r="BE162" s="29">
        <f t="shared" si="124"/>
        <v>1</v>
      </c>
      <c r="BF162" s="65"/>
      <c r="BG162" s="29" t="str">
        <f t="shared" si="143"/>
        <v/>
      </c>
      <c r="BH162" s="29">
        <f t="shared" si="134"/>
        <v>1</v>
      </c>
      <c r="BI162" s="29">
        <f t="shared" si="135"/>
        <v>1</v>
      </c>
      <c r="BK162" s="29"/>
      <c r="BL162" s="29">
        <v>100</v>
      </c>
      <c r="BM162" s="29">
        <v>100</v>
      </c>
      <c r="BO162" s="29" t="str">
        <f t="shared" si="136"/>
        <v/>
      </c>
      <c r="BP162" s="29">
        <f t="shared" si="125"/>
        <v>100</v>
      </c>
      <c r="BQ162" s="29">
        <f t="shared" si="126"/>
        <v>677</v>
      </c>
      <c r="BR162" s="65"/>
      <c r="BS162" s="29" t="str">
        <f t="shared" si="144"/>
        <v/>
      </c>
      <c r="BT162" s="29">
        <f t="shared" si="137"/>
        <v>100</v>
      </c>
      <c r="BU162" s="29">
        <f t="shared" si="138"/>
        <v>564</v>
      </c>
      <c r="BW162" s="8" t="str">
        <f>IF(W162="","",VLOOKUP('Regular Symbol'!W162,'Regular Symbol'!$O$3:$T$13,6,0))</f>
        <v/>
      </c>
      <c r="BX162" s="8">
        <f>IF(X162="","",VLOOKUP('Regular Symbol'!X162,'Regular Symbol'!$O$3:$T$13,6,0))</f>
        <v>5</v>
      </c>
      <c r="BY162" s="8">
        <f>IF(Y162="","",VLOOKUP('Regular Symbol'!Y162,'Regular Symbol'!$O$3:$T$13,6,0))</f>
        <v>3</v>
      </c>
      <c r="CA162" s="8" t="str">
        <f t="shared" si="118"/>
        <v/>
      </c>
      <c r="CB162" s="8" t="str">
        <f t="shared" si="119"/>
        <v>K</v>
      </c>
      <c r="CC162" s="8" t="str">
        <f t="shared" si="120"/>
        <v>M3</v>
      </c>
    </row>
    <row r="163" spans="22:81" ht="16.8" customHeight="1">
      <c r="V163" s="27">
        <v>160</v>
      </c>
      <c r="W163" s="25"/>
      <c r="X163" s="25" t="s">
        <v>82</v>
      </c>
      <c r="Y163" s="25" t="s">
        <v>18</v>
      </c>
      <c r="AA163" s="29"/>
      <c r="AB163" s="29">
        <v>1</v>
      </c>
      <c r="AC163" s="29">
        <v>1</v>
      </c>
      <c r="AD163" s="65"/>
      <c r="AE163" s="29" t="str">
        <f t="shared" si="127"/>
        <v/>
      </c>
      <c r="AF163" s="29">
        <f t="shared" si="128"/>
        <v>1</v>
      </c>
      <c r="AG163" s="29">
        <f t="shared" si="129"/>
        <v>1</v>
      </c>
      <c r="AH163" s="65"/>
      <c r="AI163" s="29" t="str">
        <f t="shared" si="139"/>
        <v/>
      </c>
      <c r="AJ163" s="29">
        <f t="shared" si="140"/>
        <v>1</v>
      </c>
      <c r="AK163" s="29">
        <f t="shared" si="141"/>
        <v>1</v>
      </c>
      <c r="AM163" s="29"/>
      <c r="AN163" s="29">
        <v>1</v>
      </c>
      <c r="AO163" s="29">
        <v>1</v>
      </c>
      <c r="AQ163" s="29" t="str">
        <f t="shared" si="130"/>
        <v/>
      </c>
      <c r="AR163" s="29">
        <f t="shared" si="121"/>
        <v>1</v>
      </c>
      <c r="AS163" s="29">
        <f t="shared" si="122"/>
        <v>1</v>
      </c>
      <c r="AT163" s="65"/>
      <c r="AU163" s="29" t="str">
        <f t="shared" si="142"/>
        <v/>
      </c>
      <c r="AV163" s="29">
        <f t="shared" si="131"/>
        <v>1</v>
      </c>
      <c r="AW163" s="29">
        <f t="shared" si="132"/>
        <v>1</v>
      </c>
      <c r="AY163" s="29"/>
      <c r="AZ163" s="29">
        <v>1</v>
      </c>
      <c r="BA163" s="29">
        <v>1</v>
      </c>
      <c r="BC163" s="29" t="str">
        <f t="shared" si="133"/>
        <v/>
      </c>
      <c r="BD163" s="29">
        <f t="shared" si="123"/>
        <v>1</v>
      </c>
      <c r="BE163" s="29">
        <f t="shared" si="124"/>
        <v>1</v>
      </c>
      <c r="BF163" s="65"/>
      <c r="BG163" s="29" t="str">
        <f t="shared" si="143"/>
        <v/>
      </c>
      <c r="BH163" s="29">
        <f t="shared" si="134"/>
        <v>1</v>
      </c>
      <c r="BI163" s="29">
        <f t="shared" si="135"/>
        <v>1</v>
      </c>
      <c r="BK163" s="29"/>
      <c r="BL163" s="29">
        <v>100</v>
      </c>
      <c r="BM163" s="29">
        <v>100</v>
      </c>
      <c r="BO163" s="29" t="str">
        <f t="shared" si="136"/>
        <v/>
      </c>
      <c r="BP163" s="29">
        <f t="shared" si="125"/>
        <v>100</v>
      </c>
      <c r="BQ163" s="29">
        <f t="shared" si="126"/>
        <v>100</v>
      </c>
      <c r="BR163" s="65"/>
      <c r="BS163" s="29" t="str">
        <f t="shared" si="144"/>
        <v/>
      </c>
      <c r="BT163" s="29">
        <f t="shared" si="137"/>
        <v>100</v>
      </c>
      <c r="BU163" s="29">
        <f t="shared" si="138"/>
        <v>677</v>
      </c>
      <c r="BW163" s="8" t="str">
        <f>IF(W163="","",VLOOKUP('Regular Symbol'!W163,'Regular Symbol'!$O$3:$T$13,6,0))</f>
        <v/>
      </c>
      <c r="BX163" s="8">
        <f>IF(X163="","",VLOOKUP('Regular Symbol'!X163,'Regular Symbol'!$O$3:$T$13,6,0))</f>
        <v>5</v>
      </c>
      <c r="BY163" s="8">
        <f>IF(Y163="","",VLOOKUP('Regular Symbol'!Y163,'Regular Symbol'!$O$3:$T$13,6,0))</f>
        <v>3</v>
      </c>
      <c r="CA163" s="8" t="str">
        <f t="shared" si="118"/>
        <v/>
      </c>
      <c r="CB163" s="8" t="str">
        <f t="shared" si="119"/>
        <v>K</v>
      </c>
      <c r="CC163" s="8" t="str">
        <f t="shared" si="120"/>
        <v>M3</v>
      </c>
    </row>
    <row r="164" spans="22:81" ht="16.8" customHeight="1">
      <c r="V164" s="27">
        <v>161</v>
      </c>
      <c r="W164" s="25"/>
      <c r="X164" s="25" t="s">
        <v>82</v>
      </c>
      <c r="Y164" s="25" t="s">
        <v>18</v>
      </c>
      <c r="AA164" s="29"/>
      <c r="AB164" s="29">
        <v>1</v>
      </c>
      <c r="AC164" s="29">
        <v>1</v>
      </c>
      <c r="AD164" s="65"/>
      <c r="AE164" s="29" t="str">
        <f t="shared" si="127"/>
        <v/>
      </c>
      <c r="AF164" s="29">
        <f t="shared" si="128"/>
        <v>1</v>
      </c>
      <c r="AG164" s="29">
        <f t="shared" si="129"/>
        <v>1</v>
      </c>
      <c r="AH164" s="65"/>
      <c r="AI164" s="29" t="str">
        <f t="shared" si="139"/>
        <v/>
      </c>
      <c r="AJ164" s="29">
        <f t="shared" si="140"/>
        <v>1</v>
      </c>
      <c r="AK164" s="29">
        <f t="shared" si="141"/>
        <v>1</v>
      </c>
      <c r="AM164" s="29"/>
      <c r="AN164" s="29">
        <v>1</v>
      </c>
      <c r="AO164" s="29">
        <v>1</v>
      </c>
      <c r="AQ164" s="29" t="str">
        <f t="shared" si="130"/>
        <v/>
      </c>
      <c r="AR164" s="29">
        <f t="shared" si="121"/>
        <v>1</v>
      </c>
      <c r="AS164" s="29">
        <f t="shared" si="122"/>
        <v>1</v>
      </c>
      <c r="AT164" s="65"/>
      <c r="AU164" s="29" t="str">
        <f t="shared" si="142"/>
        <v/>
      </c>
      <c r="AV164" s="29">
        <f t="shared" si="131"/>
        <v>1</v>
      </c>
      <c r="AW164" s="29">
        <f t="shared" si="132"/>
        <v>1</v>
      </c>
      <c r="AY164" s="29"/>
      <c r="AZ164" s="29">
        <v>1</v>
      </c>
      <c r="BA164" s="29">
        <v>1</v>
      </c>
      <c r="BC164" s="29" t="str">
        <f t="shared" si="133"/>
        <v/>
      </c>
      <c r="BD164" s="29">
        <f t="shared" si="123"/>
        <v>1</v>
      </c>
      <c r="BE164" s="29">
        <f t="shared" si="124"/>
        <v>1</v>
      </c>
      <c r="BF164" s="65"/>
      <c r="BG164" s="29" t="str">
        <f t="shared" si="143"/>
        <v/>
      </c>
      <c r="BH164" s="29">
        <f t="shared" si="134"/>
        <v>1</v>
      </c>
      <c r="BI164" s="29">
        <f t="shared" si="135"/>
        <v>1</v>
      </c>
      <c r="BK164" s="29"/>
      <c r="BL164" s="29">
        <v>100</v>
      </c>
      <c r="BM164" s="29">
        <v>100</v>
      </c>
      <c r="BO164" s="29" t="str">
        <f t="shared" si="136"/>
        <v/>
      </c>
      <c r="BP164" s="29">
        <f t="shared" si="125"/>
        <v>100</v>
      </c>
      <c r="BQ164" s="29">
        <f t="shared" si="126"/>
        <v>100</v>
      </c>
      <c r="BR164" s="65"/>
      <c r="BS164" s="29" t="str">
        <f t="shared" si="144"/>
        <v/>
      </c>
      <c r="BT164" s="29">
        <f t="shared" si="137"/>
        <v>100</v>
      </c>
      <c r="BU164" s="29">
        <f t="shared" si="138"/>
        <v>100</v>
      </c>
      <c r="BW164" s="8" t="str">
        <f>IF(W164="","",VLOOKUP('Regular Symbol'!W164,'Regular Symbol'!$O$3:$T$13,6,0))</f>
        <v/>
      </c>
      <c r="BX164" s="8">
        <f>IF(X164="","",VLOOKUP('Regular Symbol'!X164,'Regular Symbol'!$O$3:$T$13,6,0))</f>
        <v>5</v>
      </c>
      <c r="BY164" s="8">
        <f>IF(Y164="","",VLOOKUP('Regular Symbol'!Y164,'Regular Symbol'!$O$3:$T$13,6,0))</f>
        <v>3</v>
      </c>
      <c r="CA164" s="8" t="str">
        <f t="shared" si="118"/>
        <v/>
      </c>
      <c r="CB164" s="8" t="str">
        <f t="shared" si="119"/>
        <v>K</v>
      </c>
      <c r="CC164" s="8" t="str">
        <f t="shared" si="120"/>
        <v>M3</v>
      </c>
    </row>
    <row r="165" spans="22:81" ht="16.8" customHeight="1">
      <c r="V165" s="27">
        <v>162</v>
      </c>
      <c r="W165" s="25"/>
      <c r="X165" s="25" t="s">
        <v>16</v>
      </c>
      <c r="Y165" s="25" t="s">
        <v>18</v>
      </c>
      <c r="AA165" s="29"/>
      <c r="AB165" s="29">
        <v>1</v>
      </c>
      <c r="AC165" s="29">
        <v>1</v>
      </c>
      <c r="AD165" s="65"/>
      <c r="AE165" s="29" t="str">
        <f t="shared" si="127"/>
        <v/>
      </c>
      <c r="AF165" s="29">
        <f t="shared" si="128"/>
        <v>1</v>
      </c>
      <c r="AG165" s="29">
        <f t="shared" si="129"/>
        <v>1</v>
      </c>
      <c r="AH165" s="65"/>
      <c r="AI165" s="29" t="str">
        <f t="shared" si="139"/>
        <v/>
      </c>
      <c r="AJ165" s="29">
        <f t="shared" si="140"/>
        <v>1</v>
      </c>
      <c r="AK165" s="29">
        <f t="shared" si="141"/>
        <v>1</v>
      </c>
      <c r="AM165" s="29"/>
      <c r="AN165" s="29">
        <v>1</v>
      </c>
      <c r="AO165" s="29">
        <v>1</v>
      </c>
      <c r="AQ165" s="29" t="str">
        <f t="shared" si="130"/>
        <v/>
      </c>
      <c r="AR165" s="29">
        <f t="shared" si="121"/>
        <v>1</v>
      </c>
      <c r="AS165" s="29">
        <f t="shared" si="122"/>
        <v>1</v>
      </c>
      <c r="AT165" s="65"/>
      <c r="AU165" s="29" t="str">
        <f t="shared" si="142"/>
        <v/>
      </c>
      <c r="AV165" s="29">
        <f t="shared" si="131"/>
        <v>1</v>
      </c>
      <c r="AW165" s="29">
        <f t="shared" si="132"/>
        <v>1</v>
      </c>
      <c r="AY165" s="29"/>
      <c r="AZ165" s="29">
        <v>1</v>
      </c>
      <c r="BA165" s="29">
        <v>1</v>
      </c>
      <c r="BC165" s="29" t="str">
        <f t="shared" si="133"/>
        <v/>
      </c>
      <c r="BD165" s="29">
        <f t="shared" si="123"/>
        <v>1</v>
      </c>
      <c r="BE165" s="29">
        <f t="shared" si="124"/>
        <v>1</v>
      </c>
      <c r="BF165" s="65"/>
      <c r="BG165" s="29" t="str">
        <f t="shared" si="143"/>
        <v/>
      </c>
      <c r="BH165" s="29">
        <f t="shared" si="134"/>
        <v>1</v>
      </c>
      <c r="BI165" s="29">
        <f t="shared" si="135"/>
        <v>1</v>
      </c>
      <c r="BK165" s="29"/>
      <c r="BL165" s="29">
        <v>100</v>
      </c>
      <c r="BM165" s="29">
        <v>100</v>
      </c>
      <c r="BO165" s="29" t="str">
        <f t="shared" si="136"/>
        <v/>
      </c>
      <c r="BP165" s="29">
        <f t="shared" si="125"/>
        <v>100</v>
      </c>
      <c r="BQ165" s="29">
        <f t="shared" si="126"/>
        <v>100</v>
      </c>
      <c r="BR165" s="65"/>
      <c r="BS165" s="29" t="str">
        <f t="shared" si="144"/>
        <v/>
      </c>
      <c r="BT165" s="29">
        <f t="shared" si="137"/>
        <v>100</v>
      </c>
      <c r="BU165" s="29">
        <f t="shared" si="138"/>
        <v>100</v>
      </c>
      <c r="BW165" s="8" t="str">
        <f>IF(W165="","",VLOOKUP('Regular Symbol'!W165,'Regular Symbol'!$O$3:$T$13,6,0))</f>
        <v/>
      </c>
      <c r="BX165" s="8">
        <f>IF(X165="","",VLOOKUP('Regular Symbol'!X165,'Regular Symbol'!$O$3:$T$13,6,0))</f>
        <v>1</v>
      </c>
      <c r="BY165" s="8">
        <f>IF(Y165="","",VLOOKUP('Regular Symbol'!Y165,'Regular Symbol'!$O$3:$T$13,6,0))</f>
        <v>3</v>
      </c>
      <c r="CA165" s="8" t="str">
        <f t="shared" si="118"/>
        <v/>
      </c>
      <c r="CB165" s="8" t="str">
        <f t="shared" si="119"/>
        <v>M1</v>
      </c>
      <c r="CC165" s="8" t="str">
        <f t="shared" si="120"/>
        <v>M3</v>
      </c>
    </row>
    <row r="166" spans="22:81" ht="16.8" customHeight="1">
      <c r="V166" s="27">
        <v>163</v>
      </c>
      <c r="W166" s="25"/>
      <c r="X166" s="25" t="s">
        <v>16</v>
      </c>
      <c r="Y166" s="25" t="s">
        <v>82</v>
      </c>
      <c r="AA166" s="29"/>
      <c r="AB166" s="29">
        <v>1</v>
      </c>
      <c r="AC166" s="29">
        <v>1</v>
      </c>
      <c r="AD166" s="65"/>
      <c r="AE166" s="29" t="str">
        <f t="shared" si="127"/>
        <v/>
      </c>
      <c r="AF166" s="29">
        <f t="shared" si="128"/>
        <v>1</v>
      </c>
      <c r="AG166" s="29">
        <f t="shared" si="129"/>
        <v>1</v>
      </c>
      <c r="AH166" s="65"/>
      <c r="AI166" s="29" t="str">
        <f t="shared" si="139"/>
        <v/>
      </c>
      <c r="AJ166" s="29">
        <f t="shared" si="140"/>
        <v>1</v>
      </c>
      <c r="AK166" s="29">
        <f t="shared" si="141"/>
        <v>1</v>
      </c>
      <c r="AM166" s="29"/>
      <c r="AN166" s="29">
        <v>1</v>
      </c>
      <c r="AO166" s="29">
        <v>1</v>
      </c>
      <c r="AQ166" s="29" t="str">
        <f t="shared" si="130"/>
        <v/>
      </c>
      <c r="AR166" s="29">
        <f t="shared" si="121"/>
        <v>1</v>
      </c>
      <c r="AS166" s="29">
        <f t="shared" si="122"/>
        <v>1</v>
      </c>
      <c r="AT166" s="65"/>
      <c r="AU166" s="29" t="str">
        <f t="shared" si="142"/>
        <v/>
      </c>
      <c r="AV166" s="29">
        <f t="shared" si="131"/>
        <v>1</v>
      </c>
      <c r="AW166" s="29">
        <f t="shared" si="132"/>
        <v>1</v>
      </c>
      <c r="AY166" s="29"/>
      <c r="AZ166" s="29">
        <v>1</v>
      </c>
      <c r="BA166" s="29">
        <v>1</v>
      </c>
      <c r="BC166" s="29" t="str">
        <f t="shared" si="133"/>
        <v/>
      </c>
      <c r="BD166" s="29">
        <f t="shared" si="123"/>
        <v>1</v>
      </c>
      <c r="BE166" s="29">
        <f t="shared" si="124"/>
        <v>1</v>
      </c>
      <c r="BF166" s="65"/>
      <c r="BG166" s="29" t="str">
        <f t="shared" si="143"/>
        <v/>
      </c>
      <c r="BH166" s="29">
        <f t="shared" si="134"/>
        <v>1</v>
      </c>
      <c r="BI166" s="29">
        <f t="shared" si="135"/>
        <v>1</v>
      </c>
      <c r="BK166" s="29"/>
      <c r="BL166" s="29">
        <v>100</v>
      </c>
      <c r="BM166" s="29">
        <v>100</v>
      </c>
      <c r="BO166" s="29" t="str">
        <f t="shared" si="136"/>
        <v/>
      </c>
      <c r="BP166" s="29">
        <f t="shared" si="125"/>
        <v>100</v>
      </c>
      <c r="BQ166" s="29">
        <f t="shared" si="126"/>
        <v>100</v>
      </c>
      <c r="BR166" s="65"/>
      <c r="BS166" s="29" t="str">
        <f t="shared" si="144"/>
        <v/>
      </c>
      <c r="BT166" s="29">
        <f t="shared" si="137"/>
        <v>100</v>
      </c>
      <c r="BU166" s="29">
        <f t="shared" si="138"/>
        <v>100</v>
      </c>
      <c r="BW166" s="8" t="str">
        <f>IF(W166="","",VLOOKUP('Regular Symbol'!W166,'Regular Symbol'!$O$3:$T$13,6,0))</f>
        <v/>
      </c>
      <c r="BX166" s="8">
        <f>IF(X166="","",VLOOKUP('Regular Symbol'!X166,'Regular Symbol'!$O$3:$T$13,6,0))</f>
        <v>1</v>
      </c>
      <c r="BY166" s="8">
        <f>IF(Y166="","",VLOOKUP('Regular Symbol'!Y166,'Regular Symbol'!$O$3:$T$13,6,0))</f>
        <v>5</v>
      </c>
      <c r="CA166" s="8" t="str">
        <f t="shared" si="118"/>
        <v/>
      </c>
      <c r="CB166" s="8" t="str">
        <f t="shared" si="119"/>
        <v>M1</v>
      </c>
      <c r="CC166" s="8" t="str">
        <f t="shared" si="120"/>
        <v>K</v>
      </c>
    </row>
    <row r="167" spans="22:81" ht="16.8" customHeight="1">
      <c r="V167" s="27">
        <v>164</v>
      </c>
      <c r="W167" s="25"/>
      <c r="X167" s="25" t="s">
        <v>82</v>
      </c>
      <c r="Y167" s="25" t="s">
        <v>82</v>
      </c>
      <c r="AA167" s="29"/>
      <c r="AB167" s="29">
        <v>1</v>
      </c>
      <c r="AC167" s="29">
        <v>1</v>
      </c>
      <c r="AD167" s="65"/>
      <c r="AE167" s="29" t="str">
        <f t="shared" si="127"/>
        <v/>
      </c>
      <c r="AF167" s="29">
        <f t="shared" si="128"/>
        <v>1</v>
      </c>
      <c r="AG167" s="29">
        <f t="shared" si="129"/>
        <v>1</v>
      </c>
      <c r="AH167" s="65"/>
      <c r="AI167" s="29" t="str">
        <f t="shared" si="139"/>
        <v/>
      </c>
      <c r="AJ167" s="29">
        <f t="shared" si="140"/>
        <v>1</v>
      </c>
      <c r="AK167" s="29">
        <f t="shared" si="141"/>
        <v>1</v>
      </c>
      <c r="AM167" s="29"/>
      <c r="AN167" s="29">
        <v>1</v>
      </c>
      <c r="AO167" s="29">
        <v>1</v>
      </c>
      <c r="AQ167" s="29" t="str">
        <f t="shared" si="130"/>
        <v/>
      </c>
      <c r="AR167" s="29">
        <f t="shared" si="121"/>
        <v>1</v>
      </c>
      <c r="AS167" s="29">
        <f t="shared" si="122"/>
        <v>1</v>
      </c>
      <c r="AT167" s="65"/>
      <c r="AU167" s="29" t="str">
        <f t="shared" si="142"/>
        <v/>
      </c>
      <c r="AV167" s="29">
        <f t="shared" si="131"/>
        <v>1</v>
      </c>
      <c r="AW167" s="29">
        <f t="shared" si="132"/>
        <v>1</v>
      </c>
      <c r="AY167" s="29"/>
      <c r="AZ167" s="29">
        <v>1</v>
      </c>
      <c r="BA167" s="29">
        <v>1</v>
      </c>
      <c r="BC167" s="29" t="str">
        <f t="shared" si="133"/>
        <v/>
      </c>
      <c r="BD167" s="29">
        <f t="shared" si="123"/>
        <v>1</v>
      </c>
      <c r="BE167" s="29">
        <f t="shared" si="124"/>
        <v>1</v>
      </c>
      <c r="BF167" s="65"/>
      <c r="BG167" s="29" t="str">
        <f t="shared" si="143"/>
        <v/>
      </c>
      <c r="BH167" s="29">
        <f t="shared" si="134"/>
        <v>1</v>
      </c>
      <c r="BI167" s="29">
        <f t="shared" si="135"/>
        <v>1</v>
      </c>
      <c r="BK167" s="29"/>
      <c r="BL167" s="29">
        <v>100</v>
      </c>
      <c r="BM167" s="29">
        <v>100</v>
      </c>
      <c r="BO167" s="29" t="str">
        <f t="shared" si="136"/>
        <v/>
      </c>
      <c r="BP167" s="29">
        <f t="shared" si="125"/>
        <v>100</v>
      </c>
      <c r="BQ167" s="29">
        <f t="shared" si="126"/>
        <v>100</v>
      </c>
      <c r="BR167" s="65"/>
      <c r="BS167" s="29" t="str">
        <f t="shared" si="144"/>
        <v/>
      </c>
      <c r="BT167" s="29">
        <f t="shared" si="137"/>
        <v>100</v>
      </c>
      <c r="BU167" s="29">
        <f t="shared" si="138"/>
        <v>100</v>
      </c>
      <c r="BW167" s="8" t="str">
        <f>IF(W167="","",VLOOKUP('Regular Symbol'!W167,'Regular Symbol'!$O$3:$T$13,6,0))</f>
        <v/>
      </c>
      <c r="BX167" s="8">
        <f>IF(X167="","",VLOOKUP('Regular Symbol'!X167,'Regular Symbol'!$O$3:$T$13,6,0))</f>
        <v>5</v>
      </c>
      <c r="BY167" s="8">
        <f>IF(Y167="","",VLOOKUP('Regular Symbol'!Y167,'Regular Symbol'!$O$3:$T$13,6,0))</f>
        <v>5</v>
      </c>
      <c r="CA167" s="8" t="str">
        <f t="shared" si="118"/>
        <v/>
      </c>
      <c r="CB167" s="8" t="str">
        <f t="shared" si="119"/>
        <v>K</v>
      </c>
      <c r="CC167" s="8" t="str">
        <f t="shared" si="120"/>
        <v>K</v>
      </c>
    </row>
    <row r="168" spans="22:81" ht="16.8" customHeight="1">
      <c r="V168" s="27">
        <v>165</v>
      </c>
      <c r="W168" s="25"/>
      <c r="X168" s="25" t="s">
        <v>82</v>
      </c>
      <c r="Y168" s="25" t="s">
        <v>82</v>
      </c>
      <c r="AA168" s="29"/>
      <c r="AB168" s="29">
        <v>1</v>
      </c>
      <c r="AC168" s="29">
        <v>1</v>
      </c>
      <c r="AD168" s="65"/>
      <c r="AE168" s="29" t="str">
        <f t="shared" si="127"/>
        <v/>
      </c>
      <c r="AF168" s="29">
        <f t="shared" si="128"/>
        <v>1</v>
      </c>
      <c r="AG168" s="29">
        <f t="shared" si="129"/>
        <v>1</v>
      </c>
      <c r="AH168" s="65"/>
      <c r="AI168" s="29" t="str">
        <f t="shared" si="139"/>
        <v/>
      </c>
      <c r="AJ168" s="29">
        <f t="shared" si="140"/>
        <v>1</v>
      </c>
      <c r="AK168" s="29">
        <f t="shared" si="141"/>
        <v>1</v>
      </c>
      <c r="AM168" s="29"/>
      <c r="AN168" s="29">
        <v>1</v>
      </c>
      <c r="AO168" s="29">
        <v>1</v>
      </c>
      <c r="AQ168" s="29" t="str">
        <f t="shared" si="130"/>
        <v/>
      </c>
      <c r="AR168" s="29">
        <f t="shared" si="121"/>
        <v>1</v>
      </c>
      <c r="AS168" s="29">
        <f t="shared" si="122"/>
        <v>1</v>
      </c>
      <c r="AT168" s="65"/>
      <c r="AU168" s="29" t="str">
        <f t="shared" si="142"/>
        <v/>
      </c>
      <c r="AV168" s="29">
        <f t="shared" si="131"/>
        <v>1</v>
      </c>
      <c r="AW168" s="29">
        <f t="shared" si="132"/>
        <v>1</v>
      </c>
      <c r="AY168" s="29"/>
      <c r="AZ168" s="29">
        <v>1</v>
      </c>
      <c r="BA168" s="29">
        <v>1</v>
      </c>
      <c r="BC168" s="29" t="str">
        <f t="shared" si="133"/>
        <v/>
      </c>
      <c r="BD168" s="29">
        <f t="shared" si="123"/>
        <v>1</v>
      </c>
      <c r="BE168" s="29">
        <f t="shared" si="124"/>
        <v>1</v>
      </c>
      <c r="BF168" s="65"/>
      <c r="BG168" s="29" t="str">
        <f t="shared" si="143"/>
        <v/>
      </c>
      <c r="BH168" s="29">
        <f t="shared" si="134"/>
        <v>1</v>
      </c>
      <c r="BI168" s="29">
        <f t="shared" si="135"/>
        <v>1</v>
      </c>
      <c r="BK168" s="29"/>
      <c r="BL168" s="29">
        <v>100</v>
      </c>
      <c r="BM168" s="29">
        <v>100</v>
      </c>
      <c r="BO168" s="29" t="str">
        <f t="shared" si="136"/>
        <v/>
      </c>
      <c r="BP168" s="29">
        <f t="shared" si="125"/>
        <v>100</v>
      </c>
      <c r="BQ168" s="29">
        <f t="shared" si="126"/>
        <v>100</v>
      </c>
      <c r="BR168" s="65"/>
      <c r="BS168" s="29" t="str">
        <f t="shared" si="144"/>
        <v/>
      </c>
      <c r="BT168" s="29">
        <f t="shared" si="137"/>
        <v>100</v>
      </c>
      <c r="BU168" s="29">
        <f t="shared" si="138"/>
        <v>100</v>
      </c>
      <c r="BW168" s="8" t="str">
        <f>IF(W168="","",VLOOKUP('Regular Symbol'!W168,'Regular Symbol'!$O$3:$T$13,6,0))</f>
        <v/>
      </c>
      <c r="BX168" s="8">
        <f>IF(X168="","",VLOOKUP('Regular Symbol'!X168,'Regular Symbol'!$O$3:$T$13,6,0))</f>
        <v>5</v>
      </c>
      <c r="BY168" s="8">
        <f>IF(Y168="","",VLOOKUP('Regular Symbol'!Y168,'Regular Symbol'!$O$3:$T$13,6,0))</f>
        <v>5</v>
      </c>
      <c r="CA168" s="8" t="str">
        <f t="shared" si="118"/>
        <v/>
      </c>
      <c r="CB168" s="8" t="str">
        <f t="shared" si="119"/>
        <v>K</v>
      </c>
      <c r="CC168" s="8" t="str">
        <f t="shared" si="120"/>
        <v>K</v>
      </c>
    </row>
    <row r="169" spans="22:81" ht="16.8" customHeight="1">
      <c r="V169" s="27">
        <v>166</v>
      </c>
      <c r="W169" s="25"/>
      <c r="X169" s="25" t="s">
        <v>82</v>
      </c>
      <c r="Y169" s="25" t="s">
        <v>16</v>
      </c>
      <c r="AA169" s="29"/>
      <c r="AB169" s="29">
        <v>1</v>
      </c>
      <c r="AC169" s="29">
        <v>1</v>
      </c>
      <c r="AD169" s="65"/>
      <c r="AE169" s="29" t="str">
        <f t="shared" si="127"/>
        <v/>
      </c>
      <c r="AF169" s="29">
        <f t="shared" si="128"/>
        <v>1</v>
      </c>
      <c r="AG169" s="29">
        <f t="shared" si="129"/>
        <v>1</v>
      </c>
      <c r="AH169" s="65"/>
      <c r="AI169" s="29" t="str">
        <f t="shared" si="139"/>
        <v/>
      </c>
      <c r="AJ169" s="29">
        <f t="shared" si="140"/>
        <v>1</v>
      </c>
      <c r="AK169" s="29">
        <f t="shared" si="141"/>
        <v>1</v>
      </c>
      <c r="AM169" s="29"/>
      <c r="AN169" s="29">
        <v>1</v>
      </c>
      <c r="AO169" s="29">
        <v>1</v>
      </c>
      <c r="AQ169" s="29" t="str">
        <f t="shared" si="130"/>
        <v/>
      </c>
      <c r="AR169" s="29">
        <f t="shared" si="121"/>
        <v>1</v>
      </c>
      <c r="AS169" s="29">
        <f t="shared" si="122"/>
        <v>1</v>
      </c>
      <c r="AT169" s="65"/>
      <c r="AU169" s="29" t="str">
        <f t="shared" si="142"/>
        <v/>
      </c>
      <c r="AV169" s="29">
        <f t="shared" si="131"/>
        <v>1</v>
      </c>
      <c r="AW169" s="29">
        <f t="shared" si="132"/>
        <v>1</v>
      </c>
      <c r="AY169" s="29"/>
      <c r="AZ169" s="29">
        <v>1</v>
      </c>
      <c r="BA169" s="29">
        <v>1</v>
      </c>
      <c r="BC169" s="29" t="str">
        <f t="shared" si="133"/>
        <v/>
      </c>
      <c r="BD169" s="29">
        <f t="shared" si="123"/>
        <v>1</v>
      </c>
      <c r="BE169" s="29">
        <f t="shared" si="124"/>
        <v>1</v>
      </c>
      <c r="BF169" s="65"/>
      <c r="BG169" s="29" t="str">
        <f t="shared" si="143"/>
        <v/>
      </c>
      <c r="BH169" s="29">
        <f t="shared" si="134"/>
        <v>1</v>
      </c>
      <c r="BI169" s="29">
        <f t="shared" si="135"/>
        <v>1</v>
      </c>
      <c r="BK169" s="29"/>
      <c r="BL169" s="29">
        <v>100</v>
      </c>
      <c r="BM169" s="29">
        <v>100</v>
      </c>
      <c r="BO169" s="29" t="str">
        <f t="shared" si="136"/>
        <v/>
      </c>
      <c r="BP169" s="29">
        <f t="shared" si="125"/>
        <v>100</v>
      </c>
      <c r="BQ169" s="29">
        <f t="shared" si="126"/>
        <v>100</v>
      </c>
      <c r="BR169" s="65"/>
      <c r="BS169" s="29" t="str">
        <f t="shared" si="144"/>
        <v/>
      </c>
      <c r="BT169" s="29">
        <f t="shared" si="137"/>
        <v>100</v>
      </c>
      <c r="BU169" s="29">
        <f t="shared" si="138"/>
        <v>100</v>
      </c>
      <c r="BW169" s="8" t="str">
        <f>IF(W169="","",VLOOKUP('Regular Symbol'!W169,'Regular Symbol'!$O$3:$T$13,6,0))</f>
        <v/>
      </c>
      <c r="BX169" s="8">
        <f>IF(X169="","",VLOOKUP('Regular Symbol'!X169,'Regular Symbol'!$O$3:$T$13,6,0))</f>
        <v>5</v>
      </c>
      <c r="BY169" s="8">
        <f>IF(Y169="","",VLOOKUP('Regular Symbol'!Y169,'Regular Symbol'!$O$3:$T$13,6,0))</f>
        <v>1</v>
      </c>
      <c r="CA169" s="8" t="str">
        <f t="shared" si="118"/>
        <v/>
      </c>
      <c r="CB169" s="8" t="str">
        <f t="shared" si="119"/>
        <v>K</v>
      </c>
      <c r="CC169" s="8" t="str">
        <f t="shared" si="120"/>
        <v>M1</v>
      </c>
    </row>
    <row r="170" spans="22:81" ht="16.8" customHeight="1">
      <c r="V170" s="27">
        <v>167</v>
      </c>
      <c r="W170" s="25"/>
      <c r="X170" s="25" t="s">
        <v>81</v>
      </c>
      <c r="Y170" s="25" t="s">
        <v>16</v>
      </c>
      <c r="AA170" s="29"/>
      <c r="AB170" s="29">
        <v>1</v>
      </c>
      <c r="AC170" s="29">
        <v>1</v>
      </c>
      <c r="AD170" s="65"/>
      <c r="AE170" s="29" t="str">
        <f t="shared" si="127"/>
        <v/>
      </c>
      <c r="AF170" s="29">
        <f t="shared" si="128"/>
        <v>1</v>
      </c>
      <c r="AG170" s="29">
        <f t="shared" si="129"/>
        <v>1</v>
      </c>
      <c r="AH170" s="65"/>
      <c r="AI170" s="29" t="str">
        <f t="shared" si="139"/>
        <v/>
      </c>
      <c r="AJ170" s="29">
        <f t="shared" si="140"/>
        <v>1</v>
      </c>
      <c r="AK170" s="29">
        <f t="shared" si="141"/>
        <v>1</v>
      </c>
      <c r="AM170" s="29"/>
      <c r="AN170" s="29">
        <v>1</v>
      </c>
      <c r="AO170" s="29">
        <v>1</v>
      </c>
      <c r="AQ170" s="29" t="str">
        <f t="shared" si="130"/>
        <v/>
      </c>
      <c r="AR170" s="29">
        <f t="shared" si="121"/>
        <v>1</v>
      </c>
      <c r="AS170" s="29">
        <f t="shared" si="122"/>
        <v>1</v>
      </c>
      <c r="AT170" s="65"/>
      <c r="AU170" s="29" t="str">
        <f t="shared" si="142"/>
        <v/>
      </c>
      <c r="AV170" s="29">
        <f t="shared" si="131"/>
        <v>1</v>
      </c>
      <c r="AW170" s="29">
        <f t="shared" si="132"/>
        <v>1</v>
      </c>
      <c r="AY170" s="29"/>
      <c r="AZ170" s="29">
        <v>1</v>
      </c>
      <c r="BA170" s="29">
        <v>1</v>
      </c>
      <c r="BC170" s="29" t="str">
        <f t="shared" si="133"/>
        <v/>
      </c>
      <c r="BD170" s="29">
        <f t="shared" si="123"/>
        <v>1</v>
      </c>
      <c r="BE170" s="29">
        <f t="shared" si="124"/>
        <v>1</v>
      </c>
      <c r="BF170" s="65"/>
      <c r="BG170" s="29" t="str">
        <f t="shared" si="143"/>
        <v/>
      </c>
      <c r="BH170" s="29">
        <f t="shared" si="134"/>
        <v>1</v>
      </c>
      <c r="BI170" s="29">
        <f t="shared" si="135"/>
        <v>1</v>
      </c>
      <c r="BK170" s="29"/>
      <c r="BL170" s="29">
        <v>100</v>
      </c>
      <c r="BM170" s="29">
        <v>100</v>
      </c>
      <c r="BO170" s="29" t="str">
        <f t="shared" si="136"/>
        <v/>
      </c>
      <c r="BP170" s="29">
        <f t="shared" si="125"/>
        <v>100</v>
      </c>
      <c r="BQ170" s="29">
        <f t="shared" si="126"/>
        <v>100</v>
      </c>
      <c r="BR170" s="65"/>
      <c r="BS170" s="29" t="str">
        <f t="shared" si="144"/>
        <v/>
      </c>
      <c r="BT170" s="29">
        <f t="shared" si="137"/>
        <v>100</v>
      </c>
      <c r="BU170" s="29">
        <f t="shared" si="138"/>
        <v>100</v>
      </c>
      <c r="BW170" s="8" t="str">
        <f>IF(W170="","",VLOOKUP('Regular Symbol'!W170,'Regular Symbol'!$O$3:$T$13,6,0))</f>
        <v/>
      </c>
      <c r="BX170" s="8">
        <f>IF(X170="","",VLOOKUP('Regular Symbol'!X170,'Regular Symbol'!$O$3:$T$13,6,0))</f>
        <v>4</v>
      </c>
      <c r="BY170" s="8">
        <f>IF(Y170="","",VLOOKUP('Regular Symbol'!Y170,'Regular Symbol'!$O$3:$T$13,6,0))</f>
        <v>1</v>
      </c>
      <c r="CA170" s="8" t="str">
        <f t="shared" si="118"/>
        <v/>
      </c>
      <c r="CB170" s="8" t="str">
        <f t="shared" si="119"/>
        <v>A</v>
      </c>
      <c r="CC170" s="8" t="str">
        <f t="shared" si="120"/>
        <v>M1</v>
      </c>
    </row>
    <row r="171" spans="22:81" ht="16.8" customHeight="1">
      <c r="V171" s="27">
        <v>168</v>
      </c>
      <c r="W171" s="25"/>
      <c r="X171" s="25" t="s">
        <v>81</v>
      </c>
      <c r="Y171" s="25" t="s">
        <v>16</v>
      </c>
      <c r="AA171" s="29"/>
      <c r="AB171" s="29">
        <v>1</v>
      </c>
      <c r="AC171" s="29">
        <v>1</v>
      </c>
      <c r="AD171" s="65"/>
      <c r="AE171" s="29" t="str">
        <f t="shared" si="127"/>
        <v/>
      </c>
      <c r="AF171" s="29">
        <f t="shared" si="128"/>
        <v>1</v>
      </c>
      <c r="AG171" s="29">
        <f t="shared" si="129"/>
        <v>1</v>
      </c>
      <c r="AH171" s="65"/>
      <c r="AI171" s="29" t="str">
        <f t="shared" si="139"/>
        <v/>
      </c>
      <c r="AJ171" s="29">
        <f t="shared" si="140"/>
        <v>1</v>
      </c>
      <c r="AK171" s="29">
        <f t="shared" si="141"/>
        <v>1</v>
      </c>
      <c r="AM171" s="29"/>
      <c r="AN171" s="29">
        <v>1</v>
      </c>
      <c r="AO171" s="29">
        <v>1</v>
      </c>
      <c r="AQ171" s="29" t="str">
        <f t="shared" si="130"/>
        <v/>
      </c>
      <c r="AR171" s="29">
        <f t="shared" si="121"/>
        <v>1</v>
      </c>
      <c r="AS171" s="29">
        <f t="shared" si="122"/>
        <v>1</v>
      </c>
      <c r="AT171" s="65"/>
      <c r="AU171" s="29" t="str">
        <f t="shared" si="142"/>
        <v/>
      </c>
      <c r="AV171" s="29">
        <f t="shared" si="131"/>
        <v>1</v>
      </c>
      <c r="AW171" s="29">
        <f t="shared" si="132"/>
        <v>1</v>
      </c>
      <c r="AY171" s="29"/>
      <c r="AZ171" s="29">
        <v>1</v>
      </c>
      <c r="BA171" s="29">
        <v>1</v>
      </c>
      <c r="BC171" s="29" t="str">
        <f t="shared" si="133"/>
        <v/>
      </c>
      <c r="BD171" s="29">
        <f t="shared" si="123"/>
        <v>1</v>
      </c>
      <c r="BE171" s="29">
        <f t="shared" si="124"/>
        <v>1</v>
      </c>
      <c r="BF171" s="65"/>
      <c r="BG171" s="29" t="str">
        <f t="shared" si="143"/>
        <v/>
      </c>
      <c r="BH171" s="29">
        <f t="shared" si="134"/>
        <v>1</v>
      </c>
      <c r="BI171" s="29">
        <f t="shared" si="135"/>
        <v>1</v>
      </c>
      <c r="BK171" s="29"/>
      <c r="BL171" s="29">
        <v>100</v>
      </c>
      <c r="BM171" s="29">
        <v>100</v>
      </c>
      <c r="BO171" s="29" t="str">
        <f t="shared" si="136"/>
        <v/>
      </c>
      <c r="BP171" s="29">
        <f t="shared" si="125"/>
        <v>100</v>
      </c>
      <c r="BQ171" s="29">
        <f t="shared" si="126"/>
        <v>100</v>
      </c>
      <c r="BR171" s="65"/>
      <c r="BS171" s="29" t="str">
        <f t="shared" si="144"/>
        <v/>
      </c>
      <c r="BT171" s="29">
        <f t="shared" si="137"/>
        <v>100</v>
      </c>
      <c r="BU171" s="29">
        <f t="shared" si="138"/>
        <v>100</v>
      </c>
      <c r="BW171" s="8" t="str">
        <f>IF(W171="","",VLOOKUP('Regular Symbol'!W171,'Regular Symbol'!$O$3:$T$13,6,0))</f>
        <v/>
      </c>
      <c r="BX171" s="8">
        <f>IF(X171="","",VLOOKUP('Regular Symbol'!X171,'Regular Symbol'!$O$3:$T$13,6,0))</f>
        <v>4</v>
      </c>
      <c r="BY171" s="8">
        <f>IF(Y171="","",VLOOKUP('Regular Symbol'!Y171,'Regular Symbol'!$O$3:$T$13,6,0))</f>
        <v>1</v>
      </c>
      <c r="CA171" s="8" t="str">
        <f t="shared" si="118"/>
        <v/>
      </c>
      <c r="CB171" s="8" t="str">
        <f t="shared" si="119"/>
        <v>A</v>
      </c>
      <c r="CC171" s="8" t="str">
        <f t="shared" si="120"/>
        <v>M1</v>
      </c>
    </row>
    <row r="172" spans="22:81" ht="16.8" customHeight="1">
      <c r="V172" s="27">
        <v>169</v>
      </c>
      <c r="W172" s="25"/>
      <c r="X172" s="25" t="s">
        <v>16</v>
      </c>
      <c r="Y172" s="25" t="s">
        <v>18</v>
      </c>
      <c r="AA172" s="29"/>
      <c r="AB172" s="29">
        <v>1</v>
      </c>
      <c r="AC172" s="29">
        <v>1</v>
      </c>
      <c r="AD172" s="65"/>
      <c r="AE172" s="29" t="str">
        <f t="shared" si="127"/>
        <v/>
      </c>
      <c r="AF172" s="29">
        <f t="shared" si="128"/>
        <v>1</v>
      </c>
      <c r="AG172" s="29">
        <f t="shared" si="129"/>
        <v>1</v>
      </c>
      <c r="AH172" s="65"/>
      <c r="AI172" s="29" t="str">
        <f t="shared" si="139"/>
        <v/>
      </c>
      <c r="AJ172" s="29">
        <f t="shared" si="140"/>
        <v>1</v>
      </c>
      <c r="AK172" s="29">
        <f t="shared" si="141"/>
        <v>1</v>
      </c>
      <c r="AM172" s="29"/>
      <c r="AN172" s="29">
        <v>1</v>
      </c>
      <c r="AO172" s="29">
        <v>1</v>
      </c>
      <c r="AQ172" s="29" t="str">
        <f t="shared" si="130"/>
        <v/>
      </c>
      <c r="AR172" s="29">
        <f t="shared" si="121"/>
        <v>1</v>
      </c>
      <c r="AS172" s="29">
        <f t="shared" si="122"/>
        <v>1</v>
      </c>
      <c r="AT172" s="65"/>
      <c r="AU172" s="29" t="str">
        <f t="shared" si="142"/>
        <v/>
      </c>
      <c r="AV172" s="29">
        <f t="shared" si="131"/>
        <v>1</v>
      </c>
      <c r="AW172" s="29">
        <f t="shared" si="132"/>
        <v>1</v>
      </c>
      <c r="AY172" s="29"/>
      <c r="AZ172" s="29">
        <v>1</v>
      </c>
      <c r="BA172" s="29">
        <v>1</v>
      </c>
      <c r="BC172" s="29" t="str">
        <f t="shared" si="133"/>
        <v/>
      </c>
      <c r="BD172" s="29">
        <f t="shared" si="123"/>
        <v>1</v>
      </c>
      <c r="BE172" s="29">
        <f t="shared" si="124"/>
        <v>1</v>
      </c>
      <c r="BF172" s="65"/>
      <c r="BG172" s="29" t="str">
        <f t="shared" si="143"/>
        <v/>
      </c>
      <c r="BH172" s="29">
        <f t="shared" si="134"/>
        <v>1</v>
      </c>
      <c r="BI172" s="29">
        <f t="shared" si="135"/>
        <v>1</v>
      </c>
      <c r="BK172" s="29"/>
      <c r="BL172" s="29">
        <v>100</v>
      </c>
      <c r="BM172" s="29">
        <v>100</v>
      </c>
      <c r="BO172" s="29" t="str">
        <f t="shared" si="136"/>
        <v/>
      </c>
      <c r="BP172" s="29">
        <f t="shared" si="125"/>
        <v>100</v>
      </c>
      <c r="BQ172" s="29">
        <f t="shared" si="126"/>
        <v>100</v>
      </c>
      <c r="BR172" s="65"/>
      <c r="BS172" s="29" t="str">
        <f t="shared" si="144"/>
        <v/>
      </c>
      <c r="BT172" s="29">
        <f t="shared" si="137"/>
        <v>100</v>
      </c>
      <c r="BU172" s="29">
        <f t="shared" si="138"/>
        <v>100</v>
      </c>
      <c r="BW172" s="8" t="str">
        <f>IF(W172="","",VLOOKUP('Regular Symbol'!W172,'Regular Symbol'!$O$3:$T$13,6,0))</f>
        <v/>
      </c>
      <c r="BX172" s="8">
        <f>IF(X172="","",VLOOKUP('Regular Symbol'!X172,'Regular Symbol'!$O$3:$T$13,6,0))</f>
        <v>1</v>
      </c>
      <c r="BY172" s="8">
        <f>IF(Y172="","",VLOOKUP('Regular Symbol'!Y172,'Regular Symbol'!$O$3:$T$13,6,0))</f>
        <v>3</v>
      </c>
      <c r="CA172" s="8" t="str">
        <f t="shared" si="118"/>
        <v/>
      </c>
      <c r="CB172" s="8" t="str">
        <f t="shared" si="119"/>
        <v>M1</v>
      </c>
      <c r="CC172" s="8" t="str">
        <f t="shared" si="120"/>
        <v>M3</v>
      </c>
    </row>
    <row r="173" spans="22:81" ht="16.8" customHeight="1">
      <c r="V173" s="27">
        <v>170</v>
      </c>
      <c r="W173" s="25"/>
      <c r="X173" s="25" t="s">
        <v>16</v>
      </c>
      <c r="Y173" s="25" t="s">
        <v>18</v>
      </c>
      <c r="AA173" s="29"/>
      <c r="AB173" s="29">
        <v>1</v>
      </c>
      <c r="AC173" s="29">
        <v>1</v>
      </c>
      <c r="AD173" s="65"/>
      <c r="AE173" s="29" t="str">
        <f t="shared" si="127"/>
        <v/>
      </c>
      <c r="AF173" s="29">
        <f t="shared" si="128"/>
        <v>1</v>
      </c>
      <c r="AG173" s="29">
        <f t="shared" si="129"/>
        <v>1</v>
      </c>
      <c r="AH173" s="65"/>
      <c r="AI173" s="29" t="str">
        <f t="shared" si="139"/>
        <v/>
      </c>
      <c r="AJ173" s="29">
        <f t="shared" si="140"/>
        <v>1</v>
      </c>
      <c r="AK173" s="29">
        <f t="shared" si="141"/>
        <v>1</v>
      </c>
      <c r="AM173" s="29"/>
      <c r="AN173" s="29">
        <v>1</v>
      </c>
      <c r="AO173" s="29">
        <v>1</v>
      </c>
      <c r="AQ173" s="29" t="str">
        <f t="shared" si="130"/>
        <v/>
      </c>
      <c r="AR173" s="29">
        <f t="shared" si="121"/>
        <v>1</v>
      </c>
      <c r="AS173" s="29">
        <f t="shared" si="122"/>
        <v>1</v>
      </c>
      <c r="AT173" s="65"/>
      <c r="AU173" s="29" t="str">
        <f t="shared" si="142"/>
        <v/>
      </c>
      <c r="AV173" s="29">
        <f t="shared" si="131"/>
        <v>1</v>
      </c>
      <c r="AW173" s="29">
        <f t="shared" si="132"/>
        <v>1</v>
      </c>
      <c r="AY173" s="29"/>
      <c r="AZ173" s="29">
        <v>1</v>
      </c>
      <c r="BA173" s="29">
        <v>1</v>
      </c>
      <c r="BC173" s="29" t="str">
        <f t="shared" si="133"/>
        <v/>
      </c>
      <c r="BD173" s="29">
        <f t="shared" si="123"/>
        <v>1</v>
      </c>
      <c r="BE173" s="29">
        <f t="shared" si="124"/>
        <v>1</v>
      </c>
      <c r="BF173" s="65"/>
      <c r="BG173" s="29" t="str">
        <f t="shared" si="143"/>
        <v/>
      </c>
      <c r="BH173" s="29">
        <f t="shared" si="134"/>
        <v>1</v>
      </c>
      <c r="BI173" s="29">
        <f t="shared" si="135"/>
        <v>1</v>
      </c>
      <c r="BK173" s="29"/>
      <c r="BL173" s="29">
        <v>100</v>
      </c>
      <c r="BM173" s="29">
        <v>100</v>
      </c>
      <c r="BO173" s="29" t="str">
        <f t="shared" si="136"/>
        <v/>
      </c>
      <c r="BP173" s="29">
        <f t="shared" si="125"/>
        <v>100</v>
      </c>
      <c r="BQ173" s="29">
        <f t="shared" si="126"/>
        <v>100</v>
      </c>
      <c r="BR173" s="65"/>
      <c r="BS173" s="29" t="str">
        <f t="shared" si="144"/>
        <v/>
      </c>
      <c r="BT173" s="29">
        <f t="shared" si="137"/>
        <v>100</v>
      </c>
      <c r="BU173" s="29">
        <f t="shared" si="138"/>
        <v>100</v>
      </c>
      <c r="BW173" s="8" t="str">
        <f>IF(W173="","",VLOOKUP('Regular Symbol'!W173,'Regular Symbol'!$O$3:$T$13,6,0))</f>
        <v/>
      </c>
      <c r="BX173" s="8">
        <f>IF(X173="","",VLOOKUP('Regular Symbol'!X173,'Regular Symbol'!$O$3:$T$13,6,0))</f>
        <v>1</v>
      </c>
      <c r="BY173" s="8">
        <f>IF(Y173="","",VLOOKUP('Regular Symbol'!Y173,'Regular Symbol'!$O$3:$T$13,6,0))</f>
        <v>3</v>
      </c>
      <c r="CA173" s="8" t="str">
        <f t="shared" si="118"/>
        <v/>
      </c>
      <c r="CB173" s="8" t="str">
        <f t="shared" si="119"/>
        <v>M1</v>
      </c>
      <c r="CC173" s="8" t="str">
        <f t="shared" si="120"/>
        <v>M3</v>
      </c>
    </row>
    <row r="174" spans="22:81" ht="16.8" customHeight="1">
      <c r="V174" s="27">
        <v>171</v>
      </c>
      <c r="W174" s="25"/>
      <c r="X174" s="25" t="s">
        <v>81</v>
      </c>
      <c r="Y174" s="25" t="s">
        <v>18</v>
      </c>
      <c r="AA174" s="29"/>
      <c r="AB174" s="29">
        <v>1</v>
      </c>
      <c r="AC174" s="29">
        <v>1</v>
      </c>
      <c r="AD174" s="65"/>
      <c r="AE174" s="29" t="str">
        <f t="shared" si="127"/>
        <v/>
      </c>
      <c r="AF174" s="29">
        <f t="shared" si="128"/>
        <v>1</v>
      </c>
      <c r="AG174" s="29">
        <f t="shared" si="129"/>
        <v>1</v>
      </c>
      <c r="AH174" s="65"/>
      <c r="AI174" s="29" t="str">
        <f t="shared" si="139"/>
        <v/>
      </c>
      <c r="AJ174" s="29">
        <f t="shared" si="140"/>
        <v>1</v>
      </c>
      <c r="AK174" s="29">
        <f t="shared" si="141"/>
        <v>1</v>
      </c>
      <c r="AM174" s="29"/>
      <c r="AN174" s="29">
        <v>1</v>
      </c>
      <c r="AO174" s="29">
        <v>1</v>
      </c>
      <c r="AQ174" s="29" t="str">
        <f t="shared" si="130"/>
        <v/>
      </c>
      <c r="AR174" s="29">
        <f t="shared" si="121"/>
        <v>1</v>
      </c>
      <c r="AS174" s="29">
        <f t="shared" si="122"/>
        <v>1</v>
      </c>
      <c r="AT174" s="65"/>
      <c r="AU174" s="29" t="str">
        <f t="shared" si="142"/>
        <v/>
      </c>
      <c r="AV174" s="29">
        <f t="shared" si="131"/>
        <v>1</v>
      </c>
      <c r="AW174" s="29">
        <f t="shared" si="132"/>
        <v>1</v>
      </c>
      <c r="AY174" s="29"/>
      <c r="AZ174" s="29">
        <v>1</v>
      </c>
      <c r="BA174" s="29">
        <v>1</v>
      </c>
      <c r="BC174" s="29" t="str">
        <f t="shared" si="133"/>
        <v/>
      </c>
      <c r="BD174" s="29">
        <f t="shared" si="123"/>
        <v>1</v>
      </c>
      <c r="BE174" s="29">
        <f t="shared" si="124"/>
        <v>1</v>
      </c>
      <c r="BF174" s="65"/>
      <c r="BG174" s="29" t="str">
        <f t="shared" si="143"/>
        <v/>
      </c>
      <c r="BH174" s="29">
        <f t="shared" si="134"/>
        <v>1</v>
      </c>
      <c r="BI174" s="29">
        <f t="shared" si="135"/>
        <v>1</v>
      </c>
      <c r="BK174" s="29"/>
      <c r="BL174" s="29">
        <v>100</v>
      </c>
      <c r="BM174" s="29">
        <v>100</v>
      </c>
      <c r="BO174" s="29" t="str">
        <f t="shared" si="136"/>
        <v/>
      </c>
      <c r="BP174" s="29">
        <f t="shared" si="125"/>
        <v>100</v>
      </c>
      <c r="BQ174" s="29">
        <f t="shared" si="126"/>
        <v>100</v>
      </c>
      <c r="BR174" s="65"/>
      <c r="BS174" s="29" t="str">
        <f t="shared" si="144"/>
        <v/>
      </c>
      <c r="BT174" s="29">
        <f t="shared" si="137"/>
        <v>100</v>
      </c>
      <c r="BU174" s="29">
        <f t="shared" si="138"/>
        <v>100</v>
      </c>
      <c r="BW174" s="8" t="str">
        <f>IF(W174="","",VLOOKUP('Regular Symbol'!W174,'Regular Symbol'!$O$3:$T$13,6,0))</f>
        <v/>
      </c>
      <c r="BX174" s="8">
        <f>IF(X174="","",VLOOKUP('Regular Symbol'!X174,'Regular Symbol'!$O$3:$T$13,6,0))</f>
        <v>4</v>
      </c>
      <c r="BY174" s="8">
        <f>IF(Y174="","",VLOOKUP('Regular Symbol'!Y174,'Regular Symbol'!$O$3:$T$13,6,0))</f>
        <v>3</v>
      </c>
      <c r="CA174" s="8" t="str">
        <f t="shared" si="118"/>
        <v/>
      </c>
      <c r="CB174" s="8" t="str">
        <f t="shared" si="119"/>
        <v>A</v>
      </c>
      <c r="CC174" s="8" t="str">
        <f t="shared" si="120"/>
        <v>M3</v>
      </c>
    </row>
    <row r="175" spans="22:81" ht="16.8" customHeight="1">
      <c r="V175" s="27">
        <v>172</v>
      </c>
      <c r="W175" s="25"/>
      <c r="X175" s="25" t="s">
        <v>81</v>
      </c>
      <c r="Y175" s="25" t="s">
        <v>82</v>
      </c>
      <c r="AA175" s="29"/>
      <c r="AB175" s="29">
        <v>1</v>
      </c>
      <c r="AC175" s="29">
        <v>1</v>
      </c>
      <c r="AD175" s="65"/>
      <c r="AE175" s="29" t="str">
        <f t="shared" si="127"/>
        <v/>
      </c>
      <c r="AF175" s="29">
        <f t="shared" si="128"/>
        <v>1</v>
      </c>
      <c r="AG175" s="29">
        <f t="shared" si="129"/>
        <v>1</v>
      </c>
      <c r="AH175" s="65"/>
      <c r="AI175" s="29" t="str">
        <f t="shared" si="139"/>
        <v/>
      </c>
      <c r="AJ175" s="29">
        <f t="shared" si="140"/>
        <v>1</v>
      </c>
      <c r="AK175" s="29">
        <f t="shared" si="141"/>
        <v>1</v>
      </c>
      <c r="AM175" s="29"/>
      <c r="AN175" s="29">
        <v>1</v>
      </c>
      <c r="AO175" s="29">
        <v>1</v>
      </c>
      <c r="AQ175" s="29" t="str">
        <f t="shared" si="130"/>
        <v/>
      </c>
      <c r="AR175" s="29">
        <f t="shared" si="121"/>
        <v>1</v>
      </c>
      <c r="AS175" s="29">
        <f t="shared" si="122"/>
        <v>1</v>
      </c>
      <c r="AT175" s="65"/>
      <c r="AU175" s="29" t="str">
        <f t="shared" si="142"/>
        <v/>
      </c>
      <c r="AV175" s="29">
        <f t="shared" si="131"/>
        <v>1</v>
      </c>
      <c r="AW175" s="29">
        <f t="shared" si="132"/>
        <v>1</v>
      </c>
      <c r="AY175" s="29"/>
      <c r="AZ175" s="29">
        <v>1</v>
      </c>
      <c r="BA175" s="29">
        <v>1</v>
      </c>
      <c r="BC175" s="29" t="str">
        <f t="shared" si="133"/>
        <v/>
      </c>
      <c r="BD175" s="29">
        <f t="shared" si="123"/>
        <v>1</v>
      </c>
      <c r="BE175" s="29">
        <f t="shared" si="124"/>
        <v>1</v>
      </c>
      <c r="BF175" s="65"/>
      <c r="BG175" s="29" t="str">
        <f t="shared" si="143"/>
        <v/>
      </c>
      <c r="BH175" s="29">
        <f t="shared" si="134"/>
        <v>1</v>
      </c>
      <c r="BI175" s="29">
        <f t="shared" si="135"/>
        <v>1</v>
      </c>
      <c r="BK175" s="29"/>
      <c r="BL175" s="29">
        <v>100</v>
      </c>
      <c r="BM175" s="29">
        <v>100</v>
      </c>
      <c r="BO175" s="29" t="str">
        <f t="shared" si="136"/>
        <v/>
      </c>
      <c r="BP175" s="29">
        <f t="shared" si="125"/>
        <v>100</v>
      </c>
      <c r="BQ175" s="29">
        <f t="shared" si="126"/>
        <v>100</v>
      </c>
      <c r="BR175" s="65"/>
      <c r="BS175" s="29" t="str">
        <f t="shared" si="144"/>
        <v/>
      </c>
      <c r="BT175" s="29">
        <f t="shared" si="137"/>
        <v>100</v>
      </c>
      <c r="BU175" s="29">
        <f t="shared" si="138"/>
        <v>100</v>
      </c>
      <c r="BW175" s="8" t="str">
        <f>IF(W175="","",VLOOKUP('Regular Symbol'!W175,'Regular Symbol'!$O$3:$T$13,6,0))</f>
        <v/>
      </c>
      <c r="BX175" s="8">
        <f>IF(X175="","",VLOOKUP('Regular Symbol'!X175,'Regular Symbol'!$O$3:$T$13,6,0))</f>
        <v>4</v>
      </c>
      <c r="BY175" s="8">
        <f>IF(Y175="","",VLOOKUP('Regular Symbol'!Y175,'Regular Symbol'!$O$3:$T$13,6,0))</f>
        <v>5</v>
      </c>
      <c r="CA175" s="8" t="str">
        <f t="shared" si="118"/>
        <v/>
      </c>
      <c r="CB175" s="8" t="str">
        <f t="shared" si="119"/>
        <v>A</v>
      </c>
      <c r="CC175" s="8" t="str">
        <f t="shared" si="120"/>
        <v>K</v>
      </c>
    </row>
    <row r="176" spans="22:81" ht="16.8" customHeight="1">
      <c r="V176" s="27">
        <v>173</v>
      </c>
      <c r="W176" s="25"/>
      <c r="X176" s="25" t="s">
        <v>83</v>
      </c>
      <c r="Y176" s="25" t="s">
        <v>82</v>
      </c>
      <c r="AA176" s="29"/>
      <c r="AB176" s="29">
        <v>1</v>
      </c>
      <c r="AC176" s="29">
        <v>1</v>
      </c>
      <c r="AD176" s="65"/>
      <c r="AE176" s="29" t="str">
        <f t="shared" si="127"/>
        <v/>
      </c>
      <c r="AF176" s="29">
        <f t="shared" si="128"/>
        <v>1</v>
      </c>
      <c r="AG176" s="29">
        <f t="shared" si="129"/>
        <v>1</v>
      </c>
      <c r="AH176" s="65"/>
      <c r="AI176" s="29" t="str">
        <f t="shared" si="139"/>
        <v/>
      </c>
      <c r="AJ176" s="29">
        <f t="shared" si="140"/>
        <v>1</v>
      </c>
      <c r="AK176" s="29">
        <f t="shared" si="141"/>
        <v>1</v>
      </c>
      <c r="AM176" s="29"/>
      <c r="AN176" s="29">
        <v>1</v>
      </c>
      <c r="AO176" s="29">
        <v>1</v>
      </c>
      <c r="AQ176" s="29" t="str">
        <f t="shared" si="130"/>
        <v/>
      </c>
      <c r="AR176" s="29">
        <f t="shared" si="121"/>
        <v>1</v>
      </c>
      <c r="AS176" s="29">
        <f t="shared" si="122"/>
        <v>1</v>
      </c>
      <c r="AT176" s="65"/>
      <c r="AU176" s="29" t="str">
        <f t="shared" si="142"/>
        <v/>
      </c>
      <c r="AV176" s="29">
        <f t="shared" si="131"/>
        <v>1</v>
      </c>
      <c r="AW176" s="29">
        <f t="shared" si="132"/>
        <v>1</v>
      </c>
      <c r="AY176" s="29"/>
      <c r="AZ176" s="29">
        <v>1</v>
      </c>
      <c r="BA176" s="29">
        <v>1</v>
      </c>
      <c r="BC176" s="29" t="str">
        <f t="shared" si="133"/>
        <v/>
      </c>
      <c r="BD176" s="29">
        <f t="shared" si="123"/>
        <v>1</v>
      </c>
      <c r="BE176" s="29">
        <f t="shared" si="124"/>
        <v>1</v>
      </c>
      <c r="BF176" s="65"/>
      <c r="BG176" s="29" t="str">
        <f t="shared" si="143"/>
        <v/>
      </c>
      <c r="BH176" s="29">
        <f t="shared" si="134"/>
        <v>1</v>
      </c>
      <c r="BI176" s="29">
        <f t="shared" si="135"/>
        <v>1</v>
      </c>
      <c r="BK176" s="29"/>
      <c r="BL176" s="29">
        <v>100</v>
      </c>
      <c r="BM176" s="29">
        <v>100</v>
      </c>
      <c r="BO176" s="29" t="str">
        <f t="shared" si="136"/>
        <v/>
      </c>
      <c r="BP176" s="29">
        <f t="shared" si="125"/>
        <v>100</v>
      </c>
      <c r="BQ176" s="29">
        <f t="shared" si="126"/>
        <v>100</v>
      </c>
      <c r="BR176" s="65"/>
      <c r="BS176" s="29" t="str">
        <f t="shared" si="144"/>
        <v/>
      </c>
      <c r="BT176" s="29">
        <f t="shared" si="137"/>
        <v>100</v>
      </c>
      <c r="BU176" s="29">
        <f t="shared" si="138"/>
        <v>100</v>
      </c>
      <c r="BW176" s="8" t="str">
        <f>IF(W176="","",VLOOKUP('Regular Symbol'!W176,'Regular Symbol'!$O$3:$T$13,6,0))</f>
        <v/>
      </c>
      <c r="BX176" s="8">
        <f>IF(X176="","",VLOOKUP('Regular Symbol'!X176,'Regular Symbol'!$O$3:$T$13,6,0))</f>
        <v>6</v>
      </c>
      <c r="BY176" s="8">
        <f>IF(Y176="","",VLOOKUP('Regular Symbol'!Y176,'Regular Symbol'!$O$3:$T$13,6,0))</f>
        <v>5</v>
      </c>
      <c r="CA176" s="8" t="str">
        <f t="shared" si="118"/>
        <v/>
      </c>
      <c r="CB176" s="8" t="str">
        <f t="shared" si="119"/>
        <v>Q</v>
      </c>
      <c r="CC176" s="8" t="str">
        <f t="shared" si="120"/>
        <v>K</v>
      </c>
    </row>
    <row r="177" spans="22:81" ht="16.8" customHeight="1">
      <c r="V177" s="27">
        <v>174</v>
      </c>
      <c r="W177" s="25"/>
      <c r="X177" s="25" t="s">
        <v>83</v>
      </c>
      <c r="Y177" s="25" t="s">
        <v>82</v>
      </c>
      <c r="AA177" s="29"/>
      <c r="AB177" s="29">
        <v>1</v>
      </c>
      <c r="AC177" s="29">
        <v>1</v>
      </c>
      <c r="AD177" s="65"/>
      <c r="AE177" s="29" t="str">
        <f t="shared" si="127"/>
        <v/>
      </c>
      <c r="AF177" s="29">
        <f t="shared" si="128"/>
        <v>1</v>
      </c>
      <c r="AG177" s="29">
        <f t="shared" si="129"/>
        <v>1</v>
      </c>
      <c r="AH177" s="65"/>
      <c r="AI177" s="29" t="str">
        <f t="shared" si="139"/>
        <v/>
      </c>
      <c r="AJ177" s="29">
        <f t="shared" si="140"/>
        <v>1</v>
      </c>
      <c r="AK177" s="29">
        <f t="shared" si="141"/>
        <v>1</v>
      </c>
      <c r="AM177" s="29"/>
      <c r="AN177" s="29">
        <v>1</v>
      </c>
      <c r="AO177" s="29">
        <v>1</v>
      </c>
      <c r="AQ177" s="29" t="str">
        <f t="shared" si="130"/>
        <v/>
      </c>
      <c r="AR177" s="29">
        <f t="shared" si="121"/>
        <v>1</v>
      </c>
      <c r="AS177" s="29">
        <f t="shared" si="122"/>
        <v>1</v>
      </c>
      <c r="AT177" s="65"/>
      <c r="AU177" s="29" t="str">
        <f t="shared" si="142"/>
        <v/>
      </c>
      <c r="AV177" s="29">
        <f t="shared" si="131"/>
        <v>1</v>
      </c>
      <c r="AW177" s="29">
        <f t="shared" si="132"/>
        <v>1</v>
      </c>
      <c r="AY177" s="29"/>
      <c r="AZ177" s="29">
        <v>1</v>
      </c>
      <c r="BA177" s="29">
        <v>1</v>
      </c>
      <c r="BC177" s="29" t="str">
        <f t="shared" si="133"/>
        <v/>
      </c>
      <c r="BD177" s="29">
        <f t="shared" si="123"/>
        <v>1</v>
      </c>
      <c r="BE177" s="29">
        <f t="shared" si="124"/>
        <v>1</v>
      </c>
      <c r="BF177" s="65"/>
      <c r="BG177" s="29" t="str">
        <f t="shared" si="143"/>
        <v/>
      </c>
      <c r="BH177" s="29">
        <f t="shared" si="134"/>
        <v>1</v>
      </c>
      <c r="BI177" s="29">
        <f t="shared" si="135"/>
        <v>1</v>
      </c>
      <c r="BK177" s="29"/>
      <c r="BL177" s="29">
        <v>100</v>
      </c>
      <c r="BM177" s="29">
        <v>100</v>
      </c>
      <c r="BO177" s="29" t="str">
        <f t="shared" si="136"/>
        <v/>
      </c>
      <c r="BP177" s="29">
        <f t="shared" si="125"/>
        <v>100</v>
      </c>
      <c r="BQ177" s="29">
        <f t="shared" si="126"/>
        <v>100</v>
      </c>
      <c r="BR177" s="65"/>
      <c r="BS177" s="29" t="str">
        <f t="shared" si="144"/>
        <v/>
      </c>
      <c r="BT177" s="29">
        <f t="shared" si="137"/>
        <v>100</v>
      </c>
      <c r="BU177" s="29">
        <f t="shared" si="138"/>
        <v>100</v>
      </c>
      <c r="BW177" s="8" t="str">
        <f>IF(W177="","",VLOOKUP('Regular Symbol'!W177,'Regular Symbol'!$O$3:$T$13,6,0))</f>
        <v/>
      </c>
      <c r="BX177" s="8">
        <f>IF(X177="","",VLOOKUP('Regular Symbol'!X177,'Regular Symbol'!$O$3:$T$13,6,0))</f>
        <v>6</v>
      </c>
      <c r="BY177" s="8">
        <f>IF(Y177="","",VLOOKUP('Regular Symbol'!Y177,'Regular Symbol'!$O$3:$T$13,6,0))</f>
        <v>5</v>
      </c>
      <c r="CA177" s="8" t="str">
        <f t="shared" si="118"/>
        <v/>
      </c>
      <c r="CB177" s="8" t="str">
        <f t="shared" si="119"/>
        <v>Q</v>
      </c>
      <c r="CC177" s="8" t="str">
        <f t="shared" si="120"/>
        <v>K</v>
      </c>
    </row>
    <row r="178" spans="22:81" ht="16.8" customHeight="1">
      <c r="V178" s="27">
        <v>175</v>
      </c>
      <c r="W178" s="25"/>
      <c r="X178" s="25" t="s">
        <v>83</v>
      </c>
      <c r="Y178" s="25" t="s">
        <v>81</v>
      </c>
      <c r="AA178" s="29"/>
      <c r="AB178" s="29">
        <v>1</v>
      </c>
      <c r="AC178" s="29">
        <v>1</v>
      </c>
      <c r="AD178" s="65"/>
      <c r="AE178" s="29" t="str">
        <f t="shared" si="127"/>
        <v/>
      </c>
      <c r="AF178" s="29">
        <f t="shared" si="128"/>
        <v>1</v>
      </c>
      <c r="AG178" s="29">
        <f t="shared" si="129"/>
        <v>1</v>
      </c>
      <c r="AH178" s="65"/>
      <c r="AI178" s="29" t="str">
        <f t="shared" si="139"/>
        <v/>
      </c>
      <c r="AJ178" s="29">
        <f t="shared" si="140"/>
        <v>1</v>
      </c>
      <c r="AK178" s="29">
        <f t="shared" si="141"/>
        <v>1</v>
      </c>
      <c r="AM178" s="29"/>
      <c r="AN178" s="29">
        <v>1</v>
      </c>
      <c r="AO178" s="29">
        <v>1</v>
      </c>
      <c r="AQ178" s="29" t="str">
        <f t="shared" si="130"/>
        <v/>
      </c>
      <c r="AR178" s="29">
        <f t="shared" si="121"/>
        <v>1</v>
      </c>
      <c r="AS178" s="29">
        <f t="shared" si="122"/>
        <v>1</v>
      </c>
      <c r="AT178" s="65"/>
      <c r="AU178" s="29" t="str">
        <f t="shared" si="142"/>
        <v/>
      </c>
      <c r="AV178" s="29">
        <f t="shared" si="131"/>
        <v>1</v>
      </c>
      <c r="AW178" s="29">
        <f t="shared" si="132"/>
        <v>1</v>
      </c>
      <c r="AY178" s="29"/>
      <c r="AZ178" s="29">
        <v>1</v>
      </c>
      <c r="BA178" s="29">
        <v>1</v>
      </c>
      <c r="BC178" s="29" t="str">
        <f t="shared" si="133"/>
        <v/>
      </c>
      <c r="BD178" s="29">
        <f t="shared" si="123"/>
        <v>1</v>
      </c>
      <c r="BE178" s="29">
        <f t="shared" si="124"/>
        <v>1</v>
      </c>
      <c r="BF178" s="65"/>
      <c r="BG178" s="29" t="str">
        <f t="shared" si="143"/>
        <v/>
      </c>
      <c r="BH178" s="29">
        <f t="shared" si="134"/>
        <v>1</v>
      </c>
      <c r="BI178" s="29">
        <f t="shared" si="135"/>
        <v>1</v>
      </c>
      <c r="BK178" s="29"/>
      <c r="BL178" s="29">
        <v>100</v>
      </c>
      <c r="BM178" s="29">
        <v>100</v>
      </c>
      <c r="BO178" s="29" t="str">
        <f t="shared" si="136"/>
        <v/>
      </c>
      <c r="BP178" s="29">
        <f t="shared" si="125"/>
        <v>100</v>
      </c>
      <c r="BQ178" s="29">
        <f t="shared" si="126"/>
        <v>100</v>
      </c>
      <c r="BR178" s="65"/>
      <c r="BS178" s="29" t="str">
        <f t="shared" si="144"/>
        <v/>
      </c>
      <c r="BT178" s="29">
        <f t="shared" si="137"/>
        <v>100</v>
      </c>
      <c r="BU178" s="29">
        <f t="shared" si="138"/>
        <v>100</v>
      </c>
      <c r="BW178" s="8" t="str">
        <f>IF(W178="","",VLOOKUP('Regular Symbol'!W178,'Regular Symbol'!$O$3:$T$13,6,0))</f>
        <v/>
      </c>
      <c r="BX178" s="8">
        <f>IF(X178="","",VLOOKUP('Regular Symbol'!X178,'Regular Symbol'!$O$3:$T$13,6,0))</f>
        <v>6</v>
      </c>
      <c r="BY178" s="8">
        <f>IF(Y178="","",VLOOKUP('Regular Symbol'!Y178,'Regular Symbol'!$O$3:$T$13,6,0))</f>
        <v>4</v>
      </c>
      <c r="CA178" s="8" t="str">
        <f t="shared" si="118"/>
        <v/>
      </c>
      <c r="CB178" s="8" t="str">
        <f t="shared" si="119"/>
        <v>Q</v>
      </c>
      <c r="CC178" s="8" t="str">
        <f t="shared" si="120"/>
        <v>A</v>
      </c>
    </row>
    <row r="179" spans="22:81" ht="16.8" customHeight="1">
      <c r="V179" s="27">
        <v>176</v>
      </c>
      <c r="W179" s="25"/>
      <c r="X179" s="25" t="s">
        <v>16</v>
      </c>
      <c r="Y179" s="25" t="s">
        <v>81</v>
      </c>
      <c r="AA179" s="29"/>
      <c r="AB179" s="29">
        <v>1</v>
      </c>
      <c r="AC179" s="29">
        <v>1</v>
      </c>
      <c r="AD179" s="65"/>
      <c r="AE179" s="29" t="str">
        <f t="shared" si="127"/>
        <v/>
      </c>
      <c r="AF179" s="29">
        <f t="shared" si="128"/>
        <v>1</v>
      </c>
      <c r="AG179" s="29">
        <f t="shared" si="129"/>
        <v>1</v>
      </c>
      <c r="AH179" s="65"/>
      <c r="AI179" s="29" t="str">
        <f t="shared" si="139"/>
        <v/>
      </c>
      <c r="AJ179" s="29">
        <f t="shared" si="140"/>
        <v>1</v>
      </c>
      <c r="AK179" s="29">
        <f t="shared" si="141"/>
        <v>1</v>
      </c>
      <c r="AM179" s="29"/>
      <c r="AN179" s="29">
        <v>1</v>
      </c>
      <c r="AO179" s="29">
        <v>1</v>
      </c>
      <c r="AQ179" s="29" t="str">
        <f t="shared" si="130"/>
        <v/>
      </c>
      <c r="AR179" s="29">
        <f t="shared" si="121"/>
        <v>1</v>
      </c>
      <c r="AS179" s="29">
        <f t="shared" si="122"/>
        <v>1</v>
      </c>
      <c r="AT179" s="65"/>
      <c r="AU179" s="29" t="str">
        <f t="shared" si="142"/>
        <v/>
      </c>
      <c r="AV179" s="29">
        <f t="shared" si="131"/>
        <v>1</v>
      </c>
      <c r="AW179" s="29">
        <f t="shared" si="132"/>
        <v>1</v>
      </c>
      <c r="AY179" s="29"/>
      <c r="AZ179" s="29">
        <v>1</v>
      </c>
      <c r="BA179" s="29">
        <v>1</v>
      </c>
      <c r="BC179" s="29" t="str">
        <f t="shared" si="133"/>
        <v/>
      </c>
      <c r="BD179" s="29">
        <f t="shared" si="123"/>
        <v>1</v>
      </c>
      <c r="BE179" s="29">
        <f t="shared" si="124"/>
        <v>1</v>
      </c>
      <c r="BF179" s="65"/>
      <c r="BG179" s="29" t="str">
        <f t="shared" si="143"/>
        <v/>
      </c>
      <c r="BH179" s="29">
        <f t="shared" si="134"/>
        <v>1</v>
      </c>
      <c r="BI179" s="29">
        <f t="shared" si="135"/>
        <v>1</v>
      </c>
      <c r="BK179" s="29"/>
      <c r="BL179" s="29">
        <v>100</v>
      </c>
      <c r="BM179" s="29">
        <v>100</v>
      </c>
      <c r="BO179" s="29" t="str">
        <f t="shared" si="136"/>
        <v/>
      </c>
      <c r="BP179" s="29">
        <f t="shared" si="125"/>
        <v>100</v>
      </c>
      <c r="BQ179" s="29">
        <f t="shared" si="126"/>
        <v>100</v>
      </c>
      <c r="BR179" s="65"/>
      <c r="BS179" s="29" t="str">
        <f t="shared" si="144"/>
        <v/>
      </c>
      <c r="BT179" s="29">
        <f t="shared" si="137"/>
        <v>100</v>
      </c>
      <c r="BU179" s="29">
        <f t="shared" si="138"/>
        <v>100</v>
      </c>
      <c r="BW179" s="8" t="str">
        <f>IF(W179="","",VLOOKUP('Regular Symbol'!W179,'Regular Symbol'!$O$3:$T$13,6,0))</f>
        <v/>
      </c>
      <c r="BX179" s="8">
        <f>IF(X179="","",VLOOKUP('Regular Symbol'!X179,'Regular Symbol'!$O$3:$T$13,6,0))</f>
        <v>1</v>
      </c>
      <c r="BY179" s="8">
        <f>IF(Y179="","",VLOOKUP('Regular Symbol'!Y179,'Regular Symbol'!$O$3:$T$13,6,0))</f>
        <v>4</v>
      </c>
      <c r="CA179" s="8" t="str">
        <f t="shared" si="118"/>
        <v/>
      </c>
      <c r="CB179" s="8" t="str">
        <f t="shared" si="119"/>
        <v>M1</v>
      </c>
      <c r="CC179" s="8" t="str">
        <f t="shared" si="120"/>
        <v>A</v>
      </c>
    </row>
    <row r="180" spans="22:81" ht="16.8" customHeight="1">
      <c r="V180" s="27">
        <v>177</v>
      </c>
      <c r="W180" s="25"/>
      <c r="X180" s="25" t="s">
        <v>16</v>
      </c>
      <c r="Y180" s="25" t="s">
        <v>81</v>
      </c>
      <c r="AA180" s="29"/>
      <c r="AB180" s="29">
        <v>1</v>
      </c>
      <c r="AC180" s="29">
        <v>1</v>
      </c>
      <c r="AD180" s="65"/>
      <c r="AE180" s="29" t="str">
        <f t="shared" si="127"/>
        <v/>
      </c>
      <c r="AF180" s="29">
        <f t="shared" si="128"/>
        <v>1</v>
      </c>
      <c r="AG180" s="29">
        <f t="shared" si="129"/>
        <v>1</v>
      </c>
      <c r="AH180" s="65"/>
      <c r="AI180" s="29" t="str">
        <f t="shared" si="139"/>
        <v/>
      </c>
      <c r="AJ180" s="29">
        <f t="shared" si="140"/>
        <v>1</v>
      </c>
      <c r="AK180" s="29">
        <f t="shared" si="141"/>
        <v>1</v>
      </c>
      <c r="AM180" s="29"/>
      <c r="AN180" s="29">
        <v>1</v>
      </c>
      <c r="AO180" s="29">
        <v>1</v>
      </c>
      <c r="AQ180" s="29" t="str">
        <f t="shared" si="130"/>
        <v/>
      </c>
      <c r="AR180" s="29">
        <f t="shared" si="121"/>
        <v>1</v>
      </c>
      <c r="AS180" s="29">
        <f t="shared" si="122"/>
        <v>1</v>
      </c>
      <c r="AT180" s="65"/>
      <c r="AU180" s="29" t="str">
        <f t="shared" si="142"/>
        <v/>
      </c>
      <c r="AV180" s="29">
        <f t="shared" si="131"/>
        <v>1</v>
      </c>
      <c r="AW180" s="29">
        <f t="shared" si="132"/>
        <v>1</v>
      </c>
      <c r="AY180" s="29"/>
      <c r="AZ180" s="29">
        <v>1</v>
      </c>
      <c r="BA180" s="29">
        <v>1</v>
      </c>
      <c r="BC180" s="29" t="str">
        <f t="shared" si="133"/>
        <v/>
      </c>
      <c r="BD180" s="29">
        <f t="shared" si="123"/>
        <v>1</v>
      </c>
      <c r="BE180" s="29">
        <f t="shared" si="124"/>
        <v>1</v>
      </c>
      <c r="BF180" s="65"/>
      <c r="BG180" s="29" t="str">
        <f t="shared" si="143"/>
        <v/>
      </c>
      <c r="BH180" s="29">
        <f t="shared" si="134"/>
        <v>1</v>
      </c>
      <c r="BI180" s="29">
        <f t="shared" si="135"/>
        <v>1</v>
      </c>
      <c r="BK180" s="29"/>
      <c r="BL180" s="29">
        <v>100</v>
      </c>
      <c r="BM180" s="29">
        <v>100</v>
      </c>
      <c r="BO180" s="29" t="str">
        <f t="shared" si="136"/>
        <v/>
      </c>
      <c r="BP180" s="29">
        <f t="shared" si="125"/>
        <v>100</v>
      </c>
      <c r="BQ180" s="29">
        <f t="shared" si="126"/>
        <v>100</v>
      </c>
      <c r="BR180" s="65"/>
      <c r="BS180" s="29" t="str">
        <f t="shared" si="144"/>
        <v/>
      </c>
      <c r="BT180" s="29">
        <f t="shared" si="137"/>
        <v>100</v>
      </c>
      <c r="BU180" s="29">
        <f t="shared" si="138"/>
        <v>100</v>
      </c>
      <c r="BW180" s="8" t="str">
        <f>IF(W180="","",VLOOKUP('Regular Symbol'!W180,'Regular Symbol'!$O$3:$T$13,6,0))</f>
        <v/>
      </c>
      <c r="BX180" s="8">
        <f>IF(X180="","",VLOOKUP('Regular Symbol'!X180,'Regular Symbol'!$O$3:$T$13,6,0))</f>
        <v>1</v>
      </c>
      <c r="BY180" s="8">
        <f>IF(Y180="","",VLOOKUP('Regular Symbol'!Y180,'Regular Symbol'!$O$3:$T$13,6,0))</f>
        <v>4</v>
      </c>
      <c r="CA180" s="8" t="str">
        <f t="shared" si="118"/>
        <v/>
      </c>
      <c r="CB180" s="8" t="str">
        <f t="shared" si="119"/>
        <v>M1</v>
      </c>
      <c r="CC180" s="8" t="str">
        <f t="shared" si="120"/>
        <v>A</v>
      </c>
    </row>
    <row r="181" spans="22:81" ht="16.8" customHeight="1">
      <c r="V181" s="27">
        <v>178</v>
      </c>
      <c r="W181" s="25"/>
      <c r="X181" s="25" t="s">
        <v>81</v>
      </c>
      <c r="Y181" s="25" t="s">
        <v>83</v>
      </c>
      <c r="AA181" s="29"/>
      <c r="AB181" s="29">
        <v>1</v>
      </c>
      <c r="AC181" s="29">
        <v>1</v>
      </c>
      <c r="AD181" s="65"/>
      <c r="AE181" s="29" t="str">
        <f t="shared" si="127"/>
        <v/>
      </c>
      <c r="AF181" s="29">
        <f t="shared" si="128"/>
        <v>1</v>
      </c>
      <c r="AG181" s="29">
        <f t="shared" si="129"/>
        <v>1</v>
      </c>
      <c r="AH181" s="65"/>
      <c r="AI181" s="29" t="str">
        <f t="shared" si="139"/>
        <v/>
      </c>
      <c r="AJ181" s="29">
        <f t="shared" si="140"/>
        <v>1</v>
      </c>
      <c r="AK181" s="29">
        <f t="shared" si="141"/>
        <v>1</v>
      </c>
      <c r="AM181" s="29"/>
      <c r="AN181" s="29">
        <v>1</v>
      </c>
      <c r="AO181" s="29">
        <v>1</v>
      </c>
      <c r="AQ181" s="29" t="str">
        <f t="shared" si="130"/>
        <v/>
      </c>
      <c r="AR181" s="29">
        <f t="shared" si="121"/>
        <v>1</v>
      </c>
      <c r="AS181" s="29">
        <f t="shared" si="122"/>
        <v>1</v>
      </c>
      <c r="AT181" s="65"/>
      <c r="AU181" s="29" t="str">
        <f t="shared" si="142"/>
        <v/>
      </c>
      <c r="AV181" s="29">
        <f t="shared" si="131"/>
        <v>1</v>
      </c>
      <c r="AW181" s="29">
        <f t="shared" si="132"/>
        <v>1</v>
      </c>
      <c r="AY181" s="29"/>
      <c r="AZ181" s="29">
        <v>1</v>
      </c>
      <c r="BA181" s="29">
        <v>1</v>
      </c>
      <c r="BC181" s="29" t="str">
        <f t="shared" si="133"/>
        <v/>
      </c>
      <c r="BD181" s="29">
        <f t="shared" si="123"/>
        <v>1</v>
      </c>
      <c r="BE181" s="29">
        <f t="shared" si="124"/>
        <v>1</v>
      </c>
      <c r="BF181" s="65"/>
      <c r="BG181" s="29" t="str">
        <f t="shared" si="143"/>
        <v/>
      </c>
      <c r="BH181" s="29">
        <f t="shared" si="134"/>
        <v>1</v>
      </c>
      <c r="BI181" s="29">
        <f t="shared" si="135"/>
        <v>1</v>
      </c>
      <c r="BK181" s="29"/>
      <c r="BL181" s="29">
        <v>701</v>
      </c>
      <c r="BM181" s="29">
        <v>100</v>
      </c>
      <c r="BO181" s="29" t="str">
        <f t="shared" si="136"/>
        <v/>
      </c>
      <c r="BP181" s="29">
        <f t="shared" si="125"/>
        <v>100</v>
      </c>
      <c r="BQ181" s="29">
        <f t="shared" si="126"/>
        <v>100</v>
      </c>
      <c r="BR181" s="65"/>
      <c r="BS181" s="29" t="str">
        <f t="shared" si="144"/>
        <v/>
      </c>
      <c r="BT181" s="29">
        <f t="shared" si="137"/>
        <v>100</v>
      </c>
      <c r="BU181" s="29">
        <f t="shared" si="138"/>
        <v>100</v>
      </c>
      <c r="BW181" s="8" t="str">
        <f>IF(W181="","",VLOOKUP('Regular Symbol'!W181,'Regular Symbol'!$O$3:$T$13,6,0))</f>
        <v/>
      </c>
      <c r="BX181" s="8">
        <f>IF(X181="","",VLOOKUP('Regular Symbol'!X181,'Regular Symbol'!$O$3:$T$13,6,0))</f>
        <v>4</v>
      </c>
      <c r="BY181" s="8">
        <f>IF(Y181="","",VLOOKUP('Regular Symbol'!Y181,'Regular Symbol'!$O$3:$T$13,6,0))</f>
        <v>6</v>
      </c>
      <c r="CA181" s="8" t="str">
        <f t="shared" si="118"/>
        <v/>
      </c>
      <c r="CB181" s="8" t="str">
        <f t="shared" si="119"/>
        <v>A</v>
      </c>
      <c r="CC181" s="8" t="str">
        <f t="shared" si="120"/>
        <v>Q</v>
      </c>
    </row>
    <row r="182" spans="22:81" ht="16.8" customHeight="1">
      <c r="V182" s="27">
        <v>179</v>
      </c>
      <c r="W182" s="25"/>
      <c r="X182" s="25" t="s">
        <v>81</v>
      </c>
      <c r="Y182" s="25" t="s">
        <v>83</v>
      </c>
      <c r="AA182" s="29"/>
      <c r="AB182" s="29">
        <v>1</v>
      </c>
      <c r="AC182" s="29">
        <v>1</v>
      </c>
      <c r="AD182" s="65"/>
      <c r="AE182" s="29" t="str">
        <f t="shared" si="127"/>
        <v/>
      </c>
      <c r="AF182" s="29">
        <f t="shared" si="128"/>
        <v>1</v>
      </c>
      <c r="AG182" s="29">
        <f t="shared" si="129"/>
        <v>1</v>
      </c>
      <c r="AH182" s="65"/>
      <c r="AI182" s="29" t="str">
        <f t="shared" si="139"/>
        <v/>
      </c>
      <c r="AJ182" s="29">
        <f t="shared" si="140"/>
        <v>1</v>
      </c>
      <c r="AK182" s="29">
        <f t="shared" si="141"/>
        <v>1</v>
      </c>
      <c r="AM182" s="29"/>
      <c r="AN182" s="29">
        <v>1</v>
      </c>
      <c r="AO182" s="29">
        <v>1</v>
      </c>
      <c r="AQ182" s="29" t="str">
        <f t="shared" si="130"/>
        <v/>
      </c>
      <c r="AR182" s="29">
        <f t="shared" si="121"/>
        <v>1</v>
      </c>
      <c r="AS182" s="29">
        <f t="shared" si="122"/>
        <v>1</v>
      </c>
      <c r="AT182" s="65"/>
      <c r="AU182" s="29" t="str">
        <f t="shared" si="142"/>
        <v/>
      </c>
      <c r="AV182" s="29">
        <f t="shared" si="131"/>
        <v>1</v>
      </c>
      <c r="AW182" s="29">
        <f t="shared" si="132"/>
        <v>1</v>
      </c>
      <c r="AY182" s="29"/>
      <c r="AZ182" s="29">
        <v>1</v>
      </c>
      <c r="BA182" s="29">
        <v>1</v>
      </c>
      <c r="BC182" s="29" t="str">
        <f t="shared" si="133"/>
        <v/>
      </c>
      <c r="BD182" s="29">
        <f t="shared" si="123"/>
        <v>1</v>
      </c>
      <c r="BE182" s="29">
        <f t="shared" si="124"/>
        <v>1</v>
      </c>
      <c r="BF182" s="65"/>
      <c r="BG182" s="29" t="str">
        <f t="shared" si="143"/>
        <v/>
      </c>
      <c r="BH182" s="29">
        <f t="shared" si="134"/>
        <v>1</v>
      </c>
      <c r="BI182" s="29">
        <f t="shared" si="135"/>
        <v>1</v>
      </c>
      <c r="BK182" s="29"/>
      <c r="BL182" s="29">
        <v>584</v>
      </c>
      <c r="BM182" s="29">
        <v>100</v>
      </c>
      <c r="BO182" s="29" t="str">
        <f t="shared" si="136"/>
        <v/>
      </c>
      <c r="BP182" s="29">
        <f t="shared" si="125"/>
        <v>701</v>
      </c>
      <c r="BQ182" s="29">
        <f t="shared" si="126"/>
        <v>100</v>
      </c>
      <c r="BR182" s="65"/>
      <c r="BS182" s="29" t="str">
        <f t="shared" si="144"/>
        <v/>
      </c>
      <c r="BT182" s="29">
        <f t="shared" si="137"/>
        <v>100</v>
      </c>
      <c r="BU182" s="29">
        <f t="shared" si="138"/>
        <v>100</v>
      </c>
      <c r="BW182" s="8" t="str">
        <f>IF(W182="","",VLOOKUP('Regular Symbol'!W182,'Regular Symbol'!$O$3:$T$13,6,0))</f>
        <v/>
      </c>
      <c r="BX182" s="8">
        <f>IF(X182="","",VLOOKUP('Regular Symbol'!X182,'Regular Symbol'!$O$3:$T$13,6,0))</f>
        <v>4</v>
      </c>
      <c r="BY182" s="8">
        <f>IF(Y182="","",VLOOKUP('Regular Symbol'!Y182,'Regular Symbol'!$O$3:$T$13,6,0))</f>
        <v>6</v>
      </c>
      <c r="CA182" s="8" t="str">
        <f t="shared" si="118"/>
        <v/>
      </c>
      <c r="CB182" s="8" t="str">
        <f t="shared" si="119"/>
        <v>A</v>
      </c>
      <c r="CC182" s="8" t="str">
        <f t="shared" si="120"/>
        <v>Q</v>
      </c>
    </row>
    <row r="183" spans="22:81" ht="16.8" customHeight="1">
      <c r="V183" s="27">
        <v>180</v>
      </c>
      <c r="W183" s="25"/>
      <c r="X183" s="25" t="s">
        <v>25</v>
      </c>
      <c r="Y183" s="25" t="s">
        <v>83</v>
      </c>
      <c r="AA183" s="29"/>
      <c r="AB183" s="29">
        <v>1</v>
      </c>
      <c r="AC183" s="29">
        <v>1</v>
      </c>
      <c r="AD183" s="65"/>
      <c r="AE183" s="29" t="str">
        <f t="shared" si="127"/>
        <v/>
      </c>
      <c r="AF183" s="29">
        <f t="shared" si="128"/>
        <v>1</v>
      </c>
      <c r="AG183" s="29">
        <f t="shared" si="129"/>
        <v>1</v>
      </c>
      <c r="AH183" s="65"/>
      <c r="AI183" s="29" t="str">
        <f t="shared" si="139"/>
        <v/>
      </c>
      <c r="AJ183" s="29">
        <f t="shared" si="140"/>
        <v>1</v>
      </c>
      <c r="AK183" s="29">
        <f t="shared" si="141"/>
        <v>1</v>
      </c>
      <c r="AM183" s="29"/>
      <c r="AN183" s="29">
        <v>1</v>
      </c>
      <c r="AO183" s="29">
        <v>1</v>
      </c>
      <c r="AQ183" s="29" t="str">
        <f t="shared" si="130"/>
        <v/>
      </c>
      <c r="AR183" s="29">
        <f t="shared" si="121"/>
        <v>1</v>
      </c>
      <c r="AS183" s="29">
        <f t="shared" si="122"/>
        <v>1</v>
      </c>
      <c r="AT183" s="65"/>
      <c r="AU183" s="29" t="str">
        <f t="shared" si="142"/>
        <v/>
      </c>
      <c r="AV183" s="29">
        <f t="shared" si="131"/>
        <v>1</v>
      </c>
      <c r="AW183" s="29">
        <f t="shared" si="132"/>
        <v>1</v>
      </c>
      <c r="AY183" s="29"/>
      <c r="AZ183" s="29">
        <v>1</v>
      </c>
      <c r="BA183" s="29">
        <v>1</v>
      </c>
      <c r="BC183" s="29" t="str">
        <f t="shared" si="133"/>
        <v/>
      </c>
      <c r="BD183" s="29">
        <f t="shared" si="123"/>
        <v>1</v>
      </c>
      <c r="BE183" s="29">
        <f t="shared" si="124"/>
        <v>1</v>
      </c>
      <c r="BF183" s="65"/>
      <c r="BG183" s="29" t="str">
        <f t="shared" si="143"/>
        <v/>
      </c>
      <c r="BH183" s="29">
        <f t="shared" si="134"/>
        <v>1</v>
      </c>
      <c r="BI183" s="29">
        <f t="shared" si="135"/>
        <v>1</v>
      </c>
      <c r="BK183" s="29"/>
      <c r="BL183" s="29">
        <v>467</v>
      </c>
      <c r="BM183" s="29">
        <v>100</v>
      </c>
      <c r="BO183" s="29" t="str">
        <f t="shared" si="136"/>
        <v/>
      </c>
      <c r="BP183" s="29">
        <f t="shared" si="125"/>
        <v>584</v>
      </c>
      <c r="BQ183" s="29">
        <f t="shared" si="126"/>
        <v>100</v>
      </c>
      <c r="BR183" s="65"/>
      <c r="BS183" s="29" t="str">
        <f t="shared" si="144"/>
        <v/>
      </c>
      <c r="BT183" s="29">
        <f t="shared" si="137"/>
        <v>701</v>
      </c>
      <c r="BU183" s="29">
        <f t="shared" si="138"/>
        <v>100</v>
      </c>
      <c r="BW183" s="8" t="str">
        <f>IF(W183="","",VLOOKUP('Regular Symbol'!W183,'Regular Symbol'!$O$3:$T$13,6,0))</f>
        <v/>
      </c>
      <c r="BX183" s="8">
        <f>IF(X183="","",VLOOKUP('Regular Symbol'!X183,'Regular Symbol'!$O$3:$T$13,6,0))</f>
        <v>0</v>
      </c>
      <c r="BY183" s="8">
        <f>IF(Y183="","",VLOOKUP('Regular Symbol'!Y183,'Regular Symbol'!$O$3:$T$13,6,0))</f>
        <v>6</v>
      </c>
      <c r="CA183" s="8" t="str">
        <f t="shared" si="118"/>
        <v/>
      </c>
      <c r="CB183" s="8" t="str">
        <f t="shared" si="119"/>
        <v>Wild</v>
      </c>
      <c r="CC183" s="8" t="str">
        <f t="shared" si="120"/>
        <v>Q</v>
      </c>
    </row>
    <row r="184" spans="22:81" ht="16.8" customHeight="1">
      <c r="V184" s="27">
        <v>181</v>
      </c>
      <c r="W184" s="25"/>
      <c r="X184" s="25" t="s">
        <v>25</v>
      </c>
      <c r="Y184" s="25" t="s">
        <v>83</v>
      </c>
      <c r="AA184" s="29"/>
      <c r="AB184" s="29">
        <v>1</v>
      </c>
      <c r="AC184" s="29">
        <v>1</v>
      </c>
      <c r="AD184" s="65"/>
      <c r="AE184" s="29" t="str">
        <f t="shared" si="127"/>
        <v/>
      </c>
      <c r="AF184" s="29">
        <f t="shared" si="128"/>
        <v>1</v>
      </c>
      <c r="AG184" s="29">
        <f t="shared" si="129"/>
        <v>1</v>
      </c>
      <c r="AH184" s="65"/>
      <c r="AI184" s="29" t="str">
        <f t="shared" si="139"/>
        <v/>
      </c>
      <c r="AJ184" s="29">
        <f t="shared" si="140"/>
        <v>1</v>
      </c>
      <c r="AK184" s="29">
        <f t="shared" si="141"/>
        <v>1</v>
      </c>
      <c r="AM184" s="29"/>
      <c r="AN184" s="29">
        <v>1</v>
      </c>
      <c r="AO184" s="29">
        <v>1</v>
      </c>
      <c r="AQ184" s="29" t="str">
        <f t="shared" si="130"/>
        <v/>
      </c>
      <c r="AR184" s="29">
        <f t="shared" si="121"/>
        <v>1</v>
      </c>
      <c r="AS184" s="29">
        <f t="shared" si="122"/>
        <v>1</v>
      </c>
      <c r="AT184" s="65"/>
      <c r="AU184" s="29" t="str">
        <f t="shared" si="142"/>
        <v/>
      </c>
      <c r="AV184" s="29">
        <f t="shared" si="131"/>
        <v>1</v>
      </c>
      <c r="AW184" s="29">
        <f t="shared" si="132"/>
        <v>1</v>
      </c>
      <c r="AY184" s="29"/>
      <c r="AZ184" s="29">
        <v>1</v>
      </c>
      <c r="BA184" s="29">
        <v>1</v>
      </c>
      <c r="BC184" s="29" t="str">
        <f t="shared" si="133"/>
        <v/>
      </c>
      <c r="BD184" s="29">
        <f t="shared" si="123"/>
        <v>1</v>
      </c>
      <c r="BE184" s="29">
        <f t="shared" si="124"/>
        <v>1</v>
      </c>
      <c r="BF184" s="65"/>
      <c r="BG184" s="29" t="str">
        <f t="shared" si="143"/>
        <v/>
      </c>
      <c r="BH184" s="29">
        <f t="shared" si="134"/>
        <v>1</v>
      </c>
      <c r="BI184" s="29">
        <f t="shared" si="135"/>
        <v>1</v>
      </c>
      <c r="BK184" s="29"/>
      <c r="BL184" s="29">
        <v>584</v>
      </c>
      <c r="BM184" s="29">
        <v>100</v>
      </c>
      <c r="BO184" s="29" t="str">
        <f t="shared" si="136"/>
        <v/>
      </c>
      <c r="BP184" s="29">
        <f t="shared" si="125"/>
        <v>467</v>
      </c>
      <c r="BQ184" s="29">
        <f t="shared" si="126"/>
        <v>100</v>
      </c>
      <c r="BR184" s="65"/>
      <c r="BS184" s="29" t="str">
        <f t="shared" si="144"/>
        <v/>
      </c>
      <c r="BT184" s="29">
        <f t="shared" si="137"/>
        <v>584</v>
      </c>
      <c r="BU184" s="29">
        <f t="shared" si="138"/>
        <v>100</v>
      </c>
      <c r="BW184" s="8" t="str">
        <f>IF(W184="","",VLOOKUP('Regular Symbol'!W184,'Regular Symbol'!$O$3:$T$13,6,0))</f>
        <v/>
      </c>
      <c r="BX184" s="8">
        <f>IF(X184="","",VLOOKUP('Regular Symbol'!X184,'Regular Symbol'!$O$3:$T$13,6,0))</f>
        <v>0</v>
      </c>
      <c r="BY184" s="8">
        <f>IF(Y184="","",VLOOKUP('Regular Symbol'!Y184,'Regular Symbol'!$O$3:$T$13,6,0))</f>
        <v>6</v>
      </c>
      <c r="CA184" s="8" t="str">
        <f t="shared" si="118"/>
        <v/>
      </c>
      <c r="CB184" s="8" t="str">
        <f t="shared" si="119"/>
        <v>Wild</v>
      </c>
      <c r="CC184" s="8" t="str">
        <f t="shared" si="120"/>
        <v>Q</v>
      </c>
    </row>
    <row r="185" spans="22:81" ht="16.8" customHeight="1">
      <c r="V185" s="27">
        <v>182</v>
      </c>
      <c r="W185" s="25"/>
      <c r="X185" s="25" t="s">
        <v>25</v>
      </c>
      <c r="Y185" s="25" t="s">
        <v>17</v>
      </c>
      <c r="AA185" s="29"/>
      <c r="AB185" s="29">
        <v>1</v>
      </c>
      <c r="AC185" s="29">
        <v>1</v>
      </c>
      <c r="AD185" s="65"/>
      <c r="AE185" s="29" t="str">
        <f t="shared" si="127"/>
        <v/>
      </c>
      <c r="AF185" s="29">
        <f t="shared" si="128"/>
        <v>1</v>
      </c>
      <c r="AG185" s="29">
        <f t="shared" si="129"/>
        <v>1</v>
      </c>
      <c r="AH185" s="65"/>
      <c r="AI185" s="29" t="str">
        <f t="shared" si="139"/>
        <v/>
      </c>
      <c r="AJ185" s="29">
        <f t="shared" si="140"/>
        <v>1</v>
      </c>
      <c r="AK185" s="29">
        <f t="shared" si="141"/>
        <v>1</v>
      </c>
      <c r="AM185" s="29"/>
      <c r="AN185" s="29">
        <v>1</v>
      </c>
      <c r="AO185" s="29">
        <v>1</v>
      </c>
      <c r="AQ185" s="29" t="str">
        <f t="shared" si="130"/>
        <v/>
      </c>
      <c r="AR185" s="29">
        <f t="shared" si="121"/>
        <v>1</v>
      </c>
      <c r="AS185" s="29">
        <f t="shared" si="122"/>
        <v>1</v>
      </c>
      <c r="AT185" s="65"/>
      <c r="AU185" s="29" t="str">
        <f t="shared" si="142"/>
        <v/>
      </c>
      <c r="AV185" s="29">
        <f t="shared" si="131"/>
        <v>1</v>
      </c>
      <c r="AW185" s="29">
        <f t="shared" si="132"/>
        <v>1</v>
      </c>
      <c r="AY185" s="29"/>
      <c r="AZ185" s="29">
        <v>1</v>
      </c>
      <c r="BA185" s="29">
        <v>1</v>
      </c>
      <c r="BC185" s="29" t="str">
        <f t="shared" si="133"/>
        <v/>
      </c>
      <c r="BD185" s="29">
        <f t="shared" si="123"/>
        <v>1</v>
      </c>
      <c r="BE185" s="29">
        <f t="shared" si="124"/>
        <v>1</v>
      </c>
      <c r="BF185" s="65"/>
      <c r="BG185" s="29" t="str">
        <f t="shared" si="143"/>
        <v/>
      </c>
      <c r="BH185" s="29">
        <f t="shared" si="134"/>
        <v>1</v>
      </c>
      <c r="BI185" s="29">
        <f t="shared" si="135"/>
        <v>1</v>
      </c>
      <c r="BK185" s="29"/>
      <c r="BL185" s="29">
        <v>701</v>
      </c>
      <c r="BM185" s="29">
        <v>100</v>
      </c>
      <c r="BO185" s="29" t="str">
        <f t="shared" si="136"/>
        <v/>
      </c>
      <c r="BP185" s="29">
        <f t="shared" si="125"/>
        <v>584</v>
      </c>
      <c r="BQ185" s="29">
        <f t="shared" si="126"/>
        <v>100</v>
      </c>
      <c r="BR185" s="65"/>
      <c r="BS185" s="29" t="str">
        <f t="shared" si="144"/>
        <v/>
      </c>
      <c r="BT185" s="29">
        <f t="shared" si="137"/>
        <v>467</v>
      </c>
      <c r="BU185" s="29">
        <f t="shared" si="138"/>
        <v>100</v>
      </c>
      <c r="BW185" s="8" t="str">
        <f>IF(W185="","",VLOOKUP('Regular Symbol'!W185,'Regular Symbol'!$O$3:$T$13,6,0))</f>
        <v/>
      </c>
      <c r="BX185" s="8">
        <f>IF(X185="","",VLOOKUP('Regular Symbol'!X185,'Regular Symbol'!$O$3:$T$13,6,0))</f>
        <v>0</v>
      </c>
      <c r="BY185" s="8">
        <f>IF(Y185="","",VLOOKUP('Regular Symbol'!Y185,'Regular Symbol'!$O$3:$T$13,6,0))</f>
        <v>2</v>
      </c>
      <c r="CA185" s="8" t="str">
        <f t="shared" si="118"/>
        <v/>
      </c>
      <c r="CB185" s="8" t="str">
        <f t="shared" si="119"/>
        <v>Wild</v>
      </c>
      <c r="CC185" s="8" t="str">
        <f t="shared" si="120"/>
        <v>M2</v>
      </c>
    </row>
    <row r="186" spans="22:81" ht="16.8" customHeight="1">
      <c r="V186" s="27">
        <v>183</v>
      </c>
      <c r="W186" s="25"/>
      <c r="X186" s="25" t="s">
        <v>81</v>
      </c>
      <c r="Y186" s="25" t="s">
        <v>17</v>
      </c>
      <c r="AA186" s="29"/>
      <c r="AB186" s="29">
        <v>1</v>
      </c>
      <c r="AC186" s="29">
        <v>1</v>
      </c>
      <c r="AD186" s="65"/>
      <c r="AE186" s="29" t="str">
        <f t="shared" si="127"/>
        <v/>
      </c>
      <c r="AF186" s="29">
        <f t="shared" si="128"/>
        <v>1</v>
      </c>
      <c r="AG186" s="29">
        <f t="shared" si="129"/>
        <v>1</v>
      </c>
      <c r="AH186" s="65"/>
      <c r="AI186" s="29" t="str">
        <f t="shared" si="139"/>
        <v/>
      </c>
      <c r="AJ186" s="29">
        <f t="shared" si="140"/>
        <v>1</v>
      </c>
      <c r="AK186" s="29">
        <f t="shared" si="141"/>
        <v>1</v>
      </c>
      <c r="AM186" s="29"/>
      <c r="AN186" s="29">
        <v>1</v>
      </c>
      <c r="AO186" s="29">
        <v>1</v>
      </c>
      <c r="AQ186" s="29" t="str">
        <f t="shared" si="130"/>
        <v/>
      </c>
      <c r="AR186" s="29">
        <f t="shared" si="121"/>
        <v>1</v>
      </c>
      <c r="AS186" s="29">
        <f t="shared" si="122"/>
        <v>1</v>
      </c>
      <c r="AT186" s="65"/>
      <c r="AU186" s="29" t="str">
        <f t="shared" si="142"/>
        <v/>
      </c>
      <c r="AV186" s="29">
        <f t="shared" si="131"/>
        <v>1</v>
      </c>
      <c r="AW186" s="29">
        <f t="shared" si="132"/>
        <v>1</v>
      </c>
      <c r="AY186" s="29"/>
      <c r="AZ186" s="29">
        <v>1</v>
      </c>
      <c r="BA186" s="29">
        <v>1</v>
      </c>
      <c r="BC186" s="29" t="str">
        <f t="shared" si="133"/>
        <v/>
      </c>
      <c r="BD186" s="29">
        <f t="shared" si="123"/>
        <v>1</v>
      </c>
      <c r="BE186" s="29">
        <f t="shared" si="124"/>
        <v>1</v>
      </c>
      <c r="BF186" s="65"/>
      <c r="BG186" s="29" t="str">
        <f t="shared" si="143"/>
        <v/>
      </c>
      <c r="BH186" s="29">
        <f t="shared" si="134"/>
        <v>1</v>
      </c>
      <c r="BI186" s="29">
        <f t="shared" si="135"/>
        <v>1</v>
      </c>
      <c r="BK186" s="29"/>
      <c r="BL186" s="29">
        <v>100</v>
      </c>
      <c r="BM186" s="29">
        <v>100</v>
      </c>
      <c r="BO186" s="29" t="str">
        <f t="shared" si="136"/>
        <v/>
      </c>
      <c r="BP186" s="29">
        <f t="shared" si="125"/>
        <v>701</v>
      </c>
      <c r="BQ186" s="29">
        <f t="shared" si="126"/>
        <v>100</v>
      </c>
      <c r="BR186" s="65"/>
      <c r="BS186" s="29" t="str">
        <f t="shared" si="144"/>
        <v/>
      </c>
      <c r="BT186" s="29">
        <f t="shared" si="137"/>
        <v>584</v>
      </c>
      <c r="BU186" s="29">
        <f t="shared" si="138"/>
        <v>100</v>
      </c>
      <c r="BW186" s="8" t="str">
        <f>IF(W186="","",VLOOKUP('Regular Symbol'!W186,'Regular Symbol'!$O$3:$T$13,6,0))</f>
        <v/>
      </c>
      <c r="BX186" s="8">
        <f>IF(X186="","",VLOOKUP('Regular Symbol'!X186,'Regular Symbol'!$O$3:$T$13,6,0))</f>
        <v>4</v>
      </c>
      <c r="BY186" s="8">
        <f>IF(Y186="","",VLOOKUP('Regular Symbol'!Y186,'Regular Symbol'!$O$3:$T$13,6,0))</f>
        <v>2</v>
      </c>
      <c r="CA186" s="8" t="str">
        <f t="shared" si="118"/>
        <v/>
      </c>
      <c r="CB186" s="8" t="str">
        <f t="shared" si="119"/>
        <v>A</v>
      </c>
      <c r="CC186" s="8" t="str">
        <f t="shared" si="120"/>
        <v>M2</v>
      </c>
    </row>
    <row r="187" spans="22:81" ht="16.8" customHeight="1">
      <c r="V187" s="27">
        <v>184</v>
      </c>
      <c r="W187" s="25"/>
      <c r="X187" s="25" t="s">
        <v>81</v>
      </c>
      <c r="Y187" s="25" t="s">
        <v>17</v>
      </c>
      <c r="AA187" s="29"/>
      <c r="AB187" s="29">
        <v>1</v>
      </c>
      <c r="AC187" s="29">
        <v>1</v>
      </c>
      <c r="AD187" s="65"/>
      <c r="AE187" s="29" t="str">
        <f t="shared" si="127"/>
        <v/>
      </c>
      <c r="AF187" s="29">
        <f t="shared" si="128"/>
        <v>1</v>
      </c>
      <c r="AG187" s="29">
        <f t="shared" si="129"/>
        <v>1</v>
      </c>
      <c r="AH187" s="65"/>
      <c r="AI187" s="29" t="str">
        <f t="shared" si="139"/>
        <v/>
      </c>
      <c r="AJ187" s="29">
        <f t="shared" si="140"/>
        <v>1</v>
      </c>
      <c r="AK187" s="29">
        <f t="shared" si="141"/>
        <v>1</v>
      </c>
      <c r="AM187" s="29"/>
      <c r="AN187" s="29">
        <v>1</v>
      </c>
      <c r="AO187" s="29">
        <v>1</v>
      </c>
      <c r="AQ187" s="29" t="str">
        <f t="shared" si="130"/>
        <v/>
      </c>
      <c r="AR187" s="29">
        <f t="shared" si="121"/>
        <v>1</v>
      </c>
      <c r="AS187" s="29">
        <f t="shared" si="122"/>
        <v>1</v>
      </c>
      <c r="AT187" s="65"/>
      <c r="AU187" s="29" t="str">
        <f t="shared" si="142"/>
        <v/>
      </c>
      <c r="AV187" s="29">
        <f t="shared" si="131"/>
        <v>1</v>
      </c>
      <c r="AW187" s="29">
        <f t="shared" si="132"/>
        <v>1</v>
      </c>
      <c r="AY187" s="29"/>
      <c r="AZ187" s="29">
        <v>1</v>
      </c>
      <c r="BA187" s="29">
        <v>1</v>
      </c>
      <c r="BC187" s="29" t="str">
        <f t="shared" si="133"/>
        <v/>
      </c>
      <c r="BD187" s="29">
        <f t="shared" si="123"/>
        <v>1</v>
      </c>
      <c r="BE187" s="29">
        <f t="shared" si="124"/>
        <v>1</v>
      </c>
      <c r="BF187" s="65"/>
      <c r="BG187" s="29" t="str">
        <f t="shared" si="143"/>
        <v/>
      </c>
      <c r="BH187" s="29">
        <f t="shared" si="134"/>
        <v>1</v>
      </c>
      <c r="BI187" s="29">
        <f t="shared" si="135"/>
        <v>1</v>
      </c>
      <c r="BK187" s="29"/>
      <c r="BL187" s="29">
        <v>100</v>
      </c>
      <c r="BM187" s="29">
        <v>100</v>
      </c>
      <c r="BO187" s="29" t="str">
        <f t="shared" si="136"/>
        <v/>
      </c>
      <c r="BP187" s="29">
        <f t="shared" si="125"/>
        <v>100</v>
      </c>
      <c r="BQ187" s="29">
        <f t="shared" si="126"/>
        <v>100</v>
      </c>
      <c r="BR187" s="65"/>
      <c r="BS187" s="29" t="str">
        <f t="shared" si="144"/>
        <v/>
      </c>
      <c r="BT187" s="29">
        <f t="shared" si="137"/>
        <v>701</v>
      </c>
      <c r="BU187" s="29">
        <f t="shared" si="138"/>
        <v>100</v>
      </c>
      <c r="BW187" s="8" t="str">
        <f>IF(W187="","",VLOOKUP('Regular Symbol'!W187,'Regular Symbol'!$O$3:$T$13,6,0))</f>
        <v/>
      </c>
      <c r="BX187" s="8">
        <f>IF(X187="","",VLOOKUP('Regular Symbol'!X187,'Regular Symbol'!$O$3:$T$13,6,0))</f>
        <v>4</v>
      </c>
      <c r="BY187" s="8">
        <f>IF(Y187="","",VLOOKUP('Regular Symbol'!Y187,'Regular Symbol'!$O$3:$T$13,6,0))</f>
        <v>2</v>
      </c>
      <c r="CA187" s="8" t="str">
        <f t="shared" si="118"/>
        <v/>
      </c>
      <c r="CB187" s="8" t="str">
        <f t="shared" si="119"/>
        <v>A</v>
      </c>
      <c r="CC187" s="8" t="str">
        <f t="shared" si="120"/>
        <v>M2</v>
      </c>
    </row>
    <row r="188" spans="22:81" ht="16.8" customHeight="1">
      <c r="V188" s="27">
        <v>185</v>
      </c>
      <c r="W188" s="25"/>
      <c r="X188" s="25" t="s">
        <v>83</v>
      </c>
      <c r="Y188" s="25" t="s">
        <v>84</v>
      </c>
      <c r="AA188" s="29"/>
      <c r="AB188" s="29">
        <v>1</v>
      </c>
      <c r="AC188" s="29">
        <v>1</v>
      </c>
      <c r="AD188" s="65"/>
      <c r="AE188" s="29" t="str">
        <f t="shared" si="127"/>
        <v/>
      </c>
      <c r="AF188" s="29">
        <f t="shared" si="128"/>
        <v>1</v>
      </c>
      <c r="AG188" s="29">
        <f t="shared" si="129"/>
        <v>1</v>
      </c>
      <c r="AH188" s="65"/>
      <c r="AI188" s="29" t="str">
        <f t="shared" si="139"/>
        <v/>
      </c>
      <c r="AJ188" s="29">
        <f t="shared" si="140"/>
        <v>1</v>
      </c>
      <c r="AK188" s="29">
        <f t="shared" si="141"/>
        <v>1</v>
      </c>
      <c r="AM188" s="29"/>
      <c r="AN188" s="29">
        <v>1</v>
      </c>
      <c r="AO188" s="29">
        <v>1</v>
      </c>
      <c r="AQ188" s="29" t="str">
        <f t="shared" si="130"/>
        <v/>
      </c>
      <c r="AR188" s="29">
        <f t="shared" si="121"/>
        <v>1</v>
      </c>
      <c r="AS188" s="29">
        <f t="shared" si="122"/>
        <v>1</v>
      </c>
      <c r="AT188" s="65"/>
      <c r="AU188" s="29" t="str">
        <f t="shared" si="142"/>
        <v/>
      </c>
      <c r="AV188" s="29">
        <f t="shared" si="131"/>
        <v>1</v>
      </c>
      <c r="AW188" s="29">
        <f t="shared" si="132"/>
        <v>1</v>
      </c>
      <c r="AY188" s="29"/>
      <c r="AZ188" s="29">
        <v>1</v>
      </c>
      <c r="BA188" s="29">
        <v>1</v>
      </c>
      <c r="BC188" s="29" t="str">
        <f t="shared" si="133"/>
        <v/>
      </c>
      <c r="BD188" s="29">
        <f t="shared" si="123"/>
        <v>1</v>
      </c>
      <c r="BE188" s="29">
        <f t="shared" si="124"/>
        <v>1</v>
      </c>
      <c r="BF188" s="65"/>
      <c r="BG188" s="29" t="str">
        <f t="shared" si="143"/>
        <v/>
      </c>
      <c r="BH188" s="29">
        <f t="shared" si="134"/>
        <v>1</v>
      </c>
      <c r="BI188" s="29">
        <f t="shared" si="135"/>
        <v>1</v>
      </c>
      <c r="BK188" s="29"/>
      <c r="BL188" s="29">
        <v>100</v>
      </c>
      <c r="BM188" s="29">
        <v>100</v>
      </c>
      <c r="BO188" s="29" t="str">
        <f t="shared" si="136"/>
        <v/>
      </c>
      <c r="BP188" s="29">
        <f t="shared" si="125"/>
        <v>100</v>
      </c>
      <c r="BQ188" s="29">
        <f t="shared" si="126"/>
        <v>100</v>
      </c>
      <c r="BR188" s="65"/>
      <c r="BS188" s="29" t="str">
        <f t="shared" si="144"/>
        <v/>
      </c>
      <c r="BT188" s="29">
        <f t="shared" si="137"/>
        <v>100</v>
      </c>
      <c r="BU188" s="29">
        <f t="shared" si="138"/>
        <v>100</v>
      </c>
      <c r="BW188" s="8" t="str">
        <f>IF(W188="","",VLOOKUP('Regular Symbol'!W188,'Regular Symbol'!$O$3:$T$13,6,0))</f>
        <v/>
      </c>
      <c r="BX188" s="8">
        <f>IF(X188="","",VLOOKUP('Regular Symbol'!X188,'Regular Symbol'!$O$3:$T$13,6,0))</f>
        <v>6</v>
      </c>
      <c r="BY188" s="8">
        <f>IF(Y188="","",VLOOKUP('Regular Symbol'!Y188,'Regular Symbol'!$O$3:$T$13,6,0))</f>
        <v>7</v>
      </c>
      <c r="CA188" s="8" t="str">
        <f t="shared" si="118"/>
        <v/>
      </c>
      <c r="CB188" s="8" t="str">
        <f t="shared" si="119"/>
        <v>Q</v>
      </c>
      <c r="CC188" s="8" t="str">
        <f t="shared" si="120"/>
        <v>J</v>
      </c>
    </row>
    <row r="189" spans="22:81" ht="16.8" customHeight="1">
      <c r="V189" s="27">
        <v>186</v>
      </c>
      <c r="W189" s="25"/>
      <c r="X189" s="25" t="s">
        <v>17</v>
      </c>
      <c r="Y189" s="25" t="s">
        <v>84</v>
      </c>
      <c r="AA189" s="29"/>
      <c r="AB189" s="29">
        <v>1</v>
      </c>
      <c r="AC189" s="29">
        <v>1</v>
      </c>
      <c r="AD189" s="65"/>
      <c r="AE189" s="29" t="str">
        <f t="shared" si="127"/>
        <v/>
      </c>
      <c r="AF189" s="29">
        <f t="shared" si="128"/>
        <v>1</v>
      </c>
      <c r="AG189" s="29">
        <f t="shared" si="129"/>
        <v>1</v>
      </c>
      <c r="AH189" s="65"/>
      <c r="AI189" s="29" t="str">
        <f t="shared" si="139"/>
        <v/>
      </c>
      <c r="AJ189" s="29">
        <f t="shared" si="140"/>
        <v>1</v>
      </c>
      <c r="AK189" s="29">
        <f t="shared" si="141"/>
        <v>1</v>
      </c>
      <c r="AM189" s="29"/>
      <c r="AN189" s="29">
        <v>1</v>
      </c>
      <c r="AO189" s="29">
        <v>1</v>
      </c>
      <c r="AQ189" s="29" t="str">
        <f t="shared" si="130"/>
        <v/>
      </c>
      <c r="AR189" s="29">
        <f t="shared" si="121"/>
        <v>1</v>
      </c>
      <c r="AS189" s="29">
        <f t="shared" si="122"/>
        <v>1</v>
      </c>
      <c r="AT189" s="65"/>
      <c r="AU189" s="29" t="str">
        <f t="shared" si="142"/>
        <v/>
      </c>
      <c r="AV189" s="29">
        <f t="shared" si="131"/>
        <v>1</v>
      </c>
      <c r="AW189" s="29">
        <f t="shared" si="132"/>
        <v>1</v>
      </c>
      <c r="AY189" s="29"/>
      <c r="AZ189" s="29">
        <v>1</v>
      </c>
      <c r="BA189" s="29">
        <v>1</v>
      </c>
      <c r="BC189" s="29" t="str">
        <f t="shared" si="133"/>
        <v/>
      </c>
      <c r="BD189" s="29">
        <f t="shared" si="123"/>
        <v>1</v>
      </c>
      <c r="BE189" s="29">
        <f t="shared" si="124"/>
        <v>1</v>
      </c>
      <c r="BF189" s="65"/>
      <c r="BG189" s="29" t="str">
        <f t="shared" si="143"/>
        <v/>
      </c>
      <c r="BH189" s="29">
        <f t="shared" si="134"/>
        <v>1</v>
      </c>
      <c r="BI189" s="29">
        <f t="shared" si="135"/>
        <v>1</v>
      </c>
      <c r="BK189" s="29"/>
      <c r="BL189" s="29">
        <v>100</v>
      </c>
      <c r="BM189" s="29">
        <v>100</v>
      </c>
      <c r="BO189" s="29" t="str">
        <f t="shared" si="136"/>
        <v/>
      </c>
      <c r="BP189" s="29">
        <f t="shared" si="125"/>
        <v>100</v>
      </c>
      <c r="BQ189" s="29">
        <f t="shared" si="126"/>
        <v>100</v>
      </c>
      <c r="BR189" s="65"/>
      <c r="BS189" s="29" t="str">
        <f t="shared" si="144"/>
        <v/>
      </c>
      <c r="BT189" s="29">
        <f t="shared" si="137"/>
        <v>100</v>
      </c>
      <c r="BU189" s="29">
        <f t="shared" si="138"/>
        <v>100</v>
      </c>
      <c r="BW189" s="8" t="str">
        <f>IF(W189="","",VLOOKUP('Regular Symbol'!W189,'Regular Symbol'!$O$3:$T$13,6,0))</f>
        <v/>
      </c>
      <c r="BX189" s="8">
        <f>IF(X189="","",VLOOKUP('Regular Symbol'!X189,'Regular Symbol'!$O$3:$T$13,6,0))</f>
        <v>2</v>
      </c>
      <c r="BY189" s="8">
        <f>IF(Y189="","",VLOOKUP('Regular Symbol'!Y189,'Regular Symbol'!$O$3:$T$13,6,0))</f>
        <v>7</v>
      </c>
      <c r="CA189" s="8" t="str">
        <f t="shared" si="118"/>
        <v/>
      </c>
      <c r="CB189" s="8" t="str">
        <f t="shared" si="119"/>
        <v>M2</v>
      </c>
      <c r="CC189" s="8" t="str">
        <f t="shared" si="120"/>
        <v>J</v>
      </c>
    </row>
    <row r="190" spans="22:81" ht="16.8" customHeight="1">
      <c r="V190" s="27">
        <v>187</v>
      </c>
      <c r="W190" s="25"/>
      <c r="X190" s="25" t="s">
        <v>17</v>
      </c>
      <c r="Y190" s="25" t="s">
        <v>84</v>
      </c>
      <c r="AA190" s="29"/>
      <c r="AB190" s="29">
        <v>1</v>
      </c>
      <c r="AC190" s="29">
        <v>1</v>
      </c>
      <c r="AD190" s="65"/>
      <c r="AE190" s="29" t="str">
        <f t="shared" si="127"/>
        <v/>
      </c>
      <c r="AF190" s="29">
        <f t="shared" si="128"/>
        <v>1</v>
      </c>
      <c r="AG190" s="29">
        <f t="shared" si="129"/>
        <v>1</v>
      </c>
      <c r="AH190" s="65"/>
      <c r="AI190" s="29" t="str">
        <f t="shared" si="139"/>
        <v/>
      </c>
      <c r="AJ190" s="29">
        <f t="shared" si="140"/>
        <v>1</v>
      </c>
      <c r="AK190" s="29">
        <f t="shared" si="141"/>
        <v>1</v>
      </c>
      <c r="AM190" s="29"/>
      <c r="AN190" s="29">
        <v>1</v>
      </c>
      <c r="AO190" s="29">
        <v>1</v>
      </c>
      <c r="AQ190" s="29" t="str">
        <f t="shared" si="130"/>
        <v/>
      </c>
      <c r="AR190" s="29">
        <f t="shared" si="121"/>
        <v>1</v>
      </c>
      <c r="AS190" s="29">
        <f t="shared" si="122"/>
        <v>1</v>
      </c>
      <c r="AT190" s="65"/>
      <c r="AU190" s="29" t="str">
        <f t="shared" si="142"/>
        <v/>
      </c>
      <c r="AV190" s="29">
        <f t="shared" si="131"/>
        <v>1</v>
      </c>
      <c r="AW190" s="29">
        <f t="shared" si="132"/>
        <v>1</v>
      </c>
      <c r="AY190" s="29"/>
      <c r="AZ190" s="29">
        <v>1</v>
      </c>
      <c r="BA190" s="29">
        <v>1</v>
      </c>
      <c r="BC190" s="29" t="str">
        <f t="shared" si="133"/>
        <v/>
      </c>
      <c r="BD190" s="29">
        <f t="shared" si="123"/>
        <v>1</v>
      </c>
      <c r="BE190" s="29">
        <f t="shared" si="124"/>
        <v>1</v>
      </c>
      <c r="BF190" s="65"/>
      <c r="BG190" s="29" t="str">
        <f t="shared" si="143"/>
        <v/>
      </c>
      <c r="BH190" s="29">
        <f t="shared" si="134"/>
        <v>1</v>
      </c>
      <c r="BI190" s="29">
        <f t="shared" si="135"/>
        <v>1</v>
      </c>
      <c r="BK190" s="29"/>
      <c r="BL190" s="29">
        <v>100</v>
      </c>
      <c r="BM190" s="29">
        <v>100</v>
      </c>
      <c r="BO190" s="29" t="str">
        <f t="shared" si="136"/>
        <v/>
      </c>
      <c r="BP190" s="29">
        <f t="shared" si="125"/>
        <v>100</v>
      </c>
      <c r="BQ190" s="29">
        <f t="shared" si="126"/>
        <v>100</v>
      </c>
      <c r="BR190" s="65"/>
      <c r="BS190" s="29" t="str">
        <f t="shared" si="144"/>
        <v/>
      </c>
      <c r="BT190" s="29">
        <f t="shared" si="137"/>
        <v>100</v>
      </c>
      <c r="BU190" s="29">
        <f t="shared" si="138"/>
        <v>100</v>
      </c>
      <c r="BW190" s="8" t="str">
        <f>IF(W190="","",VLOOKUP('Regular Symbol'!W190,'Regular Symbol'!$O$3:$T$13,6,0))</f>
        <v/>
      </c>
      <c r="BX190" s="8">
        <f>IF(X190="","",VLOOKUP('Regular Symbol'!X190,'Regular Symbol'!$O$3:$T$13,6,0))</f>
        <v>2</v>
      </c>
      <c r="BY190" s="8">
        <f>IF(Y190="","",VLOOKUP('Regular Symbol'!Y190,'Regular Symbol'!$O$3:$T$13,6,0))</f>
        <v>7</v>
      </c>
      <c r="CA190" s="8" t="str">
        <f t="shared" si="118"/>
        <v/>
      </c>
      <c r="CB190" s="8" t="str">
        <f t="shared" si="119"/>
        <v>M2</v>
      </c>
      <c r="CC190" s="8" t="str">
        <f t="shared" si="120"/>
        <v>J</v>
      </c>
    </row>
    <row r="191" spans="22:81" ht="16.8" customHeight="1">
      <c r="V191" s="27">
        <v>188</v>
      </c>
      <c r="W191" s="25"/>
      <c r="X191" s="25" t="s">
        <v>83</v>
      </c>
      <c r="Y191" s="25" t="s">
        <v>82</v>
      </c>
      <c r="AA191" s="29"/>
      <c r="AB191" s="29">
        <v>1</v>
      </c>
      <c r="AC191" s="29">
        <v>1</v>
      </c>
      <c r="AD191" s="65"/>
      <c r="AE191" s="29" t="str">
        <f t="shared" si="127"/>
        <v/>
      </c>
      <c r="AF191" s="29">
        <f t="shared" si="128"/>
        <v>1</v>
      </c>
      <c r="AG191" s="29">
        <f t="shared" si="129"/>
        <v>1</v>
      </c>
      <c r="AH191" s="65"/>
      <c r="AI191" s="29" t="str">
        <f t="shared" si="139"/>
        <v/>
      </c>
      <c r="AJ191" s="29">
        <f t="shared" si="140"/>
        <v>1</v>
      </c>
      <c r="AK191" s="29">
        <f t="shared" si="141"/>
        <v>1</v>
      </c>
      <c r="AM191" s="29"/>
      <c r="AN191" s="29">
        <v>1</v>
      </c>
      <c r="AO191" s="29">
        <v>1</v>
      </c>
      <c r="AQ191" s="29" t="str">
        <f t="shared" si="130"/>
        <v/>
      </c>
      <c r="AR191" s="29">
        <f t="shared" si="121"/>
        <v>1</v>
      </c>
      <c r="AS191" s="29">
        <f t="shared" si="122"/>
        <v>1</v>
      </c>
      <c r="AT191" s="65"/>
      <c r="AU191" s="29" t="str">
        <f t="shared" si="142"/>
        <v/>
      </c>
      <c r="AV191" s="29">
        <f t="shared" si="131"/>
        <v>1</v>
      </c>
      <c r="AW191" s="29">
        <f t="shared" si="132"/>
        <v>1</v>
      </c>
      <c r="AY191" s="29"/>
      <c r="AZ191" s="29">
        <v>1</v>
      </c>
      <c r="BA191" s="29">
        <v>1</v>
      </c>
      <c r="BC191" s="29" t="str">
        <f t="shared" si="133"/>
        <v/>
      </c>
      <c r="BD191" s="29">
        <f t="shared" si="123"/>
        <v>1</v>
      </c>
      <c r="BE191" s="29">
        <f t="shared" si="124"/>
        <v>1</v>
      </c>
      <c r="BF191" s="65"/>
      <c r="BG191" s="29" t="str">
        <f t="shared" si="143"/>
        <v/>
      </c>
      <c r="BH191" s="29">
        <f t="shared" si="134"/>
        <v>1</v>
      </c>
      <c r="BI191" s="29">
        <f t="shared" si="135"/>
        <v>1</v>
      </c>
      <c r="BK191" s="29"/>
      <c r="BL191" s="29">
        <v>100</v>
      </c>
      <c r="BM191" s="29">
        <v>100</v>
      </c>
      <c r="BO191" s="29" t="str">
        <f t="shared" si="136"/>
        <v/>
      </c>
      <c r="BP191" s="29">
        <f t="shared" si="125"/>
        <v>100</v>
      </c>
      <c r="BQ191" s="29">
        <f t="shared" si="126"/>
        <v>100</v>
      </c>
      <c r="BR191" s="65"/>
      <c r="BS191" s="29" t="str">
        <f t="shared" si="144"/>
        <v/>
      </c>
      <c r="BT191" s="29">
        <f t="shared" si="137"/>
        <v>100</v>
      </c>
      <c r="BU191" s="29">
        <f t="shared" si="138"/>
        <v>100</v>
      </c>
      <c r="BW191" s="8" t="str">
        <f>IF(W191="","",VLOOKUP('Regular Symbol'!W191,'Regular Symbol'!$O$3:$T$13,6,0))</f>
        <v/>
      </c>
      <c r="BX191" s="8">
        <f>IF(X191="","",VLOOKUP('Regular Symbol'!X191,'Regular Symbol'!$O$3:$T$13,6,0))</f>
        <v>6</v>
      </c>
      <c r="BY191" s="8">
        <f>IF(Y191="","",VLOOKUP('Regular Symbol'!Y191,'Regular Symbol'!$O$3:$T$13,6,0))</f>
        <v>5</v>
      </c>
      <c r="CA191" s="8" t="str">
        <f t="shared" si="118"/>
        <v/>
      </c>
      <c r="CB191" s="8" t="str">
        <f t="shared" si="119"/>
        <v>Q</v>
      </c>
      <c r="CC191" s="8" t="str">
        <f t="shared" si="120"/>
        <v>K</v>
      </c>
    </row>
    <row r="192" spans="22:81" ht="16.8" customHeight="1">
      <c r="V192" s="27">
        <v>189</v>
      </c>
      <c r="W192" s="25"/>
      <c r="X192" s="25" t="s">
        <v>83</v>
      </c>
      <c r="Y192" s="25" t="s">
        <v>82</v>
      </c>
      <c r="AA192" s="29"/>
      <c r="AB192" s="29">
        <v>1</v>
      </c>
      <c r="AC192" s="29">
        <v>1</v>
      </c>
      <c r="AD192" s="65"/>
      <c r="AE192" s="29" t="str">
        <f t="shared" si="127"/>
        <v/>
      </c>
      <c r="AF192" s="29">
        <f t="shared" si="128"/>
        <v>1</v>
      </c>
      <c r="AG192" s="29">
        <f t="shared" si="129"/>
        <v>1</v>
      </c>
      <c r="AH192" s="65"/>
      <c r="AI192" s="29" t="str">
        <f t="shared" si="139"/>
        <v/>
      </c>
      <c r="AJ192" s="29">
        <f t="shared" si="140"/>
        <v>1</v>
      </c>
      <c r="AK192" s="29">
        <f t="shared" si="141"/>
        <v>1</v>
      </c>
      <c r="AM192" s="29"/>
      <c r="AN192" s="29">
        <v>1</v>
      </c>
      <c r="AO192" s="29">
        <v>1</v>
      </c>
      <c r="AQ192" s="29" t="str">
        <f t="shared" si="130"/>
        <v/>
      </c>
      <c r="AR192" s="29">
        <f t="shared" si="121"/>
        <v>1</v>
      </c>
      <c r="AS192" s="29">
        <f t="shared" si="122"/>
        <v>1</v>
      </c>
      <c r="AT192" s="65"/>
      <c r="AU192" s="29" t="str">
        <f t="shared" si="142"/>
        <v/>
      </c>
      <c r="AV192" s="29">
        <f t="shared" si="131"/>
        <v>1</v>
      </c>
      <c r="AW192" s="29">
        <f t="shared" si="132"/>
        <v>1</v>
      </c>
      <c r="AY192" s="29"/>
      <c r="AZ192" s="29">
        <v>1</v>
      </c>
      <c r="BA192" s="29">
        <v>1</v>
      </c>
      <c r="BC192" s="29" t="str">
        <f t="shared" si="133"/>
        <v/>
      </c>
      <c r="BD192" s="29">
        <f t="shared" si="123"/>
        <v>1</v>
      </c>
      <c r="BE192" s="29">
        <f t="shared" si="124"/>
        <v>1</v>
      </c>
      <c r="BF192" s="65"/>
      <c r="BG192" s="29" t="str">
        <f t="shared" si="143"/>
        <v/>
      </c>
      <c r="BH192" s="29">
        <f t="shared" si="134"/>
        <v>1</v>
      </c>
      <c r="BI192" s="29">
        <f t="shared" si="135"/>
        <v>1</v>
      </c>
      <c r="BK192" s="29"/>
      <c r="BL192" s="29">
        <v>100</v>
      </c>
      <c r="BM192" s="29">
        <v>677</v>
      </c>
      <c r="BO192" s="29" t="str">
        <f t="shared" si="136"/>
        <v/>
      </c>
      <c r="BP192" s="29">
        <f t="shared" si="125"/>
        <v>100</v>
      </c>
      <c r="BQ192" s="29">
        <f t="shared" si="126"/>
        <v>100</v>
      </c>
      <c r="BR192" s="65"/>
      <c r="BS192" s="29" t="str">
        <f t="shared" si="144"/>
        <v/>
      </c>
      <c r="BT192" s="29">
        <f t="shared" si="137"/>
        <v>100</v>
      </c>
      <c r="BU192" s="29">
        <f t="shared" si="138"/>
        <v>100</v>
      </c>
      <c r="BW192" s="8" t="str">
        <f>IF(W192="","",VLOOKUP('Regular Symbol'!W192,'Regular Symbol'!$O$3:$T$13,6,0))</f>
        <v/>
      </c>
      <c r="BX192" s="8">
        <f>IF(X192="","",VLOOKUP('Regular Symbol'!X192,'Regular Symbol'!$O$3:$T$13,6,0))</f>
        <v>6</v>
      </c>
      <c r="BY192" s="8">
        <f>IF(Y192="","",VLOOKUP('Regular Symbol'!Y192,'Regular Symbol'!$O$3:$T$13,6,0))</f>
        <v>5</v>
      </c>
      <c r="CA192" s="8" t="str">
        <f t="shared" si="118"/>
        <v/>
      </c>
      <c r="CB192" s="8" t="str">
        <f t="shared" si="119"/>
        <v>Q</v>
      </c>
      <c r="CC192" s="8" t="str">
        <f t="shared" si="120"/>
        <v>K</v>
      </c>
    </row>
    <row r="193" spans="22:81" ht="16.8" customHeight="1">
      <c r="V193" s="27">
        <v>190</v>
      </c>
      <c r="W193" s="25"/>
      <c r="X193" s="25" t="s">
        <v>83</v>
      </c>
      <c r="Y193" s="25" t="s">
        <v>82</v>
      </c>
      <c r="AA193" s="29"/>
      <c r="AB193" s="29">
        <v>1</v>
      </c>
      <c r="AC193" s="29">
        <v>1</v>
      </c>
      <c r="AD193" s="65"/>
      <c r="AE193" s="29" t="str">
        <f t="shared" si="127"/>
        <v/>
      </c>
      <c r="AF193" s="29">
        <f t="shared" si="128"/>
        <v>1</v>
      </c>
      <c r="AG193" s="29">
        <f t="shared" si="129"/>
        <v>1</v>
      </c>
      <c r="AH193" s="65"/>
      <c r="AI193" s="29" t="str">
        <f t="shared" si="139"/>
        <v/>
      </c>
      <c r="AJ193" s="29">
        <f t="shared" si="140"/>
        <v>1</v>
      </c>
      <c r="AK193" s="29">
        <f t="shared" si="141"/>
        <v>1</v>
      </c>
      <c r="AM193" s="29"/>
      <c r="AN193" s="29">
        <v>1</v>
      </c>
      <c r="AO193" s="29">
        <v>1</v>
      </c>
      <c r="AQ193" s="29" t="str">
        <f t="shared" si="130"/>
        <v/>
      </c>
      <c r="AR193" s="29">
        <f t="shared" si="121"/>
        <v>1</v>
      </c>
      <c r="AS193" s="29">
        <f t="shared" si="122"/>
        <v>1</v>
      </c>
      <c r="AT193" s="65"/>
      <c r="AU193" s="29" t="str">
        <f t="shared" si="142"/>
        <v/>
      </c>
      <c r="AV193" s="29">
        <f t="shared" si="131"/>
        <v>1</v>
      </c>
      <c r="AW193" s="29">
        <f t="shared" si="132"/>
        <v>1</v>
      </c>
      <c r="AY193" s="29"/>
      <c r="AZ193" s="29">
        <v>1</v>
      </c>
      <c r="BA193" s="29">
        <v>1</v>
      </c>
      <c r="BC193" s="29" t="str">
        <f t="shared" si="133"/>
        <v/>
      </c>
      <c r="BD193" s="29">
        <f t="shared" si="123"/>
        <v>1</v>
      </c>
      <c r="BE193" s="29">
        <f t="shared" si="124"/>
        <v>1</v>
      </c>
      <c r="BF193" s="65"/>
      <c r="BG193" s="29" t="str">
        <f t="shared" si="143"/>
        <v/>
      </c>
      <c r="BH193" s="29">
        <f t="shared" si="134"/>
        <v>1</v>
      </c>
      <c r="BI193" s="29">
        <f t="shared" si="135"/>
        <v>1</v>
      </c>
      <c r="BK193" s="29"/>
      <c r="BL193" s="29">
        <v>100</v>
      </c>
      <c r="BM193" s="29">
        <v>564</v>
      </c>
      <c r="BO193" s="29" t="str">
        <f t="shared" si="136"/>
        <v/>
      </c>
      <c r="BP193" s="29">
        <f t="shared" si="125"/>
        <v>100</v>
      </c>
      <c r="BQ193" s="29">
        <f t="shared" si="126"/>
        <v>677</v>
      </c>
      <c r="BR193" s="65"/>
      <c r="BS193" s="29" t="str">
        <f t="shared" si="144"/>
        <v/>
      </c>
      <c r="BT193" s="29">
        <f t="shared" si="137"/>
        <v>100</v>
      </c>
      <c r="BU193" s="29">
        <f t="shared" si="138"/>
        <v>100</v>
      </c>
      <c r="BW193" s="8" t="str">
        <f>IF(W193="","",VLOOKUP('Regular Symbol'!W193,'Regular Symbol'!$O$3:$T$13,6,0))</f>
        <v/>
      </c>
      <c r="BX193" s="8">
        <f>IF(X193="","",VLOOKUP('Regular Symbol'!X193,'Regular Symbol'!$O$3:$T$13,6,0))</f>
        <v>6</v>
      </c>
      <c r="BY193" s="8">
        <f>IF(Y193="","",VLOOKUP('Regular Symbol'!Y193,'Regular Symbol'!$O$3:$T$13,6,0))</f>
        <v>5</v>
      </c>
      <c r="CA193" s="8" t="str">
        <f t="shared" si="118"/>
        <v/>
      </c>
      <c r="CB193" s="8" t="str">
        <f t="shared" si="119"/>
        <v>Q</v>
      </c>
      <c r="CC193" s="8" t="str">
        <f t="shared" si="120"/>
        <v>K</v>
      </c>
    </row>
    <row r="194" spans="22:81" ht="16.8" customHeight="1">
      <c r="V194" s="27">
        <v>191</v>
      </c>
      <c r="W194" s="25"/>
      <c r="X194" s="25" t="s">
        <v>18</v>
      </c>
      <c r="Y194" s="25" t="s">
        <v>15</v>
      </c>
      <c r="AA194" s="29"/>
      <c r="AB194" s="29">
        <v>1</v>
      </c>
      <c r="AC194" s="29">
        <v>1</v>
      </c>
      <c r="AD194" s="65"/>
      <c r="AE194" s="29" t="str">
        <f t="shared" si="127"/>
        <v/>
      </c>
      <c r="AF194" s="29">
        <f t="shared" si="128"/>
        <v>1</v>
      </c>
      <c r="AG194" s="29">
        <f t="shared" si="129"/>
        <v>1</v>
      </c>
      <c r="AH194" s="65"/>
      <c r="AI194" s="29" t="str">
        <f t="shared" si="139"/>
        <v/>
      </c>
      <c r="AJ194" s="29">
        <f t="shared" si="140"/>
        <v>1</v>
      </c>
      <c r="AK194" s="29">
        <f t="shared" si="141"/>
        <v>1</v>
      </c>
      <c r="AM194" s="29"/>
      <c r="AN194" s="29">
        <v>1</v>
      </c>
      <c r="AO194" s="29">
        <v>1</v>
      </c>
      <c r="AQ194" s="29" t="str">
        <f t="shared" si="130"/>
        <v/>
      </c>
      <c r="AR194" s="29">
        <f t="shared" si="121"/>
        <v>1</v>
      </c>
      <c r="AS194" s="29">
        <f t="shared" si="122"/>
        <v>1</v>
      </c>
      <c r="AT194" s="65"/>
      <c r="AU194" s="29" t="str">
        <f t="shared" si="142"/>
        <v/>
      </c>
      <c r="AV194" s="29">
        <f t="shared" si="131"/>
        <v>1</v>
      </c>
      <c r="AW194" s="29">
        <f t="shared" si="132"/>
        <v>1</v>
      </c>
      <c r="AY194" s="29"/>
      <c r="AZ194" s="29">
        <v>1</v>
      </c>
      <c r="BA194" s="29">
        <v>1</v>
      </c>
      <c r="BC194" s="29" t="str">
        <f t="shared" si="133"/>
        <v/>
      </c>
      <c r="BD194" s="29">
        <f t="shared" si="123"/>
        <v>1</v>
      </c>
      <c r="BE194" s="29">
        <f t="shared" si="124"/>
        <v>1</v>
      </c>
      <c r="BF194" s="65"/>
      <c r="BG194" s="29" t="str">
        <f t="shared" si="143"/>
        <v/>
      </c>
      <c r="BH194" s="29">
        <f t="shared" si="134"/>
        <v>1</v>
      </c>
      <c r="BI194" s="29">
        <f t="shared" si="135"/>
        <v>1</v>
      </c>
      <c r="BK194" s="29"/>
      <c r="BL194" s="29">
        <v>100</v>
      </c>
      <c r="BM194" s="29">
        <v>451</v>
      </c>
      <c r="BO194" s="29" t="str">
        <f t="shared" si="136"/>
        <v/>
      </c>
      <c r="BP194" s="29">
        <f t="shared" si="125"/>
        <v>100</v>
      </c>
      <c r="BQ194" s="29">
        <f t="shared" si="126"/>
        <v>564</v>
      </c>
      <c r="BR194" s="65"/>
      <c r="BS194" s="29" t="str">
        <f t="shared" si="144"/>
        <v/>
      </c>
      <c r="BT194" s="29">
        <f t="shared" si="137"/>
        <v>100</v>
      </c>
      <c r="BU194" s="29">
        <f t="shared" si="138"/>
        <v>677</v>
      </c>
      <c r="BW194" s="8" t="str">
        <f>IF(W194="","",VLOOKUP('Regular Symbol'!W194,'Regular Symbol'!$O$3:$T$13,6,0))</f>
        <v/>
      </c>
      <c r="BX194" s="8">
        <f>IF(X194="","",VLOOKUP('Regular Symbol'!X194,'Regular Symbol'!$O$3:$T$13,6,0))</f>
        <v>3</v>
      </c>
      <c r="BY194" s="8">
        <f>IF(Y194="","",VLOOKUP('Regular Symbol'!Y194,'Regular Symbol'!$O$3:$T$13,6,0))</f>
        <v>0</v>
      </c>
      <c r="CA194" s="8" t="str">
        <f t="shared" si="118"/>
        <v/>
      </c>
      <c r="CB194" s="8" t="str">
        <f t="shared" si="119"/>
        <v>M3</v>
      </c>
      <c r="CC194" s="8" t="str">
        <f t="shared" si="120"/>
        <v>Wild</v>
      </c>
    </row>
    <row r="195" spans="22:81" ht="16.8" customHeight="1">
      <c r="V195" s="27">
        <v>192</v>
      </c>
      <c r="W195" s="25"/>
      <c r="X195" s="25" t="s">
        <v>18</v>
      </c>
      <c r="Y195" s="25" t="s">
        <v>15</v>
      </c>
      <c r="AA195" s="29"/>
      <c r="AB195" s="29">
        <v>1</v>
      </c>
      <c r="AC195" s="29">
        <v>1</v>
      </c>
      <c r="AD195" s="65"/>
      <c r="AE195" s="29" t="str">
        <f t="shared" si="127"/>
        <v/>
      </c>
      <c r="AF195" s="29">
        <f t="shared" si="128"/>
        <v>1</v>
      </c>
      <c r="AG195" s="29">
        <f t="shared" si="129"/>
        <v>1</v>
      </c>
      <c r="AH195" s="65"/>
      <c r="AI195" s="29" t="str">
        <f t="shared" si="139"/>
        <v/>
      </c>
      <c r="AJ195" s="29">
        <f t="shared" si="140"/>
        <v>1</v>
      </c>
      <c r="AK195" s="29">
        <f t="shared" si="141"/>
        <v>1</v>
      </c>
      <c r="AM195" s="29"/>
      <c r="AN195" s="29">
        <v>1</v>
      </c>
      <c r="AO195" s="29">
        <v>1</v>
      </c>
      <c r="AQ195" s="29" t="str">
        <f t="shared" si="130"/>
        <v/>
      </c>
      <c r="AR195" s="29">
        <f t="shared" si="121"/>
        <v>1</v>
      </c>
      <c r="AS195" s="29">
        <f t="shared" si="122"/>
        <v>1</v>
      </c>
      <c r="AT195" s="65"/>
      <c r="AU195" s="29" t="str">
        <f t="shared" si="142"/>
        <v/>
      </c>
      <c r="AV195" s="29">
        <f t="shared" si="131"/>
        <v>1</v>
      </c>
      <c r="AW195" s="29">
        <f t="shared" si="132"/>
        <v>1</v>
      </c>
      <c r="AY195" s="29"/>
      <c r="AZ195" s="29">
        <v>1</v>
      </c>
      <c r="BA195" s="29">
        <v>1</v>
      </c>
      <c r="BC195" s="29" t="str">
        <f t="shared" si="133"/>
        <v/>
      </c>
      <c r="BD195" s="29">
        <f t="shared" si="123"/>
        <v>1</v>
      </c>
      <c r="BE195" s="29">
        <f t="shared" si="124"/>
        <v>1</v>
      </c>
      <c r="BF195" s="65"/>
      <c r="BG195" s="29" t="str">
        <f t="shared" si="143"/>
        <v/>
      </c>
      <c r="BH195" s="29">
        <f t="shared" si="134"/>
        <v>1</v>
      </c>
      <c r="BI195" s="29">
        <f t="shared" si="135"/>
        <v>1</v>
      </c>
      <c r="BK195" s="29"/>
      <c r="BL195" s="29">
        <v>100</v>
      </c>
      <c r="BM195" s="29">
        <v>564</v>
      </c>
      <c r="BO195" s="29" t="str">
        <f t="shared" si="136"/>
        <v/>
      </c>
      <c r="BP195" s="29">
        <f t="shared" si="125"/>
        <v>100</v>
      </c>
      <c r="BQ195" s="29">
        <f t="shared" si="126"/>
        <v>451</v>
      </c>
      <c r="BR195" s="65"/>
      <c r="BS195" s="29" t="str">
        <f t="shared" si="144"/>
        <v/>
      </c>
      <c r="BT195" s="29">
        <f t="shared" si="137"/>
        <v>100</v>
      </c>
      <c r="BU195" s="29">
        <f t="shared" si="138"/>
        <v>564</v>
      </c>
      <c r="BW195" s="8" t="str">
        <f>IF(W195="","",VLOOKUP('Regular Symbol'!W195,'Regular Symbol'!$O$3:$T$13,6,0))</f>
        <v/>
      </c>
      <c r="BX195" s="8">
        <f>IF(X195="","",VLOOKUP('Regular Symbol'!X195,'Regular Symbol'!$O$3:$T$13,6,0))</f>
        <v>3</v>
      </c>
      <c r="BY195" s="8">
        <f>IF(Y195="","",VLOOKUP('Regular Symbol'!Y195,'Regular Symbol'!$O$3:$T$13,6,0))</f>
        <v>0</v>
      </c>
      <c r="CA195" s="8" t="str">
        <f t="shared" ref="CA195:CA211" si="145">IF(W195&lt;&gt;"", VLOOKUP(W195,$O$3:$P$13,2,0), "")</f>
        <v/>
      </c>
      <c r="CB195" s="8" t="str">
        <f t="shared" ref="CB195:CB211" si="146">IF(X195&lt;&gt;"", VLOOKUP(X195,$O$3:$P$13,2,0), "")</f>
        <v>M3</v>
      </c>
      <c r="CC195" s="8" t="str">
        <f t="shared" ref="CC195:CC211" si="147">IF(Y195&lt;&gt;"", VLOOKUP(Y195,$O$3:$P$13,2,0), "")</f>
        <v>Wild</v>
      </c>
    </row>
    <row r="196" spans="22:81" ht="16.8" customHeight="1">
      <c r="V196" s="27">
        <v>193</v>
      </c>
      <c r="W196" s="25"/>
      <c r="X196" s="25" t="s">
        <v>84</v>
      </c>
      <c r="Y196" s="25" t="s">
        <v>15</v>
      </c>
      <c r="AA196" s="29"/>
      <c r="AB196" s="29">
        <v>1</v>
      </c>
      <c r="AC196" s="29">
        <v>1</v>
      </c>
      <c r="AD196" s="65"/>
      <c r="AE196" s="29" t="str">
        <f t="shared" si="127"/>
        <v/>
      </c>
      <c r="AF196" s="29">
        <f t="shared" si="128"/>
        <v>1</v>
      </c>
      <c r="AG196" s="29">
        <f t="shared" si="129"/>
        <v>1</v>
      </c>
      <c r="AH196" s="65"/>
      <c r="AI196" s="29" t="str">
        <f t="shared" si="139"/>
        <v/>
      </c>
      <c r="AJ196" s="29">
        <f t="shared" si="140"/>
        <v>1</v>
      </c>
      <c r="AK196" s="29">
        <f t="shared" si="141"/>
        <v>1</v>
      </c>
      <c r="AM196" s="29"/>
      <c r="AN196" s="29">
        <v>1</v>
      </c>
      <c r="AO196" s="29">
        <v>1</v>
      </c>
      <c r="AQ196" s="29" t="str">
        <f t="shared" si="130"/>
        <v/>
      </c>
      <c r="AR196" s="29">
        <f t="shared" ref="AR196:AR211" si="148">IF(AN195="","",AN195)</f>
        <v>1</v>
      </c>
      <c r="AS196" s="29">
        <f t="shared" ref="AS196:AS211" si="149">IF(AO195="","",AO195)</f>
        <v>1</v>
      </c>
      <c r="AT196" s="65"/>
      <c r="AU196" s="29" t="str">
        <f t="shared" si="142"/>
        <v/>
      </c>
      <c r="AV196" s="29">
        <f t="shared" si="131"/>
        <v>1</v>
      </c>
      <c r="AW196" s="29">
        <f t="shared" si="132"/>
        <v>1</v>
      </c>
      <c r="AY196" s="29"/>
      <c r="AZ196" s="29">
        <v>1</v>
      </c>
      <c r="BA196" s="29">
        <v>1</v>
      </c>
      <c r="BC196" s="29" t="str">
        <f t="shared" si="133"/>
        <v/>
      </c>
      <c r="BD196" s="29">
        <f t="shared" ref="BD196:BD211" si="150">IF(AZ195="","",AZ195)</f>
        <v>1</v>
      </c>
      <c r="BE196" s="29">
        <f t="shared" ref="BE196:BE211" si="151">IF(BA195="","",BA195)</f>
        <v>1</v>
      </c>
      <c r="BF196" s="65"/>
      <c r="BG196" s="29" t="str">
        <f t="shared" si="143"/>
        <v/>
      </c>
      <c r="BH196" s="29">
        <f t="shared" si="134"/>
        <v>1</v>
      </c>
      <c r="BI196" s="29">
        <f t="shared" si="135"/>
        <v>1</v>
      </c>
      <c r="BK196" s="29"/>
      <c r="BL196" s="29">
        <v>100</v>
      </c>
      <c r="BM196" s="29">
        <v>677</v>
      </c>
      <c r="BO196" s="29" t="str">
        <f t="shared" si="136"/>
        <v/>
      </c>
      <c r="BP196" s="29">
        <f t="shared" ref="BP196:BP211" si="152">IF(BL195="","",BL195)</f>
        <v>100</v>
      </c>
      <c r="BQ196" s="29">
        <f t="shared" ref="BQ196:BQ211" si="153">IF(BM195="","",BM195)</f>
        <v>564</v>
      </c>
      <c r="BR196" s="65"/>
      <c r="BS196" s="29" t="str">
        <f t="shared" si="144"/>
        <v/>
      </c>
      <c r="BT196" s="29">
        <f t="shared" si="137"/>
        <v>100</v>
      </c>
      <c r="BU196" s="29">
        <f t="shared" si="138"/>
        <v>451</v>
      </c>
      <c r="BW196" s="8" t="str">
        <f>IF(W196="","",VLOOKUP('Regular Symbol'!W196,'Regular Symbol'!$O$3:$T$13,6,0))</f>
        <v/>
      </c>
      <c r="BX196" s="8">
        <f>IF(X196="","",VLOOKUP('Regular Symbol'!X196,'Regular Symbol'!$O$3:$T$13,6,0))</f>
        <v>7</v>
      </c>
      <c r="BY196" s="8">
        <f>IF(Y196="","",VLOOKUP('Regular Symbol'!Y196,'Regular Symbol'!$O$3:$T$13,6,0))</f>
        <v>0</v>
      </c>
      <c r="CA196" s="8" t="str">
        <f t="shared" si="145"/>
        <v/>
      </c>
      <c r="CB196" s="8" t="str">
        <f t="shared" si="146"/>
        <v>J</v>
      </c>
      <c r="CC196" s="8" t="str">
        <f t="shared" si="147"/>
        <v>Wild</v>
      </c>
    </row>
    <row r="197" spans="22:81" ht="16.8" customHeight="1">
      <c r="V197" s="27">
        <v>194</v>
      </c>
      <c r="W197" s="25"/>
      <c r="X197" s="25" t="s">
        <v>84</v>
      </c>
      <c r="Y197" s="25" t="s">
        <v>84</v>
      </c>
      <c r="AA197" s="29"/>
      <c r="AB197" s="29">
        <v>1</v>
      </c>
      <c r="AC197" s="29">
        <v>1</v>
      </c>
      <c r="AD197" s="65"/>
      <c r="AE197" s="29" t="str">
        <f t="shared" ref="AE197:AE211" si="154">IF(AA196="","",AA196)</f>
        <v/>
      </c>
      <c r="AF197" s="29">
        <f t="shared" ref="AF197:AF211" si="155">IF(AB196="","",AB196)</f>
        <v>1</v>
      </c>
      <c r="AG197" s="29">
        <f t="shared" ref="AG197:AG211" si="156">IF(AC196="","",AC196)</f>
        <v>1</v>
      </c>
      <c r="AH197" s="65"/>
      <c r="AI197" s="29" t="str">
        <f t="shared" si="139"/>
        <v/>
      </c>
      <c r="AJ197" s="29">
        <f t="shared" si="140"/>
        <v>1</v>
      </c>
      <c r="AK197" s="29">
        <f t="shared" si="141"/>
        <v>1</v>
      </c>
      <c r="AM197" s="29"/>
      <c r="AN197" s="29">
        <v>1</v>
      </c>
      <c r="AO197" s="29">
        <v>1</v>
      </c>
      <c r="AQ197" s="29" t="str">
        <f t="shared" ref="AQ197:AQ211" si="157">IF(AM196="","",AM196)</f>
        <v/>
      </c>
      <c r="AR197" s="29">
        <f t="shared" si="148"/>
        <v>1</v>
      </c>
      <c r="AS197" s="29">
        <f t="shared" si="149"/>
        <v>1</v>
      </c>
      <c r="AT197" s="65"/>
      <c r="AU197" s="29" t="str">
        <f t="shared" si="142"/>
        <v/>
      </c>
      <c r="AV197" s="29">
        <f t="shared" ref="AV197:AV211" si="158">IF(AN195="","",AN195)</f>
        <v>1</v>
      </c>
      <c r="AW197" s="29">
        <f t="shared" ref="AW197:AW211" si="159">IF(AO195="","",AO195)</f>
        <v>1</v>
      </c>
      <c r="AY197" s="29"/>
      <c r="AZ197" s="29">
        <v>1</v>
      </c>
      <c r="BA197" s="29">
        <v>1</v>
      </c>
      <c r="BC197" s="29" t="str">
        <f t="shared" ref="BC197:BC211" si="160">IF(AY196="","",AY196)</f>
        <v/>
      </c>
      <c r="BD197" s="29">
        <f t="shared" si="150"/>
        <v>1</v>
      </c>
      <c r="BE197" s="29">
        <f t="shared" si="151"/>
        <v>1</v>
      </c>
      <c r="BF197" s="65"/>
      <c r="BG197" s="29" t="str">
        <f t="shared" si="143"/>
        <v/>
      </c>
      <c r="BH197" s="29">
        <f t="shared" ref="BH197:BH211" si="161">IF(AZ195="","",AZ195)</f>
        <v>1</v>
      </c>
      <c r="BI197" s="29">
        <f t="shared" ref="BI197:BI211" si="162">IF(BA195="","",BA195)</f>
        <v>1</v>
      </c>
      <c r="BK197" s="29"/>
      <c r="BL197" s="29">
        <v>100</v>
      </c>
      <c r="BM197" s="29">
        <v>100</v>
      </c>
      <c r="BO197" s="29" t="str">
        <f t="shared" ref="BO197:BO211" si="163">IF(BK196="","",BK196)</f>
        <v/>
      </c>
      <c r="BP197" s="29">
        <f t="shared" si="152"/>
        <v>100</v>
      </c>
      <c r="BQ197" s="29">
        <f t="shared" si="153"/>
        <v>677</v>
      </c>
      <c r="BR197" s="65"/>
      <c r="BS197" s="29" t="str">
        <f t="shared" si="144"/>
        <v/>
      </c>
      <c r="BT197" s="29">
        <f t="shared" ref="BT197:BT211" si="164">IF(BL195="","",BL195)</f>
        <v>100</v>
      </c>
      <c r="BU197" s="29">
        <f t="shared" ref="BU197:BU211" si="165">IF(BM195="","",BM195)</f>
        <v>564</v>
      </c>
      <c r="BW197" s="8" t="str">
        <f>IF(W197="","",VLOOKUP('Regular Symbol'!W197,'Regular Symbol'!$O$3:$T$13,6,0))</f>
        <v/>
      </c>
      <c r="BX197" s="8">
        <f>IF(X197="","",VLOOKUP('Regular Symbol'!X197,'Regular Symbol'!$O$3:$T$13,6,0))</f>
        <v>7</v>
      </c>
      <c r="BY197" s="8">
        <f>IF(Y197="","",VLOOKUP('Regular Symbol'!Y197,'Regular Symbol'!$O$3:$T$13,6,0))</f>
        <v>7</v>
      </c>
      <c r="CA197" s="8" t="str">
        <f t="shared" si="145"/>
        <v/>
      </c>
      <c r="CB197" s="8" t="str">
        <f t="shared" si="146"/>
        <v>J</v>
      </c>
      <c r="CC197" s="8" t="str">
        <f t="shared" si="147"/>
        <v>J</v>
      </c>
    </row>
    <row r="198" spans="22:81" ht="16.8" customHeight="1">
      <c r="V198" s="27">
        <v>195</v>
      </c>
      <c r="W198" s="25"/>
      <c r="X198" s="25" t="s">
        <v>18</v>
      </c>
      <c r="Y198" s="25" t="s">
        <v>84</v>
      </c>
      <c r="AA198" s="29"/>
      <c r="AB198" s="29">
        <v>1</v>
      </c>
      <c r="AC198" s="29">
        <v>1</v>
      </c>
      <c r="AD198" s="65"/>
      <c r="AE198" s="29" t="str">
        <f t="shared" si="154"/>
        <v/>
      </c>
      <c r="AF198" s="29">
        <f t="shared" si="155"/>
        <v>1</v>
      </c>
      <c r="AG198" s="29">
        <f t="shared" si="156"/>
        <v>1</v>
      </c>
      <c r="AH198" s="65"/>
      <c r="AI198" s="29" t="str">
        <f t="shared" ref="AI198:AI211" si="166">IF(AA196="","",AA196)</f>
        <v/>
      </c>
      <c r="AJ198" s="29">
        <f t="shared" ref="AJ198:AJ211" si="167">IF(AB196="","",AB196)</f>
        <v>1</v>
      </c>
      <c r="AK198" s="29">
        <f t="shared" ref="AK198:AK211" si="168">IF(AC196="","",AC196)</f>
        <v>1</v>
      </c>
      <c r="AM198" s="29"/>
      <c r="AN198" s="29">
        <v>1</v>
      </c>
      <c r="AO198" s="29">
        <v>1</v>
      </c>
      <c r="AQ198" s="29" t="str">
        <f t="shared" si="157"/>
        <v/>
      </c>
      <c r="AR198" s="29">
        <f t="shared" si="148"/>
        <v>1</v>
      </c>
      <c r="AS198" s="29">
        <f t="shared" si="149"/>
        <v>1</v>
      </c>
      <c r="AT198" s="65"/>
      <c r="AU198" s="29" t="str">
        <f t="shared" ref="AU198:AU211" si="169">IF(AM196="","",AM196)</f>
        <v/>
      </c>
      <c r="AV198" s="29">
        <f t="shared" si="158"/>
        <v>1</v>
      </c>
      <c r="AW198" s="29">
        <f t="shared" si="159"/>
        <v>1</v>
      </c>
      <c r="AY198" s="29"/>
      <c r="AZ198" s="29">
        <v>1</v>
      </c>
      <c r="BA198" s="29">
        <v>1</v>
      </c>
      <c r="BC198" s="29" t="str">
        <f t="shared" si="160"/>
        <v/>
      </c>
      <c r="BD198" s="29">
        <f t="shared" si="150"/>
        <v>1</v>
      </c>
      <c r="BE198" s="29">
        <f t="shared" si="151"/>
        <v>1</v>
      </c>
      <c r="BF198" s="65"/>
      <c r="BG198" s="29" t="str">
        <f t="shared" ref="BG198:BG211" si="170">IF(AY196="","",AY196)</f>
        <v/>
      </c>
      <c r="BH198" s="29">
        <f t="shared" si="161"/>
        <v>1</v>
      </c>
      <c r="BI198" s="29">
        <f t="shared" si="162"/>
        <v>1</v>
      </c>
      <c r="BK198" s="29"/>
      <c r="BL198" s="29">
        <v>100</v>
      </c>
      <c r="BM198" s="29">
        <v>677</v>
      </c>
      <c r="BO198" s="29" t="str">
        <f t="shared" si="163"/>
        <v/>
      </c>
      <c r="BP198" s="29">
        <f t="shared" si="152"/>
        <v>100</v>
      </c>
      <c r="BQ198" s="29">
        <f t="shared" si="153"/>
        <v>100</v>
      </c>
      <c r="BR198" s="65"/>
      <c r="BS198" s="29" t="str">
        <f t="shared" ref="BS198:BS211" si="171">IF(BK196="","",BK196)</f>
        <v/>
      </c>
      <c r="BT198" s="29">
        <f t="shared" si="164"/>
        <v>100</v>
      </c>
      <c r="BU198" s="29">
        <f t="shared" si="165"/>
        <v>677</v>
      </c>
      <c r="BW198" s="8" t="str">
        <f>IF(W198="","",VLOOKUP('Regular Symbol'!W198,'Regular Symbol'!$O$3:$T$13,6,0))</f>
        <v/>
      </c>
      <c r="BX198" s="8">
        <f>IF(X198="","",VLOOKUP('Regular Symbol'!X198,'Regular Symbol'!$O$3:$T$13,6,0))</f>
        <v>3</v>
      </c>
      <c r="BY198" s="8">
        <f>IF(Y198="","",VLOOKUP('Regular Symbol'!Y198,'Regular Symbol'!$O$3:$T$13,6,0))</f>
        <v>7</v>
      </c>
      <c r="CA198" s="8" t="str">
        <f t="shared" si="145"/>
        <v/>
      </c>
      <c r="CB198" s="8" t="str">
        <f t="shared" si="146"/>
        <v>M3</v>
      </c>
      <c r="CC198" s="8" t="str">
        <f t="shared" si="147"/>
        <v>J</v>
      </c>
    </row>
    <row r="199" spans="22:81" ht="16.8" customHeight="1">
      <c r="V199" s="27">
        <v>196</v>
      </c>
      <c r="W199" s="25"/>
      <c r="X199" s="25" t="s">
        <v>18</v>
      </c>
      <c r="Y199" s="25" t="s">
        <v>84</v>
      </c>
      <c r="AA199" s="29"/>
      <c r="AB199" s="29">
        <v>1</v>
      </c>
      <c r="AC199" s="29">
        <v>1</v>
      </c>
      <c r="AD199" s="65"/>
      <c r="AE199" s="29" t="str">
        <f t="shared" si="154"/>
        <v/>
      </c>
      <c r="AF199" s="29">
        <f t="shared" si="155"/>
        <v>1</v>
      </c>
      <c r="AG199" s="29">
        <f t="shared" si="156"/>
        <v>1</v>
      </c>
      <c r="AH199" s="65"/>
      <c r="AI199" s="29" t="str">
        <f t="shared" si="166"/>
        <v/>
      </c>
      <c r="AJ199" s="29">
        <f t="shared" si="167"/>
        <v>1</v>
      </c>
      <c r="AK199" s="29">
        <f t="shared" si="168"/>
        <v>1</v>
      </c>
      <c r="AM199" s="29"/>
      <c r="AN199" s="29">
        <v>1</v>
      </c>
      <c r="AO199" s="29">
        <v>1</v>
      </c>
      <c r="AQ199" s="29" t="str">
        <f t="shared" si="157"/>
        <v/>
      </c>
      <c r="AR199" s="29">
        <f t="shared" si="148"/>
        <v>1</v>
      </c>
      <c r="AS199" s="29">
        <f t="shared" si="149"/>
        <v>1</v>
      </c>
      <c r="AT199" s="65"/>
      <c r="AU199" s="29" t="str">
        <f t="shared" si="169"/>
        <v/>
      </c>
      <c r="AV199" s="29">
        <f t="shared" si="158"/>
        <v>1</v>
      </c>
      <c r="AW199" s="29">
        <f t="shared" si="159"/>
        <v>1</v>
      </c>
      <c r="AY199" s="29"/>
      <c r="AZ199" s="29">
        <v>1</v>
      </c>
      <c r="BA199" s="29">
        <v>1</v>
      </c>
      <c r="BC199" s="29" t="str">
        <f t="shared" si="160"/>
        <v/>
      </c>
      <c r="BD199" s="29">
        <f t="shared" si="150"/>
        <v>1</v>
      </c>
      <c r="BE199" s="29">
        <f t="shared" si="151"/>
        <v>1</v>
      </c>
      <c r="BF199" s="65"/>
      <c r="BG199" s="29" t="str">
        <f t="shared" si="170"/>
        <v/>
      </c>
      <c r="BH199" s="29">
        <f t="shared" si="161"/>
        <v>1</v>
      </c>
      <c r="BI199" s="29">
        <f t="shared" si="162"/>
        <v>1</v>
      </c>
      <c r="BK199" s="29"/>
      <c r="BL199" s="29">
        <v>100</v>
      </c>
      <c r="BM199" s="29">
        <v>564</v>
      </c>
      <c r="BO199" s="29" t="str">
        <f t="shared" si="163"/>
        <v/>
      </c>
      <c r="BP199" s="29">
        <f t="shared" si="152"/>
        <v>100</v>
      </c>
      <c r="BQ199" s="29">
        <f t="shared" si="153"/>
        <v>677</v>
      </c>
      <c r="BR199" s="65"/>
      <c r="BS199" s="29" t="str">
        <f t="shared" si="171"/>
        <v/>
      </c>
      <c r="BT199" s="29">
        <f t="shared" si="164"/>
        <v>100</v>
      </c>
      <c r="BU199" s="29">
        <f t="shared" si="165"/>
        <v>100</v>
      </c>
      <c r="BW199" s="8" t="str">
        <f>IF(W199="","",VLOOKUP('Regular Symbol'!W199,'Regular Symbol'!$O$3:$T$13,6,0))</f>
        <v/>
      </c>
      <c r="BX199" s="8">
        <f>IF(X199="","",VLOOKUP('Regular Symbol'!X199,'Regular Symbol'!$O$3:$T$13,6,0))</f>
        <v>3</v>
      </c>
      <c r="BY199" s="8">
        <f>IF(Y199="","",VLOOKUP('Regular Symbol'!Y199,'Regular Symbol'!$O$3:$T$13,6,0))</f>
        <v>7</v>
      </c>
      <c r="CA199" s="8" t="str">
        <f t="shared" si="145"/>
        <v/>
      </c>
      <c r="CB199" s="8" t="str">
        <f t="shared" si="146"/>
        <v>M3</v>
      </c>
      <c r="CC199" s="8" t="str">
        <f t="shared" si="147"/>
        <v>J</v>
      </c>
    </row>
    <row r="200" spans="22:81" ht="16.8" customHeight="1">
      <c r="V200" s="27">
        <v>197</v>
      </c>
      <c r="W200" s="25"/>
      <c r="X200" s="25" t="s">
        <v>82</v>
      </c>
      <c r="Y200" s="25" t="s">
        <v>25</v>
      </c>
      <c r="AA200" s="29"/>
      <c r="AB200" s="29">
        <v>1</v>
      </c>
      <c r="AC200" s="29">
        <v>1</v>
      </c>
      <c r="AD200" s="65"/>
      <c r="AE200" s="29" t="str">
        <f t="shared" si="154"/>
        <v/>
      </c>
      <c r="AF200" s="29">
        <f t="shared" si="155"/>
        <v>1</v>
      </c>
      <c r="AG200" s="29">
        <f t="shared" si="156"/>
        <v>1</v>
      </c>
      <c r="AH200" s="65"/>
      <c r="AI200" s="29" t="str">
        <f t="shared" si="166"/>
        <v/>
      </c>
      <c r="AJ200" s="29">
        <f t="shared" si="167"/>
        <v>1</v>
      </c>
      <c r="AK200" s="29">
        <f t="shared" si="168"/>
        <v>1</v>
      </c>
      <c r="AM200" s="29"/>
      <c r="AN200" s="29">
        <v>1</v>
      </c>
      <c r="AO200" s="29">
        <v>1</v>
      </c>
      <c r="AQ200" s="29" t="str">
        <f t="shared" si="157"/>
        <v/>
      </c>
      <c r="AR200" s="29">
        <f t="shared" si="148"/>
        <v>1</v>
      </c>
      <c r="AS200" s="29">
        <f t="shared" si="149"/>
        <v>1</v>
      </c>
      <c r="AT200" s="65"/>
      <c r="AU200" s="29" t="str">
        <f t="shared" si="169"/>
        <v/>
      </c>
      <c r="AV200" s="29">
        <f t="shared" si="158"/>
        <v>1</v>
      </c>
      <c r="AW200" s="29">
        <f t="shared" si="159"/>
        <v>1</v>
      </c>
      <c r="AY200" s="29"/>
      <c r="AZ200" s="29">
        <v>1</v>
      </c>
      <c r="BA200" s="29">
        <v>1</v>
      </c>
      <c r="BC200" s="29" t="str">
        <f t="shared" si="160"/>
        <v/>
      </c>
      <c r="BD200" s="29">
        <f t="shared" si="150"/>
        <v>1</v>
      </c>
      <c r="BE200" s="29">
        <f t="shared" si="151"/>
        <v>1</v>
      </c>
      <c r="BF200" s="65"/>
      <c r="BG200" s="29" t="str">
        <f t="shared" si="170"/>
        <v/>
      </c>
      <c r="BH200" s="29">
        <f t="shared" si="161"/>
        <v>1</v>
      </c>
      <c r="BI200" s="29">
        <f t="shared" si="162"/>
        <v>1</v>
      </c>
      <c r="BK200" s="29"/>
      <c r="BL200" s="29">
        <v>100</v>
      </c>
      <c r="BM200" s="29">
        <v>451</v>
      </c>
      <c r="BO200" s="29" t="str">
        <f t="shared" si="163"/>
        <v/>
      </c>
      <c r="BP200" s="29">
        <f t="shared" si="152"/>
        <v>100</v>
      </c>
      <c r="BQ200" s="29">
        <f t="shared" si="153"/>
        <v>564</v>
      </c>
      <c r="BR200" s="65"/>
      <c r="BS200" s="29" t="str">
        <f t="shared" si="171"/>
        <v/>
      </c>
      <c r="BT200" s="29">
        <f t="shared" si="164"/>
        <v>100</v>
      </c>
      <c r="BU200" s="29">
        <f t="shared" si="165"/>
        <v>677</v>
      </c>
      <c r="BW200" s="8" t="str">
        <f>IF(W200="","",VLOOKUP('Regular Symbol'!W200,'Regular Symbol'!$O$3:$T$13,6,0))</f>
        <v/>
      </c>
      <c r="BX200" s="8">
        <f>IF(X200="","",VLOOKUP('Regular Symbol'!X200,'Regular Symbol'!$O$3:$T$13,6,0))</f>
        <v>5</v>
      </c>
      <c r="BY200" s="8">
        <f>IF(Y200="","",VLOOKUP('Regular Symbol'!Y200,'Regular Symbol'!$O$3:$T$13,6,0))</f>
        <v>0</v>
      </c>
      <c r="CA200" s="8" t="str">
        <f t="shared" si="145"/>
        <v/>
      </c>
      <c r="CB200" s="8" t="str">
        <f t="shared" si="146"/>
        <v>K</v>
      </c>
      <c r="CC200" s="8" t="str">
        <f t="shared" si="147"/>
        <v>Wild</v>
      </c>
    </row>
    <row r="201" spans="22:81" ht="16.8" customHeight="1">
      <c r="V201" s="27">
        <v>198</v>
      </c>
      <c r="W201" s="25"/>
      <c r="X201" s="25" t="s">
        <v>82</v>
      </c>
      <c r="Y201" s="25" t="s">
        <v>25</v>
      </c>
      <c r="AA201" s="29"/>
      <c r="AB201" s="29">
        <v>1</v>
      </c>
      <c r="AC201" s="29">
        <v>1</v>
      </c>
      <c r="AD201" s="65"/>
      <c r="AE201" s="29" t="str">
        <f t="shared" si="154"/>
        <v/>
      </c>
      <c r="AF201" s="29">
        <f t="shared" si="155"/>
        <v>1</v>
      </c>
      <c r="AG201" s="29">
        <f t="shared" si="156"/>
        <v>1</v>
      </c>
      <c r="AH201" s="65"/>
      <c r="AI201" s="29" t="str">
        <f t="shared" si="166"/>
        <v/>
      </c>
      <c r="AJ201" s="29">
        <f t="shared" si="167"/>
        <v>1</v>
      </c>
      <c r="AK201" s="29">
        <f t="shared" si="168"/>
        <v>1</v>
      </c>
      <c r="AM201" s="29"/>
      <c r="AN201" s="29">
        <v>1</v>
      </c>
      <c r="AO201" s="29">
        <v>1</v>
      </c>
      <c r="AQ201" s="29" t="str">
        <f t="shared" si="157"/>
        <v/>
      </c>
      <c r="AR201" s="29">
        <f t="shared" si="148"/>
        <v>1</v>
      </c>
      <c r="AS201" s="29">
        <f t="shared" si="149"/>
        <v>1</v>
      </c>
      <c r="AT201" s="65"/>
      <c r="AU201" s="29" t="str">
        <f t="shared" si="169"/>
        <v/>
      </c>
      <c r="AV201" s="29">
        <f t="shared" si="158"/>
        <v>1</v>
      </c>
      <c r="AW201" s="29">
        <f t="shared" si="159"/>
        <v>1</v>
      </c>
      <c r="AY201" s="29"/>
      <c r="AZ201" s="29">
        <v>1</v>
      </c>
      <c r="BA201" s="29">
        <v>1</v>
      </c>
      <c r="BC201" s="29" t="str">
        <f t="shared" si="160"/>
        <v/>
      </c>
      <c r="BD201" s="29">
        <f t="shared" si="150"/>
        <v>1</v>
      </c>
      <c r="BE201" s="29">
        <f t="shared" si="151"/>
        <v>1</v>
      </c>
      <c r="BF201" s="65"/>
      <c r="BG201" s="29" t="str">
        <f t="shared" si="170"/>
        <v/>
      </c>
      <c r="BH201" s="29">
        <f t="shared" si="161"/>
        <v>1</v>
      </c>
      <c r="BI201" s="29">
        <f t="shared" si="162"/>
        <v>1</v>
      </c>
      <c r="BK201" s="29"/>
      <c r="BL201" s="29">
        <v>701</v>
      </c>
      <c r="BM201" s="29">
        <v>564</v>
      </c>
      <c r="BO201" s="29" t="str">
        <f t="shared" si="163"/>
        <v/>
      </c>
      <c r="BP201" s="29">
        <f t="shared" si="152"/>
        <v>100</v>
      </c>
      <c r="BQ201" s="29">
        <f t="shared" si="153"/>
        <v>451</v>
      </c>
      <c r="BR201" s="65"/>
      <c r="BS201" s="29" t="str">
        <f t="shared" si="171"/>
        <v/>
      </c>
      <c r="BT201" s="29">
        <f t="shared" si="164"/>
        <v>100</v>
      </c>
      <c r="BU201" s="29">
        <f t="shared" si="165"/>
        <v>564</v>
      </c>
      <c r="BW201" s="8" t="str">
        <f>IF(W201="","",VLOOKUP('Regular Symbol'!W201,'Regular Symbol'!$O$3:$T$13,6,0))</f>
        <v/>
      </c>
      <c r="BX201" s="8">
        <f>IF(X201="","",VLOOKUP('Regular Symbol'!X201,'Regular Symbol'!$O$3:$T$13,6,0))</f>
        <v>5</v>
      </c>
      <c r="BY201" s="8">
        <f>IF(Y201="","",VLOOKUP('Regular Symbol'!Y201,'Regular Symbol'!$O$3:$T$13,6,0))</f>
        <v>0</v>
      </c>
      <c r="CA201" s="8" t="str">
        <f t="shared" si="145"/>
        <v/>
      </c>
      <c r="CB201" s="8" t="str">
        <f t="shared" si="146"/>
        <v>K</v>
      </c>
      <c r="CC201" s="8" t="str">
        <f t="shared" si="147"/>
        <v>Wild</v>
      </c>
    </row>
    <row r="202" spans="22:81" ht="16.8" customHeight="1">
      <c r="V202" s="27">
        <v>199</v>
      </c>
      <c r="W202" s="25"/>
      <c r="X202" s="25" t="s">
        <v>82</v>
      </c>
      <c r="Y202" s="25" t="s">
        <v>25</v>
      </c>
      <c r="AA202" s="29"/>
      <c r="AB202" s="29">
        <v>1</v>
      </c>
      <c r="AC202" s="29">
        <v>1</v>
      </c>
      <c r="AD202" s="65"/>
      <c r="AE202" s="29" t="str">
        <f t="shared" si="154"/>
        <v/>
      </c>
      <c r="AF202" s="29">
        <f t="shared" si="155"/>
        <v>1</v>
      </c>
      <c r="AG202" s="29">
        <f t="shared" si="156"/>
        <v>1</v>
      </c>
      <c r="AH202" s="65"/>
      <c r="AI202" s="29" t="str">
        <f t="shared" si="166"/>
        <v/>
      </c>
      <c r="AJ202" s="29">
        <f t="shared" si="167"/>
        <v>1</v>
      </c>
      <c r="AK202" s="29">
        <f t="shared" si="168"/>
        <v>1</v>
      </c>
      <c r="AM202" s="29"/>
      <c r="AN202" s="29">
        <v>1</v>
      </c>
      <c r="AO202" s="29">
        <v>1</v>
      </c>
      <c r="AQ202" s="29" t="str">
        <f t="shared" si="157"/>
        <v/>
      </c>
      <c r="AR202" s="29">
        <f t="shared" si="148"/>
        <v>1</v>
      </c>
      <c r="AS202" s="29">
        <f t="shared" si="149"/>
        <v>1</v>
      </c>
      <c r="AT202" s="65"/>
      <c r="AU202" s="29" t="str">
        <f t="shared" si="169"/>
        <v/>
      </c>
      <c r="AV202" s="29">
        <f t="shared" si="158"/>
        <v>1</v>
      </c>
      <c r="AW202" s="29">
        <f t="shared" si="159"/>
        <v>1</v>
      </c>
      <c r="AY202" s="29"/>
      <c r="AZ202" s="29">
        <v>1</v>
      </c>
      <c r="BA202" s="29">
        <v>1</v>
      </c>
      <c r="BC202" s="29" t="str">
        <f t="shared" si="160"/>
        <v/>
      </c>
      <c r="BD202" s="29">
        <f t="shared" si="150"/>
        <v>1</v>
      </c>
      <c r="BE202" s="29">
        <f t="shared" si="151"/>
        <v>1</v>
      </c>
      <c r="BF202" s="65"/>
      <c r="BG202" s="29" t="str">
        <f t="shared" si="170"/>
        <v/>
      </c>
      <c r="BH202" s="29">
        <f t="shared" si="161"/>
        <v>1</v>
      </c>
      <c r="BI202" s="29">
        <f t="shared" si="162"/>
        <v>1</v>
      </c>
      <c r="BK202" s="29"/>
      <c r="BL202" s="29">
        <v>584</v>
      </c>
      <c r="BM202" s="29">
        <v>677</v>
      </c>
      <c r="BO202" s="29" t="str">
        <f t="shared" si="163"/>
        <v/>
      </c>
      <c r="BP202" s="29">
        <f t="shared" si="152"/>
        <v>701</v>
      </c>
      <c r="BQ202" s="29">
        <f t="shared" si="153"/>
        <v>564</v>
      </c>
      <c r="BR202" s="65"/>
      <c r="BS202" s="29" t="str">
        <f t="shared" si="171"/>
        <v/>
      </c>
      <c r="BT202" s="29">
        <f t="shared" si="164"/>
        <v>100</v>
      </c>
      <c r="BU202" s="29">
        <f t="shared" si="165"/>
        <v>451</v>
      </c>
      <c r="BW202" s="8" t="str">
        <f>IF(W202="","",VLOOKUP('Regular Symbol'!W202,'Regular Symbol'!$O$3:$T$13,6,0))</f>
        <v/>
      </c>
      <c r="BX202" s="8">
        <f>IF(X202="","",VLOOKUP('Regular Symbol'!X202,'Regular Symbol'!$O$3:$T$13,6,0))</f>
        <v>5</v>
      </c>
      <c r="BY202" s="8">
        <f>IF(Y202="","",VLOOKUP('Regular Symbol'!Y202,'Regular Symbol'!$O$3:$T$13,6,0))</f>
        <v>0</v>
      </c>
      <c r="CA202" s="8" t="str">
        <f t="shared" si="145"/>
        <v/>
      </c>
      <c r="CB202" s="8" t="str">
        <f t="shared" si="146"/>
        <v>K</v>
      </c>
      <c r="CC202" s="8" t="str">
        <f t="shared" si="147"/>
        <v>Wild</v>
      </c>
    </row>
    <row r="203" spans="22:81" ht="16.8" customHeight="1">
      <c r="V203" s="27">
        <v>200</v>
      </c>
      <c r="W203" s="25"/>
      <c r="X203" s="25" t="s">
        <v>25</v>
      </c>
      <c r="Y203" s="25" t="s">
        <v>84</v>
      </c>
      <c r="AA203" s="29"/>
      <c r="AB203" s="29">
        <v>1</v>
      </c>
      <c r="AC203" s="29">
        <v>1</v>
      </c>
      <c r="AD203" s="65"/>
      <c r="AE203" s="29" t="str">
        <f t="shared" si="154"/>
        <v/>
      </c>
      <c r="AF203" s="29">
        <f t="shared" si="155"/>
        <v>1</v>
      </c>
      <c r="AG203" s="29">
        <f t="shared" si="156"/>
        <v>1</v>
      </c>
      <c r="AH203" s="65"/>
      <c r="AI203" s="29" t="str">
        <f t="shared" si="166"/>
        <v/>
      </c>
      <c r="AJ203" s="29">
        <f t="shared" si="167"/>
        <v>1</v>
      </c>
      <c r="AK203" s="29">
        <f t="shared" si="168"/>
        <v>1</v>
      </c>
      <c r="AM203" s="29"/>
      <c r="AN203" s="29">
        <v>1</v>
      </c>
      <c r="AO203" s="29">
        <v>1</v>
      </c>
      <c r="AQ203" s="29" t="str">
        <f t="shared" si="157"/>
        <v/>
      </c>
      <c r="AR203" s="29">
        <f t="shared" si="148"/>
        <v>1</v>
      </c>
      <c r="AS203" s="29">
        <f t="shared" si="149"/>
        <v>1</v>
      </c>
      <c r="AT203" s="65"/>
      <c r="AU203" s="29" t="str">
        <f t="shared" si="169"/>
        <v/>
      </c>
      <c r="AV203" s="29">
        <f t="shared" si="158"/>
        <v>1</v>
      </c>
      <c r="AW203" s="29">
        <f t="shared" si="159"/>
        <v>1</v>
      </c>
      <c r="AY203" s="29"/>
      <c r="AZ203" s="29">
        <v>1</v>
      </c>
      <c r="BA203" s="29">
        <v>1</v>
      </c>
      <c r="BC203" s="29" t="str">
        <f t="shared" si="160"/>
        <v/>
      </c>
      <c r="BD203" s="29">
        <f t="shared" si="150"/>
        <v>1</v>
      </c>
      <c r="BE203" s="29">
        <f t="shared" si="151"/>
        <v>1</v>
      </c>
      <c r="BF203" s="65"/>
      <c r="BG203" s="29" t="str">
        <f t="shared" si="170"/>
        <v/>
      </c>
      <c r="BH203" s="29">
        <f t="shared" si="161"/>
        <v>1</v>
      </c>
      <c r="BI203" s="29">
        <f t="shared" si="162"/>
        <v>1</v>
      </c>
      <c r="BK203" s="29"/>
      <c r="BL203" s="29">
        <v>467</v>
      </c>
      <c r="BM203" s="29">
        <v>100</v>
      </c>
      <c r="BO203" s="29" t="str">
        <f t="shared" si="163"/>
        <v/>
      </c>
      <c r="BP203" s="29">
        <f t="shared" si="152"/>
        <v>584</v>
      </c>
      <c r="BQ203" s="29">
        <f t="shared" si="153"/>
        <v>677</v>
      </c>
      <c r="BR203" s="65"/>
      <c r="BS203" s="29" t="str">
        <f t="shared" si="171"/>
        <v/>
      </c>
      <c r="BT203" s="29">
        <f t="shared" si="164"/>
        <v>701</v>
      </c>
      <c r="BU203" s="29">
        <f t="shared" si="165"/>
        <v>564</v>
      </c>
      <c r="BW203" s="8" t="str">
        <f>IF(W203="","",VLOOKUP('Regular Symbol'!W203,'Regular Symbol'!$O$3:$T$13,6,0))</f>
        <v/>
      </c>
      <c r="BX203" s="8">
        <f>IF(X203="","",VLOOKUP('Regular Symbol'!X203,'Regular Symbol'!$O$3:$T$13,6,0))</f>
        <v>0</v>
      </c>
      <c r="BY203" s="8">
        <f>IF(Y203="","",VLOOKUP('Regular Symbol'!Y203,'Regular Symbol'!$O$3:$T$13,6,0))</f>
        <v>7</v>
      </c>
      <c r="CA203" s="8" t="str">
        <f t="shared" si="145"/>
        <v/>
      </c>
      <c r="CB203" s="8" t="str">
        <f t="shared" si="146"/>
        <v>Wild</v>
      </c>
      <c r="CC203" s="8" t="str">
        <f t="shared" si="147"/>
        <v>J</v>
      </c>
    </row>
    <row r="204" spans="22:81" ht="16.8" customHeight="1">
      <c r="V204" s="27">
        <v>201</v>
      </c>
      <c r="W204" s="25"/>
      <c r="X204" s="25" t="s">
        <v>25</v>
      </c>
      <c r="Y204" s="25" t="s">
        <v>84</v>
      </c>
      <c r="AA204" s="29"/>
      <c r="AB204" s="29">
        <v>1</v>
      </c>
      <c r="AC204" s="29">
        <v>1</v>
      </c>
      <c r="AD204" s="65"/>
      <c r="AE204" s="29" t="str">
        <f t="shared" si="154"/>
        <v/>
      </c>
      <c r="AF204" s="29">
        <f t="shared" si="155"/>
        <v>1</v>
      </c>
      <c r="AG204" s="29">
        <f t="shared" si="156"/>
        <v>1</v>
      </c>
      <c r="AH204" s="65"/>
      <c r="AI204" s="29" t="str">
        <f t="shared" si="166"/>
        <v/>
      </c>
      <c r="AJ204" s="29">
        <f t="shared" si="167"/>
        <v>1</v>
      </c>
      <c r="AK204" s="29">
        <f t="shared" si="168"/>
        <v>1</v>
      </c>
      <c r="AM204" s="29"/>
      <c r="AN204" s="29">
        <v>1</v>
      </c>
      <c r="AO204" s="29">
        <v>1</v>
      </c>
      <c r="AQ204" s="29" t="str">
        <f t="shared" si="157"/>
        <v/>
      </c>
      <c r="AR204" s="29">
        <f t="shared" si="148"/>
        <v>1</v>
      </c>
      <c r="AS204" s="29">
        <f t="shared" si="149"/>
        <v>1</v>
      </c>
      <c r="AT204" s="65"/>
      <c r="AU204" s="29" t="str">
        <f t="shared" si="169"/>
        <v/>
      </c>
      <c r="AV204" s="29">
        <f t="shared" si="158"/>
        <v>1</v>
      </c>
      <c r="AW204" s="29">
        <f t="shared" si="159"/>
        <v>1</v>
      </c>
      <c r="AY204" s="29"/>
      <c r="AZ204" s="29">
        <v>1</v>
      </c>
      <c r="BA204" s="29">
        <v>1</v>
      </c>
      <c r="BC204" s="29" t="str">
        <f t="shared" si="160"/>
        <v/>
      </c>
      <c r="BD204" s="29">
        <f t="shared" si="150"/>
        <v>1</v>
      </c>
      <c r="BE204" s="29">
        <f t="shared" si="151"/>
        <v>1</v>
      </c>
      <c r="BF204" s="65"/>
      <c r="BG204" s="29" t="str">
        <f t="shared" si="170"/>
        <v/>
      </c>
      <c r="BH204" s="29">
        <f t="shared" si="161"/>
        <v>1</v>
      </c>
      <c r="BI204" s="29">
        <f t="shared" si="162"/>
        <v>1</v>
      </c>
      <c r="BK204" s="29"/>
      <c r="BL204" s="29">
        <v>584</v>
      </c>
      <c r="BM204" s="29">
        <v>100</v>
      </c>
      <c r="BO204" s="29" t="str">
        <f t="shared" si="163"/>
        <v/>
      </c>
      <c r="BP204" s="29">
        <f t="shared" si="152"/>
        <v>467</v>
      </c>
      <c r="BQ204" s="29">
        <f t="shared" si="153"/>
        <v>100</v>
      </c>
      <c r="BR204" s="65"/>
      <c r="BS204" s="29" t="str">
        <f t="shared" si="171"/>
        <v/>
      </c>
      <c r="BT204" s="29">
        <f t="shared" si="164"/>
        <v>584</v>
      </c>
      <c r="BU204" s="29">
        <f t="shared" si="165"/>
        <v>677</v>
      </c>
      <c r="BW204" s="8" t="str">
        <f>IF(W204="","",VLOOKUP('Regular Symbol'!W204,'Regular Symbol'!$O$3:$T$13,6,0))</f>
        <v/>
      </c>
      <c r="BX204" s="8">
        <f>IF(X204="","",VLOOKUP('Regular Symbol'!X204,'Regular Symbol'!$O$3:$T$13,6,0))</f>
        <v>0</v>
      </c>
      <c r="BY204" s="8">
        <f>IF(Y204="","",VLOOKUP('Regular Symbol'!Y204,'Regular Symbol'!$O$3:$T$13,6,0))</f>
        <v>7</v>
      </c>
      <c r="CA204" s="8" t="str">
        <f t="shared" si="145"/>
        <v/>
      </c>
      <c r="CB204" s="8" t="str">
        <f t="shared" si="146"/>
        <v>Wild</v>
      </c>
      <c r="CC204" s="8" t="str">
        <f t="shared" si="147"/>
        <v>J</v>
      </c>
    </row>
    <row r="205" spans="22:81" ht="16.8" customHeight="1">
      <c r="V205" s="27">
        <v>202</v>
      </c>
      <c r="W205" s="25"/>
      <c r="X205" s="25" t="s">
        <v>25</v>
      </c>
      <c r="Y205" s="25" t="s">
        <v>82</v>
      </c>
      <c r="AA205" s="29"/>
      <c r="AB205" s="29">
        <v>1</v>
      </c>
      <c r="AC205" s="29">
        <v>1</v>
      </c>
      <c r="AD205" s="65"/>
      <c r="AE205" s="29" t="str">
        <f t="shared" si="154"/>
        <v/>
      </c>
      <c r="AF205" s="29">
        <f t="shared" si="155"/>
        <v>1</v>
      </c>
      <c r="AG205" s="29">
        <f t="shared" si="156"/>
        <v>1</v>
      </c>
      <c r="AH205" s="65"/>
      <c r="AI205" s="29" t="str">
        <f t="shared" si="166"/>
        <v/>
      </c>
      <c r="AJ205" s="29">
        <f t="shared" si="167"/>
        <v>1</v>
      </c>
      <c r="AK205" s="29">
        <f t="shared" si="168"/>
        <v>1</v>
      </c>
      <c r="AM205" s="29"/>
      <c r="AN205" s="29">
        <v>1</v>
      </c>
      <c r="AO205" s="29">
        <v>1</v>
      </c>
      <c r="AQ205" s="29" t="str">
        <f t="shared" si="157"/>
        <v/>
      </c>
      <c r="AR205" s="29">
        <f t="shared" si="148"/>
        <v>1</v>
      </c>
      <c r="AS205" s="29">
        <f t="shared" si="149"/>
        <v>1</v>
      </c>
      <c r="AT205" s="65"/>
      <c r="AU205" s="29" t="str">
        <f t="shared" si="169"/>
        <v/>
      </c>
      <c r="AV205" s="29">
        <f t="shared" si="158"/>
        <v>1</v>
      </c>
      <c r="AW205" s="29">
        <f t="shared" si="159"/>
        <v>1</v>
      </c>
      <c r="AY205" s="29"/>
      <c r="AZ205" s="29">
        <v>1</v>
      </c>
      <c r="BA205" s="29">
        <v>1</v>
      </c>
      <c r="BC205" s="29" t="str">
        <f t="shared" si="160"/>
        <v/>
      </c>
      <c r="BD205" s="29">
        <f t="shared" si="150"/>
        <v>1</v>
      </c>
      <c r="BE205" s="29">
        <f t="shared" si="151"/>
        <v>1</v>
      </c>
      <c r="BF205" s="65"/>
      <c r="BG205" s="29" t="str">
        <f t="shared" si="170"/>
        <v/>
      </c>
      <c r="BH205" s="29">
        <f t="shared" si="161"/>
        <v>1</v>
      </c>
      <c r="BI205" s="29">
        <f t="shared" si="162"/>
        <v>1</v>
      </c>
      <c r="BK205" s="29"/>
      <c r="BL205" s="29">
        <v>701</v>
      </c>
      <c r="BM205" s="29">
        <v>100</v>
      </c>
      <c r="BO205" s="29" t="str">
        <f t="shared" si="163"/>
        <v/>
      </c>
      <c r="BP205" s="29">
        <f t="shared" si="152"/>
        <v>584</v>
      </c>
      <c r="BQ205" s="29">
        <f t="shared" si="153"/>
        <v>100</v>
      </c>
      <c r="BR205" s="65"/>
      <c r="BS205" s="29" t="str">
        <f t="shared" si="171"/>
        <v/>
      </c>
      <c r="BT205" s="29">
        <f t="shared" si="164"/>
        <v>467</v>
      </c>
      <c r="BU205" s="29">
        <f t="shared" si="165"/>
        <v>100</v>
      </c>
      <c r="BW205" s="8" t="str">
        <f>IF(W205="","",VLOOKUP('Regular Symbol'!W205,'Regular Symbol'!$O$3:$T$13,6,0))</f>
        <v/>
      </c>
      <c r="BX205" s="8">
        <f>IF(X205="","",VLOOKUP('Regular Symbol'!X205,'Regular Symbol'!$O$3:$T$13,6,0))</f>
        <v>0</v>
      </c>
      <c r="BY205" s="8">
        <f>IF(Y205="","",VLOOKUP('Regular Symbol'!Y205,'Regular Symbol'!$O$3:$T$13,6,0))</f>
        <v>5</v>
      </c>
      <c r="CA205" s="8" t="str">
        <f t="shared" si="145"/>
        <v/>
      </c>
      <c r="CB205" s="8" t="str">
        <f t="shared" si="146"/>
        <v>Wild</v>
      </c>
      <c r="CC205" s="8" t="str">
        <f t="shared" si="147"/>
        <v>K</v>
      </c>
    </row>
    <row r="206" spans="22:81" ht="16.8" customHeight="1">
      <c r="V206" s="27">
        <v>203</v>
      </c>
      <c r="W206" s="25"/>
      <c r="X206" s="25" t="s">
        <v>83</v>
      </c>
      <c r="Y206" s="25"/>
      <c r="AA206" s="29"/>
      <c r="AB206" s="29">
        <v>1</v>
      </c>
      <c r="AC206" s="29"/>
      <c r="AD206" s="65"/>
      <c r="AE206" s="29" t="str">
        <f t="shared" si="154"/>
        <v/>
      </c>
      <c r="AF206" s="29">
        <f t="shared" si="155"/>
        <v>1</v>
      </c>
      <c r="AG206" s="29">
        <f t="shared" si="156"/>
        <v>1</v>
      </c>
      <c r="AH206" s="65"/>
      <c r="AI206" s="29" t="str">
        <f t="shared" si="166"/>
        <v/>
      </c>
      <c r="AJ206" s="29">
        <f t="shared" si="167"/>
        <v>1</v>
      </c>
      <c r="AK206" s="29">
        <f t="shared" si="168"/>
        <v>1</v>
      </c>
      <c r="AM206" s="29"/>
      <c r="AN206" s="29">
        <v>1</v>
      </c>
      <c r="AO206" s="29"/>
      <c r="AQ206" s="29" t="str">
        <f t="shared" si="157"/>
        <v/>
      </c>
      <c r="AR206" s="29">
        <f t="shared" si="148"/>
        <v>1</v>
      </c>
      <c r="AS206" s="29">
        <f t="shared" si="149"/>
        <v>1</v>
      </c>
      <c r="AT206" s="65"/>
      <c r="AU206" s="29" t="str">
        <f t="shared" si="169"/>
        <v/>
      </c>
      <c r="AV206" s="29">
        <f t="shared" si="158"/>
        <v>1</v>
      </c>
      <c r="AW206" s="29">
        <f t="shared" si="159"/>
        <v>1</v>
      </c>
      <c r="AY206" s="29"/>
      <c r="AZ206" s="29">
        <v>1</v>
      </c>
      <c r="BA206" s="29"/>
      <c r="BC206" s="29" t="str">
        <f t="shared" si="160"/>
        <v/>
      </c>
      <c r="BD206" s="29">
        <f t="shared" si="150"/>
        <v>1</v>
      </c>
      <c r="BE206" s="29">
        <f t="shared" si="151"/>
        <v>1</v>
      </c>
      <c r="BF206" s="65"/>
      <c r="BG206" s="29" t="str">
        <f t="shared" si="170"/>
        <v/>
      </c>
      <c r="BH206" s="29">
        <f t="shared" si="161"/>
        <v>1</v>
      </c>
      <c r="BI206" s="29">
        <f t="shared" si="162"/>
        <v>1</v>
      </c>
      <c r="BK206" s="29"/>
      <c r="BL206" s="29">
        <v>100</v>
      </c>
      <c r="BM206" s="29"/>
      <c r="BO206" s="29" t="str">
        <f t="shared" si="163"/>
        <v/>
      </c>
      <c r="BP206" s="29">
        <f t="shared" si="152"/>
        <v>701</v>
      </c>
      <c r="BQ206" s="29">
        <f t="shared" si="153"/>
        <v>100</v>
      </c>
      <c r="BR206" s="65"/>
      <c r="BS206" s="29" t="str">
        <f t="shared" si="171"/>
        <v/>
      </c>
      <c r="BT206" s="29">
        <f t="shared" si="164"/>
        <v>584</v>
      </c>
      <c r="BU206" s="29">
        <f t="shared" si="165"/>
        <v>100</v>
      </c>
      <c r="BW206" s="8" t="str">
        <f>IF(W206="","",VLOOKUP('Regular Symbol'!W206,'Regular Symbol'!$O$3:$T$13,6,0))</f>
        <v/>
      </c>
      <c r="BX206" s="8">
        <f>IF(X206="","",VLOOKUP('Regular Symbol'!X206,'Regular Symbol'!$O$3:$T$13,6,0))</f>
        <v>6</v>
      </c>
      <c r="BY206" s="8" t="str">
        <f>IF(Y206="","",VLOOKUP('Regular Symbol'!Y206,'Regular Symbol'!$O$3:$T$13,6,0))</f>
        <v/>
      </c>
      <c r="CA206" s="8" t="str">
        <f t="shared" si="145"/>
        <v/>
      </c>
      <c r="CB206" s="8" t="str">
        <f t="shared" si="146"/>
        <v>Q</v>
      </c>
      <c r="CC206" s="8" t="str">
        <f t="shared" si="147"/>
        <v/>
      </c>
    </row>
    <row r="207" spans="22:81" ht="16.8" customHeight="1">
      <c r="V207" s="27">
        <v>204</v>
      </c>
      <c r="W207" s="25"/>
      <c r="X207" s="25" t="s">
        <v>83</v>
      </c>
      <c r="Y207" s="25"/>
      <c r="AA207" s="29"/>
      <c r="AB207" s="29">
        <v>1</v>
      </c>
      <c r="AC207" s="29"/>
      <c r="AD207" s="65"/>
      <c r="AE207" s="29" t="str">
        <f t="shared" si="154"/>
        <v/>
      </c>
      <c r="AF207" s="29">
        <f t="shared" si="155"/>
        <v>1</v>
      </c>
      <c r="AG207" s="29" t="str">
        <f t="shared" si="156"/>
        <v/>
      </c>
      <c r="AH207" s="65"/>
      <c r="AI207" s="29" t="str">
        <f t="shared" si="166"/>
        <v/>
      </c>
      <c r="AJ207" s="29">
        <f t="shared" si="167"/>
        <v>1</v>
      </c>
      <c r="AK207" s="29">
        <f t="shared" si="168"/>
        <v>1</v>
      </c>
      <c r="AM207" s="29"/>
      <c r="AN207" s="29">
        <v>1</v>
      </c>
      <c r="AO207" s="29"/>
      <c r="AQ207" s="29" t="str">
        <f t="shared" si="157"/>
        <v/>
      </c>
      <c r="AR207" s="29">
        <f t="shared" si="148"/>
        <v>1</v>
      </c>
      <c r="AS207" s="29" t="str">
        <f t="shared" si="149"/>
        <v/>
      </c>
      <c r="AT207" s="65"/>
      <c r="AU207" s="29" t="str">
        <f t="shared" si="169"/>
        <v/>
      </c>
      <c r="AV207" s="29">
        <f t="shared" si="158"/>
        <v>1</v>
      </c>
      <c r="AW207" s="29">
        <f t="shared" si="159"/>
        <v>1</v>
      </c>
      <c r="AY207" s="29"/>
      <c r="AZ207" s="29">
        <v>1</v>
      </c>
      <c r="BA207" s="29"/>
      <c r="BC207" s="29" t="str">
        <f t="shared" si="160"/>
        <v/>
      </c>
      <c r="BD207" s="29">
        <f t="shared" si="150"/>
        <v>1</v>
      </c>
      <c r="BE207" s="29" t="str">
        <f t="shared" si="151"/>
        <v/>
      </c>
      <c r="BF207" s="65"/>
      <c r="BG207" s="29" t="str">
        <f t="shared" si="170"/>
        <v/>
      </c>
      <c r="BH207" s="29">
        <f t="shared" si="161"/>
        <v>1</v>
      </c>
      <c r="BI207" s="29">
        <f t="shared" si="162"/>
        <v>1</v>
      </c>
      <c r="BK207" s="29"/>
      <c r="BL207" s="29">
        <v>100</v>
      </c>
      <c r="BM207" s="29"/>
      <c r="BO207" s="29" t="str">
        <f t="shared" si="163"/>
        <v/>
      </c>
      <c r="BP207" s="29">
        <f t="shared" si="152"/>
        <v>100</v>
      </c>
      <c r="BQ207" s="29" t="str">
        <f t="shared" si="153"/>
        <v/>
      </c>
      <c r="BR207" s="65"/>
      <c r="BS207" s="29" t="str">
        <f t="shared" si="171"/>
        <v/>
      </c>
      <c r="BT207" s="29">
        <f t="shared" si="164"/>
        <v>701</v>
      </c>
      <c r="BU207" s="29">
        <f t="shared" si="165"/>
        <v>100</v>
      </c>
      <c r="BW207" s="8" t="str">
        <f>IF(W207="","",VLOOKUP('Regular Symbol'!W207,'Regular Symbol'!$O$3:$T$13,6,0))</f>
        <v/>
      </c>
      <c r="BX207" s="8">
        <f>IF(X207="","",VLOOKUP('Regular Symbol'!X207,'Regular Symbol'!$O$3:$T$13,6,0))</f>
        <v>6</v>
      </c>
      <c r="BY207" s="8" t="str">
        <f>IF(Y207="","",VLOOKUP('Regular Symbol'!Y207,'Regular Symbol'!$O$3:$T$13,6,0))</f>
        <v/>
      </c>
      <c r="CA207" s="8" t="str">
        <f t="shared" si="145"/>
        <v/>
      </c>
      <c r="CB207" s="8" t="str">
        <f t="shared" si="146"/>
        <v>Q</v>
      </c>
      <c r="CC207" s="8" t="str">
        <f t="shared" si="147"/>
        <v/>
      </c>
    </row>
    <row r="208" spans="22:81" ht="16.8" customHeight="1">
      <c r="V208" s="27">
        <v>205</v>
      </c>
      <c r="W208" s="25"/>
      <c r="X208" s="25" t="s">
        <v>16</v>
      </c>
      <c r="Y208" s="25"/>
      <c r="AA208" s="29"/>
      <c r="AB208" s="29">
        <v>1</v>
      </c>
      <c r="AC208" s="29"/>
      <c r="AD208" s="65"/>
      <c r="AE208" s="29" t="str">
        <f t="shared" si="154"/>
        <v/>
      </c>
      <c r="AF208" s="29">
        <f t="shared" si="155"/>
        <v>1</v>
      </c>
      <c r="AG208" s="29" t="str">
        <f t="shared" si="156"/>
        <v/>
      </c>
      <c r="AH208" s="65"/>
      <c r="AI208" s="29" t="str">
        <f t="shared" si="166"/>
        <v/>
      </c>
      <c r="AJ208" s="29">
        <f t="shared" si="167"/>
        <v>1</v>
      </c>
      <c r="AK208" s="29" t="str">
        <f t="shared" si="168"/>
        <v/>
      </c>
      <c r="AM208" s="29"/>
      <c r="AN208" s="29">
        <v>1</v>
      </c>
      <c r="AO208" s="29"/>
      <c r="AQ208" s="29" t="str">
        <f t="shared" si="157"/>
        <v/>
      </c>
      <c r="AR208" s="29">
        <f t="shared" si="148"/>
        <v>1</v>
      </c>
      <c r="AS208" s="29" t="str">
        <f t="shared" si="149"/>
        <v/>
      </c>
      <c r="AT208" s="65"/>
      <c r="AU208" s="29" t="str">
        <f t="shared" si="169"/>
        <v/>
      </c>
      <c r="AV208" s="29">
        <f t="shared" si="158"/>
        <v>1</v>
      </c>
      <c r="AW208" s="29" t="str">
        <f t="shared" si="159"/>
        <v/>
      </c>
      <c r="AY208" s="29"/>
      <c r="AZ208" s="29">
        <v>1</v>
      </c>
      <c r="BA208" s="29"/>
      <c r="BC208" s="29" t="str">
        <f t="shared" si="160"/>
        <v/>
      </c>
      <c r="BD208" s="29">
        <f t="shared" si="150"/>
        <v>1</v>
      </c>
      <c r="BE208" s="29" t="str">
        <f t="shared" si="151"/>
        <v/>
      </c>
      <c r="BF208" s="65"/>
      <c r="BG208" s="29" t="str">
        <f t="shared" si="170"/>
        <v/>
      </c>
      <c r="BH208" s="29">
        <f t="shared" si="161"/>
        <v>1</v>
      </c>
      <c r="BI208" s="29" t="str">
        <f t="shared" si="162"/>
        <v/>
      </c>
      <c r="BK208" s="29"/>
      <c r="BL208" s="29">
        <v>100</v>
      </c>
      <c r="BM208" s="29"/>
      <c r="BO208" s="29" t="str">
        <f t="shared" si="163"/>
        <v/>
      </c>
      <c r="BP208" s="29">
        <f t="shared" si="152"/>
        <v>100</v>
      </c>
      <c r="BQ208" s="29" t="str">
        <f t="shared" si="153"/>
        <v/>
      </c>
      <c r="BR208" s="65"/>
      <c r="BS208" s="29" t="str">
        <f t="shared" si="171"/>
        <v/>
      </c>
      <c r="BT208" s="29">
        <f t="shared" si="164"/>
        <v>100</v>
      </c>
      <c r="BU208" s="29" t="str">
        <f t="shared" si="165"/>
        <v/>
      </c>
      <c r="BW208" s="8" t="str">
        <f>IF(W208="","",VLOOKUP('Regular Symbol'!W208,'Regular Symbol'!$O$3:$T$13,6,0))</f>
        <v/>
      </c>
      <c r="BX208" s="8">
        <f>IF(X208="","",VLOOKUP('Regular Symbol'!X208,'Regular Symbol'!$O$3:$T$13,6,0))</f>
        <v>1</v>
      </c>
      <c r="BY208" s="8" t="str">
        <f>IF(Y208="","",VLOOKUP('Regular Symbol'!Y208,'Regular Symbol'!$O$3:$T$13,6,0))</f>
        <v/>
      </c>
      <c r="CA208" s="8" t="str">
        <f t="shared" si="145"/>
        <v/>
      </c>
      <c r="CB208" s="8" t="str">
        <f t="shared" si="146"/>
        <v>M1</v>
      </c>
      <c r="CC208" s="8" t="str">
        <f t="shared" si="147"/>
        <v/>
      </c>
    </row>
    <row r="209" spans="22:81" ht="16.8" customHeight="1">
      <c r="V209" s="27">
        <v>206</v>
      </c>
      <c r="W209" s="25"/>
      <c r="X209" s="25" t="s">
        <v>16</v>
      </c>
      <c r="Y209" s="25"/>
      <c r="AA209" s="29"/>
      <c r="AB209" s="29">
        <v>1</v>
      </c>
      <c r="AC209" s="29"/>
      <c r="AD209" s="65"/>
      <c r="AE209" s="29" t="str">
        <f t="shared" si="154"/>
        <v/>
      </c>
      <c r="AF209" s="29">
        <f t="shared" si="155"/>
        <v>1</v>
      </c>
      <c r="AG209" s="29" t="str">
        <f t="shared" si="156"/>
        <v/>
      </c>
      <c r="AH209" s="65"/>
      <c r="AI209" s="29" t="str">
        <f t="shared" si="166"/>
        <v/>
      </c>
      <c r="AJ209" s="29">
        <f t="shared" si="167"/>
        <v>1</v>
      </c>
      <c r="AK209" s="29" t="str">
        <f t="shared" si="168"/>
        <v/>
      </c>
      <c r="AM209" s="29"/>
      <c r="AN209" s="29">
        <v>1</v>
      </c>
      <c r="AO209" s="29"/>
      <c r="AQ209" s="29" t="str">
        <f t="shared" si="157"/>
        <v/>
      </c>
      <c r="AR209" s="29">
        <f t="shared" si="148"/>
        <v>1</v>
      </c>
      <c r="AS209" s="29" t="str">
        <f t="shared" si="149"/>
        <v/>
      </c>
      <c r="AT209" s="65"/>
      <c r="AU209" s="29" t="str">
        <f t="shared" si="169"/>
        <v/>
      </c>
      <c r="AV209" s="29">
        <f t="shared" si="158"/>
        <v>1</v>
      </c>
      <c r="AW209" s="29" t="str">
        <f t="shared" si="159"/>
        <v/>
      </c>
      <c r="AY209" s="29"/>
      <c r="AZ209" s="29">
        <v>1</v>
      </c>
      <c r="BA209" s="29"/>
      <c r="BC209" s="29" t="str">
        <f t="shared" si="160"/>
        <v/>
      </c>
      <c r="BD209" s="29">
        <f t="shared" si="150"/>
        <v>1</v>
      </c>
      <c r="BE209" s="29" t="str">
        <f t="shared" si="151"/>
        <v/>
      </c>
      <c r="BF209" s="65"/>
      <c r="BG209" s="29" t="str">
        <f t="shared" si="170"/>
        <v/>
      </c>
      <c r="BH209" s="29">
        <f t="shared" si="161"/>
        <v>1</v>
      </c>
      <c r="BI209" s="29" t="str">
        <f t="shared" si="162"/>
        <v/>
      </c>
      <c r="BK209" s="29"/>
      <c r="BL209" s="29">
        <v>100</v>
      </c>
      <c r="BM209" s="29"/>
      <c r="BO209" s="29" t="str">
        <f t="shared" si="163"/>
        <v/>
      </c>
      <c r="BP209" s="29">
        <f t="shared" si="152"/>
        <v>100</v>
      </c>
      <c r="BQ209" s="29" t="str">
        <f t="shared" si="153"/>
        <v/>
      </c>
      <c r="BR209" s="65"/>
      <c r="BS209" s="29" t="str">
        <f t="shared" si="171"/>
        <v/>
      </c>
      <c r="BT209" s="29">
        <f t="shared" si="164"/>
        <v>100</v>
      </c>
      <c r="BU209" s="29" t="str">
        <f t="shared" si="165"/>
        <v/>
      </c>
      <c r="BW209" s="8" t="str">
        <f>IF(W209="","",VLOOKUP('Regular Symbol'!W209,'Regular Symbol'!$O$3:$T$13,6,0))</f>
        <v/>
      </c>
      <c r="BX209" s="8">
        <f>IF(X209="","",VLOOKUP('Regular Symbol'!X209,'Regular Symbol'!$O$3:$T$13,6,0))</f>
        <v>1</v>
      </c>
      <c r="BY209" s="8" t="str">
        <f>IF(Y209="","",VLOOKUP('Regular Symbol'!Y209,'Regular Symbol'!$O$3:$T$13,6,0))</f>
        <v/>
      </c>
      <c r="CA209" s="8" t="str">
        <f t="shared" si="145"/>
        <v/>
      </c>
      <c r="CB209" s="8" t="str">
        <f t="shared" si="146"/>
        <v>M1</v>
      </c>
      <c r="CC209" s="8" t="str">
        <f t="shared" si="147"/>
        <v/>
      </c>
    </row>
    <row r="210" spans="22:81" ht="16.8" customHeight="1">
      <c r="V210" s="27">
        <v>207</v>
      </c>
      <c r="W210" s="25"/>
      <c r="X210" s="25" t="s">
        <v>81</v>
      </c>
      <c r="Y210" s="25"/>
      <c r="AA210" s="29"/>
      <c r="AB210" s="29">
        <v>1</v>
      </c>
      <c r="AC210" s="29"/>
      <c r="AD210" s="65"/>
      <c r="AE210" s="29" t="str">
        <f t="shared" si="154"/>
        <v/>
      </c>
      <c r="AF210" s="29">
        <f t="shared" si="155"/>
        <v>1</v>
      </c>
      <c r="AG210" s="29" t="str">
        <f t="shared" si="156"/>
        <v/>
      </c>
      <c r="AH210" s="65"/>
      <c r="AI210" s="29" t="str">
        <f t="shared" si="166"/>
        <v/>
      </c>
      <c r="AJ210" s="29">
        <f t="shared" si="167"/>
        <v>1</v>
      </c>
      <c r="AK210" s="29" t="str">
        <f t="shared" si="168"/>
        <v/>
      </c>
      <c r="AM210" s="29"/>
      <c r="AN210" s="29">
        <v>1</v>
      </c>
      <c r="AO210" s="29"/>
      <c r="AQ210" s="29" t="str">
        <f t="shared" si="157"/>
        <v/>
      </c>
      <c r="AR210" s="29">
        <f t="shared" si="148"/>
        <v>1</v>
      </c>
      <c r="AS210" s="29" t="str">
        <f t="shared" si="149"/>
        <v/>
      </c>
      <c r="AT210" s="65"/>
      <c r="AU210" s="29" t="str">
        <f t="shared" si="169"/>
        <v/>
      </c>
      <c r="AV210" s="29">
        <f t="shared" si="158"/>
        <v>1</v>
      </c>
      <c r="AW210" s="29" t="str">
        <f t="shared" si="159"/>
        <v/>
      </c>
      <c r="AY210" s="29"/>
      <c r="AZ210" s="29">
        <v>1</v>
      </c>
      <c r="BA210" s="29"/>
      <c r="BC210" s="29" t="str">
        <f t="shared" si="160"/>
        <v/>
      </c>
      <c r="BD210" s="29">
        <f t="shared" si="150"/>
        <v>1</v>
      </c>
      <c r="BE210" s="29" t="str">
        <f t="shared" si="151"/>
        <v/>
      </c>
      <c r="BF210" s="65"/>
      <c r="BG210" s="29" t="str">
        <f t="shared" si="170"/>
        <v/>
      </c>
      <c r="BH210" s="29">
        <f t="shared" si="161"/>
        <v>1</v>
      </c>
      <c r="BI210" s="29" t="str">
        <f t="shared" si="162"/>
        <v/>
      </c>
      <c r="BK210" s="29"/>
      <c r="BL210" s="29">
        <v>701</v>
      </c>
      <c r="BM210" s="29"/>
      <c r="BO210" s="29" t="str">
        <f t="shared" si="163"/>
        <v/>
      </c>
      <c r="BP210" s="29">
        <f t="shared" si="152"/>
        <v>100</v>
      </c>
      <c r="BQ210" s="29" t="str">
        <f t="shared" si="153"/>
        <v/>
      </c>
      <c r="BR210" s="65"/>
      <c r="BS210" s="29" t="str">
        <f t="shared" si="171"/>
        <v/>
      </c>
      <c r="BT210" s="29">
        <f t="shared" si="164"/>
        <v>100</v>
      </c>
      <c r="BU210" s="29" t="str">
        <f t="shared" si="165"/>
        <v/>
      </c>
      <c r="BW210" s="8" t="str">
        <f>IF(W210="","",VLOOKUP('Regular Symbol'!W210,'Regular Symbol'!$O$3:$T$13,6,0))</f>
        <v/>
      </c>
      <c r="BX210" s="8">
        <f>IF(X210="","",VLOOKUP('Regular Symbol'!X210,'Regular Symbol'!$O$3:$T$13,6,0))</f>
        <v>4</v>
      </c>
      <c r="BY210" s="8" t="str">
        <f>IF(Y210="","",VLOOKUP('Regular Symbol'!Y210,'Regular Symbol'!$O$3:$T$13,6,0))</f>
        <v/>
      </c>
      <c r="CA210" s="8" t="str">
        <f t="shared" si="145"/>
        <v/>
      </c>
      <c r="CB210" s="8" t="str">
        <f t="shared" si="146"/>
        <v>A</v>
      </c>
      <c r="CC210" s="8" t="str">
        <f t="shared" si="147"/>
        <v/>
      </c>
    </row>
    <row r="211" spans="22:81" ht="16.8" customHeight="1">
      <c r="V211" s="27">
        <v>208</v>
      </c>
      <c r="W211" s="25"/>
      <c r="X211" s="25" t="s">
        <v>81</v>
      </c>
      <c r="Y211" s="25"/>
      <c r="AA211" s="29"/>
      <c r="AB211" s="29">
        <v>1</v>
      </c>
      <c r="AC211" s="29"/>
      <c r="AD211" s="65"/>
      <c r="AE211" s="29" t="str">
        <f t="shared" si="154"/>
        <v/>
      </c>
      <c r="AF211" s="29">
        <f t="shared" si="155"/>
        <v>1</v>
      </c>
      <c r="AG211" s="29" t="str">
        <f t="shared" si="156"/>
        <v/>
      </c>
      <c r="AH211" s="65"/>
      <c r="AI211" s="29" t="str">
        <f t="shared" si="166"/>
        <v/>
      </c>
      <c r="AJ211" s="29">
        <f t="shared" si="167"/>
        <v>1</v>
      </c>
      <c r="AK211" s="29" t="str">
        <f t="shared" si="168"/>
        <v/>
      </c>
      <c r="AM211" s="29"/>
      <c r="AN211" s="29">
        <v>1</v>
      </c>
      <c r="AO211" s="29"/>
      <c r="AQ211" s="29" t="str">
        <f t="shared" si="157"/>
        <v/>
      </c>
      <c r="AR211" s="29">
        <f t="shared" si="148"/>
        <v>1</v>
      </c>
      <c r="AS211" s="29" t="str">
        <f t="shared" si="149"/>
        <v/>
      </c>
      <c r="AT211" s="65"/>
      <c r="AU211" s="29" t="str">
        <f t="shared" si="169"/>
        <v/>
      </c>
      <c r="AV211" s="29">
        <f t="shared" si="158"/>
        <v>1</v>
      </c>
      <c r="AW211" s="29" t="str">
        <f t="shared" si="159"/>
        <v/>
      </c>
      <c r="AY211" s="29"/>
      <c r="AZ211" s="29">
        <v>1</v>
      </c>
      <c r="BA211" s="29"/>
      <c r="BC211" s="29" t="str">
        <f t="shared" si="160"/>
        <v/>
      </c>
      <c r="BD211" s="29">
        <f t="shared" si="150"/>
        <v>1</v>
      </c>
      <c r="BE211" s="29" t="str">
        <f t="shared" si="151"/>
        <v/>
      </c>
      <c r="BF211" s="65"/>
      <c r="BG211" s="29" t="str">
        <f t="shared" si="170"/>
        <v/>
      </c>
      <c r="BH211" s="29">
        <f t="shared" si="161"/>
        <v>1</v>
      </c>
      <c r="BI211" s="29" t="str">
        <f t="shared" si="162"/>
        <v/>
      </c>
      <c r="BK211" s="29"/>
      <c r="BL211" s="29">
        <v>584</v>
      </c>
      <c r="BM211" s="29"/>
      <c r="BO211" s="29" t="str">
        <f t="shared" si="163"/>
        <v/>
      </c>
      <c r="BP211" s="29">
        <f t="shared" si="152"/>
        <v>701</v>
      </c>
      <c r="BQ211" s="29" t="str">
        <f t="shared" si="153"/>
        <v/>
      </c>
      <c r="BR211" s="65"/>
      <c r="BS211" s="29" t="str">
        <f t="shared" si="171"/>
        <v/>
      </c>
      <c r="BT211" s="29">
        <f t="shared" si="164"/>
        <v>100</v>
      </c>
      <c r="BU211" s="29" t="str">
        <f t="shared" si="165"/>
        <v/>
      </c>
      <c r="BW211" s="8" t="str">
        <f>IF(W211="","",VLOOKUP('Regular Symbol'!W211,'Regular Symbol'!$O$3:$T$13,6,0))</f>
        <v/>
      </c>
      <c r="BX211" s="8">
        <f>IF(X211="","",VLOOKUP('Regular Symbol'!X211,'Regular Symbol'!$O$3:$T$13,6,0))</f>
        <v>4</v>
      </c>
      <c r="BY211" s="8" t="str">
        <f>IF(Y211="","",VLOOKUP('Regular Symbol'!Y211,'Regular Symbol'!$O$3:$T$13,6,0))</f>
        <v/>
      </c>
      <c r="CA211" s="8" t="str">
        <f t="shared" si="145"/>
        <v/>
      </c>
      <c r="CB211" s="8" t="str">
        <f t="shared" si="146"/>
        <v>A</v>
      </c>
      <c r="CC211" s="8" t="str">
        <f t="shared" si="147"/>
        <v/>
      </c>
    </row>
  </sheetData>
  <mergeCells count="12">
    <mergeCell ref="A53:F53"/>
    <mergeCell ref="H53:M53"/>
    <mergeCell ref="O53:T53"/>
    <mergeCell ref="A79:F79"/>
    <mergeCell ref="H79:M79"/>
    <mergeCell ref="O79:T79"/>
    <mergeCell ref="A1:F1"/>
    <mergeCell ref="H1:M1"/>
    <mergeCell ref="O1:T1"/>
    <mergeCell ref="A27:F27"/>
    <mergeCell ref="H27:M27"/>
    <mergeCell ref="O27:T27"/>
  </mergeCells>
  <phoneticPr fontId="2" type="noConversion"/>
  <conditionalFormatting sqref="C3:E13">
    <cfRule type="cellIs" dxfId="49" priority="24" operator="equal">
      <formula>0</formula>
    </cfRule>
  </conditionalFormatting>
  <conditionalFormatting sqref="W3:Y211">
    <cfRule type="cellIs" dxfId="48" priority="25" stopIfTrue="1" operator="equal">
      <formula>"WW"</formula>
    </cfRule>
    <cfRule type="cellIs" dxfId="47" priority="26" stopIfTrue="1" operator="equal">
      <formula>"C1"</formula>
    </cfRule>
    <cfRule type="cellIs" dxfId="46" priority="27" stopIfTrue="1" operator="between">
      <formula>"M1"</formula>
      <formula>"M5"</formula>
    </cfRule>
  </conditionalFormatting>
  <conditionalFormatting sqref="Q11:S13">
    <cfRule type="cellIs" dxfId="45" priority="21" operator="equal">
      <formula>0</formula>
    </cfRule>
  </conditionalFormatting>
  <conditionalFormatting sqref="J11:L13">
    <cfRule type="cellIs" dxfId="44" priority="22" operator="equal">
      <formula>0</formula>
    </cfRule>
  </conditionalFormatting>
  <conditionalFormatting sqref="C29:E39">
    <cfRule type="cellIs" dxfId="43" priority="20" operator="equal">
      <formula>0</formula>
    </cfRule>
  </conditionalFormatting>
  <conditionalFormatting sqref="Q29:S39">
    <cfRule type="cellIs" dxfId="42" priority="18" operator="equal">
      <formula>0</formula>
    </cfRule>
  </conditionalFormatting>
  <conditionalFormatting sqref="J29:L39">
    <cfRule type="cellIs" dxfId="41" priority="19" operator="equal">
      <formula>0</formula>
    </cfRule>
  </conditionalFormatting>
  <conditionalFormatting sqref="C55:E65">
    <cfRule type="cellIs" dxfId="40" priority="17" operator="equal">
      <formula>0</formula>
    </cfRule>
  </conditionalFormatting>
  <conditionalFormatting sqref="Q55:S65">
    <cfRule type="cellIs" dxfId="39" priority="15" operator="equal">
      <formula>0</formula>
    </cfRule>
  </conditionalFormatting>
  <conditionalFormatting sqref="J55:L65">
    <cfRule type="cellIs" dxfId="38" priority="16" operator="equal">
      <formula>0</formula>
    </cfRule>
  </conditionalFormatting>
  <conditionalFormatting sqref="C81:E91">
    <cfRule type="cellIs" dxfId="37" priority="14" operator="equal">
      <formula>0</formula>
    </cfRule>
  </conditionalFormatting>
  <conditionalFormatting sqref="Q81:S91">
    <cfRule type="cellIs" dxfId="36" priority="12" operator="equal">
      <formula>0</formula>
    </cfRule>
  </conditionalFormatting>
  <conditionalFormatting sqref="J81:L91">
    <cfRule type="cellIs" dxfId="35" priority="13" operator="equal">
      <formula>0</formula>
    </cfRule>
  </conditionalFormatting>
  <conditionalFormatting sqref="C3:C10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{4AAD5FB9-4006-42DD-A2D9-46EF5E39056B}</x14:id>
        </ext>
      </extLst>
    </cfRule>
  </conditionalFormatting>
  <conditionalFormatting sqref="D3:D10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{FB407EA2-37C5-4EE7-8A72-FC76A2B22301}</x14:id>
        </ext>
      </extLst>
    </cfRule>
  </conditionalFormatting>
  <conditionalFormatting sqref="E3:E10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{F437C889-7F05-4A37-B5AE-3BA1915C5DC0}</x14:id>
        </ext>
      </extLst>
    </cfRule>
  </conditionalFormatting>
  <conditionalFormatting sqref="J3:L10">
    <cfRule type="cellIs" dxfId="34" priority="8" operator="equal">
      <formula>0</formula>
    </cfRule>
  </conditionalFormatting>
  <conditionalFormatting sqref="J3:J10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{B723F3F4-E7FF-4041-B14F-A2CE029CBA5B}</x14:id>
        </ext>
      </extLst>
    </cfRule>
  </conditionalFormatting>
  <conditionalFormatting sqref="K3:K1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{3F8BEB48-61D9-4391-9B09-D0AE5567B597}</x14:id>
        </ext>
      </extLst>
    </cfRule>
  </conditionalFormatting>
  <conditionalFormatting sqref="L3:L10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{E8E0DE2D-CF38-4A55-A07F-0E511FF9FEC7}</x14:id>
        </ext>
      </extLst>
    </cfRule>
  </conditionalFormatting>
  <conditionalFormatting sqref="Q3:S10">
    <cfRule type="cellIs" dxfId="33" priority="4" operator="equal">
      <formula>0</formula>
    </cfRule>
  </conditionalFormatting>
  <conditionalFormatting sqref="Q3:Q1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{2279D657-23BC-4E74-9DA5-C2A89D4FF85B}</x14:id>
        </ext>
      </extLst>
    </cfRule>
  </conditionalFormatting>
  <conditionalFormatting sqref="R3:R1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{3496F6F2-7A23-4D6B-8066-5E2DA76E7B7B}</x14:id>
        </ext>
      </extLst>
    </cfRule>
  </conditionalFormatting>
  <conditionalFormatting sqref="S3:S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{286EA948-CDE4-4693-BE20-701A68EB3E89}</x14:id>
        </ext>
      </extLst>
    </cfRule>
  </conditionalFormatting>
  <pageMargins left="0.75" right="0.75" top="1" bottom="1" header="0.5" footer="0.5"/>
  <pageSetup paperSize="9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AD5FB9-4006-42DD-A2D9-46EF5E3905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C3:C10</xm:sqref>
        </x14:conditionalFormatting>
        <x14:conditionalFormatting xmlns:xm="http://schemas.microsoft.com/office/excel/2006/main">
          <x14:cfRule type="dataBar" id="{FB407EA2-37C5-4EE7-8A72-FC76A2B223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D3:D10</xm:sqref>
        </x14:conditionalFormatting>
        <x14:conditionalFormatting xmlns:xm="http://schemas.microsoft.com/office/excel/2006/main">
          <x14:cfRule type="dataBar" id="{F437C889-7F05-4A37-B5AE-3BA1915C5D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E3:E10</xm:sqref>
        </x14:conditionalFormatting>
        <x14:conditionalFormatting xmlns:xm="http://schemas.microsoft.com/office/excel/2006/main">
          <x14:cfRule type="dataBar" id="{B723F3F4-E7FF-4041-B14F-A2CE029CBA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J3:J10</xm:sqref>
        </x14:conditionalFormatting>
        <x14:conditionalFormatting xmlns:xm="http://schemas.microsoft.com/office/excel/2006/main">
          <x14:cfRule type="dataBar" id="{3F8BEB48-61D9-4391-9B09-D0AE5567B5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K3:K10</xm:sqref>
        </x14:conditionalFormatting>
        <x14:conditionalFormatting xmlns:xm="http://schemas.microsoft.com/office/excel/2006/main">
          <x14:cfRule type="dataBar" id="{E8E0DE2D-CF38-4A55-A07F-0E511FF9FE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L3:L10</xm:sqref>
        </x14:conditionalFormatting>
        <x14:conditionalFormatting xmlns:xm="http://schemas.microsoft.com/office/excel/2006/main">
          <x14:cfRule type="dataBar" id="{2279D657-23BC-4E74-9DA5-C2A89D4FF8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Q3:Q10</xm:sqref>
        </x14:conditionalFormatting>
        <x14:conditionalFormatting xmlns:xm="http://schemas.microsoft.com/office/excel/2006/main">
          <x14:cfRule type="dataBar" id="{3496F6F2-7A23-4D6B-8066-5E2DA76E7B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R3:R10</xm:sqref>
        </x14:conditionalFormatting>
        <x14:conditionalFormatting xmlns:xm="http://schemas.microsoft.com/office/excel/2006/main">
          <x14:cfRule type="dataBar" id="{286EA948-CDE4-4693-BE20-701A68EB3E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S3:S10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26578-FB85-436A-8416-96023291B9A8}">
  <dimension ref="A1:BL211"/>
  <sheetViews>
    <sheetView zoomScale="70" zoomScaleNormal="70" workbookViewId="0">
      <selection sqref="A1:XFD1048576"/>
    </sheetView>
  </sheetViews>
  <sheetFormatPr defaultColWidth="9" defaultRowHeight="16.8" customHeight="1" outlineLevelCol="1"/>
  <cols>
    <col min="1" max="1" width="8.33203125" style="1" customWidth="1"/>
    <col min="2" max="2" width="16" style="1" customWidth="1"/>
    <col min="3" max="4" width="13.44140625" style="1" customWidth="1"/>
    <col min="5" max="7" width="8.33203125" style="1" customWidth="1"/>
    <col min="8" max="8" width="16" style="1" customWidth="1"/>
    <col min="9" max="10" width="13.44140625" style="1" customWidth="1"/>
    <col min="11" max="13" width="8.33203125" style="1" customWidth="1"/>
    <col min="14" max="14" width="16" style="1" customWidth="1"/>
    <col min="15" max="16" width="13.44140625" style="1" customWidth="1"/>
    <col min="17" max="19" width="8.33203125" style="1" customWidth="1"/>
    <col min="20" max="20" width="16" style="1" customWidth="1"/>
    <col min="21" max="22" width="13.44140625" style="1" customWidth="1"/>
    <col min="23" max="23" width="8.33203125" style="1" customWidth="1"/>
    <col min="24" max="24" width="10.77734375" style="1" customWidth="1"/>
    <col min="25" max="25" width="10.44140625" style="23" customWidth="1"/>
    <col min="26" max="27" width="15.33203125" style="26" customWidth="1"/>
    <col min="28" max="28" width="5.6640625" style="1" hidden="1" customWidth="1" outlineLevel="1"/>
    <col min="29" max="30" width="15.33203125" style="26" hidden="1" customWidth="1" outlineLevel="1"/>
    <col min="31" max="31" width="9" style="1" hidden="1" customWidth="1" outlineLevel="1"/>
    <col min="32" max="33" width="15.33203125" style="1" hidden="1" customWidth="1" outlineLevel="1"/>
    <col min="34" max="34" width="10.77734375" style="1" customWidth="1" collapsed="1"/>
    <col min="35" max="35" width="10.44140625" style="23" customWidth="1"/>
    <col min="36" max="37" width="15.33203125" style="26" customWidth="1"/>
    <col min="38" max="38" width="4.44140625" style="1" hidden="1" customWidth="1" outlineLevel="1"/>
    <col min="39" max="40" width="15.33203125" style="26" hidden="1" customWidth="1" outlineLevel="1"/>
    <col min="41" max="41" width="9" style="1" hidden="1" customWidth="1" outlineLevel="1"/>
    <col min="42" max="43" width="15.33203125" style="1" hidden="1" customWidth="1" outlineLevel="1"/>
    <col min="44" max="44" width="10.77734375" style="1" customWidth="1" collapsed="1"/>
    <col min="45" max="45" width="10.44140625" style="23" customWidth="1"/>
    <col min="46" max="47" width="15.33203125" style="26" customWidth="1"/>
    <col min="48" max="48" width="4.44140625" style="1" hidden="1" customWidth="1" outlineLevel="1"/>
    <col min="49" max="50" width="15.33203125" style="26" hidden="1" customWidth="1" outlineLevel="1"/>
    <col min="51" max="51" width="9" style="1" hidden="1" customWidth="1" outlineLevel="1"/>
    <col min="52" max="53" width="15.33203125" style="1" hidden="1" customWidth="1" outlineLevel="1"/>
    <col min="54" max="54" width="9" style="1" collapsed="1"/>
    <col min="55" max="55" width="10.44140625" style="23" customWidth="1"/>
    <col min="56" max="57" width="15.33203125" style="26" customWidth="1"/>
    <col min="58" max="58" width="4.44140625" style="1" hidden="1" customWidth="1" outlineLevel="1"/>
    <col min="59" max="60" width="15.33203125" style="26" hidden="1" customWidth="1" outlineLevel="1"/>
    <col min="61" max="61" width="9" style="1" hidden="1" customWidth="1" outlineLevel="1"/>
    <col min="62" max="63" width="15.33203125" style="1" hidden="1" customWidth="1" outlineLevel="1"/>
    <col min="64" max="64" width="9" style="1" collapsed="1"/>
    <col min="65" max="16384" width="9" style="1"/>
  </cols>
  <sheetData>
    <row r="1" spans="1:63" s="2" customFormat="1" ht="16.8" customHeight="1" thickBot="1">
      <c r="A1" s="328" t="s">
        <v>113</v>
      </c>
      <c r="B1" s="328"/>
      <c r="C1" s="328"/>
      <c r="D1" s="328"/>
      <c r="E1" s="328"/>
      <c r="F1" s="1"/>
      <c r="G1" s="329" t="s">
        <v>114</v>
      </c>
      <c r="H1" s="329"/>
      <c r="I1" s="329"/>
      <c r="J1" s="329"/>
      <c r="K1" s="329"/>
      <c r="L1" s="1"/>
      <c r="M1" s="330" t="s">
        <v>115</v>
      </c>
      <c r="N1" s="330"/>
      <c r="O1" s="330"/>
      <c r="P1" s="330"/>
      <c r="Q1" s="330"/>
      <c r="R1" s="60"/>
      <c r="S1" s="331" t="s">
        <v>129</v>
      </c>
      <c r="T1" s="331"/>
      <c r="U1" s="331"/>
      <c r="V1" s="331"/>
      <c r="W1" s="331"/>
      <c r="X1" s="60"/>
      <c r="Y1" s="134" t="s">
        <v>11</v>
      </c>
      <c r="Z1" s="145"/>
      <c r="AA1" s="145"/>
      <c r="AB1" s="1"/>
      <c r="AC1" s="21" t="s">
        <v>29</v>
      </c>
      <c r="AD1" s="26"/>
      <c r="AF1" s="2" t="s">
        <v>62</v>
      </c>
      <c r="AH1" s="60"/>
      <c r="AI1" s="143" t="s">
        <v>11</v>
      </c>
      <c r="AJ1" s="146"/>
      <c r="AK1" s="146"/>
      <c r="AL1" s="1"/>
      <c r="AM1" s="21" t="s">
        <v>29</v>
      </c>
      <c r="AN1" s="26"/>
      <c r="AP1" s="2" t="s">
        <v>62</v>
      </c>
      <c r="AR1" s="60"/>
      <c r="AS1" s="135" t="s">
        <v>11</v>
      </c>
      <c r="AT1" s="147"/>
      <c r="AU1" s="147"/>
      <c r="AV1" s="1"/>
      <c r="AW1" s="21" t="s">
        <v>29</v>
      </c>
      <c r="AX1" s="26"/>
      <c r="AZ1" s="2" t="s">
        <v>62</v>
      </c>
      <c r="BC1" s="156" t="s">
        <v>11</v>
      </c>
      <c r="BD1" s="157"/>
      <c r="BE1" s="157"/>
      <c r="BF1" s="1"/>
      <c r="BG1" s="21" t="s">
        <v>29</v>
      </c>
      <c r="BH1" s="26"/>
      <c r="BJ1" s="2" t="s">
        <v>62</v>
      </c>
    </row>
    <row r="2" spans="1:63" ht="16.8" customHeight="1" thickBot="1">
      <c r="A2" s="86" t="s">
        <v>11</v>
      </c>
      <c r="B2" s="86" t="s">
        <v>12</v>
      </c>
      <c r="C2" s="64" t="s">
        <v>94</v>
      </c>
      <c r="D2" s="64" t="s">
        <v>95</v>
      </c>
      <c r="E2" s="19" t="s">
        <v>29</v>
      </c>
      <c r="F2" s="60"/>
      <c r="G2" s="86" t="s">
        <v>11</v>
      </c>
      <c r="H2" s="86" t="s">
        <v>12</v>
      </c>
      <c r="I2" s="64" t="s">
        <v>94</v>
      </c>
      <c r="J2" s="64" t="s">
        <v>95</v>
      </c>
      <c r="K2" s="19" t="s">
        <v>29</v>
      </c>
      <c r="L2" s="60"/>
      <c r="M2" s="86" t="s">
        <v>11</v>
      </c>
      <c r="N2" s="86" t="s">
        <v>12</v>
      </c>
      <c r="O2" s="64" t="s">
        <v>94</v>
      </c>
      <c r="P2" s="64" t="s">
        <v>95</v>
      </c>
      <c r="Q2" s="19" t="s">
        <v>29</v>
      </c>
      <c r="R2" s="60"/>
      <c r="S2" s="86" t="s">
        <v>11</v>
      </c>
      <c r="T2" s="86" t="s">
        <v>12</v>
      </c>
      <c r="U2" s="64" t="s">
        <v>94</v>
      </c>
      <c r="V2" s="64" t="s">
        <v>95</v>
      </c>
      <c r="W2" s="19" t="s">
        <v>29</v>
      </c>
      <c r="X2" s="34"/>
      <c r="Y2" s="27" t="s">
        <v>52</v>
      </c>
      <c r="Z2" s="28" t="str" cm="1">
        <f t="array" ref="Z2:AA2">C2:D2</f>
        <v>Normal R4</v>
      </c>
      <c r="AA2" s="24" t="str">
        <v>Re-spin R4</v>
      </c>
      <c r="AB2" s="12"/>
      <c r="AC2" s="28" t="str" cm="1">
        <f t="array" ref="AC2:AD2">_xlfn.ANCHORARRAY(Z2)</f>
        <v>Normal R4</v>
      </c>
      <c r="AD2" s="24" t="str">
        <v>Re-spin R4</v>
      </c>
      <c r="AF2" s="28" t="str" cm="1">
        <f t="array" ref="AF2:AG2">_xlfn.ANCHORARRAY(AC2)</f>
        <v>Normal R4</v>
      </c>
      <c r="AG2" s="24" t="str">
        <v>Re-spin R4</v>
      </c>
      <c r="AH2" s="34"/>
      <c r="AI2" s="27" t="s">
        <v>52</v>
      </c>
      <c r="AJ2" s="28" t="str" cm="1">
        <f t="array" ref="AJ2:AK2">M2:N2</f>
        <v>Symbol</v>
      </c>
      <c r="AK2" s="24" t="str">
        <v>Symbol Name</v>
      </c>
      <c r="AL2" s="12"/>
      <c r="AM2" s="28" t="str" cm="1">
        <f t="array" ref="AM2:AN2">_xlfn.ANCHORARRAY(AJ2)</f>
        <v>Symbol</v>
      </c>
      <c r="AN2" s="24" t="str">
        <v>Symbol Name</v>
      </c>
      <c r="AP2" s="28" t="str" cm="1">
        <f t="array" ref="AP2:AQ2">_xlfn.ANCHORARRAY(AM2)</f>
        <v>Symbol</v>
      </c>
      <c r="AQ2" s="24" t="str">
        <v>Symbol Name</v>
      </c>
      <c r="AR2" s="148"/>
      <c r="AS2" s="27" t="s">
        <v>52</v>
      </c>
      <c r="AT2" s="28" t="str" cm="1">
        <f t="array" ref="AT2:AU2">AC2:AD2</f>
        <v>Normal R4</v>
      </c>
      <c r="AU2" s="24" t="str">
        <v>Re-spin R4</v>
      </c>
      <c r="AV2" s="12"/>
      <c r="AW2" s="28" t="str" cm="1">
        <f t="array" ref="AW2:AX2">_xlfn.ANCHORARRAY(AT2)</f>
        <v>Normal R4</v>
      </c>
      <c r="AX2" s="24" t="str">
        <v>Re-spin R4</v>
      </c>
      <c r="AZ2" s="28" t="str" cm="1">
        <f t="array" ref="AZ2:BA2">_xlfn.ANCHORARRAY(AW2)</f>
        <v>Normal R4</v>
      </c>
      <c r="BA2" s="24" t="str">
        <v>Re-spin R4</v>
      </c>
      <c r="BC2" s="27" t="s">
        <v>52</v>
      </c>
      <c r="BD2" s="28" t="str" cm="1">
        <f t="array" ref="BD2:BE2">AM2:AN2</f>
        <v>Symbol</v>
      </c>
      <c r="BE2" s="24" t="str">
        <v>Symbol Name</v>
      </c>
      <c r="BF2" s="12"/>
      <c r="BG2" s="28" t="str" cm="1">
        <f t="array" ref="BG2:BH2">_xlfn.ANCHORARRAY(BD2)</f>
        <v>Symbol</v>
      </c>
      <c r="BH2" s="24" t="str">
        <v>Symbol Name</v>
      </c>
      <c r="BJ2" s="28" t="str" cm="1">
        <f t="array" ref="BJ2:BK2">_xlfn.ANCHORARRAY(BG2)</f>
        <v>Symbol</v>
      </c>
      <c r="BK2" s="24" t="str">
        <v>Symbol Name</v>
      </c>
    </row>
    <row r="3" spans="1:63" ht="16.8" customHeight="1">
      <c r="A3" s="75">
        <v>1</v>
      </c>
      <c r="B3" s="57">
        <v>1</v>
      </c>
      <c r="C3" s="76">
        <f t="shared" ref="C3:C25" si="0">COUNTIF(Z$3:Z$211, $A3)</f>
        <v>9</v>
      </c>
      <c r="D3" s="77">
        <f t="shared" ref="D3:D25" si="1">COUNTIF(AA$3:AA$211, $A3)</f>
        <v>5</v>
      </c>
      <c r="E3" s="58">
        <v>8</v>
      </c>
      <c r="F3" s="107"/>
      <c r="G3" s="75" cm="1">
        <f t="array" ref="G3:H25">A3:B25</f>
        <v>1</v>
      </c>
      <c r="H3" s="57">
        <v>1</v>
      </c>
      <c r="I3" s="76">
        <f>COUNTIF(AJ$3:AJ$211, $G3)</f>
        <v>0</v>
      </c>
      <c r="J3" s="77">
        <f>COUNTIF(AK$3:AK$211, $G3)</f>
        <v>0</v>
      </c>
      <c r="K3" s="58" cm="1">
        <f t="array" ref="K3:K25">E3:E25</f>
        <v>8</v>
      </c>
      <c r="L3" s="107"/>
      <c r="M3" s="75" cm="1">
        <f t="array" ref="M3:N25">_xlfn.ANCHORARRAY(G3)</f>
        <v>1</v>
      </c>
      <c r="N3" s="57">
        <v>1</v>
      </c>
      <c r="O3" s="76">
        <f>COUNTIF(AT$3:AT$211, $A3)</f>
        <v>0</v>
      </c>
      <c r="P3" s="77">
        <f>COUNTIF(AU$3:AU$211, $A3)</f>
        <v>0</v>
      </c>
      <c r="Q3" s="58" cm="1">
        <f t="array" ref="Q3:Q25">_xlfn.ANCHORARRAY(K3)</f>
        <v>8</v>
      </c>
      <c r="R3" s="155"/>
      <c r="S3" s="75" cm="1">
        <f t="array" ref="S3:T25">_xlfn.ANCHORARRAY(M3)</f>
        <v>1</v>
      </c>
      <c r="T3" s="57">
        <v>1</v>
      </c>
      <c r="U3" s="76">
        <f>COUNTIF(BD$3:BD$211, $A3)</f>
        <v>0</v>
      </c>
      <c r="V3" s="77">
        <f>COUNTIF(BE$3:BE$211, $A3)</f>
        <v>0</v>
      </c>
      <c r="W3" s="58" cm="1">
        <f t="array" ref="W3:W25">_xlfn.ANCHORARRAY(Q3)</f>
        <v>8</v>
      </c>
      <c r="X3" s="133"/>
      <c r="Y3" s="27">
        <v>0</v>
      </c>
      <c r="Z3" s="131">
        <v>500</v>
      </c>
      <c r="AA3" s="131" t="s">
        <v>106</v>
      </c>
      <c r="AB3" s="65"/>
      <c r="AC3" s="8">
        <f>IF(Z3="","",VLOOKUP('Reel 4 Symbol'!Z3,'Reel 4 Symbol'!$A$3:$E$25,5,0))</f>
        <v>18</v>
      </c>
      <c r="AD3" s="8">
        <f>IF(AA3="","",VLOOKUP('Reel 4 Symbol'!AA3,'Reel 4 Symbol'!$A$3:$E$25,5,0))</f>
        <v>30</v>
      </c>
      <c r="AF3" s="8">
        <f>IF(Z3&lt;&gt;"", VLOOKUP(Z3,$A$3:$B$25,2,0), "")</f>
        <v>500</v>
      </c>
      <c r="AG3" s="8" t="str">
        <f>IF(AA3&lt;&gt;"", VLOOKUP(AA3,$A$3:$B$25,2,0), "")</f>
        <v>G500</v>
      </c>
      <c r="AH3" s="133"/>
      <c r="AI3" s="27">
        <v>0</v>
      </c>
      <c r="AJ3" s="131">
        <v>500</v>
      </c>
      <c r="AK3" s="131" t="s">
        <v>106</v>
      </c>
      <c r="AL3" s="65"/>
      <c r="AM3" s="8">
        <f>IF(AJ3="","",VLOOKUP('Reel 4 Symbol'!AJ3,'Reel 4 Symbol'!$A$3:$E$25,5,0))</f>
        <v>18</v>
      </c>
      <c r="AN3" s="8">
        <f>IF(AK3="","",VLOOKUP('Reel 4 Symbol'!AK3,'Reel 4 Symbol'!$A$3:$E$25,5,0))</f>
        <v>30</v>
      </c>
      <c r="AP3" s="8">
        <f>IF(AJ3&lt;&gt;"", VLOOKUP(AJ3,$A$3:$B$25,2,0), "")</f>
        <v>500</v>
      </c>
      <c r="AQ3" s="8" t="str">
        <f>IF(AK3&lt;&gt;"", VLOOKUP(AK3,$A$3:$B$25,2,0), "")</f>
        <v>G500</v>
      </c>
      <c r="AR3" s="133"/>
      <c r="AS3" s="27">
        <v>0</v>
      </c>
      <c r="AT3" s="131">
        <v>500</v>
      </c>
      <c r="AU3" s="131" t="s">
        <v>106</v>
      </c>
      <c r="AV3" s="65"/>
      <c r="AW3" s="8">
        <f>IF(AT3="","",VLOOKUP('Reel 4 Symbol'!AT3,'Reel 4 Symbol'!$A$3:$E$25,5,0))</f>
        <v>18</v>
      </c>
      <c r="AX3" s="8">
        <f>IF(AU3="","",VLOOKUP('Reel 4 Symbol'!AU3,'Reel 4 Symbol'!$A$3:$E$25,5,0))</f>
        <v>30</v>
      </c>
      <c r="AZ3" s="8">
        <f>IF(AT3&lt;&gt;"", VLOOKUP(AT3,$A$3:$B$25,2,0), "")</f>
        <v>500</v>
      </c>
      <c r="BA3" s="8" t="str">
        <f>IF(AU3&lt;&gt;"", VLOOKUP(AU3,$A$3:$B$25,2,0), "")</f>
        <v>G500</v>
      </c>
      <c r="BC3" s="27">
        <v>0</v>
      </c>
      <c r="BD3" s="131">
        <v>500</v>
      </c>
      <c r="BE3" s="131" t="s">
        <v>106</v>
      </c>
      <c r="BF3" s="65"/>
      <c r="BG3" s="8">
        <f>IF(BD3="","",VLOOKUP('Reel 4 Symbol'!BD3,'Reel 4 Symbol'!$A$3:$E$25,5,0))</f>
        <v>18</v>
      </c>
      <c r="BH3" s="8">
        <f>IF(BE3="","",VLOOKUP('Reel 4 Symbol'!BE3,'Reel 4 Symbol'!$A$3:$E$25,5,0))</f>
        <v>30</v>
      </c>
      <c r="BJ3" s="8">
        <f>IF(BD3&lt;&gt;"", VLOOKUP(BD3,$A$3:$B$25,2,0), "")</f>
        <v>500</v>
      </c>
      <c r="BK3" s="8" t="str">
        <f>IF(BE3&lt;&gt;"", VLOOKUP(BE3,$A$3:$B$25,2,0), "")</f>
        <v>G500</v>
      </c>
    </row>
    <row r="4" spans="1:63" ht="16.8" customHeight="1">
      <c r="A4" s="78">
        <v>2</v>
      </c>
      <c r="B4" s="58">
        <v>2</v>
      </c>
      <c r="C4" s="79">
        <f t="shared" si="0"/>
        <v>11</v>
      </c>
      <c r="D4" s="70">
        <f t="shared" si="1"/>
        <v>8</v>
      </c>
      <c r="E4" s="58">
        <f t="shared" ref="E4:E25" si="2">E3+1</f>
        <v>9</v>
      </c>
      <c r="F4" s="107"/>
      <c r="G4" s="78">
        <v>2</v>
      </c>
      <c r="H4" s="58">
        <v>2</v>
      </c>
      <c r="I4" s="79">
        <f t="shared" ref="I4:I25" si="3">COUNTIF(AJ$3:AJ$211, $G4)</f>
        <v>14</v>
      </c>
      <c r="J4" s="70">
        <f t="shared" ref="J4:J25" si="4">COUNTIF(AK$3:AK$211, $G4)</f>
        <v>10</v>
      </c>
      <c r="K4" s="58">
        <v>9</v>
      </c>
      <c r="L4" s="107"/>
      <c r="M4" s="78">
        <v>2</v>
      </c>
      <c r="N4" s="58">
        <v>2</v>
      </c>
      <c r="O4" s="79">
        <f t="shared" ref="O4:O25" si="5">COUNTIF(AT$3:AT$211, $A4)</f>
        <v>0</v>
      </c>
      <c r="P4" s="70">
        <f t="shared" ref="P4:P25" si="6">COUNTIF(AU$3:AU$211, $A4)</f>
        <v>0</v>
      </c>
      <c r="Q4" s="58">
        <v>9</v>
      </c>
      <c r="R4" s="155"/>
      <c r="S4" s="78">
        <v>2</v>
      </c>
      <c r="T4" s="58">
        <v>2</v>
      </c>
      <c r="U4" s="79">
        <f t="shared" ref="U4:U25" si="7">COUNTIF(BD$3:BD$211, $A4)</f>
        <v>14</v>
      </c>
      <c r="V4" s="70">
        <f t="shared" ref="V4:V25" si="8">COUNTIF(BE$3:BE$211, $A4)</f>
        <v>10</v>
      </c>
      <c r="W4" s="58">
        <v>9</v>
      </c>
      <c r="X4" s="133"/>
      <c r="Y4" s="27">
        <v>1</v>
      </c>
      <c r="Z4" s="131">
        <v>100</v>
      </c>
      <c r="AA4" s="131">
        <v>100</v>
      </c>
      <c r="AB4" s="65"/>
      <c r="AC4" s="8">
        <f>IF(Z4="","",VLOOKUP('Reel 4 Symbol'!Z4,'Reel 4 Symbol'!$A$3:$E$25,5,0))</f>
        <v>17</v>
      </c>
      <c r="AD4" s="8">
        <f>IF(AA4="","",VLOOKUP('Reel 4 Symbol'!AA4,'Reel 4 Symbol'!$A$3:$E$25,5,0))</f>
        <v>17</v>
      </c>
      <c r="AF4" s="8">
        <f t="shared" ref="AF4:AF67" si="9">IF(Z4&lt;&gt;"", VLOOKUP(Z4,$A$3:$B$25,2,0), "")</f>
        <v>100</v>
      </c>
      <c r="AG4" s="8">
        <f t="shared" ref="AG4:AG67" si="10">IF(AA4&lt;&gt;"", VLOOKUP(AA4,$A$3:$B$25,2,0), "")</f>
        <v>100</v>
      </c>
      <c r="AH4" s="133"/>
      <c r="AI4" s="27">
        <v>1</v>
      </c>
      <c r="AJ4" s="131">
        <v>100</v>
      </c>
      <c r="AK4" s="131">
        <v>100</v>
      </c>
      <c r="AL4" s="65"/>
      <c r="AM4" s="8">
        <f>IF(AJ4="","",VLOOKUP('Reel 4 Symbol'!AJ4,'Reel 4 Symbol'!$A$3:$E$25,5,0))</f>
        <v>17</v>
      </c>
      <c r="AN4" s="8">
        <f>IF(AK4="","",VLOOKUP('Reel 4 Symbol'!AK4,'Reel 4 Symbol'!$A$3:$E$25,5,0))</f>
        <v>17</v>
      </c>
      <c r="AP4" s="8">
        <f t="shared" ref="AP4:AP67" si="11">IF(AJ4&lt;&gt;"", VLOOKUP(AJ4,$A$3:$B$25,2,0), "")</f>
        <v>100</v>
      </c>
      <c r="AQ4" s="8">
        <f t="shared" ref="AQ4:AQ67" si="12">IF(AK4&lt;&gt;"", VLOOKUP(AK4,$A$3:$B$25,2,0), "")</f>
        <v>100</v>
      </c>
      <c r="AR4" s="133"/>
      <c r="AS4" s="27">
        <v>1</v>
      </c>
      <c r="AT4" s="131">
        <v>100</v>
      </c>
      <c r="AU4" s="131">
        <v>100</v>
      </c>
      <c r="AV4" s="65"/>
      <c r="AW4" s="8">
        <f>IF(AT4="","",VLOOKUP('Reel 4 Symbol'!AT4,'Reel 4 Symbol'!$A$3:$E$25,5,0))</f>
        <v>17</v>
      </c>
      <c r="AX4" s="8">
        <f>IF(AU4="","",VLOOKUP('Reel 4 Symbol'!AU4,'Reel 4 Symbol'!$A$3:$E$25,5,0))</f>
        <v>17</v>
      </c>
      <c r="AZ4" s="8">
        <f t="shared" ref="AZ4:AZ67" si="13">IF(AT4&lt;&gt;"", VLOOKUP(AT4,$A$3:$B$25,2,0), "")</f>
        <v>100</v>
      </c>
      <c r="BA4" s="8">
        <f t="shared" ref="BA4:BA67" si="14">IF(AU4&lt;&gt;"", VLOOKUP(AU4,$A$3:$B$25,2,0), "")</f>
        <v>100</v>
      </c>
      <c r="BC4" s="27">
        <v>1</v>
      </c>
      <c r="BD4" s="131">
        <v>100</v>
      </c>
      <c r="BE4" s="131">
        <v>100</v>
      </c>
      <c r="BF4" s="65"/>
      <c r="BG4" s="8">
        <f>IF(BD4="","",VLOOKUP('Reel 4 Symbol'!BD4,'Reel 4 Symbol'!$A$3:$E$25,5,0))</f>
        <v>17</v>
      </c>
      <c r="BH4" s="8">
        <f>IF(BE4="","",VLOOKUP('Reel 4 Symbol'!BE4,'Reel 4 Symbol'!$A$3:$E$25,5,0))</f>
        <v>17</v>
      </c>
      <c r="BJ4" s="8">
        <f t="shared" ref="BJ4:BJ67" si="15">IF(BD4&lt;&gt;"", VLOOKUP(BD4,$A$3:$B$25,2,0), "")</f>
        <v>100</v>
      </c>
      <c r="BK4" s="8">
        <f t="shared" ref="BK4:BK67" si="16">IF(BE4&lt;&gt;"", VLOOKUP(BE4,$A$3:$B$25,2,0), "")</f>
        <v>100</v>
      </c>
    </row>
    <row r="5" spans="1:63" ht="16.8" customHeight="1">
      <c r="A5" s="78">
        <v>3</v>
      </c>
      <c r="B5" s="107">
        <v>3</v>
      </c>
      <c r="C5" s="79">
        <f t="shared" si="0"/>
        <v>9</v>
      </c>
      <c r="D5" s="70">
        <f t="shared" si="1"/>
        <v>3</v>
      </c>
      <c r="E5" s="58">
        <f t="shared" si="2"/>
        <v>10</v>
      </c>
      <c r="F5" s="107"/>
      <c r="G5" s="78">
        <v>3</v>
      </c>
      <c r="H5" s="107">
        <v>3</v>
      </c>
      <c r="I5" s="79">
        <f t="shared" si="3"/>
        <v>11</v>
      </c>
      <c r="J5" s="70">
        <f t="shared" si="4"/>
        <v>4</v>
      </c>
      <c r="K5" s="58">
        <v>10</v>
      </c>
      <c r="L5" s="107"/>
      <c r="M5" s="78">
        <v>3</v>
      </c>
      <c r="N5" s="107">
        <v>3</v>
      </c>
      <c r="O5" s="79">
        <f t="shared" si="5"/>
        <v>0</v>
      </c>
      <c r="P5" s="70">
        <f t="shared" si="6"/>
        <v>0</v>
      </c>
      <c r="Q5" s="58">
        <v>10</v>
      </c>
      <c r="R5" s="155"/>
      <c r="S5" s="78">
        <v>3</v>
      </c>
      <c r="T5" s="155">
        <v>3</v>
      </c>
      <c r="U5" s="79">
        <f t="shared" si="7"/>
        <v>11</v>
      </c>
      <c r="V5" s="70">
        <f t="shared" si="8"/>
        <v>4</v>
      </c>
      <c r="W5" s="58">
        <v>10</v>
      </c>
      <c r="X5" s="133"/>
      <c r="Y5" s="27">
        <v>2</v>
      </c>
      <c r="Z5" s="131">
        <v>50</v>
      </c>
      <c r="AA5" s="131" t="s">
        <v>104</v>
      </c>
      <c r="AB5" s="65"/>
      <c r="AC5" s="8">
        <f>IF(Z5="","",VLOOKUP('Reel 4 Symbol'!Z5,'Reel 4 Symbol'!$A$3:$E$25,5,0))</f>
        <v>16</v>
      </c>
      <c r="AD5" s="8">
        <f>IF(AA5="","",VLOOKUP('Reel 4 Symbol'!AA5,'Reel 4 Symbol'!$A$3:$E$25,5,0))</f>
        <v>28</v>
      </c>
      <c r="AF5" s="8">
        <f t="shared" si="9"/>
        <v>50</v>
      </c>
      <c r="AG5" s="8" t="str">
        <f t="shared" si="10"/>
        <v>G50</v>
      </c>
      <c r="AH5" s="133"/>
      <c r="AI5" s="27">
        <v>2</v>
      </c>
      <c r="AJ5" s="131">
        <v>50</v>
      </c>
      <c r="AK5" s="131" t="s">
        <v>104</v>
      </c>
      <c r="AL5" s="65"/>
      <c r="AM5" s="8">
        <f>IF(AJ5="","",VLOOKUP('Reel 4 Symbol'!AJ5,'Reel 4 Symbol'!$A$3:$E$25,5,0))</f>
        <v>16</v>
      </c>
      <c r="AN5" s="8">
        <f>IF(AK5="","",VLOOKUP('Reel 4 Symbol'!AK5,'Reel 4 Symbol'!$A$3:$E$25,5,0))</f>
        <v>28</v>
      </c>
      <c r="AP5" s="8">
        <f t="shared" si="11"/>
        <v>50</v>
      </c>
      <c r="AQ5" s="8" t="str">
        <f t="shared" si="12"/>
        <v>G50</v>
      </c>
      <c r="AR5" s="133"/>
      <c r="AS5" s="27">
        <v>2</v>
      </c>
      <c r="AT5" s="131">
        <v>50</v>
      </c>
      <c r="AU5" s="131" t="s">
        <v>104</v>
      </c>
      <c r="AV5" s="65"/>
      <c r="AW5" s="8">
        <f>IF(AT5="","",VLOOKUP('Reel 4 Symbol'!AT5,'Reel 4 Symbol'!$A$3:$E$25,5,0))</f>
        <v>16</v>
      </c>
      <c r="AX5" s="8">
        <f>IF(AU5="","",VLOOKUP('Reel 4 Symbol'!AU5,'Reel 4 Symbol'!$A$3:$E$25,5,0))</f>
        <v>28</v>
      </c>
      <c r="AZ5" s="8">
        <f t="shared" si="13"/>
        <v>50</v>
      </c>
      <c r="BA5" s="8" t="str">
        <f t="shared" si="14"/>
        <v>G50</v>
      </c>
      <c r="BC5" s="27">
        <v>2</v>
      </c>
      <c r="BD5" s="131">
        <v>50</v>
      </c>
      <c r="BE5" s="131" t="s">
        <v>104</v>
      </c>
      <c r="BF5" s="65"/>
      <c r="BG5" s="8">
        <f>IF(BD5="","",VLOOKUP('Reel 4 Symbol'!BD5,'Reel 4 Symbol'!$A$3:$E$25,5,0))</f>
        <v>16</v>
      </c>
      <c r="BH5" s="8">
        <f>IF(BE5="","",VLOOKUP('Reel 4 Symbol'!BE5,'Reel 4 Symbol'!$A$3:$E$25,5,0))</f>
        <v>28</v>
      </c>
      <c r="BJ5" s="8">
        <f t="shared" si="15"/>
        <v>50</v>
      </c>
      <c r="BK5" s="8" t="str">
        <f t="shared" si="16"/>
        <v>G50</v>
      </c>
    </row>
    <row r="6" spans="1:63" ht="16.8" customHeight="1">
      <c r="A6" s="78">
        <v>5</v>
      </c>
      <c r="B6" s="58">
        <v>5</v>
      </c>
      <c r="C6" s="79">
        <f t="shared" si="0"/>
        <v>7</v>
      </c>
      <c r="D6" s="70">
        <f t="shared" si="1"/>
        <v>5</v>
      </c>
      <c r="E6" s="58">
        <f t="shared" si="2"/>
        <v>11</v>
      </c>
      <c r="F6" s="107"/>
      <c r="G6" s="78">
        <v>5</v>
      </c>
      <c r="H6" s="58">
        <v>5</v>
      </c>
      <c r="I6" s="79">
        <f t="shared" si="3"/>
        <v>8</v>
      </c>
      <c r="J6" s="70">
        <f t="shared" si="4"/>
        <v>6</v>
      </c>
      <c r="K6" s="58">
        <v>11</v>
      </c>
      <c r="L6" s="107"/>
      <c r="M6" s="78">
        <v>5</v>
      </c>
      <c r="N6" s="58">
        <v>5</v>
      </c>
      <c r="O6" s="79">
        <f t="shared" si="5"/>
        <v>0</v>
      </c>
      <c r="P6" s="70">
        <f t="shared" si="6"/>
        <v>0</v>
      </c>
      <c r="Q6" s="58">
        <v>11</v>
      </c>
      <c r="R6" s="155"/>
      <c r="S6" s="78">
        <v>5</v>
      </c>
      <c r="T6" s="58">
        <v>5</v>
      </c>
      <c r="U6" s="79">
        <f t="shared" si="7"/>
        <v>8</v>
      </c>
      <c r="V6" s="70">
        <f t="shared" si="8"/>
        <v>6</v>
      </c>
      <c r="W6" s="58">
        <v>11</v>
      </c>
      <c r="X6" s="133"/>
      <c r="Y6" s="27">
        <v>3</v>
      </c>
      <c r="Z6" s="131">
        <v>10</v>
      </c>
      <c r="AA6" s="131">
        <v>10</v>
      </c>
      <c r="AB6" s="65"/>
      <c r="AC6" s="8">
        <f>IF(Z6="","",VLOOKUP('Reel 4 Symbol'!Z6,'Reel 4 Symbol'!$A$3:$E$25,5,0))</f>
        <v>12</v>
      </c>
      <c r="AD6" s="8">
        <f>IF(AA6="","",VLOOKUP('Reel 4 Symbol'!AA6,'Reel 4 Symbol'!$A$3:$E$25,5,0))</f>
        <v>12</v>
      </c>
      <c r="AF6" s="8">
        <f t="shared" si="9"/>
        <v>10</v>
      </c>
      <c r="AG6" s="8">
        <f t="shared" si="10"/>
        <v>10</v>
      </c>
      <c r="AH6" s="133"/>
      <c r="AI6" s="27">
        <v>3</v>
      </c>
      <c r="AJ6" s="131">
        <v>10</v>
      </c>
      <c r="AK6" s="131">
        <v>10</v>
      </c>
      <c r="AL6" s="65"/>
      <c r="AM6" s="8">
        <f>IF(AJ6="","",VLOOKUP('Reel 4 Symbol'!AJ6,'Reel 4 Symbol'!$A$3:$E$25,5,0))</f>
        <v>12</v>
      </c>
      <c r="AN6" s="8">
        <f>IF(AK6="","",VLOOKUP('Reel 4 Symbol'!AK6,'Reel 4 Symbol'!$A$3:$E$25,5,0))</f>
        <v>12</v>
      </c>
      <c r="AP6" s="8">
        <f t="shared" si="11"/>
        <v>10</v>
      </c>
      <c r="AQ6" s="8">
        <f t="shared" si="12"/>
        <v>10</v>
      </c>
      <c r="AR6" s="133"/>
      <c r="AS6" s="27">
        <v>3</v>
      </c>
      <c r="AT6" s="131">
        <v>10</v>
      </c>
      <c r="AU6" s="131">
        <v>10</v>
      </c>
      <c r="AV6" s="65"/>
      <c r="AW6" s="8">
        <f>IF(AT6="","",VLOOKUP('Reel 4 Symbol'!AT6,'Reel 4 Symbol'!$A$3:$E$25,5,0))</f>
        <v>12</v>
      </c>
      <c r="AX6" s="8">
        <f>IF(AU6="","",VLOOKUP('Reel 4 Symbol'!AU6,'Reel 4 Symbol'!$A$3:$E$25,5,0))</f>
        <v>12</v>
      </c>
      <c r="AZ6" s="8">
        <f t="shared" si="13"/>
        <v>10</v>
      </c>
      <c r="BA6" s="8">
        <f t="shared" si="14"/>
        <v>10</v>
      </c>
      <c r="BC6" s="27">
        <v>3</v>
      </c>
      <c r="BD6" s="131">
        <v>10</v>
      </c>
      <c r="BE6" s="131">
        <v>10</v>
      </c>
      <c r="BF6" s="65"/>
      <c r="BG6" s="8">
        <f>IF(BD6="","",VLOOKUP('Reel 4 Symbol'!BD6,'Reel 4 Symbol'!$A$3:$E$25,5,0))</f>
        <v>12</v>
      </c>
      <c r="BH6" s="8">
        <f>IF(BE6="","",VLOOKUP('Reel 4 Symbol'!BE6,'Reel 4 Symbol'!$A$3:$E$25,5,0))</f>
        <v>12</v>
      </c>
      <c r="BJ6" s="8">
        <f t="shared" si="15"/>
        <v>10</v>
      </c>
      <c r="BK6" s="8">
        <f t="shared" si="16"/>
        <v>10</v>
      </c>
    </row>
    <row r="7" spans="1:63" ht="16.8" customHeight="1">
      <c r="A7" s="78">
        <v>10</v>
      </c>
      <c r="B7" s="58">
        <v>10</v>
      </c>
      <c r="C7" s="79">
        <f t="shared" si="0"/>
        <v>8</v>
      </c>
      <c r="D7" s="70">
        <f t="shared" si="1"/>
        <v>6</v>
      </c>
      <c r="E7" s="58">
        <f t="shared" si="2"/>
        <v>12</v>
      </c>
      <c r="F7" s="107"/>
      <c r="G7" s="78">
        <v>10</v>
      </c>
      <c r="H7" s="58">
        <v>10</v>
      </c>
      <c r="I7" s="79">
        <f t="shared" si="3"/>
        <v>9</v>
      </c>
      <c r="J7" s="70">
        <f t="shared" si="4"/>
        <v>7</v>
      </c>
      <c r="K7" s="58">
        <v>12</v>
      </c>
      <c r="L7" s="107"/>
      <c r="M7" s="78">
        <v>10</v>
      </c>
      <c r="N7" s="58">
        <v>10</v>
      </c>
      <c r="O7" s="79">
        <f t="shared" si="5"/>
        <v>22</v>
      </c>
      <c r="P7" s="70">
        <f t="shared" si="6"/>
        <v>16</v>
      </c>
      <c r="Q7" s="58">
        <v>12</v>
      </c>
      <c r="R7" s="155"/>
      <c r="S7" s="78">
        <v>10</v>
      </c>
      <c r="T7" s="58">
        <v>10</v>
      </c>
      <c r="U7" s="79">
        <f t="shared" si="7"/>
        <v>9</v>
      </c>
      <c r="V7" s="70">
        <f t="shared" si="8"/>
        <v>7</v>
      </c>
      <c r="W7" s="58">
        <v>12</v>
      </c>
      <c r="X7" s="133"/>
      <c r="Y7" s="27">
        <v>4</v>
      </c>
      <c r="Z7" s="131">
        <v>15</v>
      </c>
      <c r="AA7" s="131" t="s">
        <v>101</v>
      </c>
      <c r="AB7" s="65"/>
      <c r="AC7" s="8">
        <f>IF(Z7="","",VLOOKUP('Reel 4 Symbol'!Z7,'Reel 4 Symbol'!$A$3:$E$25,5,0))</f>
        <v>13</v>
      </c>
      <c r="AD7" s="8">
        <f>IF(AA7="","",VLOOKUP('Reel 4 Symbol'!AA7,'Reel 4 Symbol'!$A$3:$E$25,5,0))</f>
        <v>25</v>
      </c>
      <c r="AF7" s="8">
        <f t="shared" si="9"/>
        <v>15</v>
      </c>
      <c r="AG7" s="8" t="str">
        <f t="shared" si="10"/>
        <v>G15</v>
      </c>
      <c r="AH7" s="133"/>
      <c r="AI7" s="27">
        <v>4</v>
      </c>
      <c r="AJ7" s="131">
        <v>15</v>
      </c>
      <c r="AK7" s="131" t="s">
        <v>101</v>
      </c>
      <c r="AL7" s="65"/>
      <c r="AM7" s="8">
        <f>IF(AJ7="","",VLOOKUP('Reel 4 Symbol'!AJ7,'Reel 4 Symbol'!$A$3:$E$25,5,0))</f>
        <v>13</v>
      </c>
      <c r="AN7" s="8">
        <f>IF(AK7="","",VLOOKUP('Reel 4 Symbol'!AK7,'Reel 4 Symbol'!$A$3:$E$25,5,0))</f>
        <v>25</v>
      </c>
      <c r="AP7" s="8">
        <f t="shared" si="11"/>
        <v>15</v>
      </c>
      <c r="AQ7" s="8" t="str">
        <f t="shared" si="12"/>
        <v>G15</v>
      </c>
      <c r="AR7" s="133"/>
      <c r="AS7" s="27">
        <v>4</v>
      </c>
      <c r="AT7" s="131">
        <v>15</v>
      </c>
      <c r="AU7" s="131" t="s">
        <v>101</v>
      </c>
      <c r="AV7" s="65"/>
      <c r="AW7" s="8">
        <f>IF(AT7="","",VLOOKUP('Reel 4 Symbol'!AT7,'Reel 4 Symbol'!$A$3:$E$25,5,0))</f>
        <v>13</v>
      </c>
      <c r="AX7" s="8">
        <f>IF(AU7="","",VLOOKUP('Reel 4 Symbol'!AU7,'Reel 4 Symbol'!$A$3:$E$25,5,0))</f>
        <v>25</v>
      </c>
      <c r="AZ7" s="8">
        <f t="shared" si="13"/>
        <v>15</v>
      </c>
      <c r="BA7" s="8" t="str">
        <f t="shared" si="14"/>
        <v>G15</v>
      </c>
      <c r="BC7" s="27">
        <v>4</v>
      </c>
      <c r="BD7" s="131">
        <v>15</v>
      </c>
      <c r="BE7" s="131" t="s">
        <v>101</v>
      </c>
      <c r="BF7" s="65"/>
      <c r="BG7" s="8">
        <f>IF(BD7="","",VLOOKUP('Reel 4 Symbol'!BD7,'Reel 4 Symbol'!$A$3:$E$25,5,0))</f>
        <v>13</v>
      </c>
      <c r="BH7" s="8">
        <f>IF(BE7="","",VLOOKUP('Reel 4 Symbol'!BE7,'Reel 4 Symbol'!$A$3:$E$25,5,0))</f>
        <v>25</v>
      </c>
      <c r="BJ7" s="8">
        <f t="shared" si="15"/>
        <v>15</v>
      </c>
      <c r="BK7" s="8" t="str">
        <f t="shared" si="16"/>
        <v>G15</v>
      </c>
    </row>
    <row r="8" spans="1:63" ht="16.8" customHeight="1">
      <c r="A8" s="78">
        <v>15</v>
      </c>
      <c r="B8" s="58">
        <v>15</v>
      </c>
      <c r="C8" s="79">
        <f t="shared" si="0"/>
        <v>9</v>
      </c>
      <c r="D8" s="70">
        <f t="shared" si="1"/>
        <v>3</v>
      </c>
      <c r="E8" s="58">
        <f t="shared" si="2"/>
        <v>13</v>
      </c>
      <c r="F8" s="107"/>
      <c r="G8" s="78">
        <v>15</v>
      </c>
      <c r="H8" s="58">
        <v>15</v>
      </c>
      <c r="I8" s="79">
        <f t="shared" si="3"/>
        <v>10</v>
      </c>
      <c r="J8" s="70">
        <f t="shared" si="4"/>
        <v>3</v>
      </c>
      <c r="K8" s="58">
        <v>13</v>
      </c>
      <c r="L8" s="107"/>
      <c r="M8" s="78">
        <v>15</v>
      </c>
      <c r="N8" s="58">
        <v>15</v>
      </c>
      <c r="O8" s="79">
        <f t="shared" si="5"/>
        <v>20</v>
      </c>
      <c r="P8" s="70">
        <f t="shared" si="6"/>
        <v>9</v>
      </c>
      <c r="Q8" s="58">
        <v>13</v>
      </c>
      <c r="R8" s="155"/>
      <c r="S8" s="78">
        <v>15</v>
      </c>
      <c r="T8" s="58">
        <v>15</v>
      </c>
      <c r="U8" s="79">
        <f t="shared" si="7"/>
        <v>10</v>
      </c>
      <c r="V8" s="70">
        <f t="shared" si="8"/>
        <v>3</v>
      </c>
      <c r="W8" s="58">
        <v>13</v>
      </c>
      <c r="X8" s="133"/>
      <c r="Y8" s="27">
        <v>5</v>
      </c>
      <c r="Z8" s="131">
        <v>25</v>
      </c>
      <c r="AA8" s="131">
        <v>25</v>
      </c>
      <c r="AB8" s="65"/>
      <c r="AC8" s="8">
        <f>IF(Z8="","",VLOOKUP('Reel 4 Symbol'!Z8,'Reel 4 Symbol'!$A$3:$E$25,5,0))</f>
        <v>15</v>
      </c>
      <c r="AD8" s="8">
        <f>IF(AA8="","",VLOOKUP('Reel 4 Symbol'!AA8,'Reel 4 Symbol'!$A$3:$E$25,5,0))</f>
        <v>15</v>
      </c>
      <c r="AF8" s="8">
        <f t="shared" si="9"/>
        <v>25</v>
      </c>
      <c r="AG8" s="8">
        <f t="shared" si="10"/>
        <v>25</v>
      </c>
      <c r="AH8" s="133"/>
      <c r="AI8" s="27">
        <v>5</v>
      </c>
      <c r="AJ8" s="131">
        <v>25</v>
      </c>
      <c r="AK8" s="131">
        <v>25</v>
      </c>
      <c r="AL8" s="65"/>
      <c r="AM8" s="8">
        <f>IF(AJ8="","",VLOOKUP('Reel 4 Symbol'!AJ8,'Reel 4 Symbol'!$A$3:$E$25,5,0))</f>
        <v>15</v>
      </c>
      <c r="AN8" s="8">
        <f>IF(AK8="","",VLOOKUP('Reel 4 Symbol'!AK8,'Reel 4 Symbol'!$A$3:$E$25,5,0))</f>
        <v>15</v>
      </c>
      <c r="AP8" s="8">
        <f t="shared" si="11"/>
        <v>25</v>
      </c>
      <c r="AQ8" s="8">
        <f t="shared" si="12"/>
        <v>25</v>
      </c>
      <c r="AR8" s="133"/>
      <c r="AS8" s="27">
        <v>5</v>
      </c>
      <c r="AT8" s="131">
        <v>25</v>
      </c>
      <c r="AU8" s="131">
        <v>25</v>
      </c>
      <c r="AV8" s="65"/>
      <c r="AW8" s="8">
        <f>IF(AT8="","",VLOOKUP('Reel 4 Symbol'!AT8,'Reel 4 Symbol'!$A$3:$E$25,5,0))</f>
        <v>15</v>
      </c>
      <c r="AX8" s="8">
        <f>IF(AU8="","",VLOOKUP('Reel 4 Symbol'!AU8,'Reel 4 Symbol'!$A$3:$E$25,5,0))</f>
        <v>15</v>
      </c>
      <c r="AZ8" s="8">
        <f t="shared" si="13"/>
        <v>25</v>
      </c>
      <c r="BA8" s="8">
        <f t="shared" si="14"/>
        <v>25</v>
      </c>
      <c r="BC8" s="27">
        <v>5</v>
      </c>
      <c r="BD8" s="131">
        <v>25</v>
      </c>
      <c r="BE8" s="131">
        <v>25</v>
      </c>
      <c r="BF8" s="65"/>
      <c r="BG8" s="8">
        <f>IF(BD8="","",VLOOKUP('Reel 4 Symbol'!BD8,'Reel 4 Symbol'!$A$3:$E$25,5,0))</f>
        <v>15</v>
      </c>
      <c r="BH8" s="8">
        <f>IF(BE8="","",VLOOKUP('Reel 4 Symbol'!BE8,'Reel 4 Symbol'!$A$3:$E$25,5,0))</f>
        <v>15</v>
      </c>
      <c r="BJ8" s="8">
        <f t="shared" si="15"/>
        <v>25</v>
      </c>
      <c r="BK8" s="8">
        <f t="shared" si="16"/>
        <v>25</v>
      </c>
    </row>
    <row r="9" spans="1:63" ht="16.8" customHeight="1">
      <c r="A9" s="78">
        <v>20</v>
      </c>
      <c r="B9" s="58">
        <v>20</v>
      </c>
      <c r="C9" s="79">
        <f t="shared" si="0"/>
        <v>8</v>
      </c>
      <c r="D9" s="70">
        <f t="shared" si="1"/>
        <v>6</v>
      </c>
      <c r="E9" s="58">
        <f t="shared" si="2"/>
        <v>14</v>
      </c>
      <c r="F9" s="107"/>
      <c r="G9" s="78">
        <v>20</v>
      </c>
      <c r="H9" s="58">
        <v>20</v>
      </c>
      <c r="I9" s="79">
        <f t="shared" si="3"/>
        <v>9</v>
      </c>
      <c r="J9" s="70">
        <f t="shared" si="4"/>
        <v>6</v>
      </c>
      <c r="K9" s="58">
        <v>14</v>
      </c>
      <c r="L9" s="107"/>
      <c r="M9" s="78">
        <v>20</v>
      </c>
      <c r="N9" s="58">
        <v>20</v>
      </c>
      <c r="O9" s="79">
        <f t="shared" si="5"/>
        <v>13</v>
      </c>
      <c r="P9" s="70">
        <f t="shared" si="6"/>
        <v>9</v>
      </c>
      <c r="Q9" s="58">
        <v>14</v>
      </c>
      <c r="R9" s="155"/>
      <c r="S9" s="78">
        <v>20</v>
      </c>
      <c r="T9" s="58">
        <v>20</v>
      </c>
      <c r="U9" s="79">
        <f t="shared" si="7"/>
        <v>9</v>
      </c>
      <c r="V9" s="70">
        <f t="shared" si="8"/>
        <v>6</v>
      </c>
      <c r="W9" s="58">
        <v>14</v>
      </c>
      <c r="X9" s="133"/>
      <c r="Y9" s="27">
        <v>6</v>
      </c>
      <c r="Z9" s="131">
        <v>20</v>
      </c>
      <c r="AA9" s="131" t="s">
        <v>102</v>
      </c>
      <c r="AB9" s="65"/>
      <c r="AC9" s="8">
        <f>IF(Z9="","",VLOOKUP('Reel 4 Symbol'!Z9,'Reel 4 Symbol'!$A$3:$E$25,5,0))</f>
        <v>14</v>
      </c>
      <c r="AD9" s="8">
        <f>IF(AA9="","",VLOOKUP('Reel 4 Symbol'!AA9,'Reel 4 Symbol'!$A$3:$E$25,5,0))</f>
        <v>26</v>
      </c>
      <c r="AF9" s="8">
        <f t="shared" si="9"/>
        <v>20</v>
      </c>
      <c r="AG9" s="8" t="str">
        <f t="shared" si="10"/>
        <v>G20</v>
      </c>
      <c r="AH9" s="133"/>
      <c r="AI9" s="27">
        <v>6</v>
      </c>
      <c r="AJ9" s="131">
        <v>20</v>
      </c>
      <c r="AK9" s="131" t="s">
        <v>102</v>
      </c>
      <c r="AL9" s="65"/>
      <c r="AM9" s="8">
        <f>IF(AJ9="","",VLOOKUP('Reel 4 Symbol'!AJ9,'Reel 4 Symbol'!$A$3:$E$25,5,0))</f>
        <v>14</v>
      </c>
      <c r="AN9" s="8">
        <f>IF(AK9="","",VLOOKUP('Reel 4 Symbol'!AK9,'Reel 4 Symbol'!$A$3:$E$25,5,0))</f>
        <v>26</v>
      </c>
      <c r="AP9" s="8">
        <f t="shared" si="11"/>
        <v>20</v>
      </c>
      <c r="AQ9" s="8" t="str">
        <f t="shared" si="12"/>
        <v>G20</v>
      </c>
      <c r="AR9" s="133"/>
      <c r="AS9" s="27">
        <v>6</v>
      </c>
      <c r="AT9" s="131">
        <v>20</v>
      </c>
      <c r="AU9" s="131" t="s">
        <v>102</v>
      </c>
      <c r="AV9" s="65"/>
      <c r="AW9" s="8">
        <f>IF(AT9="","",VLOOKUP('Reel 4 Symbol'!AT9,'Reel 4 Symbol'!$A$3:$E$25,5,0))</f>
        <v>14</v>
      </c>
      <c r="AX9" s="8">
        <f>IF(AU9="","",VLOOKUP('Reel 4 Symbol'!AU9,'Reel 4 Symbol'!$A$3:$E$25,5,0))</f>
        <v>26</v>
      </c>
      <c r="AZ9" s="8">
        <f t="shared" si="13"/>
        <v>20</v>
      </c>
      <c r="BA9" s="8" t="str">
        <f t="shared" si="14"/>
        <v>G20</v>
      </c>
      <c r="BC9" s="27">
        <v>6</v>
      </c>
      <c r="BD9" s="131">
        <v>20</v>
      </c>
      <c r="BE9" s="131" t="s">
        <v>102</v>
      </c>
      <c r="BF9" s="65"/>
      <c r="BG9" s="8">
        <f>IF(BD9="","",VLOOKUP('Reel 4 Symbol'!BD9,'Reel 4 Symbol'!$A$3:$E$25,5,0))</f>
        <v>14</v>
      </c>
      <c r="BH9" s="8">
        <f>IF(BE9="","",VLOOKUP('Reel 4 Symbol'!BE9,'Reel 4 Symbol'!$A$3:$E$25,5,0))</f>
        <v>26</v>
      </c>
      <c r="BJ9" s="8">
        <f t="shared" si="15"/>
        <v>20</v>
      </c>
      <c r="BK9" s="8" t="str">
        <f t="shared" si="16"/>
        <v>G20</v>
      </c>
    </row>
    <row r="10" spans="1:63" ht="16.8" customHeight="1">
      <c r="A10" s="78">
        <v>25</v>
      </c>
      <c r="B10" s="58">
        <v>25</v>
      </c>
      <c r="C10" s="79">
        <f t="shared" si="0"/>
        <v>7</v>
      </c>
      <c r="D10" s="70">
        <f t="shared" si="1"/>
        <v>4</v>
      </c>
      <c r="E10" s="58">
        <f t="shared" si="2"/>
        <v>15</v>
      </c>
      <c r="F10" s="107"/>
      <c r="G10" s="78">
        <v>25</v>
      </c>
      <c r="H10" s="58">
        <v>25</v>
      </c>
      <c r="I10" s="79">
        <f t="shared" si="3"/>
        <v>7</v>
      </c>
      <c r="J10" s="70">
        <f t="shared" si="4"/>
        <v>4</v>
      </c>
      <c r="K10" s="58">
        <v>15</v>
      </c>
      <c r="L10" s="107"/>
      <c r="M10" s="78">
        <v>25</v>
      </c>
      <c r="N10" s="58">
        <v>25</v>
      </c>
      <c r="O10" s="79">
        <f t="shared" si="5"/>
        <v>10</v>
      </c>
      <c r="P10" s="70">
        <f t="shared" si="6"/>
        <v>5</v>
      </c>
      <c r="Q10" s="58">
        <v>15</v>
      </c>
      <c r="R10" s="155"/>
      <c r="S10" s="78">
        <v>25</v>
      </c>
      <c r="T10" s="58">
        <v>25</v>
      </c>
      <c r="U10" s="79">
        <f t="shared" si="7"/>
        <v>7</v>
      </c>
      <c r="V10" s="70">
        <f t="shared" si="8"/>
        <v>4</v>
      </c>
      <c r="W10" s="58">
        <v>15</v>
      </c>
      <c r="X10" s="133"/>
      <c r="Y10" s="27">
        <v>7</v>
      </c>
      <c r="Z10" s="131">
        <v>5</v>
      </c>
      <c r="AA10" s="131">
        <v>5</v>
      </c>
      <c r="AB10" s="65"/>
      <c r="AC10" s="8">
        <f>IF(Z10="","",VLOOKUP('Reel 4 Symbol'!Z10,'Reel 4 Symbol'!$A$3:$E$25,5,0))</f>
        <v>11</v>
      </c>
      <c r="AD10" s="8">
        <f>IF(AA10="","",VLOOKUP('Reel 4 Symbol'!AA10,'Reel 4 Symbol'!$A$3:$E$25,5,0))</f>
        <v>11</v>
      </c>
      <c r="AF10" s="8">
        <f t="shared" si="9"/>
        <v>5</v>
      </c>
      <c r="AG10" s="8">
        <f t="shared" si="10"/>
        <v>5</v>
      </c>
      <c r="AH10" s="133"/>
      <c r="AI10" s="27">
        <v>7</v>
      </c>
      <c r="AJ10" s="131">
        <v>5</v>
      </c>
      <c r="AK10" s="131">
        <v>5</v>
      </c>
      <c r="AL10" s="65"/>
      <c r="AM10" s="8">
        <f>IF(AJ10="","",VLOOKUP('Reel 4 Symbol'!AJ10,'Reel 4 Symbol'!$A$3:$E$25,5,0))</f>
        <v>11</v>
      </c>
      <c r="AN10" s="8">
        <f>IF(AK10="","",VLOOKUP('Reel 4 Symbol'!AK10,'Reel 4 Symbol'!$A$3:$E$25,5,0))</f>
        <v>11</v>
      </c>
      <c r="AP10" s="8">
        <f t="shared" si="11"/>
        <v>5</v>
      </c>
      <c r="AQ10" s="8">
        <f t="shared" si="12"/>
        <v>5</v>
      </c>
      <c r="AR10" s="133"/>
      <c r="AS10" s="27">
        <v>7</v>
      </c>
      <c r="AT10" s="131">
        <v>15</v>
      </c>
      <c r="AU10" s="131">
        <v>15</v>
      </c>
      <c r="AV10" s="65"/>
      <c r="AW10" s="8">
        <f>IF(AT10="","",VLOOKUP('Reel 4 Symbol'!AT10,'Reel 4 Symbol'!$A$3:$E$25,5,0))</f>
        <v>13</v>
      </c>
      <c r="AX10" s="8">
        <f>IF(AU10="","",VLOOKUP('Reel 4 Symbol'!AU10,'Reel 4 Symbol'!$A$3:$E$25,5,0))</f>
        <v>13</v>
      </c>
      <c r="AZ10" s="8">
        <f t="shared" si="13"/>
        <v>15</v>
      </c>
      <c r="BA10" s="8">
        <f t="shared" si="14"/>
        <v>15</v>
      </c>
      <c r="BC10" s="27">
        <v>7</v>
      </c>
      <c r="BD10" s="131">
        <v>5</v>
      </c>
      <c r="BE10" s="131">
        <v>5</v>
      </c>
      <c r="BF10" s="65"/>
      <c r="BG10" s="8">
        <f>IF(BD10="","",VLOOKUP('Reel 4 Symbol'!BD10,'Reel 4 Symbol'!$A$3:$E$25,5,0))</f>
        <v>11</v>
      </c>
      <c r="BH10" s="8">
        <f>IF(BE10="","",VLOOKUP('Reel 4 Symbol'!BE10,'Reel 4 Symbol'!$A$3:$E$25,5,0))</f>
        <v>11</v>
      </c>
      <c r="BJ10" s="8">
        <f t="shared" si="15"/>
        <v>5</v>
      </c>
      <c r="BK10" s="8">
        <f t="shared" si="16"/>
        <v>5</v>
      </c>
    </row>
    <row r="11" spans="1:63" ht="16.8" customHeight="1">
      <c r="A11" s="78">
        <v>50</v>
      </c>
      <c r="B11" s="58">
        <v>50</v>
      </c>
      <c r="C11" s="79">
        <f t="shared" si="0"/>
        <v>6</v>
      </c>
      <c r="D11" s="70">
        <f t="shared" si="1"/>
        <v>4</v>
      </c>
      <c r="E11" s="58">
        <f t="shared" si="2"/>
        <v>16</v>
      </c>
      <c r="F11" s="107"/>
      <c r="G11" s="78">
        <v>50</v>
      </c>
      <c r="H11" s="58">
        <v>50</v>
      </c>
      <c r="I11" s="79">
        <f t="shared" si="3"/>
        <v>6</v>
      </c>
      <c r="J11" s="70">
        <f t="shared" si="4"/>
        <v>4</v>
      </c>
      <c r="K11" s="58">
        <v>16</v>
      </c>
      <c r="L11" s="107"/>
      <c r="M11" s="78">
        <v>50</v>
      </c>
      <c r="N11" s="58">
        <v>50</v>
      </c>
      <c r="O11" s="79">
        <f t="shared" si="5"/>
        <v>8</v>
      </c>
      <c r="P11" s="70">
        <f t="shared" si="6"/>
        <v>6</v>
      </c>
      <c r="Q11" s="58">
        <v>16</v>
      </c>
      <c r="R11" s="155"/>
      <c r="S11" s="78">
        <v>50</v>
      </c>
      <c r="T11" s="58">
        <v>50</v>
      </c>
      <c r="U11" s="79">
        <f t="shared" si="7"/>
        <v>6</v>
      </c>
      <c r="V11" s="70">
        <f t="shared" si="8"/>
        <v>4</v>
      </c>
      <c r="W11" s="58">
        <v>16</v>
      </c>
      <c r="X11" s="133"/>
      <c r="Y11" s="27">
        <v>8</v>
      </c>
      <c r="Z11" s="131">
        <v>3</v>
      </c>
      <c r="AA11" s="131" t="s">
        <v>98</v>
      </c>
      <c r="AB11" s="65"/>
      <c r="AC11" s="8">
        <f>IF(Z11="","",VLOOKUP('Reel 4 Symbol'!Z11,'Reel 4 Symbol'!$A$3:$E$25,5,0))</f>
        <v>10</v>
      </c>
      <c r="AD11" s="8">
        <f>IF(AA11="","",VLOOKUP('Reel 4 Symbol'!AA11,'Reel 4 Symbol'!$A$3:$E$25,5,0))</f>
        <v>22</v>
      </c>
      <c r="AF11" s="8">
        <f t="shared" si="9"/>
        <v>3</v>
      </c>
      <c r="AG11" s="8" t="str">
        <f t="shared" si="10"/>
        <v>G3</v>
      </c>
      <c r="AH11" s="133"/>
      <c r="AI11" s="27">
        <v>8</v>
      </c>
      <c r="AJ11" s="131">
        <v>3</v>
      </c>
      <c r="AK11" s="131" t="s">
        <v>98</v>
      </c>
      <c r="AL11" s="65"/>
      <c r="AM11" s="8">
        <f>IF(AJ11="","",VLOOKUP('Reel 4 Symbol'!AJ11,'Reel 4 Symbol'!$A$3:$E$25,5,0))</f>
        <v>10</v>
      </c>
      <c r="AN11" s="8">
        <f>IF(AK11="","",VLOOKUP('Reel 4 Symbol'!AK11,'Reel 4 Symbol'!$A$3:$E$25,5,0))</f>
        <v>22</v>
      </c>
      <c r="AP11" s="8">
        <f t="shared" si="11"/>
        <v>3</v>
      </c>
      <c r="AQ11" s="8" t="str">
        <f t="shared" si="12"/>
        <v>G3</v>
      </c>
      <c r="AR11" s="133"/>
      <c r="AS11" s="27">
        <v>8</v>
      </c>
      <c r="AT11" s="131">
        <v>10</v>
      </c>
      <c r="AU11" s="131" t="s">
        <v>251</v>
      </c>
      <c r="AV11" s="65"/>
      <c r="AW11" s="8">
        <f>IF(AT11="","",VLOOKUP('Reel 4 Symbol'!AT11,'Reel 4 Symbol'!$A$3:$E$25,5,0))</f>
        <v>12</v>
      </c>
      <c r="AX11" s="8">
        <f>IF(AU11="","",VLOOKUP('Reel 4 Symbol'!AU11,'Reel 4 Symbol'!$A$3:$E$25,5,0))</f>
        <v>24</v>
      </c>
      <c r="AZ11" s="8">
        <f t="shared" si="13"/>
        <v>10</v>
      </c>
      <c r="BA11" s="8" t="str">
        <f t="shared" si="14"/>
        <v>G10</v>
      </c>
      <c r="BC11" s="27">
        <v>8</v>
      </c>
      <c r="BD11" s="131">
        <v>3</v>
      </c>
      <c r="BE11" s="131" t="s">
        <v>98</v>
      </c>
      <c r="BF11" s="65"/>
      <c r="BG11" s="8">
        <f>IF(BD11="","",VLOOKUP('Reel 4 Symbol'!BD11,'Reel 4 Symbol'!$A$3:$E$25,5,0))</f>
        <v>10</v>
      </c>
      <c r="BH11" s="8">
        <f>IF(BE11="","",VLOOKUP('Reel 4 Symbol'!BE11,'Reel 4 Symbol'!$A$3:$E$25,5,0))</f>
        <v>22</v>
      </c>
      <c r="BJ11" s="8">
        <f t="shared" si="15"/>
        <v>3</v>
      </c>
      <c r="BK11" s="8" t="str">
        <f t="shared" si="16"/>
        <v>G3</v>
      </c>
    </row>
    <row r="12" spans="1:63" ht="16.8" customHeight="1">
      <c r="A12" s="78">
        <v>100</v>
      </c>
      <c r="B12" s="58">
        <v>100</v>
      </c>
      <c r="C12" s="79">
        <f t="shared" si="0"/>
        <v>4</v>
      </c>
      <c r="D12" s="70">
        <f t="shared" si="1"/>
        <v>3</v>
      </c>
      <c r="E12" s="58">
        <f t="shared" si="2"/>
        <v>17</v>
      </c>
      <c r="F12" s="107"/>
      <c r="G12" s="78">
        <v>100</v>
      </c>
      <c r="H12" s="58">
        <v>100</v>
      </c>
      <c r="I12" s="79">
        <f t="shared" si="3"/>
        <v>4</v>
      </c>
      <c r="J12" s="70">
        <f t="shared" si="4"/>
        <v>3</v>
      </c>
      <c r="K12" s="58">
        <v>17</v>
      </c>
      <c r="L12" s="107"/>
      <c r="M12" s="78">
        <v>100</v>
      </c>
      <c r="N12" s="58">
        <v>100</v>
      </c>
      <c r="O12" s="79">
        <f t="shared" si="5"/>
        <v>5</v>
      </c>
      <c r="P12" s="70">
        <f t="shared" si="6"/>
        <v>3</v>
      </c>
      <c r="Q12" s="58">
        <v>17</v>
      </c>
      <c r="R12" s="155"/>
      <c r="S12" s="78">
        <v>100</v>
      </c>
      <c r="T12" s="58">
        <v>100</v>
      </c>
      <c r="U12" s="79">
        <f t="shared" si="7"/>
        <v>4</v>
      </c>
      <c r="V12" s="70">
        <f t="shared" si="8"/>
        <v>3</v>
      </c>
      <c r="W12" s="58">
        <v>17</v>
      </c>
      <c r="X12" s="133"/>
      <c r="Y12" s="27">
        <v>9</v>
      </c>
      <c r="Z12" s="131" t="s">
        <v>132</v>
      </c>
      <c r="AA12" s="131">
        <v>5</v>
      </c>
      <c r="AB12" s="65"/>
      <c r="AC12" s="8">
        <f>IF(Z12="","",VLOOKUP('Reel 4 Symbol'!Z12,'Reel 4 Symbol'!$A$3:$E$25,5,0))</f>
        <v>19</v>
      </c>
      <c r="AD12" s="8">
        <f>IF(AA12="","",VLOOKUP('Reel 4 Symbol'!AA12,'Reel 4 Symbol'!$A$3:$E$25,5,0))</f>
        <v>11</v>
      </c>
      <c r="AF12" s="8" t="str">
        <f t="shared" si="9"/>
        <v>Re-spin</v>
      </c>
      <c r="AG12" s="8">
        <f t="shared" si="10"/>
        <v>5</v>
      </c>
      <c r="AH12" s="133"/>
      <c r="AI12" s="27">
        <v>9</v>
      </c>
      <c r="AJ12" s="131" t="s">
        <v>132</v>
      </c>
      <c r="AK12" s="131">
        <v>5</v>
      </c>
      <c r="AL12" s="65"/>
      <c r="AM12" s="8">
        <f>IF(AJ12="","",VLOOKUP('Reel 4 Symbol'!AJ12,'Reel 4 Symbol'!$A$3:$E$25,5,0))</f>
        <v>19</v>
      </c>
      <c r="AN12" s="8">
        <f>IF(AK12="","",VLOOKUP('Reel 4 Symbol'!AK12,'Reel 4 Symbol'!$A$3:$E$25,5,0))</f>
        <v>11</v>
      </c>
      <c r="AP12" s="8" t="str">
        <f t="shared" si="11"/>
        <v>Re-spin</v>
      </c>
      <c r="AQ12" s="8">
        <f t="shared" si="12"/>
        <v>5</v>
      </c>
      <c r="AR12" s="133"/>
      <c r="AS12" s="27">
        <v>9</v>
      </c>
      <c r="AT12" s="131" t="s">
        <v>132</v>
      </c>
      <c r="AU12" s="131">
        <v>10</v>
      </c>
      <c r="AV12" s="65"/>
      <c r="AW12" s="8">
        <f>IF(AT12="","",VLOOKUP('Reel 4 Symbol'!AT12,'Reel 4 Symbol'!$A$3:$E$25,5,0))</f>
        <v>19</v>
      </c>
      <c r="AX12" s="8">
        <f>IF(AU12="","",VLOOKUP('Reel 4 Symbol'!AU12,'Reel 4 Symbol'!$A$3:$E$25,5,0))</f>
        <v>12</v>
      </c>
      <c r="AZ12" s="8" t="str">
        <f t="shared" si="13"/>
        <v>Re-spin</v>
      </c>
      <c r="BA12" s="8">
        <f t="shared" si="14"/>
        <v>10</v>
      </c>
      <c r="BC12" s="27">
        <v>9</v>
      </c>
      <c r="BD12" s="131" t="s">
        <v>132</v>
      </c>
      <c r="BE12" s="131">
        <v>5</v>
      </c>
      <c r="BF12" s="65"/>
      <c r="BG12" s="8">
        <f>IF(BD12="","",VLOOKUP('Reel 4 Symbol'!BD12,'Reel 4 Symbol'!$A$3:$E$25,5,0))</f>
        <v>19</v>
      </c>
      <c r="BH12" s="8">
        <f>IF(BE12="","",VLOOKUP('Reel 4 Symbol'!BE12,'Reel 4 Symbol'!$A$3:$E$25,5,0))</f>
        <v>11</v>
      </c>
      <c r="BJ12" s="8" t="str">
        <f t="shared" si="15"/>
        <v>Re-spin</v>
      </c>
      <c r="BK12" s="8">
        <f t="shared" si="16"/>
        <v>5</v>
      </c>
    </row>
    <row r="13" spans="1:63" ht="16.8" customHeight="1">
      <c r="A13" s="78">
        <v>500</v>
      </c>
      <c r="B13" s="58">
        <v>500</v>
      </c>
      <c r="C13" s="79">
        <f t="shared" si="0"/>
        <v>3</v>
      </c>
      <c r="D13" s="70">
        <f t="shared" si="1"/>
        <v>2</v>
      </c>
      <c r="E13" s="58">
        <f t="shared" si="2"/>
        <v>18</v>
      </c>
      <c r="F13" s="107"/>
      <c r="G13" s="78">
        <v>500</v>
      </c>
      <c r="H13" s="58">
        <v>500</v>
      </c>
      <c r="I13" s="79">
        <f t="shared" si="3"/>
        <v>3</v>
      </c>
      <c r="J13" s="70">
        <f t="shared" si="4"/>
        <v>2</v>
      </c>
      <c r="K13" s="58">
        <v>18</v>
      </c>
      <c r="L13" s="107"/>
      <c r="M13" s="78">
        <v>500</v>
      </c>
      <c r="N13" s="58">
        <v>500</v>
      </c>
      <c r="O13" s="79">
        <f t="shared" si="5"/>
        <v>3</v>
      </c>
      <c r="P13" s="70">
        <f t="shared" si="6"/>
        <v>2</v>
      </c>
      <c r="Q13" s="58">
        <v>18</v>
      </c>
      <c r="R13" s="155"/>
      <c r="S13" s="78">
        <v>500</v>
      </c>
      <c r="T13" s="58">
        <v>500</v>
      </c>
      <c r="U13" s="79">
        <f t="shared" si="7"/>
        <v>3</v>
      </c>
      <c r="V13" s="70">
        <f t="shared" si="8"/>
        <v>2</v>
      </c>
      <c r="W13" s="58">
        <v>18</v>
      </c>
      <c r="X13" s="133"/>
      <c r="Y13" s="27">
        <v>10</v>
      </c>
      <c r="Z13" s="131">
        <v>2</v>
      </c>
      <c r="AA13" s="131" t="s">
        <v>97</v>
      </c>
      <c r="AB13" s="65"/>
      <c r="AC13" s="8">
        <f>IF(Z13="","",VLOOKUP('Reel 4 Symbol'!Z13,'Reel 4 Symbol'!$A$3:$E$25,5,0))</f>
        <v>9</v>
      </c>
      <c r="AD13" s="8">
        <f>IF(AA13="","",VLOOKUP('Reel 4 Symbol'!AA13,'Reel 4 Symbol'!$A$3:$E$25,5,0))</f>
        <v>21</v>
      </c>
      <c r="AF13" s="8">
        <f t="shared" si="9"/>
        <v>2</v>
      </c>
      <c r="AG13" s="8" t="str">
        <f t="shared" si="10"/>
        <v>G2</v>
      </c>
      <c r="AH13" s="133"/>
      <c r="AI13" s="27">
        <v>10</v>
      </c>
      <c r="AJ13" s="131">
        <v>2</v>
      </c>
      <c r="AK13" s="131" t="s">
        <v>97</v>
      </c>
      <c r="AL13" s="65"/>
      <c r="AM13" s="8">
        <f>IF(AJ13="","",VLOOKUP('Reel 4 Symbol'!AJ13,'Reel 4 Symbol'!$A$3:$E$25,5,0))</f>
        <v>9</v>
      </c>
      <c r="AN13" s="8">
        <f>IF(AK13="","",VLOOKUP('Reel 4 Symbol'!AK13,'Reel 4 Symbol'!$A$3:$E$25,5,0))</f>
        <v>21</v>
      </c>
      <c r="AP13" s="8">
        <f t="shared" si="11"/>
        <v>2</v>
      </c>
      <c r="AQ13" s="8" t="str">
        <f t="shared" si="12"/>
        <v>G2</v>
      </c>
      <c r="AR13" s="133"/>
      <c r="AS13" s="27">
        <v>10</v>
      </c>
      <c r="AT13" s="131">
        <v>10</v>
      </c>
      <c r="AU13" s="131" t="s">
        <v>251</v>
      </c>
      <c r="AV13" s="65"/>
      <c r="AW13" s="8">
        <f>IF(AT13="","",VLOOKUP('Reel 4 Symbol'!AT13,'Reel 4 Symbol'!$A$3:$E$25,5,0))</f>
        <v>12</v>
      </c>
      <c r="AX13" s="8">
        <f>IF(AU13="","",VLOOKUP('Reel 4 Symbol'!AU13,'Reel 4 Symbol'!$A$3:$E$25,5,0))</f>
        <v>24</v>
      </c>
      <c r="AZ13" s="8">
        <f t="shared" si="13"/>
        <v>10</v>
      </c>
      <c r="BA13" s="8" t="str">
        <f t="shared" si="14"/>
        <v>G10</v>
      </c>
      <c r="BC13" s="27">
        <v>10</v>
      </c>
      <c r="BD13" s="131">
        <v>2</v>
      </c>
      <c r="BE13" s="131" t="s">
        <v>97</v>
      </c>
      <c r="BF13" s="65"/>
      <c r="BG13" s="8">
        <f>IF(BD13="","",VLOOKUP('Reel 4 Symbol'!BD13,'Reel 4 Symbol'!$A$3:$E$25,5,0))</f>
        <v>9</v>
      </c>
      <c r="BH13" s="8">
        <f>IF(BE13="","",VLOOKUP('Reel 4 Symbol'!BE13,'Reel 4 Symbol'!$A$3:$E$25,5,0))</f>
        <v>21</v>
      </c>
      <c r="BJ13" s="8">
        <f t="shared" si="15"/>
        <v>2</v>
      </c>
      <c r="BK13" s="8" t="str">
        <f t="shared" si="16"/>
        <v>G2</v>
      </c>
    </row>
    <row r="14" spans="1:63" ht="16.8" customHeight="1" thickBot="1">
      <c r="A14" s="73" t="s">
        <v>133</v>
      </c>
      <c r="B14" s="59" t="s">
        <v>112</v>
      </c>
      <c r="C14" s="80">
        <f t="shared" si="0"/>
        <v>4</v>
      </c>
      <c r="D14" s="74">
        <f t="shared" si="1"/>
        <v>0</v>
      </c>
      <c r="E14" s="59">
        <f t="shared" si="2"/>
        <v>19</v>
      </c>
      <c r="F14" s="107"/>
      <c r="G14" s="73" t="str">
        <v>r</v>
      </c>
      <c r="H14" s="59" t="str">
        <v>Re-spin</v>
      </c>
      <c r="I14" s="80">
        <f t="shared" si="3"/>
        <v>4</v>
      </c>
      <c r="J14" s="74">
        <f t="shared" si="4"/>
        <v>0</v>
      </c>
      <c r="K14" s="59">
        <v>19</v>
      </c>
      <c r="L14" s="107"/>
      <c r="M14" s="73" t="str">
        <v>r</v>
      </c>
      <c r="N14" s="59" t="str">
        <v>Re-spin</v>
      </c>
      <c r="O14" s="80">
        <f t="shared" si="5"/>
        <v>4</v>
      </c>
      <c r="P14" s="74">
        <f t="shared" si="6"/>
        <v>0</v>
      </c>
      <c r="Q14" s="59">
        <v>19</v>
      </c>
      <c r="R14" s="155"/>
      <c r="S14" s="73" t="str">
        <v>r</v>
      </c>
      <c r="T14" s="59" t="str">
        <v>Re-spin</v>
      </c>
      <c r="U14" s="80">
        <f t="shared" si="7"/>
        <v>4</v>
      </c>
      <c r="V14" s="74">
        <f t="shared" si="8"/>
        <v>0</v>
      </c>
      <c r="W14" s="59">
        <v>19</v>
      </c>
      <c r="X14" s="133"/>
      <c r="Y14" s="27">
        <v>11</v>
      </c>
      <c r="Z14" s="131">
        <v>1</v>
      </c>
      <c r="AA14" s="131">
        <v>1</v>
      </c>
      <c r="AB14" s="65"/>
      <c r="AC14" s="8">
        <f>IF(Z14="","",VLOOKUP('Reel 4 Symbol'!Z14,'Reel 4 Symbol'!$A$3:$E$25,5,0))</f>
        <v>8</v>
      </c>
      <c r="AD14" s="8">
        <f>IF(AA14="","",VLOOKUP('Reel 4 Symbol'!AA14,'Reel 4 Symbol'!$A$3:$E$25,5,0))</f>
        <v>8</v>
      </c>
      <c r="AF14" s="8">
        <f t="shared" si="9"/>
        <v>1</v>
      </c>
      <c r="AG14" s="8">
        <f t="shared" si="10"/>
        <v>1</v>
      </c>
      <c r="AH14" s="133"/>
      <c r="AI14" s="27">
        <v>11</v>
      </c>
      <c r="AJ14" s="131">
        <v>2</v>
      </c>
      <c r="AK14" s="131">
        <v>2</v>
      </c>
      <c r="AL14" s="65"/>
      <c r="AM14" s="8">
        <f>IF(AJ14="","",VLOOKUP('Reel 4 Symbol'!AJ14,'Reel 4 Symbol'!$A$3:$E$25,5,0))</f>
        <v>9</v>
      </c>
      <c r="AN14" s="8">
        <f>IF(AK14="","",VLOOKUP('Reel 4 Symbol'!AK14,'Reel 4 Symbol'!$A$3:$E$25,5,0))</f>
        <v>9</v>
      </c>
      <c r="AP14" s="8">
        <f t="shared" si="11"/>
        <v>2</v>
      </c>
      <c r="AQ14" s="8">
        <f t="shared" si="12"/>
        <v>2</v>
      </c>
      <c r="AR14" s="133"/>
      <c r="AS14" s="27">
        <v>11</v>
      </c>
      <c r="AT14" s="131">
        <v>15</v>
      </c>
      <c r="AU14" s="131">
        <v>15</v>
      </c>
      <c r="AV14" s="65"/>
      <c r="AW14" s="8">
        <f>IF(AT14="","",VLOOKUP('Reel 4 Symbol'!AT14,'Reel 4 Symbol'!$A$3:$E$25,5,0))</f>
        <v>13</v>
      </c>
      <c r="AX14" s="8">
        <f>IF(AU14="","",VLOOKUP('Reel 4 Symbol'!AU14,'Reel 4 Symbol'!$A$3:$E$25,5,0))</f>
        <v>13</v>
      </c>
      <c r="AZ14" s="8">
        <f t="shared" si="13"/>
        <v>15</v>
      </c>
      <c r="BA14" s="8">
        <f t="shared" si="14"/>
        <v>15</v>
      </c>
      <c r="BC14" s="27">
        <v>11</v>
      </c>
      <c r="BD14" s="131">
        <v>2</v>
      </c>
      <c r="BE14" s="131">
        <v>2</v>
      </c>
      <c r="BF14" s="65"/>
      <c r="BG14" s="8">
        <f>IF(BD14="","",VLOOKUP('Reel 4 Symbol'!BD14,'Reel 4 Symbol'!$A$3:$E$25,5,0))</f>
        <v>9</v>
      </c>
      <c r="BH14" s="8">
        <f>IF(BE14="","",VLOOKUP('Reel 4 Symbol'!BE14,'Reel 4 Symbol'!$A$3:$E$25,5,0))</f>
        <v>9</v>
      </c>
      <c r="BJ14" s="8">
        <f t="shared" si="15"/>
        <v>2</v>
      </c>
      <c r="BK14" s="8">
        <f t="shared" si="16"/>
        <v>2</v>
      </c>
    </row>
    <row r="15" spans="1:63" ht="16.8" customHeight="1">
      <c r="A15" s="75" t="s">
        <v>96</v>
      </c>
      <c r="B15" s="57" t="s">
        <v>96</v>
      </c>
      <c r="C15" s="76">
        <f t="shared" si="0"/>
        <v>0</v>
      </c>
      <c r="D15" s="77">
        <f t="shared" si="1"/>
        <v>4</v>
      </c>
      <c r="E15" s="132">
        <f t="shared" si="2"/>
        <v>20</v>
      </c>
      <c r="F15" s="107"/>
      <c r="G15" s="75" t="str">
        <v>G1</v>
      </c>
      <c r="H15" s="57" t="str">
        <v>G1</v>
      </c>
      <c r="I15" s="76">
        <f t="shared" si="3"/>
        <v>0</v>
      </c>
      <c r="J15" s="77">
        <f t="shared" si="4"/>
        <v>0</v>
      </c>
      <c r="K15" s="132">
        <v>20</v>
      </c>
      <c r="L15" s="107"/>
      <c r="M15" s="75" t="str">
        <v>G1</v>
      </c>
      <c r="N15" s="57" t="str">
        <v>G1</v>
      </c>
      <c r="O15" s="76">
        <f t="shared" si="5"/>
        <v>0</v>
      </c>
      <c r="P15" s="77">
        <f t="shared" si="6"/>
        <v>0</v>
      </c>
      <c r="Q15" s="132">
        <v>20</v>
      </c>
      <c r="R15" s="155"/>
      <c r="S15" s="75" t="str">
        <v>G1</v>
      </c>
      <c r="T15" s="57" t="str">
        <v>G1</v>
      </c>
      <c r="U15" s="76">
        <f t="shared" si="7"/>
        <v>0</v>
      </c>
      <c r="V15" s="77">
        <f t="shared" si="8"/>
        <v>0</v>
      </c>
      <c r="W15" s="132">
        <v>20</v>
      </c>
      <c r="X15" s="133"/>
      <c r="Y15" s="27">
        <v>12</v>
      </c>
      <c r="Z15" s="131">
        <v>5</v>
      </c>
      <c r="AA15" s="131" t="s">
        <v>99</v>
      </c>
      <c r="AB15" s="65"/>
      <c r="AC15" s="8">
        <f>IF(Z15="","",VLOOKUP('Reel 4 Symbol'!Z15,'Reel 4 Symbol'!$A$3:$E$25,5,0))</f>
        <v>11</v>
      </c>
      <c r="AD15" s="8">
        <f>IF(AA15="","",VLOOKUP('Reel 4 Symbol'!AA15,'Reel 4 Symbol'!$A$3:$E$25,5,0))</f>
        <v>23</v>
      </c>
      <c r="AF15" s="8">
        <f t="shared" si="9"/>
        <v>5</v>
      </c>
      <c r="AG15" s="8" t="str">
        <f t="shared" si="10"/>
        <v>G5</v>
      </c>
      <c r="AH15" s="133"/>
      <c r="AI15" s="27">
        <v>12</v>
      </c>
      <c r="AJ15" s="131">
        <v>5</v>
      </c>
      <c r="AK15" s="131" t="s">
        <v>99</v>
      </c>
      <c r="AL15" s="65"/>
      <c r="AM15" s="8">
        <f>IF(AJ15="","",VLOOKUP('Reel 4 Symbol'!AJ15,'Reel 4 Symbol'!$A$3:$E$25,5,0))</f>
        <v>11</v>
      </c>
      <c r="AN15" s="8">
        <f>IF(AK15="","",VLOOKUP('Reel 4 Symbol'!AK15,'Reel 4 Symbol'!$A$3:$E$25,5,0))</f>
        <v>23</v>
      </c>
      <c r="AP15" s="8">
        <f t="shared" si="11"/>
        <v>5</v>
      </c>
      <c r="AQ15" s="8" t="str">
        <f t="shared" si="12"/>
        <v>G5</v>
      </c>
      <c r="AR15" s="133"/>
      <c r="AS15" s="27">
        <v>12</v>
      </c>
      <c r="AT15" s="131">
        <v>20</v>
      </c>
      <c r="AU15" s="131" t="s">
        <v>125</v>
      </c>
      <c r="AV15" s="65"/>
      <c r="AW15" s="8">
        <f>IF(AT15="","",VLOOKUP('Reel 4 Symbol'!AT15,'Reel 4 Symbol'!$A$3:$E$25,5,0))</f>
        <v>14</v>
      </c>
      <c r="AX15" s="8">
        <f>IF(AU15="","",VLOOKUP('Reel 4 Symbol'!AU15,'Reel 4 Symbol'!$A$3:$E$25,5,0))</f>
        <v>26</v>
      </c>
      <c r="AZ15" s="8">
        <f t="shared" si="13"/>
        <v>20</v>
      </c>
      <c r="BA15" s="8" t="str">
        <f t="shared" si="14"/>
        <v>G20</v>
      </c>
      <c r="BC15" s="27">
        <v>12</v>
      </c>
      <c r="BD15" s="131">
        <v>5</v>
      </c>
      <c r="BE15" s="131" t="s">
        <v>99</v>
      </c>
      <c r="BF15" s="65"/>
      <c r="BG15" s="8">
        <f>IF(BD15="","",VLOOKUP('Reel 4 Symbol'!BD15,'Reel 4 Symbol'!$A$3:$E$25,5,0))</f>
        <v>11</v>
      </c>
      <c r="BH15" s="8">
        <f>IF(BE15="","",VLOOKUP('Reel 4 Symbol'!BE15,'Reel 4 Symbol'!$A$3:$E$25,5,0))</f>
        <v>23</v>
      </c>
      <c r="BJ15" s="8">
        <f t="shared" si="15"/>
        <v>5</v>
      </c>
      <c r="BK15" s="8" t="str">
        <f t="shared" si="16"/>
        <v>G5</v>
      </c>
    </row>
    <row r="16" spans="1:63" ht="16.8" customHeight="1">
      <c r="A16" s="78" t="s">
        <v>97</v>
      </c>
      <c r="B16" s="58" t="s">
        <v>97</v>
      </c>
      <c r="C16" s="79">
        <f t="shared" si="0"/>
        <v>0</v>
      </c>
      <c r="D16" s="70">
        <f t="shared" si="1"/>
        <v>3</v>
      </c>
      <c r="E16" s="58">
        <f t="shared" si="2"/>
        <v>21</v>
      </c>
      <c r="F16" s="107"/>
      <c r="G16" s="78" t="str">
        <v>G2</v>
      </c>
      <c r="H16" s="58" t="str">
        <v>G2</v>
      </c>
      <c r="I16" s="79">
        <f t="shared" si="3"/>
        <v>0</v>
      </c>
      <c r="J16" s="70">
        <f t="shared" si="4"/>
        <v>4</v>
      </c>
      <c r="K16" s="58">
        <v>21</v>
      </c>
      <c r="L16" s="107"/>
      <c r="M16" s="78" t="str">
        <v>G2</v>
      </c>
      <c r="N16" s="58" t="str">
        <v>G2</v>
      </c>
      <c r="O16" s="79">
        <f t="shared" si="5"/>
        <v>0</v>
      </c>
      <c r="P16" s="70">
        <f t="shared" si="6"/>
        <v>0</v>
      </c>
      <c r="Q16" s="58">
        <v>21</v>
      </c>
      <c r="R16" s="155"/>
      <c r="S16" s="78" t="str">
        <v>G2</v>
      </c>
      <c r="T16" s="58" t="str">
        <v>G2</v>
      </c>
      <c r="U16" s="79">
        <f t="shared" si="7"/>
        <v>0</v>
      </c>
      <c r="V16" s="70">
        <f t="shared" si="8"/>
        <v>4</v>
      </c>
      <c r="W16" s="58">
        <v>21</v>
      </c>
      <c r="X16" s="133"/>
      <c r="Y16" s="27">
        <v>13</v>
      </c>
      <c r="Z16" s="131">
        <v>10</v>
      </c>
      <c r="AA16" s="131">
        <v>10</v>
      </c>
      <c r="AB16" s="65"/>
      <c r="AC16" s="8">
        <f>IF(Z16="","",VLOOKUP('Reel 4 Symbol'!Z16,'Reel 4 Symbol'!$A$3:$E$25,5,0))</f>
        <v>12</v>
      </c>
      <c r="AD16" s="8">
        <f>IF(AA16="","",VLOOKUP('Reel 4 Symbol'!AA16,'Reel 4 Symbol'!$A$3:$E$25,5,0))</f>
        <v>12</v>
      </c>
      <c r="AF16" s="8">
        <f t="shared" si="9"/>
        <v>10</v>
      </c>
      <c r="AG16" s="8">
        <f t="shared" si="10"/>
        <v>10</v>
      </c>
      <c r="AH16" s="133"/>
      <c r="AI16" s="27">
        <v>13</v>
      </c>
      <c r="AJ16" s="131">
        <v>10</v>
      </c>
      <c r="AK16" s="131">
        <v>10</v>
      </c>
      <c r="AL16" s="65"/>
      <c r="AM16" s="8">
        <f>IF(AJ16="","",VLOOKUP('Reel 4 Symbol'!AJ16,'Reel 4 Symbol'!$A$3:$E$25,5,0))</f>
        <v>12</v>
      </c>
      <c r="AN16" s="8">
        <f>IF(AK16="","",VLOOKUP('Reel 4 Symbol'!AK16,'Reel 4 Symbol'!$A$3:$E$25,5,0))</f>
        <v>12</v>
      </c>
      <c r="AP16" s="8">
        <f t="shared" si="11"/>
        <v>10</v>
      </c>
      <c r="AQ16" s="8">
        <f t="shared" si="12"/>
        <v>10</v>
      </c>
      <c r="AR16" s="133"/>
      <c r="AS16" s="27">
        <v>13</v>
      </c>
      <c r="AT16" s="131">
        <v>10</v>
      </c>
      <c r="AU16" s="131">
        <v>10</v>
      </c>
      <c r="AV16" s="65"/>
      <c r="AW16" s="8">
        <f>IF(AT16="","",VLOOKUP('Reel 4 Symbol'!AT16,'Reel 4 Symbol'!$A$3:$E$25,5,0))</f>
        <v>12</v>
      </c>
      <c r="AX16" s="8">
        <f>IF(AU16="","",VLOOKUP('Reel 4 Symbol'!AU16,'Reel 4 Symbol'!$A$3:$E$25,5,0))</f>
        <v>12</v>
      </c>
      <c r="AZ16" s="8">
        <f t="shared" si="13"/>
        <v>10</v>
      </c>
      <c r="BA16" s="8">
        <f t="shared" si="14"/>
        <v>10</v>
      </c>
      <c r="BC16" s="27">
        <v>13</v>
      </c>
      <c r="BD16" s="131">
        <v>10</v>
      </c>
      <c r="BE16" s="131">
        <v>10</v>
      </c>
      <c r="BF16" s="65"/>
      <c r="BG16" s="8">
        <f>IF(BD16="","",VLOOKUP('Reel 4 Symbol'!BD16,'Reel 4 Symbol'!$A$3:$E$25,5,0))</f>
        <v>12</v>
      </c>
      <c r="BH16" s="8">
        <f>IF(BE16="","",VLOOKUP('Reel 4 Symbol'!BE16,'Reel 4 Symbol'!$A$3:$E$25,5,0))</f>
        <v>12</v>
      </c>
      <c r="BJ16" s="8">
        <f t="shared" si="15"/>
        <v>10</v>
      </c>
      <c r="BK16" s="8">
        <f t="shared" si="16"/>
        <v>10</v>
      </c>
    </row>
    <row r="17" spans="1:63" ht="16.8" customHeight="1">
      <c r="A17" s="78" t="s">
        <v>98</v>
      </c>
      <c r="B17" s="107" t="s">
        <v>98</v>
      </c>
      <c r="C17" s="79">
        <f t="shared" si="0"/>
        <v>0</v>
      </c>
      <c r="D17" s="70">
        <f t="shared" si="1"/>
        <v>7</v>
      </c>
      <c r="E17" s="58">
        <f t="shared" si="2"/>
        <v>22</v>
      </c>
      <c r="F17" s="107"/>
      <c r="G17" s="78" t="str">
        <v>G3</v>
      </c>
      <c r="H17" s="107" t="str">
        <v>G3</v>
      </c>
      <c r="I17" s="79">
        <f t="shared" si="3"/>
        <v>0</v>
      </c>
      <c r="J17" s="70">
        <f t="shared" si="4"/>
        <v>8</v>
      </c>
      <c r="K17" s="58">
        <v>22</v>
      </c>
      <c r="L17" s="107"/>
      <c r="M17" s="78" t="str">
        <v>G3</v>
      </c>
      <c r="N17" s="107" t="str">
        <v>G3</v>
      </c>
      <c r="O17" s="79">
        <f t="shared" si="5"/>
        <v>0</v>
      </c>
      <c r="P17" s="70">
        <f t="shared" si="6"/>
        <v>0</v>
      </c>
      <c r="Q17" s="58">
        <v>22</v>
      </c>
      <c r="R17" s="155"/>
      <c r="S17" s="78" t="str">
        <v>G3</v>
      </c>
      <c r="T17" s="155" t="str">
        <v>G3</v>
      </c>
      <c r="U17" s="79">
        <f t="shared" si="7"/>
        <v>0</v>
      </c>
      <c r="V17" s="70">
        <f t="shared" si="8"/>
        <v>8</v>
      </c>
      <c r="W17" s="58">
        <v>22</v>
      </c>
      <c r="X17" s="133"/>
      <c r="Y17" s="27">
        <v>14</v>
      </c>
      <c r="Z17" s="131">
        <v>15</v>
      </c>
      <c r="AA17" s="131" t="s">
        <v>101</v>
      </c>
      <c r="AB17" s="65"/>
      <c r="AC17" s="8">
        <f>IF(Z17="","",VLOOKUP('Reel 4 Symbol'!Z17,'Reel 4 Symbol'!$A$3:$E$25,5,0))</f>
        <v>13</v>
      </c>
      <c r="AD17" s="8">
        <f>IF(AA17="","",VLOOKUP('Reel 4 Symbol'!AA17,'Reel 4 Symbol'!$A$3:$E$25,5,0))</f>
        <v>25</v>
      </c>
      <c r="AF17" s="8">
        <f t="shared" si="9"/>
        <v>15</v>
      </c>
      <c r="AG17" s="8" t="str">
        <f t="shared" si="10"/>
        <v>G15</v>
      </c>
      <c r="AH17" s="133"/>
      <c r="AI17" s="27">
        <v>14</v>
      </c>
      <c r="AJ17" s="131">
        <v>15</v>
      </c>
      <c r="AK17" s="131" t="s">
        <v>101</v>
      </c>
      <c r="AL17" s="65"/>
      <c r="AM17" s="8">
        <f>IF(AJ17="","",VLOOKUP('Reel 4 Symbol'!AJ17,'Reel 4 Symbol'!$A$3:$E$25,5,0))</f>
        <v>13</v>
      </c>
      <c r="AN17" s="8">
        <f>IF(AK17="","",VLOOKUP('Reel 4 Symbol'!AK17,'Reel 4 Symbol'!$A$3:$E$25,5,0))</f>
        <v>25</v>
      </c>
      <c r="AP17" s="8">
        <f t="shared" si="11"/>
        <v>15</v>
      </c>
      <c r="AQ17" s="8" t="str">
        <f t="shared" si="12"/>
        <v>G15</v>
      </c>
      <c r="AR17" s="133"/>
      <c r="AS17" s="27">
        <v>14</v>
      </c>
      <c r="AT17" s="131">
        <v>15</v>
      </c>
      <c r="AU17" s="131" t="s">
        <v>101</v>
      </c>
      <c r="AV17" s="65"/>
      <c r="AW17" s="8">
        <f>IF(AT17="","",VLOOKUP('Reel 4 Symbol'!AT17,'Reel 4 Symbol'!$A$3:$E$25,5,0))</f>
        <v>13</v>
      </c>
      <c r="AX17" s="8">
        <f>IF(AU17="","",VLOOKUP('Reel 4 Symbol'!AU17,'Reel 4 Symbol'!$A$3:$E$25,5,0))</f>
        <v>25</v>
      </c>
      <c r="AZ17" s="8">
        <f t="shared" si="13"/>
        <v>15</v>
      </c>
      <c r="BA17" s="8" t="str">
        <f t="shared" si="14"/>
        <v>G15</v>
      </c>
      <c r="BC17" s="27">
        <v>14</v>
      </c>
      <c r="BD17" s="131">
        <v>15</v>
      </c>
      <c r="BE17" s="131" t="s">
        <v>101</v>
      </c>
      <c r="BF17" s="65"/>
      <c r="BG17" s="8">
        <f>IF(BD17="","",VLOOKUP('Reel 4 Symbol'!BD17,'Reel 4 Symbol'!$A$3:$E$25,5,0))</f>
        <v>13</v>
      </c>
      <c r="BH17" s="8">
        <f>IF(BE17="","",VLOOKUP('Reel 4 Symbol'!BE17,'Reel 4 Symbol'!$A$3:$E$25,5,0))</f>
        <v>25</v>
      </c>
      <c r="BJ17" s="8">
        <f t="shared" si="15"/>
        <v>15</v>
      </c>
      <c r="BK17" s="8" t="str">
        <f t="shared" si="16"/>
        <v>G15</v>
      </c>
    </row>
    <row r="18" spans="1:63" ht="16.8" customHeight="1">
      <c r="A18" s="78" t="s">
        <v>99</v>
      </c>
      <c r="B18" s="58" t="s">
        <v>99</v>
      </c>
      <c r="C18" s="79">
        <f t="shared" si="0"/>
        <v>0</v>
      </c>
      <c r="D18" s="70">
        <f t="shared" si="1"/>
        <v>4</v>
      </c>
      <c r="E18" s="58">
        <f t="shared" si="2"/>
        <v>23</v>
      </c>
      <c r="F18" s="107"/>
      <c r="G18" s="78" t="str">
        <v>G5</v>
      </c>
      <c r="H18" s="58" t="str">
        <v>G5</v>
      </c>
      <c r="I18" s="79">
        <f t="shared" si="3"/>
        <v>0</v>
      </c>
      <c r="J18" s="70">
        <f t="shared" si="4"/>
        <v>4</v>
      </c>
      <c r="K18" s="58">
        <v>23</v>
      </c>
      <c r="L18" s="107"/>
      <c r="M18" s="78" t="str">
        <v>G5</v>
      </c>
      <c r="N18" s="58" t="str">
        <v>G5</v>
      </c>
      <c r="O18" s="79">
        <f t="shared" si="5"/>
        <v>0</v>
      </c>
      <c r="P18" s="70">
        <f t="shared" si="6"/>
        <v>0</v>
      </c>
      <c r="Q18" s="58">
        <v>23</v>
      </c>
      <c r="R18" s="155"/>
      <c r="S18" s="78" t="str">
        <v>G5</v>
      </c>
      <c r="T18" s="58" t="str">
        <v>G5</v>
      </c>
      <c r="U18" s="79">
        <f t="shared" si="7"/>
        <v>0</v>
      </c>
      <c r="V18" s="70">
        <f t="shared" si="8"/>
        <v>4</v>
      </c>
      <c r="W18" s="58">
        <v>23</v>
      </c>
      <c r="X18" s="133"/>
      <c r="Y18" s="27">
        <v>15</v>
      </c>
      <c r="Z18" s="131">
        <v>20</v>
      </c>
      <c r="AA18" s="131">
        <v>20</v>
      </c>
      <c r="AB18" s="65"/>
      <c r="AC18" s="8">
        <f>IF(Z18="","",VLOOKUP('Reel 4 Symbol'!Z18,'Reel 4 Symbol'!$A$3:$E$25,5,0))</f>
        <v>14</v>
      </c>
      <c r="AD18" s="8">
        <f>IF(AA18="","",VLOOKUP('Reel 4 Symbol'!AA18,'Reel 4 Symbol'!$A$3:$E$25,5,0))</f>
        <v>14</v>
      </c>
      <c r="AF18" s="8">
        <f t="shared" si="9"/>
        <v>20</v>
      </c>
      <c r="AG18" s="8">
        <f t="shared" si="10"/>
        <v>20</v>
      </c>
      <c r="AH18" s="133"/>
      <c r="AI18" s="27">
        <v>15</v>
      </c>
      <c r="AJ18" s="131">
        <v>20</v>
      </c>
      <c r="AK18" s="131">
        <v>20</v>
      </c>
      <c r="AL18" s="65"/>
      <c r="AM18" s="8">
        <f>IF(AJ18="","",VLOOKUP('Reel 4 Symbol'!AJ18,'Reel 4 Symbol'!$A$3:$E$25,5,0))</f>
        <v>14</v>
      </c>
      <c r="AN18" s="8">
        <f>IF(AK18="","",VLOOKUP('Reel 4 Symbol'!AK18,'Reel 4 Symbol'!$A$3:$E$25,5,0))</f>
        <v>14</v>
      </c>
      <c r="AP18" s="8">
        <f t="shared" si="11"/>
        <v>20</v>
      </c>
      <c r="AQ18" s="8">
        <f t="shared" si="12"/>
        <v>20</v>
      </c>
      <c r="AR18" s="133"/>
      <c r="AS18" s="27">
        <v>15</v>
      </c>
      <c r="AT18" s="131">
        <v>20</v>
      </c>
      <c r="AU18" s="131">
        <v>20</v>
      </c>
      <c r="AV18" s="65"/>
      <c r="AW18" s="8">
        <f>IF(AT18="","",VLOOKUP('Reel 4 Symbol'!AT18,'Reel 4 Symbol'!$A$3:$E$25,5,0))</f>
        <v>14</v>
      </c>
      <c r="AX18" s="8">
        <f>IF(AU18="","",VLOOKUP('Reel 4 Symbol'!AU18,'Reel 4 Symbol'!$A$3:$E$25,5,0))</f>
        <v>14</v>
      </c>
      <c r="AZ18" s="8">
        <f t="shared" si="13"/>
        <v>20</v>
      </c>
      <c r="BA18" s="8">
        <f t="shared" si="14"/>
        <v>20</v>
      </c>
      <c r="BC18" s="27">
        <v>15</v>
      </c>
      <c r="BD18" s="131">
        <v>20</v>
      </c>
      <c r="BE18" s="131">
        <v>20</v>
      </c>
      <c r="BF18" s="65"/>
      <c r="BG18" s="8">
        <f>IF(BD18="","",VLOOKUP('Reel 4 Symbol'!BD18,'Reel 4 Symbol'!$A$3:$E$25,5,0))</f>
        <v>14</v>
      </c>
      <c r="BH18" s="8">
        <f>IF(BE18="","",VLOOKUP('Reel 4 Symbol'!BE18,'Reel 4 Symbol'!$A$3:$E$25,5,0))</f>
        <v>14</v>
      </c>
      <c r="BJ18" s="8">
        <f t="shared" si="15"/>
        <v>20</v>
      </c>
      <c r="BK18" s="8">
        <f t="shared" si="16"/>
        <v>20</v>
      </c>
    </row>
    <row r="19" spans="1:63" ht="16.8" customHeight="1">
      <c r="A19" s="78" t="s">
        <v>100</v>
      </c>
      <c r="B19" s="58" t="s">
        <v>100</v>
      </c>
      <c r="C19" s="79">
        <f t="shared" si="0"/>
        <v>0</v>
      </c>
      <c r="D19" s="70">
        <f t="shared" si="1"/>
        <v>3</v>
      </c>
      <c r="E19" s="58">
        <f t="shared" si="2"/>
        <v>24</v>
      </c>
      <c r="F19" s="107"/>
      <c r="G19" s="78" t="str">
        <v>G10</v>
      </c>
      <c r="H19" s="58" t="str">
        <v>G10</v>
      </c>
      <c r="I19" s="79">
        <f t="shared" si="3"/>
        <v>0</v>
      </c>
      <c r="J19" s="70">
        <f t="shared" si="4"/>
        <v>3</v>
      </c>
      <c r="K19" s="58">
        <v>24</v>
      </c>
      <c r="L19" s="107"/>
      <c r="M19" s="78" t="str">
        <v>G10</v>
      </c>
      <c r="N19" s="58" t="str">
        <v>G10</v>
      </c>
      <c r="O19" s="79">
        <f t="shared" si="5"/>
        <v>0</v>
      </c>
      <c r="P19" s="70">
        <f t="shared" si="6"/>
        <v>9</v>
      </c>
      <c r="Q19" s="58">
        <v>24</v>
      </c>
      <c r="R19" s="155"/>
      <c r="S19" s="78" t="str">
        <v>G10</v>
      </c>
      <c r="T19" s="58" t="str">
        <v>G10</v>
      </c>
      <c r="U19" s="79">
        <f t="shared" si="7"/>
        <v>0</v>
      </c>
      <c r="V19" s="70">
        <f t="shared" si="8"/>
        <v>3</v>
      </c>
      <c r="W19" s="58">
        <v>24</v>
      </c>
      <c r="X19" s="133"/>
      <c r="Y19" s="27">
        <v>16</v>
      </c>
      <c r="Z19" s="131">
        <v>25</v>
      </c>
      <c r="AA19" s="131" t="s">
        <v>103</v>
      </c>
      <c r="AB19" s="65"/>
      <c r="AC19" s="8">
        <f>IF(Z19="","",VLOOKUP('Reel 4 Symbol'!Z19,'Reel 4 Symbol'!$A$3:$E$25,5,0))</f>
        <v>15</v>
      </c>
      <c r="AD19" s="8">
        <f>IF(AA19="","",VLOOKUP('Reel 4 Symbol'!AA19,'Reel 4 Symbol'!$A$3:$E$25,5,0))</f>
        <v>27</v>
      </c>
      <c r="AF19" s="8">
        <f t="shared" si="9"/>
        <v>25</v>
      </c>
      <c r="AG19" s="8" t="str">
        <f t="shared" si="10"/>
        <v>G25</v>
      </c>
      <c r="AH19" s="133"/>
      <c r="AI19" s="27">
        <v>16</v>
      </c>
      <c r="AJ19" s="131">
        <v>25</v>
      </c>
      <c r="AK19" s="131" t="s">
        <v>103</v>
      </c>
      <c r="AL19" s="65"/>
      <c r="AM19" s="8">
        <f>IF(AJ19="","",VLOOKUP('Reel 4 Symbol'!AJ19,'Reel 4 Symbol'!$A$3:$E$25,5,0))</f>
        <v>15</v>
      </c>
      <c r="AN19" s="8">
        <f>IF(AK19="","",VLOOKUP('Reel 4 Symbol'!AK19,'Reel 4 Symbol'!$A$3:$E$25,5,0))</f>
        <v>27</v>
      </c>
      <c r="AP19" s="8">
        <f t="shared" si="11"/>
        <v>25</v>
      </c>
      <c r="AQ19" s="8" t="str">
        <f t="shared" si="12"/>
        <v>G25</v>
      </c>
      <c r="AR19" s="133"/>
      <c r="AS19" s="27">
        <v>16</v>
      </c>
      <c r="AT19" s="131">
        <v>25</v>
      </c>
      <c r="AU19" s="131" t="s">
        <v>103</v>
      </c>
      <c r="AV19" s="65"/>
      <c r="AW19" s="8">
        <f>IF(AT19="","",VLOOKUP('Reel 4 Symbol'!AT19,'Reel 4 Symbol'!$A$3:$E$25,5,0))</f>
        <v>15</v>
      </c>
      <c r="AX19" s="8">
        <f>IF(AU19="","",VLOOKUP('Reel 4 Symbol'!AU19,'Reel 4 Symbol'!$A$3:$E$25,5,0))</f>
        <v>27</v>
      </c>
      <c r="AZ19" s="8">
        <f t="shared" si="13"/>
        <v>25</v>
      </c>
      <c r="BA19" s="8" t="str">
        <f t="shared" si="14"/>
        <v>G25</v>
      </c>
      <c r="BC19" s="27">
        <v>16</v>
      </c>
      <c r="BD19" s="131">
        <v>25</v>
      </c>
      <c r="BE19" s="131" t="s">
        <v>103</v>
      </c>
      <c r="BF19" s="65"/>
      <c r="BG19" s="8">
        <f>IF(BD19="","",VLOOKUP('Reel 4 Symbol'!BD19,'Reel 4 Symbol'!$A$3:$E$25,5,0))</f>
        <v>15</v>
      </c>
      <c r="BH19" s="8">
        <f>IF(BE19="","",VLOOKUP('Reel 4 Symbol'!BE19,'Reel 4 Symbol'!$A$3:$E$25,5,0))</f>
        <v>27</v>
      </c>
      <c r="BJ19" s="8">
        <f t="shared" si="15"/>
        <v>25</v>
      </c>
      <c r="BK19" s="8" t="str">
        <f t="shared" si="16"/>
        <v>G25</v>
      </c>
    </row>
    <row r="20" spans="1:63" ht="16.8" customHeight="1">
      <c r="A20" s="78" t="s">
        <v>101</v>
      </c>
      <c r="B20" s="58" t="s">
        <v>101</v>
      </c>
      <c r="C20" s="79">
        <f t="shared" si="0"/>
        <v>0</v>
      </c>
      <c r="D20" s="70">
        <f t="shared" si="1"/>
        <v>6</v>
      </c>
      <c r="E20" s="58">
        <f t="shared" si="2"/>
        <v>25</v>
      </c>
      <c r="F20" s="107"/>
      <c r="G20" s="78" t="str">
        <v>G15</v>
      </c>
      <c r="H20" s="58" t="str">
        <v>G15</v>
      </c>
      <c r="I20" s="79">
        <f t="shared" si="3"/>
        <v>0</v>
      </c>
      <c r="J20" s="70">
        <f t="shared" si="4"/>
        <v>7</v>
      </c>
      <c r="K20" s="58">
        <v>25</v>
      </c>
      <c r="L20" s="107"/>
      <c r="M20" s="78" t="str">
        <v>G15</v>
      </c>
      <c r="N20" s="58" t="str">
        <v>G15</v>
      </c>
      <c r="O20" s="79">
        <f t="shared" si="5"/>
        <v>0</v>
      </c>
      <c r="P20" s="70">
        <f t="shared" si="6"/>
        <v>13</v>
      </c>
      <c r="Q20" s="58">
        <v>25</v>
      </c>
      <c r="R20" s="155"/>
      <c r="S20" s="78" t="str">
        <v>G15</v>
      </c>
      <c r="T20" s="58" t="str">
        <v>G15</v>
      </c>
      <c r="U20" s="79">
        <f t="shared" si="7"/>
        <v>0</v>
      </c>
      <c r="V20" s="70">
        <f t="shared" si="8"/>
        <v>7</v>
      </c>
      <c r="W20" s="58">
        <v>25</v>
      </c>
      <c r="X20" s="133"/>
      <c r="Y20" s="27">
        <v>17</v>
      </c>
      <c r="Z20" s="131">
        <v>50</v>
      </c>
      <c r="AA20" s="131">
        <v>50</v>
      </c>
      <c r="AB20" s="65"/>
      <c r="AC20" s="8">
        <f>IF(Z20="","",VLOOKUP('Reel 4 Symbol'!Z20,'Reel 4 Symbol'!$A$3:$E$25,5,0))</f>
        <v>16</v>
      </c>
      <c r="AD20" s="8">
        <f>IF(AA20="","",VLOOKUP('Reel 4 Symbol'!AA20,'Reel 4 Symbol'!$A$3:$E$25,5,0))</f>
        <v>16</v>
      </c>
      <c r="AF20" s="8">
        <f t="shared" si="9"/>
        <v>50</v>
      </c>
      <c r="AG20" s="8">
        <f t="shared" si="10"/>
        <v>50</v>
      </c>
      <c r="AH20" s="133"/>
      <c r="AI20" s="27">
        <v>17</v>
      </c>
      <c r="AJ20" s="131">
        <v>50</v>
      </c>
      <c r="AK20" s="131">
        <v>50</v>
      </c>
      <c r="AL20" s="65"/>
      <c r="AM20" s="8">
        <f>IF(AJ20="","",VLOOKUP('Reel 4 Symbol'!AJ20,'Reel 4 Symbol'!$A$3:$E$25,5,0))</f>
        <v>16</v>
      </c>
      <c r="AN20" s="8">
        <f>IF(AK20="","",VLOOKUP('Reel 4 Symbol'!AK20,'Reel 4 Symbol'!$A$3:$E$25,5,0))</f>
        <v>16</v>
      </c>
      <c r="AP20" s="8">
        <f t="shared" si="11"/>
        <v>50</v>
      </c>
      <c r="AQ20" s="8">
        <f t="shared" si="12"/>
        <v>50</v>
      </c>
      <c r="AR20" s="133"/>
      <c r="AS20" s="27">
        <v>17</v>
      </c>
      <c r="AT20" s="131">
        <v>50</v>
      </c>
      <c r="AU20" s="131">
        <v>50</v>
      </c>
      <c r="AV20" s="65"/>
      <c r="AW20" s="8">
        <f>IF(AT20="","",VLOOKUP('Reel 4 Symbol'!AT20,'Reel 4 Symbol'!$A$3:$E$25,5,0))</f>
        <v>16</v>
      </c>
      <c r="AX20" s="8">
        <f>IF(AU20="","",VLOOKUP('Reel 4 Symbol'!AU20,'Reel 4 Symbol'!$A$3:$E$25,5,0))</f>
        <v>16</v>
      </c>
      <c r="AZ20" s="8">
        <f t="shared" si="13"/>
        <v>50</v>
      </c>
      <c r="BA20" s="8">
        <f t="shared" si="14"/>
        <v>50</v>
      </c>
      <c r="BC20" s="27">
        <v>17</v>
      </c>
      <c r="BD20" s="131">
        <v>50</v>
      </c>
      <c r="BE20" s="131">
        <v>50</v>
      </c>
      <c r="BF20" s="65"/>
      <c r="BG20" s="8">
        <f>IF(BD20="","",VLOOKUP('Reel 4 Symbol'!BD20,'Reel 4 Symbol'!$A$3:$E$25,5,0))</f>
        <v>16</v>
      </c>
      <c r="BH20" s="8">
        <f>IF(BE20="","",VLOOKUP('Reel 4 Symbol'!BE20,'Reel 4 Symbol'!$A$3:$E$25,5,0))</f>
        <v>16</v>
      </c>
      <c r="BJ20" s="8">
        <f t="shared" si="15"/>
        <v>50</v>
      </c>
      <c r="BK20" s="8">
        <f t="shared" si="16"/>
        <v>50</v>
      </c>
    </row>
    <row r="21" spans="1:63" ht="16.8" customHeight="1">
      <c r="A21" s="78" t="s">
        <v>102</v>
      </c>
      <c r="B21" s="58" t="s">
        <v>102</v>
      </c>
      <c r="C21" s="79">
        <f t="shared" si="0"/>
        <v>0</v>
      </c>
      <c r="D21" s="70">
        <f t="shared" si="1"/>
        <v>2</v>
      </c>
      <c r="E21" s="58">
        <f t="shared" si="2"/>
        <v>26</v>
      </c>
      <c r="F21" s="107"/>
      <c r="G21" s="78" t="str">
        <v>G20</v>
      </c>
      <c r="H21" s="58" t="str">
        <v>G20</v>
      </c>
      <c r="I21" s="79">
        <f t="shared" si="3"/>
        <v>0</v>
      </c>
      <c r="J21" s="70">
        <f t="shared" si="4"/>
        <v>3</v>
      </c>
      <c r="K21" s="58">
        <v>26</v>
      </c>
      <c r="L21" s="107"/>
      <c r="M21" s="78" t="str">
        <v>G20</v>
      </c>
      <c r="N21" s="58" t="str">
        <v>G20</v>
      </c>
      <c r="O21" s="79">
        <f t="shared" si="5"/>
        <v>0</v>
      </c>
      <c r="P21" s="70">
        <f t="shared" si="6"/>
        <v>4</v>
      </c>
      <c r="Q21" s="58">
        <v>26</v>
      </c>
      <c r="R21" s="155"/>
      <c r="S21" s="78" t="str">
        <v>G20</v>
      </c>
      <c r="T21" s="58" t="str">
        <v>G20</v>
      </c>
      <c r="U21" s="79">
        <f t="shared" si="7"/>
        <v>0</v>
      </c>
      <c r="V21" s="70">
        <f t="shared" si="8"/>
        <v>3</v>
      </c>
      <c r="W21" s="58">
        <v>26</v>
      </c>
      <c r="X21" s="133"/>
      <c r="Y21" s="27">
        <v>18</v>
      </c>
      <c r="Z21" s="131">
        <v>100</v>
      </c>
      <c r="AA21" s="131" t="s">
        <v>127</v>
      </c>
      <c r="AB21" s="65"/>
      <c r="AC21" s="8">
        <f>IF(Z21="","",VLOOKUP('Reel 4 Symbol'!Z21,'Reel 4 Symbol'!$A$3:$E$25,5,0))</f>
        <v>17</v>
      </c>
      <c r="AD21" s="8">
        <f>IF(AA21="","",VLOOKUP('Reel 4 Symbol'!AA21,'Reel 4 Symbol'!$A$3:$E$25,5,0))</f>
        <v>29</v>
      </c>
      <c r="AF21" s="8">
        <f t="shared" si="9"/>
        <v>100</v>
      </c>
      <c r="AG21" s="8" t="str">
        <f t="shared" si="10"/>
        <v>G100</v>
      </c>
      <c r="AH21" s="133"/>
      <c r="AI21" s="27">
        <v>18</v>
      </c>
      <c r="AJ21" s="131">
        <v>100</v>
      </c>
      <c r="AK21" s="131" t="s">
        <v>105</v>
      </c>
      <c r="AL21" s="65"/>
      <c r="AM21" s="8">
        <f>IF(AJ21="","",VLOOKUP('Reel 4 Symbol'!AJ21,'Reel 4 Symbol'!$A$3:$E$25,5,0))</f>
        <v>17</v>
      </c>
      <c r="AN21" s="8">
        <f>IF(AK21="","",VLOOKUP('Reel 4 Symbol'!AK21,'Reel 4 Symbol'!$A$3:$E$25,5,0))</f>
        <v>29</v>
      </c>
      <c r="AP21" s="8">
        <f t="shared" si="11"/>
        <v>100</v>
      </c>
      <c r="AQ21" s="8" t="str">
        <f t="shared" si="12"/>
        <v>G100</v>
      </c>
      <c r="AR21" s="133"/>
      <c r="AS21" s="27">
        <v>18</v>
      </c>
      <c r="AT21" s="131">
        <v>100</v>
      </c>
      <c r="AU21" s="131" t="s">
        <v>105</v>
      </c>
      <c r="AV21" s="65"/>
      <c r="AW21" s="8">
        <f>IF(AT21="","",VLOOKUP('Reel 4 Symbol'!AT21,'Reel 4 Symbol'!$A$3:$E$25,5,0))</f>
        <v>17</v>
      </c>
      <c r="AX21" s="8">
        <f>IF(AU21="","",VLOOKUP('Reel 4 Symbol'!AU21,'Reel 4 Symbol'!$A$3:$E$25,5,0))</f>
        <v>29</v>
      </c>
      <c r="AZ21" s="8">
        <f t="shared" si="13"/>
        <v>100</v>
      </c>
      <c r="BA21" s="8" t="str">
        <f t="shared" si="14"/>
        <v>G100</v>
      </c>
      <c r="BC21" s="27">
        <v>18</v>
      </c>
      <c r="BD21" s="131">
        <v>100</v>
      </c>
      <c r="BE21" s="131" t="s">
        <v>105</v>
      </c>
      <c r="BF21" s="65"/>
      <c r="BG21" s="8">
        <f>IF(BD21="","",VLOOKUP('Reel 4 Symbol'!BD21,'Reel 4 Symbol'!$A$3:$E$25,5,0))</f>
        <v>17</v>
      </c>
      <c r="BH21" s="8">
        <f>IF(BE21="","",VLOOKUP('Reel 4 Symbol'!BE21,'Reel 4 Symbol'!$A$3:$E$25,5,0))</f>
        <v>29</v>
      </c>
      <c r="BJ21" s="8">
        <f t="shared" si="15"/>
        <v>100</v>
      </c>
      <c r="BK21" s="8" t="str">
        <f t="shared" si="16"/>
        <v>G100</v>
      </c>
    </row>
    <row r="22" spans="1:63" ht="16.8" customHeight="1">
      <c r="A22" s="78" t="s">
        <v>103</v>
      </c>
      <c r="B22" s="58" t="s">
        <v>103</v>
      </c>
      <c r="C22" s="79">
        <f t="shared" si="0"/>
        <v>0</v>
      </c>
      <c r="D22" s="70">
        <f t="shared" si="1"/>
        <v>3</v>
      </c>
      <c r="E22" s="58">
        <f t="shared" si="2"/>
        <v>27</v>
      </c>
      <c r="F22" s="107"/>
      <c r="G22" s="78" t="str">
        <v>G25</v>
      </c>
      <c r="H22" s="58" t="str">
        <v>G25</v>
      </c>
      <c r="I22" s="79">
        <f t="shared" si="3"/>
        <v>0</v>
      </c>
      <c r="J22" s="70">
        <f t="shared" si="4"/>
        <v>3</v>
      </c>
      <c r="K22" s="58">
        <v>27</v>
      </c>
      <c r="L22" s="107"/>
      <c r="M22" s="78" t="str">
        <v>G25</v>
      </c>
      <c r="N22" s="58" t="str">
        <v>G25</v>
      </c>
      <c r="O22" s="79">
        <f t="shared" si="5"/>
        <v>0</v>
      </c>
      <c r="P22" s="70">
        <f t="shared" si="6"/>
        <v>5</v>
      </c>
      <c r="Q22" s="58">
        <v>27</v>
      </c>
      <c r="R22" s="155"/>
      <c r="S22" s="78" t="str">
        <v>G25</v>
      </c>
      <c r="T22" s="58" t="str">
        <v>G25</v>
      </c>
      <c r="U22" s="79">
        <f t="shared" si="7"/>
        <v>0</v>
      </c>
      <c r="V22" s="70">
        <f t="shared" si="8"/>
        <v>3</v>
      </c>
      <c r="W22" s="58">
        <v>27</v>
      </c>
      <c r="X22" s="133"/>
      <c r="Y22" s="27">
        <v>19</v>
      </c>
      <c r="Z22" s="131">
        <v>15</v>
      </c>
      <c r="AA22" s="131">
        <v>15</v>
      </c>
      <c r="AB22" s="65"/>
      <c r="AC22" s="8">
        <f>IF(Z22="","",VLOOKUP('Reel 4 Symbol'!Z22,'Reel 4 Symbol'!$A$3:$E$25,5,0))</f>
        <v>13</v>
      </c>
      <c r="AD22" s="8">
        <f>IF(AA22="","",VLOOKUP('Reel 4 Symbol'!AA22,'Reel 4 Symbol'!$A$3:$E$25,5,0))</f>
        <v>13</v>
      </c>
      <c r="AF22" s="8">
        <f t="shared" si="9"/>
        <v>15</v>
      </c>
      <c r="AG22" s="8">
        <f t="shared" si="10"/>
        <v>15</v>
      </c>
      <c r="AH22" s="133"/>
      <c r="AI22" s="27">
        <v>19</v>
      </c>
      <c r="AJ22" s="131">
        <v>15</v>
      </c>
      <c r="AK22" s="131">
        <v>15</v>
      </c>
      <c r="AL22" s="65"/>
      <c r="AM22" s="8">
        <f>IF(AJ22="","",VLOOKUP('Reel 4 Symbol'!AJ22,'Reel 4 Symbol'!$A$3:$E$25,5,0))</f>
        <v>13</v>
      </c>
      <c r="AN22" s="8">
        <f>IF(AK22="","",VLOOKUP('Reel 4 Symbol'!AK22,'Reel 4 Symbol'!$A$3:$E$25,5,0))</f>
        <v>13</v>
      </c>
      <c r="AP22" s="8">
        <f t="shared" si="11"/>
        <v>15</v>
      </c>
      <c r="AQ22" s="8">
        <f t="shared" si="12"/>
        <v>15</v>
      </c>
      <c r="AR22" s="133"/>
      <c r="AS22" s="27">
        <v>19</v>
      </c>
      <c r="AT22" s="131">
        <v>15</v>
      </c>
      <c r="AU22" s="131">
        <v>15</v>
      </c>
      <c r="AV22" s="65"/>
      <c r="AW22" s="8">
        <f>IF(AT22="","",VLOOKUP('Reel 4 Symbol'!AT22,'Reel 4 Symbol'!$A$3:$E$25,5,0))</f>
        <v>13</v>
      </c>
      <c r="AX22" s="8">
        <f>IF(AU22="","",VLOOKUP('Reel 4 Symbol'!AU22,'Reel 4 Symbol'!$A$3:$E$25,5,0))</f>
        <v>13</v>
      </c>
      <c r="AZ22" s="8">
        <f t="shared" si="13"/>
        <v>15</v>
      </c>
      <c r="BA22" s="8">
        <f t="shared" si="14"/>
        <v>15</v>
      </c>
      <c r="BC22" s="27">
        <v>19</v>
      </c>
      <c r="BD22" s="131">
        <v>15</v>
      </c>
      <c r="BE22" s="131">
        <v>15</v>
      </c>
      <c r="BF22" s="65"/>
      <c r="BG22" s="8">
        <f>IF(BD22="","",VLOOKUP('Reel 4 Symbol'!BD22,'Reel 4 Symbol'!$A$3:$E$25,5,0))</f>
        <v>13</v>
      </c>
      <c r="BH22" s="8">
        <f>IF(BE22="","",VLOOKUP('Reel 4 Symbol'!BE22,'Reel 4 Symbol'!$A$3:$E$25,5,0))</f>
        <v>13</v>
      </c>
      <c r="BJ22" s="8">
        <f t="shared" si="15"/>
        <v>15</v>
      </c>
      <c r="BK22" s="8">
        <f t="shared" si="16"/>
        <v>15</v>
      </c>
    </row>
    <row r="23" spans="1:63" ht="16.8" customHeight="1">
      <c r="A23" s="78" t="s">
        <v>104</v>
      </c>
      <c r="B23" s="58" t="s">
        <v>104</v>
      </c>
      <c r="C23" s="79">
        <f t="shared" si="0"/>
        <v>0</v>
      </c>
      <c r="D23" s="70">
        <f t="shared" si="1"/>
        <v>2</v>
      </c>
      <c r="E23" s="58">
        <f t="shared" si="2"/>
        <v>28</v>
      </c>
      <c r="F23" s="107"/>
      <c r="G23" s="78" t="str">
        <v>G50</v>
      </c>
      <c r="H23" s="58" t="str">
        <v>G50</v>
      </c>
      <c r="I23" s="79">
        <f t="shared" si="3"/>
        <v>0</v>
      </c>
      <c r="J23" s="70">
        <f t="shared" si="4"/>
        <v>2</v>
      </c>
      <c r="K23" s="58">
        <v>28</v>
      </c>
      <c r="L23" s="107"/>
      <c r="M23" s="78" t="str">
        <v>G50</v>
      </c>
      <c r="N23" s="58" t="str">
        <v>G50</v>
      </c>
      <c r="O23" s="79">
        <f t="shared" si="5"/>
        <v>0</v>
      </c>
      <c r="P23" s="70">
        <f t="shared" si="6"/>
        <v>2</v>
      </c>
      <c r="Q23" s="58">
        <v>28</v>
      </c>
      <c r="R23" s="155"/>
      <c r="S23" s="78" t="str">
        <v>G50</v>
      </c>
      <c r="T23" s="58" t="str">
        <v>G50</v>
      </c>
      <c r="U23" s="79">
        <f t="shared" si="7"/>
        <v>0</v>
      </c>
      <c r="V23" s="70">
        <f t="shared" si="8"/>
        <v>2</v>
      </c>
      <c r="W23" s="58">
        <v>28</v>
      </c>
      <c r="X23" s="133"/>
      <c r="Y23" s="27">
        <v>20</v>
      </c>
      <c r="Z23" s="131">
        <v>10</v>
      </c>
      <c r="AA23" s="131" t="s">
        <v>100</v>
      </c>
      <c r="AB23" s="65"/>
      <c r="AC23" s="8">
        <f>IF(Z23="","",VLOOKUP('Reel 4 Symbol'!Z23,'Reel 4 Symbol'!$A$3:$E$25,5,0))</f>
        <v>12</v>
      </c>
      <c r="AD23" s="8">
        <f>IF(AA23="","",VLOOKUP('Reel 4 Symbol'!AA23,'Reel 4 Symbol'!$A$3:$E$25,5,0))</f>
        <v>24</v>
      </c>
      <c r="AF23" s="8">
        <f t="shared" si="9"/>
        <v>10</v>
      </c>
      <c r="AG23" s="8" t="str">
        <f t="shared" si="10"/>
        <v>G10</v>
      </c>
      <c r="AH23" s="133"/>
      <c r="AI23" s="27">
        <v>20</v>
      </c>
      <c r="AJ23" s="131">
        <v>10</v>
      </c>
      <c r="AK23" s="131" t="s">
        <v>100</v>
      </c>
      <c r="AL23" s="65"/>
      <c r="AM23" s="8">
        <f>IF(AJ23="","",VLOOKUP('Reel 4 Symbol'!AJ23,'Reel 4 Symbol'!$A$3:$E$25,5,0))</f>
        <v>12</v>
      </c>
      <c r="AN23" s="8">
        <f>IF(AK23="","",VLOOKUP('Reel 4 Symbol'!AK23,'Reel 4 Symbol'!$A$3:$E$25,5,0))</f>
        <v>24</v>
      </c>
      <c r="AP23" s="8">
        <f t="shared" si="11"/>
        <v>10</v>
      </c>
      <c r="AQ23" s="8" t="str">
        <f t="shared" si="12"/>
        <v>G10</v>
      </c>
      <c r="AR23" s="133"/>
      <c r="AS23" s="27">
        <v>20</v>
      </c>
      <c r="AT23" s="131">
        <v>10</v>
      </c>
      <c r="AU23" s="131" t="s">
        <v>100</v>
      </c>
      <c r="AV23" s="65"/>
      <c r="AW23" s="8">
        <f>IF(AT23="","",VLOOKUP('Reel 4 Symbol'!AT23,'Reel 4 Symbol'!$A$3:$E$25,5,0))</f>
        <v>12</v>
      </c>
      <c r="AX23" s="8">
        <f>IF(AU23="","",VLOOKUP('Reel 4 Symbol'!AU23,'Reel 4 Symbol'!$A$3:$E$25,5,0))</f>
        <v>24</v>
      </c>
      <c r="AZ23" s="8">
        <f t="shared" si="13"/>
        <v>10</v>
      </c>
      <c r="BA23" s="8" t="str">
        <f t="shared" si="14"/>
        <v>G10</v>
      </c>
      <c r="BC23" s="27">
        <v>20</v>
      </c>
      <c r="BD23" s="131">
        <v>10</v>
      </c>
      <c r="BE23" s="131" t="s">
        <v>100</v>
      </c>
      <c r="BF23" s="65"/>
      <c r="BG23" s="8">
        <f>IF(BD23="","",VLOOKUP('Reel 4 Symbol'!BD23,'Reel 4 Symbol'!$A$3:$E$25,5,0))</f>
        <v>12</v>
      </c>
      <c r="BH23" s="8">
        <f>IF(BE23="","",VLOOKUP('Reel 4 Symbol'!BE23,'Reel 4 Symbol'!$A$3:$E$25,5,0))</f>
        <v>24</v>
      </c>
      <c r="BJ23" s="8">
        <f t="shared" si="15"/>
        <v>10</v>
      </c>
      <c r="BK23" s="8" t="str">
        <f t="shared" si="16"/>
        <v>G10</v>
      </c>
    </row>
    <row r="24" spans="1:63" ht="16.8" customHeight="1">
      <c r="A24" s="78" t="s">
        <v>105</v>
      </c>
      <c r="B24" s="58" t="s">
        <v>105</v>
      </c>
      <c r="C24" s="79">
        <f t="shared" si="0"/>
        <v>0</v>
      </c>
      <c r="D24" s="70">
        <f t="shared" si="1"/>
        <v>1</v>
      </c>
      <c r="E24" s="58">
        <f t="shared" si="2"/>
        <v>29</v>
      </c>
      <c r="F24" s="107"/>
      <c r="G24" s="78" t="str">
        <v>G100</v>
      </c>
      <c r="H24" s="58" t="str">
        <v>G100</v>
      </c>
      <c r="I24" s="79">
        <f t="shared" si="3"/>
        <v>0</v>
      </c>
      <c r="J24" s="70">
        <f t="shared" si="4"/>
        <v>1</v>
      </c>
      <c r="K24" s="58">
        <v>29</v>
      </c>
      <c r="L24" s="107"/>
      <c r="M24" s="78" t="str">
        <v>G100</v>
      </c>
      <c r="N24" s="58" t="str">
        <v>G100</v>
      </c>
      <c r="O24" s="79">
        <f t="shared" si="5"/>
        <v>0</v>
      </c>
      <c r="P24" s="70">
        <f t="shared" si="6"/>
        <v>1</v>
      </c>
      <c r="Q24" s="58">
        <v>29</v>
      </c>
      <c r="R24" s="155"/>
      <c r="S24" s="78" t="str">
        <v>G100</v>
      </c>
      <c r="T24" s="58" t="str">
        <v>G100</v>
      </c>
      <c r="U24" s="79">
        <f t="shared" si="7"/>
        <v>0</v>
      </c>
      <c r="V24" s="70">
        <f t="shared" si="8"/>
        <v>1</v>
      </c>
      <c r="W24" s="58">
        <v>29</v>
      </c>
      <c r="X24" s="133"/>
      <c r="Y24" s="27">
        <v>21</v>
      </c>
      <c r="Z24" s="131">
        <v>50</v>
      </c>
      <c r="AA24" s="131">
        <v>50</v>
      </c>
      <c r="AB24" s="65"/>
      <c r="AC24" s="8">
        <f>IF(Z24="","",VLOOKUP('Reel 4 Symbol'!Z24,'Reel 4 Symbol'!$A$3:$E$25,5,0))</f>
        <v>16</v>
      </c>
      <c r="AD24" s="8">
        <f>IF(AA24="","",VLOOKUP('Reel 4 Symbol'!AA24,'Reel 4 Symbol'!$A$3:$E$25,5,0))</f>
        <v>16</v>
      </c>
      <c r="AF24" s="8">
        <f t="shared" si="9"/>
        <v>50</v>
      </c>
      <c r="AG24" s="8">
        <f t="shared" si="10"/>
        <v>50</v>
      </c>
      <c r="AH24" s="133"/>
      <c r="AI24" s="27">
        <v>21</v>
      </c>
      <c r="AJ24" s="131">
        <v>50</v>
      </c>
      <c r="AK24" s="131">
        <v>50</v>
      </c>
      <c r="AL24" s="65"/>
      <c r="AM24" s="8">
        <f>IF(AJ24="","",VLOOKUP('Reel 4 Symbol'!AJ24,'Reel 4 Symbol'!$A$3:$E$25,5,0))</f>
        <v>16</v>
      </c>
      <c r="AN24" s="8">
        <f>IF(AK24="","",VLOOKUP('Reel 4 Symbol'!AK24,'Reel 4 Symbol'!$A$3:$E$25,5,0))</f>
        <v>16</v>
      </c>
      <c r="AP24" s="8">
        <f t="shared" si="11"/>
        <v>50</v>
      </c>
      <c r="AQ24" s="8">
        <f t="shared" si="12"/>
        <v>50</v>
      </c>
      <c r="AR24" s="133"/>
      <c r="AS24" s="27">
        <v>21</v>
      </c>
      <c r="AT24" s="131">
        <v>50</v>
      </c>
      <c r="AU24" s="131">
        <v>50</v>
      </c>
      <c r="AV24" s="65"/>
      <c r="AW24" s="8">
        <f>IF(AT24="","",VLOOKUP('Reel 4 Symbol'!AT24,'Reel 4 Symbol'!$A$3:$E$25,5,0))</f>
        <v>16</v>
      </c>
      <c r="AX24" s="8">
        <f>IF(AU24="","",VLOOKUP('Reel 4 Symbol'!AU24,'Reel 4 Symbol'!$A$3:$E$25,5,0))</f>
        <v>16</v>
      </c>
      <c r="AZ24" s="8">
        <f t="shared" si="13"/>
        <v>50</v>
      </c>
      <c r="BA24" s="8">
        <f t="shared" si="14"/>
        <v>50</v>
      </c>
      <c r="BC24" s="27">
        <v>21</v>
      </c>
      <c r="BD24" s="131">
        <v>50</v>
      </c>
      <c r="BE24" s="131">
        <v>50</v>
      </c>
      <c r="BF24" s="65"/>
      <c r="BG24" s="8">
        <f>IF(BD24="","",VLOOKUP('Reel 4 Symbol'!BD24,'Reel 4 Symbol'!$A$3:$E$25,5,0))</f>
        <v>16</v>
      </c>
      <c r="BH24" s="8">
        <f>IF(BE24="","",VLOOKUP('Reel 4 Symbol'!BE24,'Reel 4 Symbol'!$A$3:$E$25,5,0))</f>
        <v>16</v>
      </c>
      <c r="BJ24" s="8">
        <f t="shared" si="15"/>
        <v>50</v>
      </c>
      <c r="BK24" s="8">
        <f t="shared" si="16"/>
        <v>50</v>
      </c>
    </row>
    <row r="25" spans="1:63" ht="16.8" customHeight="1" thickBot="1">
      <c r="A25" s="73" t="s">
        <v>106</v>
      </c>
      <c r="B25" s="59" t="s">
        <v>106</v>
      </c>
      <c r="C25" s="80">
        <f t="shared" si="0"/>
        <v>0</v>
      </c>
      <c r="D25" s="74">
        <f t="shared" si="1"/>
        <v>1</v>
      </c>
      <c r="E25" s="59">
        <f t="shared" si="2"/>
        <v>30</v>
      </c>
      <c r="F25" s="107"/>
      <c r="G25" s="73" t="str">
        <v>G500</v>
      </c>
      <c r="H25" s="59" t="str">
        <v>G500</v>
      </c>
      <c r="I25" s="80">
        <f t="shared" si="3"/>
        <v>0</v>
      </c>
      <c r="J25" s="74">
        <f t="shared" si="4"/>
        <v>1</v>
      </c>
      <c r="K25" s="59">
        <v>30</v>
      </c>
      <c r="L25" s="107"/>
      <c r="M25" s="73" t="str">
        <v>G500</v>
      </c>
      <c r="N25" s="59" t="str">
        <v>G500</v>
      </c>
      <c r="O25" s="80">
        <f t="shared" si="5"/>
        <v>0</v>
      </c>
      <c r="P25" s="74">
        <f t="shared" si="6"/>
        <v>1</v>
      </c>
      <c r="Q25" s="59">
        <v>30</v>
      </c>
      <c r="R25" s="155"/>
      <c r="S25" s="73" t="str">
        <v>G500</v>
      </c>
      <c r="T25" s="59" t="str">
        <v>G500</v>
      </c>
      <c r="U25" s="80">
        <f t="shared" si="7"/>
        <v>0</v>
      </c>
      <c r="V25" s="74">
        <f t="shared" si="8"/>
        <v>1</v>
      </c>
      <c r="W25" s="59">
        <v>30</v>
      </c>
      <c r="X25" s="133"/>
      <c r="Y25" s="27">
        <v>22</v>
      </c>
      <c r="Z25" s="131">
        <v>25</v>
      </c>
      <c r="AA25" s="131">
        <v>25</v>
      </c>
      <c r="AB25" s="65"/>
      <c r="AC25" s="8">
        <f>IF(Z25="","",VLOOKUP('Reel 4 Symbol'!Z25,'Reel 4 Symbol'!$A$3:$E$25,5,0))</f>
        <v>15</v>
      </c>
      <c r="AD25" s="8">
        <f>IF(AA25="","",VLOOKUP('Reel 4 Symbol'!AA25,'Reel 4 Symbol'!$A$3:$E$25,5,0))</f>
        <v>15</v>
      </c>
      <c r="AF25" s="8">
        <f t="shared" si="9"/>
        <v>25</v>
      </c>
      <c r="AG25" s="8">
        <f t="shared" si="10"/>
        <v>25</v>
      </c>
      <c r="AH25" s="133"/>
      <c r="AI25" s="27">
        <v>22</v>
      </c>
      <c r="AJ25" s="131">
        <v>25</v>
      </c>
      <c r="AK25" s="131">
        <v>25</v>
      </c>
      <c r="AL25" s="65"/>
      <c r="AM25" s="8">
        <f>IF(AJ25="","",VLOOKUP('Reel 4 Symbol'!AJ25,'Reel 4 Symbol'!$A$3:$E$25,5,0))</f>
        <v>15</v>
      </c>
      <c r="AN25" s="8">
        <f>IF(AK25="","",VLOOKUP('Reel 4 Symbol'!AK25,'Reel 4 Symbol'!$A$3:$E$25,5,0))</f>
        <v>15</v>
      </c>
      <c r="AP25" s="8">
        <f t="shared" si="11"/>
        <v>25</v>
      </c>
      <c r="AQ25" s="8">
        <f t="shared" si="12"/>
        <v>25</v>
      </c>
      <c r="AR25" s="133"/>
      <c r="AS25" s="27">
        <v>22</v>
      </c>
      <c r="AT25" s="131">
        <v>25</v>
      </c>
      <c r="AU25" s="131">
        <v>25</v>
      </c>
      <c r="AV25" s="65"/>
      <c r="AW25" s="8">
        <f>IF(AT25="","",VLOOKUP('Reel 4 Symbol'!AT25,'Reel 4 Symbol'!$A$3:$E$25,5,0))</f>
        <v>15</v>
      </c>
      <c r="AX25" s="8">
        <f>IF(AU25="","",VLOOKUP('Reel 4 Symbol'!AU25,'Reel 4 Symbol'!$A$3:$E$25,5,0))</f>
        <v>15</v>
      </c>
      <c r="AZ25" s="8">
        <f t="shared" si="13"/>
        <v>25</v>
      </c>
      <c r="BA25" s="8">
        <f t="shared" si="14"/>
        <v>25</v>
      </c>
      <c r="BC25" s="27">
        <v>22</v>
      </c>
      <c r="BD25" s="131">
        <v>25</v>
      </c>
      <c r="BE25" s="131">
        <v>25</v>
      </c>
      <c r="BF25" s="65"/>
      <c r="BG25" s="8">
        <f>IF(BD25="","",VLOOKUP('Reel 4 Symbol'!BD25,'Reel 4 Symbol'!$A$3:$E$25,5,0))</f>
        <v>15</v>
      </c>
      <c r="BH25" s="8">
        <f>IF(BE25="","",VLOOKUP('Reel 4 Symbol'!BE25,'Reel 4 Symbol'!$A$3:$E$25,5,0))</f>
        <v>15</v>
      </c>
      <c r="BJ25" s="8">
        <f t="shared" si="15"/>
        <v>25</v>
      </c>
      <c r="BK25" s="8">
        <f t="shared" si="16"/>
        <v>25</v>
      </c>
    </row>
    <row r="26" spans="1:63" ht="16.8" customHeight="1">
      <c r="A26" s="60" t="s">
        <v>10</v>
      </c>
      <c r="B26" s="107"/>
      <c r="C26" s="107">
        <f>SUM(C3:C25)</f>
        <v>85</v>
      </c>
      <c r="D26" s="107">
        <f t="shared" ref="D26" si="17">SUM(D3:D25)</f>
        <v>85</v>
      </c>
      <c r="E26" s="107"/>
      <c r="F26" s="107"/>
      <c r="G26" s="60" t="s">
        <v>10</v>
      </c>
      <c r="H26" s="107"/>
      <c r="I26" s="107">
        <f>SUM(I3:I25)</f>
        <v>85</v>
      </c>
      <c r="J26" s="107">
        <f t="shared" ref="J26" si="18">SUM(J3:J25)</f>
        <v>85</v>
      </c>
      <c r="K26" s="107"/>
      <c r="L26" s="107"/>
      <c r="M26" s="60" t="s">
        <v>10</v>
      </c>
      <c r="N26" s="107"/>
      <c r="O26" s="107">
        <f>SUM(O3:O25)</f>
        <v>85</v>
      </c>
      <c r="P26" s="107">
        <f t="shared" ref="P26" si="19">SUM(P3:P25)</f>
        <v>85</v>
      </c>
      <c r="Q26" s="107"/>
      <c r="R26" s="155"/>
      <c r="S26" s="60" t="s">
        <v>10</v>
      </c>
      <c r="T26" s="155"/>
      <c r="U26" s="155">
        <f>SUM(U3:U25)</f>
        <v>85</v>
      </c>
      <c r="V26" s="155">
        <f t="shared" ref="V26" si="20">SUM(V3:V25)</f>
        <v>85</v>
      </c>
      <c r="W26" s="155"/>
      <c r="X26" s="133"/>
      <c r="Y26" s="27">
        <v>23</v>
      </c>
      <c r="Z26" s="131">
        <v>20</v>
      </c>
      <c r="AA26" s="131">
        <v>20</v>
      </c>
      <c r="AB26" s="65"/>
      <c r="AC26" s="8">
        <f>IF(Z26="","",VLOOKUP('Reel 4 Symbol'!Z26,'Reel 4 Symbol'!$A$3:$E$25,5,0))</f>
        <v>14</v>
      </c>
      <c r="AD26" s="8">
        <f>IF(AA26="","",VLOOKUP('Reel 4 Symbol'!AA26,'Reel 4 Symbol'!$A$3:$E$25,5,0))</f>
        <v>14</v>
      </c>
      <c r="AF26" s="8">
        <f t="shared" si="9"/>
        <v>20</v>
      </c>
      <c r="AG26" s="8">
        <f t="shared" si="10"/>
        <v>20</v>
      </c>
      <c r="AH26" s="133"/>
      <c r="AI26" s="27">
        <v>23</v>
      </c>
      <c r="AJ26" s="131">
        <v>20</v>
      </c>
      <c r="AK26" s="131">
        <v>20</v>
      </c>
      <c r="AL26" s="65"/>
      <c r="AM26" s="8">
        <f>IF(AJ26="","",VLOOKUP('Reel 4 Symbol'!AJ26,'Reel 4 Symbol'!$A$3:$E$25,5,0))</f>
        <v>14</v>
      </c>
      <c r="AN26" s="8">
        <f>IF(AK26="","",VLOOKUP('Reel 4 Symbol'!AK26,'Reel 4 Symbol'!$A$3:$E$25,5,0))</f>
        <v>14</v>
      </c>
      <c r="AP26" s="8">
        <f t="shared" si="11"/>
        <v>20</v>
      </c>
      <c r="AQ26" s="8">
        <f t="shared" si="12"/>
        <v>20</v>
      </c>
      <c r="AR26" s="133"/>
      <c r="AS26" s="27">
        <v>23</v>
      </c>
      <c r="AT26" s="131">
        <v>20</v>
      </c>
      <c r="AU26" s="131">
        <v>20</v>
      </c>
      <c r="AV26" s="65"/>
      <c r="AW26" s="8">
        <f>IF(AT26="","",VLOOKUP('Reel 4 Symbol'!AT26,'Reel 4 Symbol'!$A$3:$E$25,5,0))</f>
        <v>14</v>
      </c>
      <c r="AX26" s="8">
        <f>IF(AU26="","",VLOOKUP('Reel 4 Symbol'!AU26,'Reel 4 Symbol'!$A$3:$E$25,5,0))</f>
        <v>14</v>
      </c>
      <c r="AZ26" s="8">
        <f t="shared" si="13"/>
        <v>20</v>
      </c>
      <c r="BA26" s="8">
        <f t="shared" si="14"/>
        <v>20</v>
      </c>
      <c r="BC26" s="27">
        <v>23</v>
      </c>
      <c r="BD26" s="131">
        <v>20</v>
      </c>
      <c r="BE26" s="131">
        <v>20</v>
      </c>
      <c r="BF26" s="65"/>
      <c r="BG26" s="8">
        <f>IF(BD26="","",VLOOKUP('Reel 4 Symbol'!BD26,'Reel 4 Symbol'!$A$3:$E$25,5,0))</f>
        <v>14</v>
      </c>
      <c r="BH26" s="8">
        <f>IF(BE26="","",VLOOKUP('Reel 4 Symbol'!BE26,'Reel 4 Symbol'!$A$3:$E$25,5,0))</f>
        <v>14</v>
      </c>
      <c r="BJ26" s="8">
        <f t="shared" si="15"/>
        <v>20</v>
      </c>
      <c r="BK26" s="8">
        <f t="shared" si="16"/>
        <v>20</v>
      </c>
    </row>
    <row r="27" spans="1:63" ht="16.8" customHeight="1">
      <c r="A27" s="60"/>
      <c r="B27" s="30"/>
      <c r="C27" s="107"/>
      <c r="D27" s="107"/>
      <c r="X27" s="133"/>
      <c r="Y27" s="27">
        <v>24</v>
      </c>
      <c r="Z27" s="131">
        <v>5</v>
      </c>
      <c r="AA27" s="131" t="s">
        <v>99</v>
      </c>
      <c r="AB27" s="65"/>
      <c r="AC27" s="8">
        <f>IF(Z27="","",VLOOKUP('Reel 4 Symbol'!Z27,'Reel 4 Symbol'!$A$3:$E$25,5,0))</f>
        <v>11</v>
      </c>
      <c r="AD27" s="8">
        <f>IF(AA27="","",VLOOKUP('Reel 4 Symbol'!AA27,'Reel 4 Symbol'!$A$3:$E$25,5,0))</f>
        <v>23</v>
      </c>
      <c r="AF27" s="8">
        <f t="shared" si="9"/>
        <v>5</v>
      </c>
      <c r="AG27" s="8" t="str">
        <f t="shared" si="10"/>
        <v>G5</v>
      </c>
      <c r="AH27" s="133"/>
      <c r="AI27" s="27">
        <v>24</v>
      </c>
      <c r="AJ27" s="131">
        <v>5</v>
      </c>
      <c r="AK27" s="131" t="s">
        <v>99</v>
      </c>
      <c r="AL27" s="65"/>
      <c r="AM27" s="8">
        <f>IF(AJ27="","",VLOOKUP('Reel 4 Symbol'!AJ27,'Reel 4 Symbol'!$A$3:$E$25,5,0))</f>
        <v>11</v>
      </c>
      <c r="AN27" s="8">
        <f>IF(AK27="","",VLOOKUP('Reel 4 Symbol'!AK27,'Reel 4 Symbol'!$A$3:$E$25,5,0))</f>
        <v>23</v>
      </c>
      <c r="AP27" s="8">
        <f t="shared" si="11"/>
        <v>5</v>
      </c>
      <c r="AQ27" s="8" t="str">
        <f t="shared" si="12"/>
        <v>G5</v>
      </c>
      <c r="AR27" s="133"/>
      <c r="AS27" s="27">
        <v>24</v>
      </c>
      <c r="AT27" s="131">
        <v>15</v>
      </c>
      <c r="AU27" s="131" t="s">
        <v>126</v>
      </c>
      <c r="AV27" s="65"/>
      <c r="AW27" s="8">
        <f>IF(AT27="","",VLOOKUP('Reel 4 Symbol'!AT27,'Reel 4 Symbol'!$A$3:$E$25,5,0))</f>
        <v>13</v>
      </c>
      <c r="AX27" s="8">
        <f>IF(AU27="","",VLOOKUP('Reel 4 Symbol'!AU27,'Reel 4 Symbol'!$A$3:$E$25,5,0))</f>
        <v>25</v>
      </c>
      <c r="AZ27" s="8">
        <f t="shared" si="13"/>
        <v>15</v>
      </c>
      <c r="BA27" s="8" t="str">
        <f t="shared" si="14"/>
        <v>G15</v>
      </c>
      <c r="BC27" s="27">
        <v>24</v>
      </c>
      <c r="BD27" s="131">
        <v>5</v>
      </c>
      <c r="BE27" s="131" t="s">
        <v>99</v>
      </c>
      <c r="BF27" s="65"/>
      <c r="BG27" s="8">
        <f>IF(BD27="","",VLOOKUP('Reel 4 Symbol'!BD27,'Reel 4 Symbol'!$A$3:$E$25,5,0))</f>
        <v>11</v>
      </c>
      <c r="BH27" s="8">
        <f>IF(BE27="","",VLOOKUP('Reel 4 Symbol'!BE27,'Reel 4 Symbol'!$A$3:$E$25,5,0))</f>
        <v>23</v>
      </c>
      <c r="BJ27" s="8">
        <f t="shared" si="15"/>
        <v>5</v>
      </c>
      <c r="BK27" s="8" t="str">
        <f t="shared" si="16"/>
        <v>G5</v>
      </c>
    </row>
    <row r="28" spans="1:63" ht="16.8" customHeight="1"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133"/>
      <c r="Y28" s="27">
        <v>25</v>
      </c>
      <c r="Z28" s="131">
        <v>2</v>
      </c>
      <c r="AA28" s="131">
        <v>2</v>
      </c>
      <c r="AB28" s="65"/>
      <c r="AC28" s="8">
        <f>IF(Z28="","",VLOOKUP('Reel 4 Symbol'!Z28,'Reel 4 Symbol'!$A$3:$E$25,5,0))</f>
        <v>9</v>
      </c>
      <c r="AD28" s="8">
        <f>IF(AA28="","",VLOOKUP('Reel 4 Symbol'!AA28,'Reel 4 Symbol'!$A$3:$E$25,5,0))</f>
        <v>9</v>
      </c>
      <c r="AF28" s="8">
        <f t="shared" si="9"/>
        <v>2</v>
      </c>
      <c r="AG28" s="8">
        <f t="shared" si="10"/>
        <v>2</v>
      </c>
      <c r="AH28" s="133"/>
      <c r="AI28" s="27">
        <v>25</v>
      </c>
      <c r="AJ28" s="131">
        <v>2</v>
      </c>
      <c r="AK28" s="131">
        <v>2</v>
      </c>
      <c r="AL28" s="65"/>
      <c r="AM28" s="8">
        <f>IF(AJ28="","",VLOOKUP('Reel 4 Symbol'!AJ28,'Reel 4 Symbol'!$A$3:$E$25,5,0))</f>
        <v>9</v>
      </c>
      <c r="AN28" s="8">
        <f>IF(AK28="","",VLOOKUP('Reel 4 Symbol'!AK28,'Reel 4 Symbol'!$A$3:$E$25,5,0))</f>
        <v>9</v>
      </c>
      <c r="AP28" s="8">
        <f t="shared" si="11"/>
        <v>2</v>
      </c>
      <c r="AQ28" s="8">
        <f t="shared" si="12"/>
        <v>2</v>
      </c>
      <c r="AR28" s="133"/>
      <c r="AS28" s="27">
        <v>25</v>
      </c>
      <c r="AT28" s="131">
        <v>10</v>
      </c>
      <c r="AU28" s="131">
        <v>10</v>
      </c>
      <c r="AV28" s="65"/>
      <c r="AW28" s="8">
        <f>IF(AT28="","",VLOOKUP('Reel 4 Symbol'!AT28,'Reel 4 Symbol'!$A$3:$E$25,5,0))</f>
        <v>12</v>
      </c>
      <c r="AX28" s="8">
        <f>IF(AU28="","",VLOOKUP('Reel 4 Symbol'!AU28,'Reel 4 Symbol'!$A$3:$E$25,5,0))</f>
        <v>12</v>
      </c>
      <c r="AZ28" s="8">
        <f t="shared" si="13"/>
        <v>10</v>
      </c>
      <c r="BA28" s="8">
        <f t="shared" si="14"/>
        <v>10</v>
      </c>
      <c r="BC28" s="27">
        <v>25</v>
      </c>
      <c r="BD28" s="131">
        <v>2</v>
      </c>
      <c r="BE28" s="131">
        <v>2</v>
      </c>
      <c r="BF28" s="65"/>
      <c r="BG28" s="8">
        <f>IF(BD28="","",VLOOKUP('Reel 4 Symbol'!BD28,'Reel 4 Symbol'!$A$3:$E$25,5,0))</f>
        <v>9</v>
      </c>
      <c r="BH28" s="8">
        <f>IF(BE28="","",VLOOKUP('Reel 4 Symbol'!BE28,'Reel 4 Symbol'!$A$3:$E$25,5,0))</f>
        <v>9</v>
      </c>
      <c r="BJ28" s="8">
        <f t="shared" si="15"/>
        <v>2</v>
      </c>
      <c r="BK28" s="8">
        <f t="shared" si="16"/>
        <v>2</v>
      </c>
    </row>
    <row r="29" spans="1:63" ht="16.8" customHeight="1"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9"/>
      <c r="U29" s="63"/>
      <c r="V29" s="63"/>
      <c r="W29" s="63"/>
      <c r="X29" s="133"/>
      <c r="Y29" s="27">
        <v>26</v>
      </c>
      <c r="Z29" s="131" t="s">
        <v>132</v>
      </c>
      <c r="AA29" s="131" t="s">
        <v>107</v>
      </c>
      <c r="AB29" s="65"/>
      <c r="AC29" s="8">
        <f>IF(Z29="","",VLOOKUP('Reel 4 Symbol'!Z29,'Reel 4 Symbol'!$A$3:$E$25,5,0))</f>
        <v>19</v>
      </c>
      <c r="AD29" s="8">
        <f>IF(AA29="","",VLOOKUP('Reel 4 Symbol'!AA29,'Reel 4 Symbol'!$A$3:$E$25,5,0))</f>
        <v>22</v>
      </c>
      <c r="AF29" s="8" t="str">
        <f t="shared" si="9"/>
        <v>Re-spin</v>
      </c>
      <c r="AG29" s="8" t="str">
        <f t="shared" si="10"/>
        <v>G3</v>
      </c>
      <c r="AH29" s="133"/>
      <c r="AI29" s="27">
        <v>26</v>
      </c>
      <c r="AJ29" s="131" t="s">
        <v>132</v>
      </c>
      <c r="AK29" s="131" t="s">
        <v>98</v>
      </c>
      <c r="AL29" s="65"/>
      <c r="AM29" s="8">
        <f>IF(AJ29="","",VLOOKUP('Reel 4 Symbol'!AJ29,'Reel 4 Symbol'!$A$3:$E$25,5,0))</f>
        <v>19</v>
      </c>
      <c r="AN29" s="8">
        <f>IF(AK29="","",VLOOKUP('Reel 4 Symbol'!AK29,'Reel 4 Symbol'!$A$3:$E$25,5,0))</f>
        <v>22</v>
      </c>
      <c r="AP29" s="8" t="str">
        <f t="shared" si="11"/>
        <v>Re-spin</v>
      </c>
      <c r="AQ29" s="8" t="str">
        <f t="shared" si="12"/>
        <v>G3</v>
      </c>
      <c r="AR29" s="133"/>
      <c r="AS29" s="27">
        <v>26</v>
      </c>
      <c r="AT29" s="131" t="s">
        <v>132</v>
      </c>
      <c r="AU29" s="131" t="s">
        <v>126</v>
      </c>
      <c r="AV29" s="65"/>
      <c r="AW29" s="8">
        <f>IF(AT29="","",VLOOKUP('Reel 4 Symbol'!AT29,'Reel 4 Symbol'!$A$3:$E$25,5,0))</f>
        <v>19</v>
      </c>
      <c r="AX29" s="8">
        <f>IF(AU29="","",VLOOKUP('Reel 4 Symbol'!AU29,'Reel 4 Symbol'!$A$3:$E$25,5,0))</f>
        <v>25</v>
      </c>
      <c r="AZ29" s="8" t="str">
        <f t="shared" si="13"/>
        <v>Re-spin</v>
      </c>
      <c r="BA29" s="8" t="str">
        <f t="shared" si="14"/>
        <v>G15</v>
      </c>
      <c r="BC29" s="27">
        <v>26</v>
      </c>
      <c r="BD29" s="131" t="s">
        <v>132</v>
      </c>
      <c r="BE29" s="131" t="s">
        <v>98</v>
      </c>
      <c r="BF29" s="65"/>
      <c r="BG29" s="8">
        <f>IF(BD29="","",VLOOKUP('Reel 4 Symbol'!BD29,'Reel 4 Symbol'!$A$3:$E$25,5,0))</f>
        <v>19</v>
      </c>
      <c r="BH29" s="8">
        <f>IF(BE29="","",VLOOKUP('Reel 4 Symbol'!BE29,'Reel 4 Symbol'!$A$3:$E$25,5,0))</f>
        <v>22</v>
      </c>
      <c r="BJ29" s="8" t="str">
        <f t="shared" si="15"/>
        <v>Re-spin</v>
      </c>
      <c r="BK29" s="8" t="str">
        <f t="shared" si="16"/>
        <v>G3</v>
      </c>
    </row>
    <row r="30" spans="1:63" ht="16.8" customHeight="1"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133"/>
      <c r="Y30" s="27">
        <v>27</v>
      </c>
      <c r="Z30" s="131">
        <v>1</v>
      </c>
      <c r="AA30" s="131">
        <v>1</v>
      </c>
      <c r="AB30" s="65"/>
      <c r="AC30" s="8">
        <f>IF(Z30="","",VLOOKUP('Reel 4 Symbol'!Z30,'Reel 4 Symbol'!$A$3:$E$25,5,0))</f>
        <v>8</v>
      </c>
      <c r="AD30" s="8">
        <f>IF(AA30="","",VLOOKUP('Reel 4 Symbol'!AA30,'Reel 4 Symbol'!$A$3:$E$25,5,0))</f>
        <v>8</v>
      </c>
      <c r="AF30" s="8">
        <f t="shared" si="9"/>
        <v>1</v>
      </c>
      <c r="AG30" s="8">
        <f t="shared" si="10"/>
        <v>1</v>
      </c>
      <c r="AH30" s="133"/>
      <c r="AI30" s="27">
        <v>27</v>
      </c>
      <c r="AJ30" s="131">
        <v>2</v>
      </c>
      <c r="AK30" s="131">
        <v>2</v>
      </c>
      <c r="AL30" s="65"/>
      <c r="AM30" s="8">
        <f>IF(AJ30="","",VLOOKUP('Reel 4 Symbol'!AJ30,'Reel 4 Symbol'!$A$3:$E$25,5,0))</f>
        <v>9</v>
      </c>
      <c r="AN30" s="8">
        <f>IF(AK30="","",VLOOKUP('Reel 4 Symbol'!AK30,'Reel 4 Symbol'!$A$3:$E$25,5,0))</f>
        <v>9</v>
      </c>
      <c r="AP30" s="8">
        <f t="shared" si="11"/>
        <v>2</v>
      </c>
      <c r="AQ30" s="8">
        <f t="shared" si="12"/>
        <v>2</v>
      </c>
      <c r="AR30" s="133"/>
      <c r="AS30" s="27">
        <v>27</v>
      </c>
      <c r="AT30" s="131">
        <v>10</v>
      </c>
      <c r="AU30" s="131">
        <v>10</v>
      </c>
      <c r="AV30" s="65"/>
      <c r="AW30" s="8">
        <f>IF(AT30="","",VLOOKUP('Reel 4 Symbol'!AT30,'Reel 4 Symbol'!$A$3:$E$25,5,0))</f>
        <v>12</v>
      </c>
      <c r="AX30" s="8">
        <f>IF(AU30="","",VLOOKUP('Reel 4 Symbol'!AU30,'Reel 4 Symbol'!$A$3:$E$25,5,0))</f>
        <v>12</v>
      </c>
      <c r="AZ30" s="8">
        <f t="shared" si="13"/>
        <v>10</v>
      </c>
      <c r="BA30" s="8">
        <f t="shared" si="14"/>
        <v>10</v>
      </c>
      <c r="BC30" s="27">
        <v>27</v>
      </c>
      <c r="BD30" s="131">
        <v>2</v>
      </c>
      <c r="BE30" s="131">
        <v>2</v>
      </c>
      <c r="BF30" s="65"/>
      <c r="BG30" s="8">
        <f>IF(BD30="","",VLOOKUP('Reel 4 Symbol'!BD30,'Reel 4 Symbol'!$A$3:$E$25,5,0))</f>
        <v>9</v>
      </c>
      <c r="BH30" s="8">
        <f>IF(BE30="","",VLOOKUP('Reel 4 Symbol'!BE30,'Reel 4 Symbol'!$A$3:$E$25,5,0))</f>
        <v>9</v>
      </c>
      <c r="BJ30" s="8">
        <f t="shared" si="15"/>
        <v>2</v>
      </c>
      <c r="BK30" s="8">
        <f t="shared" si="16"/>
        <v>2</v>
      </c>
    </row>
    <row r="31" spans="1:63" ht="16.8" customHeight="1"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133"/>
      <c r="Y31" s="27">
        <v>28</v>
      </c>
      <c r="Z31" s="131">
        <v>3</v>
      </c>
      <c r="AA31" s="131" t="s">
        <v>98</v>
      </c>
      <c r="AB31" s="65"/>
      <c r="AC31" s="8">
        <f>IF(Z31="","",VLOOKUP('Reel 4 Symbol'!Z31,'Reel 4 Symbol'!$A$3:$E$25,5,0))</f>
        <v>10</v>
      </c>
      <c r="AD31" s="8">
        <f>IF(AA31="","",VLOOKUP('Reel 4 Symbol'!AA31,'Reel 4 Symbol'!$A$3:$E$25,5,0))</f>
        <v>22</v>
      </c>
      <c r="AF31" s="8">
        <f t="shared" si="9"/>
        <v>3</v>
      </c>
      <c r="AG31" s="8" t="str">
        <f t="shared" si="10"/>
        <v>G3</v>
      </c>
      <c r="AH31" s="133"/>
      <c r="AI31" s="27">
        <v>28</v>
      </c>
      <c r="AJ31" s="131">
        <v>3</v>
      </c>
      <c r="AK31" s="131" t="s">
        <v>98</v>
      </c>
      <c r="AL31" s="65"/>
      <c r="AM31" s="8">
        <f>IF(AJ31="","",VLOOKUP('Reel 4 Symbol'!AJ31,'Reel 4 Symbol'!$A$3:$E$25,5,0))</f>
        <v>10</v>
      </c>
      <c r="AN31" s="8">
        <f>IF(AK31="","",VLOOKUP('Reel 4 Symbol'!AK31,'Reel 4 Symbol'!$A$3:$E$25,5,0))</f>
        <v>22</v>
      </c>
      <c r="AP31" s="8">
        <f t="shared" si="11"/>
        <v>3</v>
      </c>
      <c r="AQ31" s="8" t="str">
        <f t="shared" si="12"/>
        <v>G3</v>
      </c>
      <c r="AR31" s="133"/>
      <c r="AS31" s="27">
        <v>28</v>
      </c>
      <c r="AT31" s="131">
        <v>15</v>
      </c>
      <c r="AU31" s="131">
        <v>15</v>
      </c>
      <c r="AV31" s="65"/>
      <c r="AW31" s="8">
        <f>IF(AT31="","",VLOOKUP('Reel 4 Symbol'!AT31,'Reel 4 Symbol'!$A$3:$E$25,5,0))</f>
        <v>13</v>
      </c>
      <c r="AX31" s="8">
        <f>IF(AU31="","",VLOOKUP('Reel 4 Symbol'!AU31,'Reel 4 Symbol'!$A$3:$E$25,5,0))</f>
        <v>13</v>
      </c>
      <c r="AZ31" s="8">
        <f t="shared" si="13"/>
        <v>15</v>
      </c>
      <c r="BA31" s="8">
        <f t="shared" si="14"/>
        <v>15</v>
      </c>
      <c r="BC31" s="27">
        <v>28</v>
      </c>
      <c r="BD31" s="131">
        <v>3</v>
      </c>
      <c r="BE31" s="131" t="s">
        <v>98</v>
      </c>
      <c r="BF31" s="65"/>
      <c r="BG31" s="8">
        <f>IF(BD31="","",VLOOKUP('Reel 4 Symbol'!BD31,'Reel 4 Symbol'!$A$3:$E$25,5,0))</f>
        <v>10</v>
      </c>
      <c r="BH31" s="8">
        <f>IF(BE31="","",VLOOKUP('Reel 4 Symbol'!BE31,'Reel 4 Symbol'!$A$3:$E$25,5,0))</f>
        <v>22</v>
      </c>
      <c r="BJ31" s="8">
        <f t="shared" si="15"/>
        <v>3</v>
      </c>
      <c r="BK31" s="8" t="str">
        <f t="shared" si="16"/>
        <v>G3</v>
      </c>
    </row>
    <row r="32" spans="1:63" ht="16.8" customHeight="1"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133"/>
      <c r="Y32" s="27">
        <v>29</v>
      </c>
      <c r="Z32" s="131">
        <v>5</v>
      </c>
      <c r="AA32" s="131">
        <v>5</v>
      </c>
      <c r="AB32" s="65"/>
      <c r="AC32" s="8">
        <f>IF(Z32="","",VLOOKUP('Reel 4 Symbol'!Z32,'Reel 4 Symbol'!$A$3:$E$25,5,0))</f>
        <v>11</v>
      </c>
      <c r="AD32" s="8">
        <f>IF(AA32="","",VLOOKUP('Reel 4 Symbol'!AA32,'Reel 4 Symbol'!$A$3:$E$25,5,0))</f>
        <v>11</v>
      </c>
      <c r="AF32" s="8">
        <f t="shared" si="9"/>
        <v>5</v>
      </c>
      <c r="AG32" s="8">
        <f t="shared" si="10"/>
        <v>5</v>
      </c>
      <c r="AH32" s="133"/>
      <c r="AI32" s="27">
        <v>29</v>
      </c>
      <c r="AJ32" s="131">
        <v>5</v>
      </c>
      <c r="AK32" s="131">
        <v>5</v>
      </c>
      <c r="AL32" s="65"/>
      <c r="AM32" s="8">
        <f>IF(AJ32="","",VLOOKUP('Reel 4 Symbol'!AJ32,'Reel 4 Symbol'!$A$3:$E$25,5,0))</f>
        <v>11</v>
      </c>
      <c r="AN32" s="8">
        <f>IF(AK32="","",VLOOKUP('Reel 4 Symbol'!AK32,'Reel 4 Symbol'!$A$3:$E$25,5,0))</f>
        <v>11</v>
      </c>
      <c r="AP32" s="8">
        <f t="shared" si="11"/>
        <v>5</v>
      </c>
      <c r="AQ32" s="8">
        <f t="shared" si="12"/>
        <v>5</v>
      </c>
      <c r="AR32" s="133"/>
      <c r="AS32" s="27">
        <v>29</v>
      </c>
      <c r="AT32" s="131">
        <v>10</v>
      </c>
      <c r="AU32" s="131">
        <v>10</v>
      </c>
      <c r="AV32" s="65"/>
      <c r="AW32" s="8">
        <f>IF(AT32="","",VLOOKUP('Reel 4 Symbol'!AT32,'Reel 4 Symbol'!$A$3:$E$25,5,0))</f>
        <v>12</v>
      </c>
      <c r="AX32" s="8">
        <f>IF(AU32="","",VLOOKUP('Reel 4 Symbol'!AU32,'Reel 4 Symbol'!$A$3:$E$25,5,0))</f>
        <v>12</v>
      </c>
      <c r="AZ32" s="8">
        <f t="shared" si="13"/>
        <v>10</v>
      </c>
      <c r="BA32" s="8">
        <f t="shared" si="14"/>
        <v>10</v>
      </c>
      <c r="BC32" s="27">
        <v>29</v>
      </c>
      <c r="BD32" s="131">
        <v>5</v>
      </c>
      <c r="BE32" s="131">
        <v>5</v>
      </c>
      <c r="BF32" s="65"/>
      <c r="BG32" s="8">
        <f>IF(BD32="","",VLOOKUP('Reel 4 Symbol'!BD32,'Reel 4 Symbol'!$A$3:$E$25,5,0))</f>
        <v>11</v>
      </c>
      <c r="BH32" s="8">
        <f>IF(BE32="","",VLOOKUP('Reel 4 Symbol'!BE32,'Reel 4 Symbol'!$A$3:$E$25,5,0))</f>
        <v>11</v>
      </c>
      <c r="BJ32" s="8">
        <f t="shared" si="15"/>
        <v>5</v>
      </c>
      <c r="BK32" s="8">
        <f t="shared" si="16"/>
        <v>5</v>
      </c>
    </row>
    <row r="33" spans="5:63" ht="16.8" customHeight="1"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U33" s="69"/>
      <c r="V33" s="69"/>
      <c r="W33" s="69"/>
      <c r="X33" s="133"/>
      <c r="Y33" s="27">
        <v>30</v>
      </c>
      <c r="Z33" s="131">
        <v>10</v>
      </c>
      <c r="AA33" s="131" t="s">
        <v>100</v>
      </c>
      <c r="AB33" s="65"/>
      <c r="AC33" s="8">
        <f>IF(Z33="","",VLOOKUP('Reel 4 Symbol'!Z33,'Reel 4 Symbol'!$A$3:$E$25,5,0))</f>
        <v>12</v>
      </c>
      <c r="AD33" s="8">
        <f>IF(AA33="","",VLOOKUP('Reel 4 Symbol'!AA33,'Reel 4 Symbol'!$A$3:$E$25,5,0))</f>
        <v>24</v>
      </c>
      <c r="AF33" s="8">
        <f t="shared" si="9"/>
        <v>10</v>
      </c>
      <c r="AG33" s="8" t="str">
        <f t="shared" si="10"/>
        <v>G10</v>
      </c>
      <c r="AH33" s="133"/>
      <c r="AI33" s="27">
        <v>30</v>
      </c>
      <c r="AJ33" s="131">
        <v>10</v>
      </c>
      <c r="AK33" s="131" t="s">
        <v>100</v>
      </c>
      <c r="AL33" s="65"/>
      <c r="AM33" s="8">
        <f>IF(AJ33="","",VLOOKUP('Reel 4 Symbol'!AJ33,'Reel 4 Symbol'!$A$3:$E$25,5,0))</f>
        <v>12</v>
      </c>
      <c r="AN33" s="8">
        <f>IF(AK33="","",VLOOKUP('Reel 4 Symbol'!AK33,'Reel 4 Symbol'!$A$3:$E$25,5,0))</f>
        <v>24</v>
      </c>
      <c r="AP33" s="8">
        <f t="shared" si="11"/>
        <v>10</v>
      </c>
      <c r="AQ33" s="8" t="str">
        <f t="shared" si="12"/>
        <v>G10</v>
      </c>
      <c r="AR33" s="133"/>
      <c r="AS33" s="27">
        <v>30</v>
      </c>
      <c r="AT33" s="131">
        <v>10</v>
      </c>
      <c r="AU33" s="131" t="s">
        <v>100</v>
      </c>
      <c r="AV33" s="65"/>
      <c r="AW33" s="8">
        <f>IF(AT33="","",VLOOKUP('Reel 4 Symbol'!AT33,'Reel 4 Symbol'!$A$3:$E$25,5,0))</f>
        <v>12</v>
      </c>
      <c r="AX33" s="8">
        <f>IF(AU33="","",VLOOKUP('Reel 4 Symbol'!AU33,'Reel 4 Symbol'!$A$3:$E$25,5,0))</f>
        <v>24</v>
      </c>
      <c r="AZ33" s="8">
        <f t="shared" si="13"/>
        <v>10</v>
      </c>
      <c r="BA33" s="8" t="str">
        <f t="shared" si="14"/>
        <v>G10</v>
      </c>
      <c r="BC33" s="27">
        <v>30</v>
      </c>
      <c r="BD33" s="131">
        <v>10</v>
      </c>
      <c r="BE33" s="131" t="s">
        <v>100</v>
      </c>
      <c r="BF33" s="65"/>
      <c r="BG33" s="8">
        <f>IF(BD33="","",VLOOKUP('Reel 4 Symbol'!BD33,'Reel 4 Symbol'!$A$3:$E$25,5,0))</f>
        <v>12</v>
      </c>
      <c r="BH33" s="8">
        <f>IF(BE33="","",VLOOKUP('Reel 4 Symbol'!BE33,'Reel 4 Symbol'!$A$3:$E$25,5,0))</f>
        <v>24</v>
      </c>
      <c r="BJ33" s="8">
        <f t="shared" si="15"/>
        <v>10</v>
      </c>
      <c r="BK33" s="8" t="str">
        <f t="shared" si="16"/>
        <v>G10</v>
      </c>
    </row>
    <row r="34" spans="5:63" ht="16.8" customHeight="1"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V34" s="69"/>
      <c r="W34" s="69"/>
      <c r="X34" s="133"/>
      <c r="Y34" s="27">
        <v>31</v>
      </c>
      <c r="Z34" s="131">
        <v>15</v>
      </c>
      <c r="AA34" s="131">
        <v>15</v>
      </c>
      <c r="AB34" s="65"/>
      <c r="AC34" s="8">
        <f>IF(Z34="","",VLOOKUP('Reel 4 Symbol'!Z34,'Reel 4 Symbol'!$A$3:$E$25,5,0))</f>
        <v>13</v>
      </c>
      <c r="AD34" s="8">
        <f>IF(AA34="","",VLOOKUP('Reel 4 Symbol'!AA34,'Reel 4 Symbol'!$A$3:$E$25,5,0))</f>
        <v>13</v>
      </c>
      <c r="AF34" s="8">
        <f t="shared" si="9"/>
        <v>15</v>
      </c>
      <c r="AG34" s="8">
        <f t="shared" si="10"/>
        <v>15</v>
      </c>
      <c r="AH34" s="133"/>
      <c r="AI34" s="27">
        <v>31</v>
      </c>
      <c r="AJ34" s="131">
        <v>15</v>
      </c>
      <c r="AK34" s="131">
        <v>15</v>
      </c>
      <c r="AL34" s="65"/>
      <c r="AM34" s="8">
        <f>IF(AJ34="","",VLOOKUP('Reel 4 Symbol'!AJ34,'Reel 4 Symbol'!$A$3:$E$25,5,0))</f>
        <v>13</v>
      </c>
      <c r="AN34" s="8">
        <f>IF(AK34="","",VLOOKUP('Reel 4 Symbol'!AK34,'Reel 4 Symbol'!$A$3:$E$25,5,0))</f>
        <v>13</v>
      </c>
      <c r="AP34" s="8">
        <f t="shared" si="11"/>
        <v>15</v>
      </c>
      <c r="AQ34" s="8">
        <f t="shared" si="12"/>
        <v>15</v>
      </c>
      <c r="AR34" s="133"/>
      <c r="AS34" s="27">
        <v>31</v>
      </c>
      <c r="AT34" s="131">
        <v>15</v>
      </c>
      <c r="AU34" s="131">
        <v>15</v>
      </c>
      <c r="AV34" s="65"/>
      <c r="AW34" s="8">
        <f>IF(AT34="","",VLOOKUP('Reel 4 Symbol'!AT34,'Reel 4 Symbol'!$A$3:$E$25,5,0))</f>
        <v>13</v>
      </c>
      <c r="AX34" s="8">
        <f>IF(AU34="","",VLOOKUP('Reel 4 Symbol'!AU34,'Reel 4 Symbol'!$A$3:$E$25,5,0))</f>
        <v>13</v>
      </c>
      <c r="AZ34" s="8">
        <f t="shared" si="13"/>
        <v>15</v>
      </c>
      <c r="BA34" s="8">
        <f t="shared" si="14"/>
        <v>15</v>
      </c>
      <c r="BC34" s="27">
        <v>31</v>
      </c>
      <c r="BD34" s="131">
        <v>15</v>
      </c>
      <c r="BE34" s="131">
        <v>15</v>
      </c>
      <c r="BF34" s="65"/>
      <c r="BG34" s="8">
        <f>IF(BD34="","",VLOOKUP('Reel 4 Symbol'!BD34,'Reel 4 Symbol'!$A$3:$E$25,5,0))</f>
        <v>13</v>
      </c>
      <c r="BH34" s="8">
        <f>IF(BE34="","",VLOOKUP('Reel 4 Symbol'!BE34,'Reel 4 Symbol'!$A$3:$E$25,5,0))</f>
        <v>13</v>
      </c>
      <c r="BJ34" s="8">
        <f t="shared" si="15"/>
        <v>15</v>
      </c>
      <c r="BK34" s="8">
        <f t="shared" si="16"/>
        <v>15</v>
      </c>
    </row>
    <row r="35" spans="5:63" ht="16.8" customHeight="1"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V35" s="69"/>
      <c r="W35" s="69"/>
      <c r="X35" s="133"/>
      <c r="Y35" s="27">
        <v>32</v>
      </c>
      <c r="Z35" s="131">
        <v>20</v>
      </c>
      <c r="AA35" s="131" t="s">
        <v>102</v>
      </c>
      <c r="AB35" s="65"/>
      <c r="AC35" s="8">
        <f>IF(Z35="","",VLOOKUP('Reel 4 Symbol'!Z35,'Reel 4 Symbol'!$A$3:$E$25,5,0))</f>
        <v>14</v>
      </c>
      <c r="AD35" s="8">
        <f>IF(AA35="","",VLOOKUP('Reel 4 Symbol'!AA35,'Reel 4 Symbol'!$A$3:$E$25,5,0))</f>
        <v>26</v>
      </c>
      <c r="AF35" s="8">
        <f t="shared" si="9"/>
        <v>20</v>
      </c>
      <c r="AG35" s="8" t="str">
        <f t="shared" si="10"/>
        <v>G20</v>
      </c>
      <c r="AH35" s="133"/>
      <c r="AI35" s="27">
        <v>32</v>
      </c>
      <c r="AJ35" s="131">
        <v>20</v>
      </c>
      <c r="AK35" s="131" t="s">
        <v>102</v>
      </c>
      <c r="AL35" s="65"/>
      <c r="AM35" s="8">
        <f>IF(AJ35="","",VLOOKUP('Reel 4 Symbol'!AJ35,'Reel 4 Symbol'!$A$3:$E$25,5,0))</f>
        <v>14</v>
      </c>
      <c r="AN35" s="8">
        <f>IF(AK35="","",VLOOKUP('Reel 4 Symbol'!AK35,'Reel 4 Symbol'!$A$3:$E$25,5,0))</f>
        <v>26</v>
      </c>
      <c r="AP35" s="8">
        <f t="shared" si="11"/>
        <v>20</v>
      </c>
      <c r="AQ35" s="8" t="str">
        <f t="shared" si="12"/>
        <v>G20</v>
      </c>
      <c r="AR35" s="133"/>
      <c r="AS35" s="27">
        <v>32</v>
      </c>
      <c r="AT35" s="131">
        <v>20</v>
      </c>
      <c r="AU35" s="131" t="s">
        <v>102</v>
      </c>
      <c r="AV35" s="65"/>
      <c r="AW35" s="8">
        <f>IF(AT35="","",VLOOKUP('Reel 4 Symbol'!AT35,'Reel 4 Symbol'!$A$3:$E$25,5,0))</f>
        <v>14</v>
      </c>
      <c r="AX35" s="8">
        <f>IF(AU35="","",VLOOKUP('Reel 4 Symbol'!AU35,'Reel 4 Symbol'!$A$3:$E$25,5,0))</f>
        <v>26</v>
      </c>
      <c r="AZ35" s="8">
        <f t="shared" si="13"/>
        <v>20</v>
      </c>
      <c r="BA35" s="8" t="str">
        <f t="shared" si="14"/>
        <v>G20</v>
      </c>
      <c r="BC35" s="27">
        <v>32</v>
      </c>
      <c r="BD35" s="131">
        <v>20</v>
      </c>
      <c r="BE35" s="131" t="s">
        <v>102</v>
      </c>
      <c r="BF35" s="65"/>
      <c r="BG35" s="8">
        <f>IF(BD35="","",VLOOKUP('Reel 4 Symbol'!BD35,'Reel 4 Symbol'!$A$3:$E$25,5,0))</f>
        <v>14</v>
      </c>
      <c r="BH35" s="8">
        <f>IF(BE35="","",VLOOKUP('Reel 4 Symbol'!BE35,'Reel 4 Symbol'!$A$3:$E$25,5,0))</f>
        <v>26</v>
      </c>
      <c r="BJ35" s="8">
        <f t="shared" si="15"/>
        <v>20</v>
      </c>
      <c r="BK35" s="8" t="str">
        <f t="shared" si="16"/>
        <v>G20</v>
      </c>
    </row>
    <row r="36" spans="5:63" ht="16.8" customHeight="1"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V36" s="69"/>
      <c r="W36" s="69"/>
      <c r="X36" s="133"/>
      <c r="Y36" s="27">
        <v>33</v>
      </c>
      <c r="Z36" s="131">
        <v>25</v>
      </c>
      <c r="AA36" s="131">
        <v>25</v>
      </c>
      <c r="AB36" s="65"/>
      <c r="AC36" s="8">
        <f>IF(Z36="","",VLOOKUP('Reel 4 Symbol'!Z36,'Reel 4 Symbol'!$A$3:$E$25,5,0))</f>
        <v>15</v>
      </c>
      <c r="AD36" s="8">
        <f>IF(AA36="","",VLOOKUP('Reel 4 Symbol'!AA36,'Reel 4 Symbol'!$A$3:$E$25,5,0))</f>
        <v>15</v>
      </c>
      <c r="AF36" s="8">
        <f t="shared" si="9"/>
        <v>25</v>
      </c>
      <c r="AG36" s="8">
        <f t="shared" si="10"/>
        <v>25</v>
      </c>
      <c r="AH36" s="133"/>
      <c r="AI36" s="27">
        <v>33</v>
      </c>
      <c r="AJ36" s="131">
        <v>25</v>
      </c>
      <c r="AK36" s="131">
        <v>25</v>
      </c>
      <c r="AL36" s="65"/>
      <c r="AM36" s="8">
        <f>IF(AJ36="","",VLOOKUP('Reel 4 Symbol'!AJ36,'Reel 4 Symbol'!$A$3:$E$25,5,0))</f>
        <v>15</v>
      </c>
      <c r="AN36" s="8">
        <f>IF(AK36="","",VLOOKUP('Reel 4 Symbol'!AK36,'Reel 4 Symbol'!$A$3:$E$25,5,0))</f>
        <v>15</v>
      </c>
      <c r="AP36" s="8">
        <f t="shared" si="11"/>
        <v>25</v>
      </c>
      <c r="AQ36" s="8">
        <f t="shared" si="12"/>
        <v>25</v>
      </c>
      <c r="AR36" s="133"/>
      <c r="AS36" s="27">
        <v>33</v>
      </c>
      <c r="AT36" s="131">
        <v>25</v>
      </c>
      <c r="AU36" s="131">
        <v>25</v>
      </c>
      <c r="AV36" s="65"/>
      <c r="AW36" s="8">
        <f>IF(AT36="","",VLOOKUP('Reel 4 Symbol'!AT36,'Reel 4 Symbol'!$A$3:$E$25,5,0))</f>
        <v>15</v>
      </c>
      <c r="AX36" s="8">
        <f>IF(AU36="","",VLOOKUP('Reel 4 Symbol'!AU36,'Reel 4 Symbol'!$A$3:$E$25,5,0))</f>
        <v>15</v>
      </c>
      <c r="AZ36" s="8">
        <f t="shared" si="13"/>
        <v>25</v>
      </c>
      <c r="BA36" s="8">
        <f t="shared" si="14"/>
        <v>25</v>
      </c>
      <c r="BC36" s="27">
        <v>33</v>
      </c>
      <c r="BD36" s="131">
        <v>25</v>
      </c>
      <c r="BE36" s="131">
        <v>25</v>
      </c>
      <c r="BF36" s="65"/>
      <c r="BG36" s="8">
        <f>IF(BD36="","",VLOOKUP('Reel 4 Symbol'!BD36,'Reel 4 Symbol'!$A$3:$E$25,5,0))</f>
        <v>15</v>
      </c>
      <c r="BH36" s="8">
        <f>IF(BE36="","",VLOOKUP('Reel 4 Symbol'!BE36,'Reel 4 Symbol'!$A$3:$E$25,5,0))</f>
        <v>15</v>
      </c>
      <c r="BJ36" s="8">
        <f t="shared" si="15"/>
        <v>25</v>
      </c>
      <c r="BK36" s="8">
        <f t="shared" si="16"/>
        <v>25</v>
      </c>
    </row>
    <row r="37" spans="5:63" ht="16.8" customHeight="1"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V37" s="69"/>
      <c r="W37" s="69"/>
      <c r="X37" s="133"/>
      <c r="Y37" s="27">
        <v>34</v>
      </c>
      <c r="Z37" s="131">
        <v>50</v>
      </c>
      <c r="AA37" s="131" t="s">
        <v>104</v>
      </c>
      <c r="AB37" s="65"/>
      <c r="AC37" s="8">
        <f>IF(Z37="","",VLOOKUP('Reel 4 Symbol'!Z37,'Reel 4 Symbol'!$A$3:$E$25,5,0))</f>
        <v>16</v>
      </c>
      <c r="AD37" s="8">
        <f>IF(AA37="","",VLOOKUP('Reel 4 Symbol'!AA37,'Reel 4 Symbol'!$A$3:$E$25,5,0))</f>
        <v>28</v>
      </c>
      <c r="AF37" s="8">
        <f t="shared" si="9"/>
        <v>50</v>
      </c>
      <c r="AG37" s="8" t="str">
        <f t="shared" si="10"/>
        <v>G50</v>
      </c>
      <c r="AH37" s="133"/>
      <c r="AI37" s="27">
        <v>34</v>
      </c>
      <c r="AJ37" s="131">
        <v>50</v>
      </c>
      <c r="AK37" s="131" t="s">
        <v>104</v>
      </c>
      <c r="AL37" s="65"/>
      <c r="AM37" s="8">
        <f>IF(AJ37="","",VLOOKUP('Reel 4 Symbol'!AJ37,'Reel 4 Symbol'!$A$3:$E$25,5,0))</f>
        <v>16</v>
      </c>
      <c r="AN37" s="8">
        <f>IF(AK37="","",VLOOKUP('Reel 4 Symbol'!AK37,'Reel 4 Symbol'!$A$3:$E$25,5,0))</f>
        <v>28</v>
      </c>
      <c r="AP37" s="8">
        <f t="shared" si="11"/>
        <v>50</v>
      </c>
      <c r="AQ37" s="8" t="str">
        <f t="shared" si="12"/>
        <v>G50</v>
      </c>
      <c r="AR37" s="133"/>
      <c r="AS37" s="27">
        <v>34</v>
      </c>
      <c r="AT37" s="131">
        <v>50</v>
      </c>
      <c r="AU37" s="131" t="s">
        <v>104</v>
      </c>
      <c r="AV37" s="65"/>
      <c r="AW37" s="8">
        <f>IF(AT37="","",VLOOKUP('Reel 4 Symbol'!AT37,'Reel 4 Symbol'!$A$3:$E$25,5,0))</f>
        <v>16</v>
      </c>
      <c r="AX37" s="8">
        <f>IF(AU37="","",VLOOKUP('Reel 4 Symbol'!AU37,'Reel 4 Symbol'!$A$3:$E$25,5,0))</f>
        <v>28</v>
      </c>
      <c r="AZ37" s="8">
        <f t="shared" si="13"/>
        <v>50</v>
      </c>
      <c r="BA37" s="8" t="str">
        <f t="shared" si="14"/>
        <v>G50</v>
      </c>
      <c r="BC37" s="27">
        <v>34</v>
      </c>
      <c r="BD37" s="131">
        <v>50</v>
      </c>
      <c r="BE37" s="131" t="s">
        <v>104</v>
      </c>
      <c r="BF37" s="65"/>
      <c r="BG37" s="8">
        <f>IF(BD37="","",VLOOKUP('Reel 4 Symbol'!BD37,'Reel 4 Symbol'!$A$3:$E$25,5,0))</f>
        <v>16</v>
      </c>
      <c r="BH37" s="8">
        <f>IF(BE37="","",VLOOKUP('Reel 4 Symbol'!BE37,'Reel 4 Symbol'!$A$3:$E$25,5,0))</f>
        <v>28</v>
      </c>
      <c r="BJ37" s="8">
        <f t="shared" si="15"/>
        <v>50</v>
      </c>
      <c r="BK37" s="8" t="str">
        <f t="shared" si="16"/>
        <v>G50</v>
      </c>
    </row>
    <row r="38" spans="5:63" ht="16.8" customHeight="1">
      <c r="X38" s="133"/>
      <c r="Y38" s="27">
        <v>35</v>
      </c>
      <c r="Z38" s="131">
        <v>500</v>
      </c>
      <c r="AA38" s="131">
        <v>500</v>
      </c>
      <c r="AB38" s="65"/>
      <c r="AC38" s="8">
        <f>IF(Z38="","",VLOOKUP('Reel 4 Symbol'!Z38,'Reel 4 Symbol'!$A$3:$E$25,5,0))</f>
        <v>18</v>
      </c>
      <c r="AD38" s="8">
        <f>IF(AA38="","",VLOOKUP('Reel 4 Symbol'!AA38,'Reel 4 Symbol'!$A$3:$E$25,5,0))</f>
        <v>18</v>
      </c>
      <c r="AF38" s="8">
        <f t="shared" si="9"/>
        <v>500</v>
      </c>
      <c r="AG38" s="8">
        <f t="shared" si="10"/>
        <v>500</v>
      </c>
      <c r="AH38" s="133"/>
      <c r="AI38" s="27">
        <v>35</v>
      </c>
      <c r="AJ38" s="131">
        <v>500</v>
      </c>
      <c r="AK38" s="131">
        <v>500</v>
      </c>
      <c r="AL38" s="65"/>
      <c r="AM38" s="8">
        <f>IF(AJ38="","",VLOOKUP('Reel 4 Symbol'!AJ38,'Reel 4 Symbol'!$A$3:$E$25,5,0))</f>
        <v>18</v>
      </c>
      <c r="AN38" s="8">
        <f>IF(AK38="","",VLOOKUP('Reel 4 Symbol'!AK38,'Reel 4 Symbol'!$A$3:$E$25,5,0))</f>
        <v>18</v>
      </c>
      <c r="AP38" s="8">
        <f t="shared" si="11"/>
        <v>500</v>
      </c>
      <c r="AQ38" s="8">
        <f t="shared" si="12"/>
        <v>500</v>
      </c>
      <c r="AR38" s="133"/>
      <c r="AS38" s="27">
        <v>35</v>
      </c>
      <c r="AT38" s="131">
        <v>500</v>
      </c>
      <c r="AU38" s="131">
        <v>500</v>
      </c>
      <c r="AV38" s="65"/>
      <c r="AW38" s="8">
        <f>IF(AT38="","",VLOOKUP('Reel 4 Symbol'!AT38,'Reel 4 Symbol'!$A$3:$E$25,5,0))</f>
        <v>18</v>
      </c>
      <c r="AX38" s="8">
        <f>IF(AU38="","",VLOOKUP('Reel 4 Symbol'!AU38,'Reel 4 Symbol'!$A$3:$E$25,5,0))</f>
        <v>18</v>
      </c>
      <c r="AZ38" s="8">
        <f t="shared" si="13"/>
        <v>500</v>
      </c>
      <c r="BA38" s="8">
        <f t="shared" si="14"/>
        <v>500</v>
      </c>
      <c r="BC38" s="27">
        <v>35</v>
      </c>
      <c r="BD38" s="131">
        <v>500</v>
      </c>
      <c r="BE38" s="131">
        <v>500</v>
      </c>
      <c r="BF38" s="65"/>
      <c r="BG38" s="8">
        <f>IF(BD38="","",VLOOKUP('Reel 4 Symbol'!BD38,'Reel 4 Symbol'!$A$3:$E$25,5,0))</f>
        <v>18</v>
      </c>
      <c r="BH38" s="8">
        <f>IF(BE38="","",VLOOKUP('Reel 4 Symbol'!BE38,'Reel 4 Symbol'!$A$3:$E$25,5,0))</f>
        <v>18</v>
      </c>
      <c r="BJ38" s="8">
        <f t="shared" si="15"/>
        <v>500</v>
      </c>
      <c r="BK38" s="8">
        <f t="shared" si="16"/>
        <v>500</v>
      </c>
    </row>
    <row r="39" spans="5:63" ht="16.8" customHeight="1">
      <c r="X39" s="133"/>
      <c r="Y39" s="27">
        <v>36</v>
      </c>
      <c r="Z39" s="131">
        <v>100</v>
      </c>
      <c r="AA39" s="131">
        <v>100</v>
      </c>
      <c r="AB39" s="65"/>
      <c r="AC39" s="8">
        <f>IF(Z39="","",VLOOKUP('Reel 4 Symbol'!Z39,'Reel 4 Symbol'!$A$3:$E$25,5,0))</f>
        <v>17</v>
      </c>
      <c r="AD39" s="8">
        <f>IF(AA39="","",VLOOKUP('Reel 4 Symbol'!AA39,'Reel 4 Symbol'!$A$3:$E$25,5,0))</f>
        <v>17</v>
      </c>
      <c r="AF39" s="8">
        <f t="shared" si="9"/>
        <v>100</v>
      </c>
      <c r="AG39" s="8">
        <f t="shared" si="10"/>
        <v>100</v>
      </c>
      <c r="AH39" s="133"/>
      <c r="AI39" s="27">
        <v>36</v>
      </c>
      <c r="AJ39" s="131">
        <v>100</v>
      </c>
      <c r="AK39" s="131">
        <v>100</v>
      </c>
      <c r="AL39" s="65"/>
      <c r="AM39" s="8">
        <f>IF(AJ39="","",VLOOKUP('Reel 4 Symbol'!AJ39,'Reel 4 Symbol'!$A$3:$E$25,5,0))</f>
        <v>17</v>
      </c>
      <c r="AN39" s="8">
        <f>IF(AK39="","",VLOOKUP('Reel 4 Symbol'!AK39,'Reel 4 Symbol'!$A$3:$E$25,5,0))</f>
        <v>17</v>
      </c>
      <c r="AP39" s="8">
        <f t="shared" si="11"/>
        <v>100</v>
      </c>
      <c r="AQ39" s="8">
        <f t="shared" si="12"/>
        <v>100</v>
      </c>
      <c r="AR39" s="133"/>
      <c r="AS39" s="27">
        <v>36</v>
      </c>
      <c r="AT39" s="131">
        <v>100</v>
      </c>
      <c r="AU39" s="131">
        <v>100</v>
      </c>
      <c r="AV39" s="65"/>
      <c r="AW39" s="8">
        <f>IF(AT39="","",VLOOKUP('Reel 4 Symbol'!AT39,'Reel 4 Symbol'!$A$3:$E$25,5,0))</f>
        <v>17</v>
      </c>
      <c r="AX39" s="8">
        <f>IF(AU39="","",VLOOKUP('Reel 4 Symbol'!AU39,'Reel 4 Symbol'!$A$3:$E$25,5,0))</f>
        <v>17</v>
      </c>
      <c r="AZ39" s="8">
        <f t="shared" si="13"/>
        <v>100</v>
      </c>
      <c r="BA39" s="8">
        <f t="shared" si="14"/>
        <v>100</v>
      </c>
      <c r="BC39" s="27">
        <v>36</v>
      </c>
      <c r="BD39" s="131">
        <v>100</v>
      </c>
      <c r="BE39" s="131">
        <v>100</v>
      </c>
      <c r="BF39" s="65"/>
      <c r="BG39" s="8">
        <f>IF(BD39="","",VLOOKUP('Reel 4 Symbol'!BD39,'Reel 4 Symbol'!$A$3:$E$25,5,0))</f>
        <v>17</v>
      </c>
      <c r="BH39" s="8">
        <f>IF(BE39="","",VLOOKUP('Reel 4 Symbol'!BE39,'Reel 4 Symbol'!$A$3:$E$25,5,0))</f>
        <v>17</v>
      </c>
      <c r="BJ39" s="8">
        <f t="shared" si="15"/>
        <v>100</v>
      </c>
      <c r="BK39" s="8">
        <f t="shared" si="16"/>
        <v>100</v>
      </c>
    </row>
    <row r="40" spans="5:63" ht="16.8" customHeight="1">
      <c r="X40" s="133"/>
      <c r="Y40" s="27">
        <v>37</v>
      </c>
      <c r="Z40" s="131">
        <v>2</v>
      </c>
      <c r="AA40" s="131">
        <v>2</v>
      </c>
      <c r="AB40" s="65"/>
      <c r="AC40" s="8">
        <f>IF(Z40="","",VLOOKUP('Reel 4 Symbol'!Z40,'Reel 4 Symbol'!$A$3:$E$25,5,0))</f>
        <v>9</v>
      </c>
      <c r="AD40" s="8">
        <f>IF(AA40="","",VLOOKUP('Reel 4 Symbol'!AA40,'Reel 4 Symbol'!$A$3:$E$25,5,0))</f>
        <v>9</v>
      </c>
      <c r="AF40" s="8">
        <f t="shared" si="9"/>
        <v>2</v>
      </c>
      <c r="AG40" s="8">
        <f t="shared" si="10"/>
        <v>2</v>
      </c>
      <c r="AH40" s="133"/>
      <c r="AI40" s="27">
        <v>37</v>
      </c>
      <c r="AJ40" s="131">
        <v>2</v>
      </c>
      <c r="AK40" s="131">
        <v>2</v>
      </c>
      <c r="AL40" s="65"/>
      <c r="AM40" s="8">
        <f>IF(AJ40="","",VLOOKUP('Reel 4 Symbol'!AJ40,'Reel 4 Symbol'!$A$3:$E$25,5,0))</f>
        <v>9</v>
      </c>
      <c r="AN40" s="8">
        <f>IF(AK40="","",VLOOKUP('Reel 4 Symbol'!AK40,'Reel 4 Symbol'!$A$3:$E$25,5,0))</f>
        <v>9</v>
      </c>
      <c r="AP40" s="8">
        <f t="shared" si="11"/>
        <v>2</v>
      </c>
      <c r="AQ40" s="8">
        <f t="shared" si="12"/>
        <v>2</v>
      </c>
      <c r="AR40" s="133"/>
      <c r="AS40" s="27">
        <v>37</v>
      </c>
      <c r="AT40" s="131">
        <v>25</v>
      </c>
      <c r="AU40" s="131" t="s">
        <v>252</v>
      </c>
      <c r="AV40" s="65"/>
      <c r="AW40" s="8">
        <f>IF(AT40="","",VLOOKUP('Reel 4 Symbol'!AT40,'Reel 4 Symbol'!$A$3:$E$25,5,0))</f>
        <v>15</v>
      </c>
      <c r="AX40" s="8">
        <f>IF(AU40="","",VLOOKUP('Reel 4 Symbol'!AU40,'Reel 4 Symbol'!$A$3:$E$25,5,0))</f>
        <v>27</v>
      </c>
      <c r="AZ40" s="8">
        <f t="shared" si="13"/>
        <v>25</v>
      </c>
      <c r="BA40" s="8" t="str">
        <f t="shared" si="14"/>
        <v>G25</v>
      </c>
      <c r="BC40" s="27">
        <v>37</v>
      </c>
      <c r="BD40" s="131">
        <v>2</v>
      </c>
      <c r="BE40" s="131">
        <v>2</v>
      </c>
      <c r="BF40" s="65"/>
      <c r="BG40" s="8">
        <f>IF(BD40="","",VLOOKUP('Reel 4 Symbol'!BD40,'Reel 4 Symbol'!$A$3:$E$25,5,0))</f>
        <v>9</v>
      </c>
      <c r="BH40" s="8">
        <f>IF(BE40="","",VLOOKUP('Reel 4 Symbol'!BE40,'Reel 4 Symbol'!$A$3:$E$25,5,0))</f>
        <v>9</v>
      </c>
      <c r="BJ40" s="8">
        <f t="shared" si="15"/>
        <v>2</v>
      </c>
      <c r="BK40" s="8">
        <f t="shared" si="16"/>
        <v>2</v>
      </c>
    </row>
    <row r="41" spans="5:63" ht="16.8" customHeight="1">
      <c r="X41" s="133"/>
      <c r="Y41" s="27">
        <v>38</v>
      </c>
      <c r="Z41" s="131">
        <v>1</v>
      </c>
      <c r="AA41" s="131" t="s">
        <v>96</v>
      </c>
      <c r="AB41" s="65"/>
      <c r="AC41" s="8">
        <f>IF(Z41="","",VLOOKUP('Reel 4 Symbol'!Z41,'Reel 4 Symbol'!$A$3:$E$25,5,0))</f>
        <v>8</v>
      </c>
      <c r="AD41" s="8">
        <f>IF(AA41="","",VLOOKUP('Reel 4 Symbol'!AA41,'Reel 4 Symbol'!$A$3:$E$25,5,0))</f>
        <v>20</v>
      </c>
      <c r="AF41" s="8">
        <f t="shared" si="9"/>
        <v>1</v>
      </c>
      <c r="AG41" s="8" t="str">
        <f t="shared" si="10"/>
        <v>G1</v>
      </c>
      <c r="AH41" s="133"/>
      <c r="AI41" s="27">
        <v>38</v>
      </c>
      <c r="AJ41" s="131">
        <v>3</v>
      </c>
      <c r="AK41" s="131" t="s">
        <v>107</v>
      </c>
      <c r="AL41" s="65"/>
      <c r="AM41" s="8">
        <f>IF(AJ41="","",VLOOKUP('Reel 4 Symbol'!AJ41,'Reel 4 Symbol'!$A$3:$E$25,5,0))</f>
        <v>10</v>
      </c>
      <c r="AN41" s="8">
        <f>IF(AK41="","",VLOOKUP('Reel 4 Symbol'!AK41,'Reel 4 Symbol'!$A$3:$E$25,5,0))</f>
        <v>22</v>
      </c>
      <c r="AP41" s="8">
        <f t="shared" si="11"/>
        <v>3</v>
      </c>
      <c r="AQ41" s="8" t="str">
        <f t="shared" si="12"/>
        <v>G3</v>
      </c>
      <c r="AR41" s="133"/>
      <c r="AS41" s="27">
        <v>38</v>
      </c>
      <c r="AT41" s="131">
        <v>20</v>
      </c>
      <c r="AU41" s="131">
        <v>20</v>
      </c>
      <c r="AV41" s="65"/>
      <c r="AW41" s="8">
        <f>IF(AT41="","",VLOOKUP('Reel 4 Symbol'!AT41,'Reel 4 Symbol'!$A$3:$E$25,5,0))</f>
        <v>14</v>
      </c>
      <c r="AX41" s="8">
        <f>IF(AU41="","",VLOOKUP('Reel 4 Symbol'!AU41,'Reel 4 Symbol'!$A$3:$E$25,5,0))</f>
        <v>14</v>
      </c>
      <c r="AZ41" s="8">
        <f t="shared" si="13"/>
        <v>20</v>
      </c>
      <c r="BA41" s="8">
        <f t="shared" si="14"/>
        <v>20</v>
      </c>
      <c r="BC41" s="27">
        <v>38</v>
      </c>
      <c r="BD41" s="131">
        <v>3</v>
      </c>
      <c r="BE41" s="131" t="s">
        <v>98</v>
      </c>
      <c r="BF41" s="65"/>
      <c r="BG41" s="8">
        <f>IF(BD41="","",VLOOKUP('Reel 4 Symbol'!BD41,'Reel 4 Symbol'!$A$3:$E$25,5,0))</f>
        <v>10</v>
      </c>
      <c r="BH41" s="8">
        <f>IF(BE41="","",VLOOKUP('Reel 4 Symbol'!BE41,'Reel 4 Symbol'!$A$3:$E$25,5,0))</f>
        <v>22</v>
      </c>
      <c r="BJ41" s="8">
        <f t="shared" si="15"/>
        <v>3</v>
      </c>
      <c r="BK41" s="8" t="str">
        <f t="shared" si="16"/>
        <v>G3</v>
      </c>
    </row>
    <row r="42" spans="5:63" ht="16.8" customHeight="1">
      <c r="X42" s="133"/>
      <c r="Y42" s="27">
        <v>39</v>
      </c>
      <c r="Z42" s="131">
        <v>3</v>
      </c>
      <c r="AA42" s="131">
        <v>3</v>
      </c>
      <c r="AB42" s="65"/>
      <c r="AC42" s="8">
        <f>IF(Z42="","",VLOOKUP('Reel 4 Symbol'!Z42,'Reel 4 Symbol'!$A$3:$E$25,5,0))</f>
        <v>10</v>
      </c>
      <c r="AD42" s="8">
        <f>IF(AA42="","",VLOOKUP('Reel 4 Symbol'!AA42,'Reel 4 Symbol'!$A$3:$E$25,5,0))</f>
        <v>10</v>
      </c>
      <c r="AF42" s="8">
        <f t="shared" si="9"/>
        <v>3</v>
      </c>
      <c r="AG42" s="8">
        <f t="shared" si="10"/>
        <v>3</v>
      </c>
      <c r="AH42" s="133"/>
      <c r="AI42" s="27">
        <v>39</v>
      </c>
      <c r="AJ42" s="131">
        <v>3</v>
      </c>
      <c r="AK42" s="131">
        <v>3</v>
      </c>
      <c r="AL42" s="65"/>
      <c r="AM42" s="8">
        <f>IF(AJ42="","",VLOOKUP('Reel 4 Symbol'!AJ42,'Reel 4 Symbol'!$A$3:$E$25,5,0))</f>
        <v>10</v>
      </c>
      <c r="AN42" s="8">
        <f>IF(AK42="","",VLOOKUP('Reel 4 Symbol'!AK42,'Reel 4 Symbol'!$A$3:$E$25,5,0))</f>
        <v>10</v>
      </c>
      <c r="AP42" s="8">
        <f t="shared" si="11"/>
        <v>3</v>
      </c>
      <c r="AQ42" s="8">
        <f t="shared" si="12"/>
        <v>3</v>
      </c>
      <c r="AR42" s="133"/>
      <c r="AS42" s="27">
        <v>39</v>
      </c>
      <c r="AT42" s="131">
        <v>15</v>
      </c>
      <c r="AU42" s="131" t="s">
        <v>126</v>
      </c>
      <c r="AV42" s="65"/>
      <c r="AW42" s="8">
        <f>IF(AT42="","",VLOOKUP('Reel 4 Symbol'!AT42,'Reel 4 Symbol'!$A$3:$E$25,5,0))</f>
        <v>13</v>
      </c>
      <c r="AX42" s="8">
        <f>IF(AU42="","",VLOOKUP('Reel 4 Symbol'!AU42,'Reel 4 Symbol'!$A$3:$E$25,5,0))</f>
        <v>25</v>
      </c>
      <c r="AZ42" s="8">
        <f t="shared" si="13"/>
        <v>15</v>
      </c>
      <c r="BA42" s="8" t="str">
        <f t="shared" si="14"/>
        <v>G15</v>
      </c>
      <c r="BC42" s="27">
        <v>39</v>
      </c>
      <c r="BD42" s="131">
        <v>3</v>
      </c>
      <c r="BE42" s="131">
        <v>3</v>
      </c>
      <c r="BF42" s="65"/>
      <c r="BG42" s="8">
        <f>IF(BD42="","",VLOOKUP('Reel 4 Symbol'!BD42,'Reel 4 Symbol'!$A$3:$E$25,5,0))</f>
        <v>10</v>
      </c>
      <c r="BH42" s="8">
        <f>IF(BE42="","",VLOOKUP('Reel 4 Symbol'!BE42,'Reel 4 Symbol'!$A$3:$E$25,5,0))</f>
        <v>10</v>
      </c>
      <c r="BJ42" s="8">
        <f t="shared" si="15"/>
        <v>3</v>
      </c>
      <c r="BK42" s="8">
        <f t="shared" si="16"/>
        <v>3</v>
      </c>
    </row>
    <row r="43" spans="5:63" ht="16.8" customHeight="1">
      <c r="X43" s="133"/>
      <c r="Y43" s="27">
        <v>40</v>
      </c>
      <c r="Z43" s="131">
        <v>2</v>
      </c>
      <c r="AA43" s="131">
        <v>2</v>
      </c>
      <c r="AB43" s="65"/>
      <c r="AC43" s="8">
        <f>IF(Z43="","",VLOOKUP('Reel 4 Symbol'!Z43,'Reel 4 Symbol'!$A$3:$E$25,5,0))</f>
        <v>9</v>
      </c>
      <c r="AD43" s="8">
        <f>IF(AA43="","",VLOOKUP('Reel 4 Symbol'!AA43,'Reel 4 Symbol'!$A$3:$E$25,5,0))</f>
        <v>9</v>
      </c>
      <c r="AF43" s="8">
        <f t="shared" si="9"/>
        <v>2</v>
      </c>
      <c r="AG43" s="8">
        <f t="shared" si="10"/>
        <v>2</v>
      </c>
      <c r="AH43" s="133"/>
      <c r="AI43" s="27">
        <v>40</v>
      </c>
      <c r="AJ43" s="131">
        <v>2</v>
      </c>
      <c r="AK43" s="131">
        <v>2</v>
      </c>
      <c r="AL43" s="65"/>
      <c r="AM43" s="8">
        <f>IF(AJ43="","",VLOOKUP('Reel 4 Symbol'!AJ43,'Reel 4 Symbol'!$A$3:$E$25,5,0))</f>
        <v>9</v>
      </c>
      <c r="AN43" s="8">
        <f>IF(AK43="","",VLOOKUP('Reel 4 Symbol'!AK43,'Reel 4 Symbol'!$A$3:$E$25,5,0))</f>
        <v>9</v>
      </c>
      <c r="AP43" s="8">
        <f t="shared" si="11"/>
        <v>2</v>
      </c>
      <c r="AQ43" s="8">
        <f t="shared" si="12"/>
        <v>2</v>
      </c>
      <c r="AR43" s="133"/>
      <c r="AS43" s="27">
        <v>40</v>
      </c>
      <c r="AT43" s="131">
        <v>10</v>
      </c>
      <c r="AU43" s="131">
        <v>10</v>
      </c>
      <c r="AV43" s="65"/>
      <c r="AW43" s="8">
        <f>IF(AT43="","",VLOOKUP('Reel 4 Symbol'!AT43,'Reel 4 Symbol'!$A$3:$E$25,5,0))</f>
        <v>12</v>
      </c>
      <c r="AX43" s="8">
        <f>IF(AU43="","",VLOOKUP('Reel 4 Symbol'!AU43,'Reel 4 Symbol'!$A$3:$E$25,5,0))</f>
        <v>12</v>
      </c>
      <c r="AZ43" s="8">
        <f t="shared" si="13"/>
        <v>10</v>
      </c>
      <c r="BA43" s="8">
        <f t="shared" si="14"/>
        <v>10</v>
      </c>
      <c r="BC43" s="27">
        <v>40</v>
      </c>
      <c r="BD43" s="131">
        <v>2</v>
      </c>
      <c r="BE43" s="131">
        <v>2</v>
      </c>
      <c r="BF43" s="65"/>
      <c r="BG43" s="8">
        <f>IF(BD43="","",VLOOKUP('Reel 4 Symbol'!BD43,'Reel 4 Symbol'!$A$3:$E$25,5,0))</f>
        <v>9</v>
      </c>
      <c r="BH43" s="8">
        <f>IF(BE43="","",VLOOKUP('Reel 4 Symbol'!BE43,'Reel 4 Symbol'!$A$3:$E$25,5,0))</f>
        <v>9</v>
      </c>
      <c r="BJ43" s="8">
        <f t="shared" si="15"/>
        <v>2</v>
      </c>
      <c r="BK43" s="8">
        <f t="shared" si="16"/>
        <v>2</v>
      </c>
    </row>
    <row r="44" spans="5:63" ht="16.8" customHeight="1">
      <c r="X44" s="133"/>
      <c r="Y44" s="27">
        <v>41</v>
      </c>
      <c r="Z44" s="131">
        <v>20</v>
      </c>
      <c r="AA44" s="131">
        <v>20</v>
      </c>
      <c r="AB44" s="65"/>
      <c r="AC44" s="8">
        <f>IF(Z44="","",VLOOKUP('Reel 4 Symbol'!Z44,'Reel 4 Symbol'!$A$3:$E$25,5,0))</f>
        <v>14</v>
      </c>
      <c r="AD44" s="8">
        <f>IF(AA44="","",VLOOKUP('Reel 4 Symbol'!AA44,'Reel 4 Symbol'!$A$3:$E$25,5,0))</f>
        <v>14</v>
      </c>
      <c r="AF44" s="8">
        <f t="shared" si="9"/>
        <v>20</v>
      </c>
      <c r="AG44" s="8">
        <f t="shared" si="10"/>
        <v>20</v>
      </c>
      <c r="AH44" s="133"/>
      <c r="AI44" s="27">
        <v>41</v>
      </c>
      <c r="AJ44" s="131">
        <v>20</v>
      </c>
      <c r="AK44" s="131">
        <v>20</v>
      </c>
      <c r="AL44" s="65"/>
      <c r="AM44" s="8">
        <f>IF(AJ44="","",VLOOKUP('Reel 4 Symbol'!AJ44,'Reel 4 Symbol'!$A$3:$E$25,5,0))</f>
        <v>14</v>
      </c>
      <c r="AN44" s="8">
        <f>IF(AK44="","",VLOOKUP('Reel 4 Symbol'!AK44,'Reel 4 Symbol'!$A$3:$E$25,5,0))</f>
        <v>14</v>
      </c>
      <c r="AP44" s="8">
        <f t="shared" si="11"/>
        <v>20</v>
      </c>
      <c r="AQ44" s="8">
        <f t="shared" si="12"/>
        <v>20</v>
      </c>
      <c r="AR44" s="133"/>
      <c r="AS44" s="27">
        <v>41</v>
      </c>
      <c r="AT44" s="131">
        <v>20</v>
      </c>
      <c r="AU44" s="131">
        <v>20</v>
      </c>
      <c r="AV44" s="65"/>
      <c r="AW44" s="8">
        <f>IF(AT44="","",VLOOKUP('Reel 4 Symbol'!AT44,'Reel 4 Symbol'!$A$3:$E$25,5,0))</f>
        <v>14</v>
      </c>
      <c r="AX44" s="8">
        <f>IF(AU44="","",VLOOKUP('Reel 4 Symbol'!AU44,'Reel 4 Symbol'!$A$3:$E$25,5,0))</f>
        <v>14</v>
      </c>
      <c r="AZ44" s="8">
        <f t="shared" si="13"/>
        <v>20</v>
      </c>
      <c r="BA44" s="8">
        <f t="shared" si="14"/>
        <v>20</v>
      </c>
      <c r="BC44" s="27">
        <v>41</v>
      </c>
      <c r="BD44" s="131">
        <v>20</v>
      </c>
      <c r="BE44" s="131">
        <v>20</v>
      </c>
      <c r="BF44" s="65"/>
      <c r="BG44" s="8">
        <f>IF(BD44="","",VLOOKUP('Reel 4 Symbol'!BD44,'Reel 4 Symbol'!$A$3:$E$25,5,0))</f>
        <v>14</v>
      </c>
      <c r="BH44" s="8">
        <f>IF(BE44="","",VLOOKUP('Reel 4 Symbol'!BE44,'Reel 4 Symbol'!$A$3:$E$25,5,0))</f>
        <v>14</v>
      </c>
      <c r="BJ44" s="8">
        <f t="shared" si="15"/>
        <v>20</v>
      </c>
      <c r="BK44" s="8">
        <f t="shared" si="16"/>
        <v>20</v>
      </c>
    </row>
    <row r="45" spans="5:63" ht="16.8" customHeight="1">
      <c r="X45" s="133"/>
      <c r="Y45" s="27">
        <v>42</v>
      </c>
      <c r="Z45" s="131">
        <v>15</v>
      </c>
      <c r="AA45" s="131" t="s">
        <v>101</v>
      </c>
      <c r="AB45" s="65"/>
      <c r="AC45" s="8">
        <f>IF(Z45="","",VLOOKUP('Reel 4 Symbol'!Z45,'Reel 4 Symbol'!$A$3:$E$25,5,0))</f>
        <v>13</v>
      </c>
      <c r="AD45" s="8">
        <f>IF(AA45="","",VLOOKUP('Reel 4 Symbol'!AA45,'Reel 4 Symbol'!$A$3:$E$25,5,0))</f>
        <v>25</v>
      </c>
      <c r="AF45" s="8">
        <f t="shared" si="9"/>
        <v>15</v>
      </c>
      <c r="AG45" s="8" t="str">
        <f t="shared" si="10"/>
        <v>G15</v>
      </c>
      <c r="AH45" s="133"/>
      <c r="AI45" s="27">
        <v>42</v>
      </c>
      <c r="AJ45" s="131">
        <v>15</v>
      </c>
      <c r="AK45" s="131" t="s">
        <v>101</v>
      </c>
      <c r="AL45" s="65"/>
      <c r="AM45" s="8">
        <f>IF(AJ45="","",VLOOKUP('Reel 4 Symbol'!AJ45,'Reel 4 Symbol'!$A$3:$E$25,5,0))</f>
        <v>13</v>
      </c>
      <c r="AN45" s="8">
        <f>IF(AK45="","",VLOOKUP('Reel 4 Symbol'!AK45,'Reel 4 Symbol'!$A$3:$E$25,5,0))</f>
        <v>25</v>
      </c>
      <c r="AP45" s="8">
        <f t="shared" si="11"/>
        <v>15</v>
      </c>
      <c r="AQ45" s="8" t="str">
        <f t="shared" si="12"/>
        <v>G15</v>
      </c>
      <c r="AR45" s="133"/>
      <c r="AS45" s="27">
        <v>42</v>
      </c>
      <c r="AT45" s="131">
        <v>15</v>
      </c>
      <c r="AU45" s="131" t="s">
        <v>101</v>
      </c>
      <c r="AV45" s="65"/>
      <c r="AW45" s="8">
        <f>IF(AT45="","",VLOOKUP('Reel 4 Symbol'!AT45,'Reel 4 Symbol'!$A$3:$E$25,5,0))</f>
        <v>13</v>
      </c>
      <c r="AX45" s="8">
        <f>IF(AU45="","",VLOOKUP('Reel 4 Symbol'!AU45,'Reel 4 Symbol'!$A$3:$E$25,5,0))</f>
        <v>25</v>
      </c>
      <c r="AZ45" s="8">
        <f t="shared" si="13"/>
        <v>15</v>
      </c>
      <c r="BA45" s="8" t="str">
        <f t="shared" si="14"/>
        <v>G15</v>
      </c>
      <c r="BC45" s="27">
        <v>42</v>
      </c>
      <c r="BD45" s="131">
        <v>15</v>
      </c>
      <c r="BE45" s="131" t="s">
        <v>101</v>
      </c>
      <c r="BF45" s="65"/>
      <c r="BG45" s="8">
        <f>IF(BD45="","",VLOOKUP('Reel 4 Symbol'!BD45,'Reel 4 Symbol'!$A$3:$E$25,5,0))</f>
        <v>13</v>
      </c>
      <c r="BH45" s="8">
        <f>IF(BE45="","",VLOOKUP('Reel 4 Symbol'!BE45,'Reel 4 Symbol'!$A$3:$E$25,5,0))</f>
        <v>25</v>
      </c>
      <c r="BJ45" s="8">
        <f t="shared" si="15"/>
        <v>15</v>
      </c>
      <c r="BK45" s="8" t="str">
        <f t="shared" si="16"/>
        <v>G15</v>
      </c>
    </row>
    <row r="46" spans="5:63" ht="16.8" customHeight="1">
      <c r="X46" s="133"/>
      <c r="Y46" s="27">
        <v>43</v>
      </c>
      <c r="Z46" s="131">
        <v>5</v>
      </c>
      <c r="AA46" s="131">
        <v>5</v>
      </c>
      <c r="AB46" s="65"/>
      <c r="AC46" s="8">
        <f>IF(Z46="","",VLOOKUP('Reel 4 Symbol'!Z46,'Reel 4 Symbol'!$A$3:$E$25,5,0))</f>
        <v>11</v>
      </c>
      <c r="AD46" s="8">
        <f>IF(AA46="","",VLOOKUP('Reel 4 Symbol'!AA46,'Reel 4 Symbol'!$A$3:$E$25,5,0))</f>
        <v>11</v>
      </c>
      <c r="AF46" s="8">
        <f t="shared" si="9"/>
        <v>5</v>
      </c>
      <c r="AG46" s="8">
        <f t="shared" si="10"/>
        <v>5</v>
      </c>
      <c r="AH46" s="133"/>
      <c r="AI46" s="27">
        <v>43</v>
      </c>
      <c r="AJ46" s="131">
        <v>5</v>
      </c>
      <c r="AK46" s="131">
        <v>5</v>
      </c>
      <c r="AL46" s="65"/>
      <c r="AM46" s="8">
        <f>IF(AJ46="","",VLOOKUP('Reel 4 Symbol'!AJ46,'Reel 4 Symbol'!$A$3:$E$25,5,0))</f>
        <v>11</v>
      </c>
      <c r="AN46" s="8">
        <f>IF(AK46="","",VLOOKUP('Reel 4 Symbol'!AK46,'Reel 4 Symbol'!$A$3:$E$25,5,0))</f>
        <v>11</v>
      </c>
      <c r="AP46" s="8">
        <f t="shared" si="11"/>
        <v>5</v>
      </c>
      <c r="AQ46" s="8">
        <f t="shared" si="12"/>
        <v>5</v>
      </c>
      <c r="AR46" s="133"/>
      <c r="AS46" s="27">
        <v>43</v>
      </c>
      <c r="AT46" s="131">
        <v>10</v>
      </c>
      <c r="AU46" s="131">
        <v>10</v>
      </c>
      <c r="AV46" s="65"/>
      <c r="AW46" s="8">
        <f>IF(AT46="","",VLOOKUP('Reel 4 Symbol'!AT46,'Reel 4 Symbol'!$A$3:$E$25,5,0))</f>
        <v>12</v>
      </c>
      <c r="AX46" s="8">
        <f>IF(AU46="","",VLOOKUP('Reel 4 Symbol'!AU46,'Reel 4 Symbol'!$A$3:$E$25,5,0))</f>
        <v>12</v>
      </c>
      <c r="AZ46" s="8">
        <f t="shared" si="13"/>
        <v>10</v>
      </c>
      <c r="BA46" s="8">
        <f t="shared" si="14"/>
        <v>10</v>
      </c>
      <c r="BC46" s="27">
        <v>43</v>
      </c>
      <c r="BD46" s="131">
        <v>5</v>
      </c>
      <c r="BE46" s="131">
        <v>5</v>
      </c>
      <c r="BF46" s="65"/>
      <c r="BG46" s="8">
        <f>IF(BD46="","",VLOOKUP('Reel 4 Symbol'!BD46,'Reel 4 Symbol'!$A$3:$E$25,5,0))</f>
        <v>11</v>
      </c>
      <c r="BH46" s="8">
        <f>IF(BE46="","",VLOOKUP('Reel 4 Symbol'!BE46,'Reel 4 Symbol'!$A$3:$E$25,5,0))</f>
        <v>11</v>
      </c>
      <c r="BJ46" s="8">
        <f t="shared" si="15"/>
        <v>5</v>
      </c>
      <c r="BK46" s="8">
        <f t="shared" si="16"/>
        <v>5</v>
      </c>
    </row>
    <row r="47" spans="5:63" ht="16.8" customHeight="1">
      <c r="X47" s="133"/>
      <c r="Y47" s="27">
        <v>44</v>
      </c>
      <c r="Z47" s="131">
        <v>1</v>
      </c>
      <c r="AA47" s="131" t="s">
        <v>96</v>
      </c>
      <c r="AB47" s="65"/>
      <c r="AC47" s="8">
        <f>IF(Z47="","",VLOOKUP('Reel 4 Symbol'!Z47,'Reel 4 Symbol'!$A$3:$E$25,5,0))</f>
        <v>8</v>
      </c>
      <c r="AD47" s="8">
        <f>IF(AA47="","",VLOOKUP('Reel 4 Symbol'!AA47,'Reel 4 Symbol'!$A$3:$E$25,5,0))</f>
        <v>20</v>
      </c>
      <c r="AF47" s="8">
        <f t="shared" si="9"/>
        <v>1</v>
      </c>
      <c r="AG47" s="8" t="str">
        <f t="shared" si="10"/>
        <v>G1</v>
      </c>
      <c r="AH47" s="133"/>
      <c r="AI47" s="27">
        <v>44</v>
      </c>
      <c r="AJ47" s="131">
        <v>2</v>
      </c>
      <c r="AK47" s="131" t="s">
        <v>124</v>
      </c>
      <c r="AL47" s="65"/>
      <c r="AM47" s="8">
        <f>IF(AJ47="","",VLOOKUP('Reel 4 Symbol'!AJ47,'Reel 4 Symbol'!$A$3:$E$25,5,0))</f>
        <v>9</v>
      </c>
      <c r="AN47" s="8">
        <f>IF(AK47="","",VLOOKUP('Reel 4 Symbol'!AK47,'Reel 4 Symbol'!$A$3:$E$25,5,0))</f>
        <v>21</v>
      </c>
      <c r="AP47" s="8">
        <f t="shared" si="11"/>
        <v>2</v>
      </c>
      <c r="AQ47" s="8" t="str">
        <f t="shared" si="12"/>
        <v>G2</v>
      </c>
      <c r="AR47" s="133"/>
      <c r="AS47" s="27">
        <v>44</v>
      </c>
      <c r="AT47" s="131">
        <v>10</v>
      </c>
      <c r="AU47" s="131" t="s">
        <v>251</v>
      </c>
      <c r="AV47" s="65"/>
      <c r="AW47" s="8">
        <f>IF(AT47="","",VLOOKUP('Reel 4 Symbol'!AT47,'Reel 4 Symbol'!$A$3:$E$25,5,0))</f>
        <v>12</v>
      </c>
      <c r="AX47" s="8">
        <f>IF(AU47="","",VLOOKUP('Reel 4 Symbol'!AU47,'Reel 4 Symbol'!$A$3:$E$25,5,0))</f>
        <v>24</v>
      </c>
      <c r="AZ47" s="8">
        <f t="shared" si="13"/>
        <v>10</v>
      </c>
      <c r="BA47" s="8" t="str">
        <f t="shared" si="14"/>
        <v>G10</v>
      </c>
      <c r="BC47" s="27">
        <v>44</v>
      </c>
      <c r="BD47" s="131">
        <v>2</v>
      </c>
      <c r="BE47" s="131" t="s">
        <v>97</v>
      </c>
      <c r="BF47" s="65"/>
      <c r="BG47" s="8">
        <f>IF(BD47="","",VLOOKUP('Reel 4 Symbol'!BD47,'Reel 4 Symbol'!$A$3:$E$25,5,0))</f>
        <v>9</v>
      </c>
      <c r="BH47" s="8">
        <f>IF(BE47="","",VLOOKUP('Reel 4 Symbol'!BE47,'Reel 4 Symbol'!$A$3:$E$25,5,0))</f>
        <v>21</v>
      </c>
      <c r="BJ47" s="8">
        <f t="shared" si="15"/>
        <v>2</v>
      </c>
      <c r="BK47" s="8" t="str">
        <f t="shared" si="16"/>
        <v>G2</v>
      </c>
    </row>
    <row r="48" spans="5:63" ht="16.8" customHeight="1">
      <c r="X48" s="133"/>
      <c r="Y48" s="27">
        <v>45</v>
      </c>
      <c r="Z48" s="131" t="s">
        <v>132</v>
      </c>
      <c r="AA48" s="131">
        <v>10</v>
      </c>
      <c r="AB48" s="65"/>
      <c r="AC48" s="8">
        <f>IF(Z48="","",VLOOKUP('Reel 4 Symbol'!Z48,'Reel 4 Symbol'!$A$3:$E$25,5,0))</f>
        <v>19</v>
      </c>
      <c r="AD48" s="8">
        <f>IF(AA48="","",VLOOKUP('Reel 4 Symbol'!AA48,'Reel 4 Symbol'!$A$3:$E$25,5,0))</f>
        <v>12</v>
      </c>
      <c r="AF48" s="8" t="str">
        <f t="shared" si="9"/>
        <v>Re-spin</v>
      </c>
      <c r="AG48" s="8">
        <f t="shared" si="10"/>
        <v>10</v>
      </c>
      <c r="AH48" s="133"/>
      <c r="AI48" s="27">
        <v>45</v>
      </c>
      <c r="AJ48" s="131" t="s">
        <v>132</v>
      </c>
      <c r="AK48" s="131">
        <v>10</v>
      </c>
      <c r="AL48" s="65"/>
      <c r="AM48" s="8">
        <f>IF(AJ48="","",VLOOKUP('Reel 4 Symbol'!AJ48,'Reel 4 Symbol'!$A$3:$E$25,5,0))</f>
        <v>19</v>
      </c>
      <c r="AN48" s="8">
        <f>IF(AK48="","",VLOOKUP('Reel 4 Symbol'!AK48,'Reel 4 Symbol'!$A$3:$E$25,5,0))</f>
        <v>12</v>
      </c>
      <c r="AP48" s="8" t="str">
        <f t="shared" si="11"/>
        <v>Re-spin</v>
      </c>
      <c r="AQ48" s="8">
        <f t="shared" si="12"/>
        <v>10</v>
      </c>
      <c r="AR48" s="133"/>
      <c r="AS48" s="27">
        <v>45</v>
      </c>
      <c r="AT48" s="131" t="s">
        <v>132</v>
      </c>
      <c r="AU48" s="131">
        <v>10</v>
      </c>
      <c r="AV48" s="65"/>
      <c r="AW48" s="8">
        <f>IF(AT48="","",VLOOKUP('Reel 4 Symbol'!AT48,'Reel 4 Symbol'!$A$3:$E$25,5,0))</f>
        <v>19</v>
      </c>
      <c r="AX48" s="8">
        <f>IF(AU48="","",VLOOKUP('Reel 4 Symbol'!AU48,'Reel 4 Symbol'!$A$3:$E$25,5,0))</f>
        <v>12</v>
      </c>
      <c r="AZ48" s="8" t="str">
        <f t="shared" si="13"/>
        <v>Re-spin</v>
      </c>
      <c r="BA48" s="8">
        <f t="shared" si="14"/>
        <v>10</v>
      </c>
      <c r="BC48" s="27">
        <v>45</v>
      </c>
      <c r="BD48" s="131" t="s">
        <v>132</v>
      </c>
      <c r="BE48" s="131">
        <v>10</v>
      </c>
      <c r="BF48" s="65"/>
      <c r="BG48" s="8">
        <f>IF(BD48="","",VLOOKUP('Reel 4 Symbol'!BD48,'Reel 4 Symbol'!$A$3:$E$25,5,0))</f>
        <v>19</v>
      </c>
      <c r="BH48" s="8">
        <f>IF(BE48="","",VLOOKUP('Reel 4 Symbol'!BE48,'Reel 4 Symbol'!$A$3:$E$25,5,0))</f>
        <v>12</v>
      </c>
      <c r="BJ48" s="8" t="str">
        <f t="shared" si="15"/>
        <v>Re-spin</v>
      </c>
      <c r="BK48" s="8">
        <f t="shared" si="16"/>
        <v>10</v>
      </c>
    </row>
    <row r="49" spans="24:63" ht="16.8" customHeight="1">
      <c r="X49" s="133"/>
      <c r="Y49" s="27">
        <v>46</v>
      </c>
      <c r="Z49" s="131">
        <v>2</v>
      </c>
      <c r="AA49" s="131" t="s">
        <v>97</v>
      </c>
      <c r="AB49" s="65"/>
      <c r="AC49" s="8">
        <f>IF(Z49="","",VLOOKUP('Reel 4 Symbol'!Z49,'Reel 4 Symbol'!$A$3:$E$25,5,0))</f>
        <v>9</v>
      </c>
      <c r="AD49" s="8">
        <f>IF(AA49="","",VLOOKUP('Reel 4 Symbol'!AA49,'Reel 4 Symbol'!$A$3:$E$25,5,0))</f>
        <v>21</v>
      </c>
      <c r="AF49" s="8">
        <f t="shared" si="9"/>
        <v>2</v>
      </c>
      <c r="AG49" s="8" t="str">
        <f t="shared" si="10"/>
        <v>G2</v>
      </c>
      <c r="AH49" s="133"/>
      <c r="AI49" s="27">
        <v>46</v>
      </c>
      <c r="AJ49" s="131">
        <v>2</v>
      </c>
      <c r="AK49" s="131" t="s">
        <v>97</v>
      </c>
      <c r="AL49" s="65"/>
      <c r="AM49" s="8">
        <f>IF(AJ49="","",VLOOKUP('Reel 4 Symbol'!AJ49,'Reel 4 Symbol'!$A$3:$E$25,5,0))</f>
        <v>9</v>
      </c>
      <c r="AN49" s="8">
        <f>IF(AK49="","",VLOOKUP('Reel 4 Symbol'!AK49,'Reel 4 Symbol'!$A$3:$E$25,5,0))</f>
        <v>21</v>
      </c>
      <c r="AP49" s="8">
        <f t="shared" si="11"/>
        <v>2</v>
      </c>
      <c r="AQ49" s="8" t="str">
        <f t="shared" si="12"/>
        <v>G2</v>
      </c>
      <c r="AR49" s="133"/>
      <c r="AS49" s="27">
        <v>46</v>
      </c>
      <c r="AT49" s="131">
        <v>15</v>
      </c>
      <c r="AU49" s="131" t="s">
        <v>126</v>
      </c>
      <c r="AV49" s="65"/>
      <c r="AW49" s="8">
        <f>IF(AT49="","",VLOOKUP('Reel 4 Symbol'!AT49,'Reel 4 Symbol'!$A$3:$E$25,5,0))</f>
        <v>13</v>
      </c>
      <c r="AX49" s="8">
        <f>IF(AU49="","",VLOOKUP('Reel 4 Symbol'!AU49,'Reel 4 Symbol'!$A$3:$E$25,5,0))</f>
        <v>25</v>
      </c>
      <c r="AZ49" s="8">
        <f t="shared" si="13"/>
        <v>15</v>
      </c>
      <c r="BA49" s="8" t="str">
        <f t="shared" si="14"/>
        <v>G15</v>
      </c>
      <c r="BC49" s="27">
        <v>46</v>
      </c>
      <c r="BD49" s="131">
        <v>2</v>
      </c>
      <c r="BE49" s="131" t="s">
        <v>97</v>
      </c>
      <c r="BF49" s="65"/>
      <c r="BG49" s="8">
        <f>IF(BD49="","",VLOOKUP('Reel 4 Symbol'!BD49,'Reel 4 Symbol'!$A$3:$E$25,5,0))</f>
        <v>9</v>
      </c>
      <c r="BH49" s="8">
        <f>IF(BE49="","",VLOOKUP('Reel 4 Symbol'!BE49,'Reel 4 Symbol'!$A$3:$E$25,5,0))</f>
        <v>21</v>
      </c>
      <c r="BJ49" s="8">
        <f t="shared" si="15"/>
        <v>2</v>
      </c>
      <c r="BK49" s="8" t="str">
        <f t="shared" si="16"/>
        <v>G2</v>
      </c>
    </row>
    <row r="50" spans="24:63" ht="16.8" customHeight="1">
      <c r="X50" s="133"/>
      <c r="Y50" s="27">
        <v>47</v>
      </c>
      <c r="Z50" s="131">
        <v>3</v>
      </c>
      <c r="AA50" s="131">
        <v>3</v>
      </c>
      <c r="AB50" s="65"/>
      <c r="AC50" s="8">
        <f>IF(Z50="","",VLOOKUP('Reel 4 Symbol'!Z50,'Reel 4 Symbol'!$A$3:$E$25,5,0))</f>
        <v>10</v>
      </c>
      <c r="AD50" s="8">
        <f>IF(AA50="","",VLOOKUP('Reel 4 Symbol'!AA50,'Reel 4 Symbol'!$A$3:$E$25,5,0))</f>
        <v>10</v>
      </c>
      <c r="AF50" s="8">
        <f t="shared" si="9"/>
        <v>3</v>
      </c>
      <c r="AG50" s="8">
        <f t="shared" si="10"/>
        <v>3</v>
      </c>
      <c r="AH50" s="133"/>
      <c r="AI50" s="27">
        <v>47</v>
      </c>
      <c r="AJ50" s="131">
        <v>3</v>
      </c>
      <c r="AK50" s="131">
        <v>3</v>
      </c>
      <c r="AL50" s="65"/>
      <c r="AM50" s="8">
        <f>IF(AJ50="","",VLOOKUP('Reel 4 Symbol'!AJ50,'Reel 4 Symbol'!$A$3:$E$25,5,0))</f>
        <v>10</v>
      </c>
      <c r="AN50" s="8">
        <f>IF(AK50="","",VLOOKUP('Reel 4 Symbol'!AK50,'Reel 4 Symbol'!$A$3:$E$25,5,0))</f>
        <v>10</v>
      </c>
      <c r="AP50" s="8">
        <f t="shared" si="11"/>
        <v>3</v>
      </c>
      <c r="AQ50" s="8">
        <f t="shared" si="12"/>
        <v>3</v>
      </c>
      <c r="AR50" s="133"/>
      <c r="AS50" s="27">
        <v>47</v>
      </c>
      <c r="AT50" s="131">
        <v>20</v>
      </c>
      <c r="AU50" s="131">
        <v>20</v>
      </c>
      <c r="AV50" s="65"/>
      <c r="AW50" s="8">
        <f>IF(AT50="","",VLOOKUP('Reel 4 Symbol'!AT50,'Reel 4 Symbol'!$A$3:$E$25,5,0))</f>
        <v>14</v>
      </c>
      <c r="AX50" s="8">
        <f>IF(AU50="","",VLOOKUP('Reel 4 Symbol'!AU50,'Reel 4 Symbol'!$A$3:$E$25,5,0))</f>
        <v>14</v>
      </c>
      <c r="AZ50" s="8">
        <f t="shared" si="13"/>
        <v>20</v>
      </c>
      <c r="BA50" s="8">
        <f t="shared" si="14"/>
        <v>20</v>
      </c>
      <c r="BC50" s="27">
        <v>47</v>
      </c>
      <c r="BD50" s="131">
        <v>3</v>
      </c>
      <c r="BE50" s="131">
        <v>3</v>
      </c>
      <c r="BF50" s="65"/>
      <c r="BG50" s="8">
        <f>IF(BD50="","",VLOOKUP('Reel 4 Symbol'!BD50,'Reel 4 Symbol'!$A$3:$E$25,5,0))</f>
        <v>10</v>
      </c>
      <c r="BH50" s="8">
        <f>IF(BE50="","",VLOOKUP('Reel 4 Symbol'!BE50,'Reel 4 Symbol'!$A$3:$E$25,5,0))</f>
        <v>10</v>
      </c>
      <c r="BJ50" s="8">
        <f t="shared" si="15"/>
        <v>3</v>
      </c>
      <c r="BK50" s="8">
        <f t="shared" si="16"/>
        <v>3</v>
      </c>
    </row>
    <row r="51" spans="24:63" ht="16.8" customHeight="1">
      <c r="X51" s="133"/>
      <c r="Y51" s="27">
        <v>48</v>
      </c>
      <c r="Z51" s="131">
        <v>5</v>
      </c>
      <c r="AA51" s="131" t="s">
        <v>99</v>
      </c>
      <c r="AB51" s="65"/>
      <c r="AC51" s="8">
        <f>IF(Z51="","",VLOOKUP('Reel 4 Symbol'!Z51,'Reel 4 Symbol'!$A$3:$E$25,5,0))</f>
        <v>11</v>
      </c>
      <c r="AD51" s="8">
        <f>IF(AA51="","",VLOOKUP('Reel 4 Symbol'!AA51,'Reel 4 Symbol'!$A$3:$E$25,5,0))</f>
        <v>23</v>
      </c>
      <c r="AF51" s="8">
        <f t="shared" si="9"/>
        <v>5</v>
      </c>
      <c r="AG51" s="8" t="str">
        <f t="shared" si="10"/>
        <v>G5</v>
      </c>
      <c r="AH51" s="133"/>
      <c r="AI51" s="27">
        <v>48</v>
      </c>
      <c r="AJ51" s="131">
        <v>5</v>
      </c>
      <c r="AK51" s="131" t="s">
        <v>99</v>
      </c>
      <c r="AL51" s="65"/>
      <c r="AM51" s="8">
        <f>IF(AJ51="","",VLOOKUP('Reel 4 Symbol'!AJ51,'Reel 4 Symbol'!$A$3:$E$25,5,0))</f>
        <v>11</v>
      </c>
      <c r="AN51" s="8">
        <f>IF(AK51="","",VLOOKUP('Reel 4 Symbol'!AK51,'Reel 4 Symbol'!$A$3:$E$25,5,0))</f>
        <v>23</v>
      </c>
      <c r="AP51" s="8">
        <f t="shared" si="11"/>
        <v>5</v>
      </c>
      <c r="AQ51" s="8" t="str">
        <f t="shared" si="12"/>
        <v>G5</v>
      </c>
      <c r="AR51" s="133"/>
      <c r="AS51" s="27">
        <v>48</v>
      </c>
      <c r="AT51" s="131">
        <v>25</v>
      </c>
      <c r="AU51" s="131">
        <v>25</v>
      </c>
      <c r="AV51" s="65"/>
      <c r="AW51" s="8">
        <f>IF(AT51="","",VLOOKUP('Reel 4 Symbol'!AT51,'Reel 4 Symbol'!$A$3:$E$25,5,0))</f>
        <v>15</v>
      </c>
      <c r="AX51" s="8">
        <f>IF(AU51="","",VLOOKUP('Reel 4 Symbol'!AU51,'Reel 4 Symbol'!$A$3:$E$25,5,0))</f>
        <v>15</v>
      </c>
      <c r="AZ51" s="8">
        <f t="shared" si="13"/>
        <v>25</v>
      </c>
      <c r="BA51" s="8">
        <f t="shared" si="14"/>
        <v>25</v>
      </c>
      <c r="BC51" s="27">
        <v>48</v>
      </c>
      <c r="BD51" s="131">
        <v>5</v>
      </c>
      <c r="BE51" s="131" t="s">
        <v>99</v>
      </c>
      <c r="BF51" s="65"/>
      <c r="BG51" s="8">
        <f>IF(BD51="","",VLOOKUP('Reel 4 Symbol'!BD51,'Reel 4 Symbol'!$A$3:$E$25,5,0))</f>
        <v>11</v>
      </c>
      <c r="BH51" s="8">
        <f>IF(BE51="","",VLOOKUP('Reel 4 Symbol'!BE51,'Reel 4 Symbol'!$A$3:$E$25,5,0))</f>
        <v>23</v>
      </c>
      <c r="BJ51" s="8">
        <f t="shared" si="15"/>
        <v>5</v>
      </c>
      <c r="BK51" s="8" t="str">
        <f t="shared" si="16"/>
        <v>G5</v>
      </c>
    </row>
    <row r="52" spans="24:63" ht="16.8" customHeight="1">
      <c r="X52" s="133"/>
      <c r="Y52" s="27">
        <v>49</v>
      </c>
      <c r="Z52" s="131">
        <v>10</v>
      </c>
      <c r="AA52" s="131">
        <v>10</v>
      </c>
      <c r="AB52" s="65"/>
      <c r="AC52" s="8">
        <f>IF(Z52="","",VLOOKUP('Reel 4 Symbol'!Z52,'Reel 4 Symbol'!$A$3:$E$25,5,0))</f>
        <v>12</v>
      </c>
      <c r="AD52" s="8">
        <f>IF(AA52="","",VLOOKUP('Reel 4 Symbol'!AA52,'Reel 4 Symbol'!$A$3:$E$25,5,0))</f>
        <v>12</v>
      </c>
      <c r="AF52" s="8">
        <f t="shared" si="9"/>
        <v>10</v>
      </c>
      <c r="AG52" s="8">
        <f t="shared" si="10"/>
        <v>10</v>
      </c>
      <c r="AH52" s="133"/>
      <c r="AI52" s="27">
        <v>49</v>
      </c>
      <c r="AJ52" s="131">
        <v>10</v>
      </c>
      <c r="AK52" s="131">
        <v>10</v>
      </c>
      <c r="AL52" s="65"/>
      <c r="AM52" s="8">
        <f>IF(AJ52="","",VLOOKUP('Reel 4 Symbol'!AJ52,'Reel 4 Symbol'!$A$3:$E$25,5,0))</f>
        <v>12</v>
      </c>
      <c r="AN52" s="8">
        <f>IF(AK52="","",VLOOKUP('Reel 4 Symbol'!AK52,'Reel 4 Symbol'!$A$3:$E$25,5,0))</f>
        <v>12</v>
      </c>
      <c r="AP52" s="8">
        <f t="shared" si="11"/>
        <v>10</v>
      </c>
      <c r="AQ52" s="8">
        <f t="shared" si="12"/>
        <v>10</v>
      </c>
      <c r="AR52" s="133"/>
      <c r="AS52" s="27">
        <v>49</v>
      </c>
      <c r="AT52" s="131">
        <v>10</v>
      </c>
      <c r="AU52" s="131">
        <v>10</v>
      </c>
      <c r="AV52" s="65"/>
      <c r="AW52" s="8">
        <f>IF(AT52="","",VLOOKUP('Reel 4 Symbol'!AT52,'Reel 4 Symbol'!$A$3:$E$25,5,0))</f>
        <v>12</v>
      </c>
      <c r="AX52" s="8">
        <f>IF(AU52="","",VLOOKUP('Reel 4 Symbol'!AU52,'Reel 4 Symbol'!$A$3:$E$25,5,0))</f>
        <v>12</v>
      </c>
      <c r="AZ52" s="8">
        <f t="shared" si="13"/>
        <v>10</v>
      </c>
      <c r="BA52" s="8">
        <f t="shared" si="14"/>
        <v>10</v>
      </c>
      <c r="BC52" s="27">
        <v>49</v>
      </c>
      <c r="BD52" s="131">
        <v>10</v>
      </c>
      <c r="BE52" s="131">
        <v>10</v>
      </c>
      <c r="BF52" s="65"/>
      <c r="BG52" s="8">
        <f>IF(BD52="","",VLOOKUP('Reel 4 Symbol'!BD52,'Reel 4 Symbol'!$A$3:$E$25,5,0))</f>
        <v>12</v>
      </c>
      <c r="BH52" s="8">
        <f>IF(BE52="","",VLOOKUP('Reel 4 Symbol'!BE52,'Reel 4 Symbol'!$A$3:$E$25,5,0))</f>
        <v>12</v>
      </c>
      <c r="BJ52" s="8">
        <f t="shared" si="15"/>
        <v>10</v>
      </c>
      <c r="BK52" s="8">
        <f t="shared" si="16"/>
        <v>10</v>
      </c>
    </row>
    <row r="53" spans="24:63" ht="16.8" customHeight="1">
      <c r="X53" s="133"/>
      <c r="Y53" s="27">
        <v>50</v>
      </c>
      <c r="Z53" s="131">
        <v>15</v>
      </c>
      <c r="AA53" s="131" t="s">
        <v>101</v>
      </c>
      <c r="AB53" s="65"/>
      <c r="AC53" s="8">
        <f>IF(Z53="","",VLOOKUP('Reel 4 Symbol'!Z53,'Reel 4 Symbol'!$A$3:$E$25,5,0))</f>
        <v>13</v>
      </c>
      <c r="AD53" s="8">
        <f>IF(AA53="","",VLOOKUP('Reel 4 Symbol'!AA53,'Reel 4 Symbol'!$A$3:$E$25,5,0))</f>
        <v>25</v>
      </c>
      <c r="AF53" s="8">
        <f t="shared" si="9"/>
        <v>15</v>
      </c>
      <c r="AG53" s="8" t="str">
        <f t="shared" si="10"/>
        <v>G15</v>
      </c>
      <c r="AH53" s="133"/>
      <c r="AI53" s="27">
        <v>50</v>
      </c>
      <c r="AJ53" s="131">
        <v>15</v>
      </c>
      <c r="AK53" s="131" t="s">
        <v>101</v>
      </c>
      <c r="AL53" s="65"/>
      <c r="AM53" s="8">
        <f>IF(AJ53="","",VLOOKUP('Reel 4 Symbol'!AJ53,'Reel 4 Symbol'!$A$3:$E$25,5,0))</f>
        <v>13</v>
      </c>
      <c r="AN53" s="8">
        <f>IF(AK53="","",VLOOKUP('Reel 4 Symbol'!AK53,'Reel 4 Symbol'!$A$3:$E$25,5,0))</f>
        <v>25</v>
      </c>
      <c r="AP53" s="8">
        <f t="shared" si="11"/>
        <v>15</v>
      </c>
      <c r="AQ53" s="8" t="str">
        <f t="shared" si="12"/>
        <v>G15</v>
      </c>
      <c r="AR53" s="133"/>
      <c r="AS53" s="27">
        <v>50</v>
      </c>
      <c r="AT53" s="131">
        <v>15</v>
      </c>
      <c r="AU53" s="131" t="s">
        <v>101</v>
      </c>
      <c r="AV53" s="65"/>
      <c r="AW53" s="8">
        <f>IF(AT53="","",VLOOKUP('Reel 4 Symbol'!AT53,'Reel 4 Symbol'!$A$3:$E$25,5,0))</f>
        <v>13</v>
      </c>
      <c r="AX53" s="8">
        <f>IF(AU53="","",VLOOKUP('Reel 4 Symbol'!AU53,'Reel 4 Symbol'!$A$3:$E$25,5,0))</f>
        <v>25</v>
      </c>
      <c r="AZ53" s="8">
        <f t="shared" si="13"/>
        <v>15</v>
      </c>
      <c r="BA53" s="8" t="str">
        <f t="shared" si="14"/>
        <v>G15</v>
      </c>
      <c r="BC53" s="27">
        <v>50</v>
      </c>
      <c r="BD53" s="131">
        <v>15</v>
      </c>
      <c r="BE53" s="131" t="s">
        <v>101</v>
      </c>
      <c r="BF53" s="65"/>
      <c r="BG53" s="8">
        <f>IF(BD53="","",VLOOKUP('Reel 4 Symbol'!BD53,'Reel 4 Symbol'!$A$3:$E$25,5,0))</f>
        <v>13</v>
      </c>
      <c r="BH53" s="8">
        <f>IF(BE53="","",VLOOKUP('Reel 4 Symbol'!BE53,'Reel 4 Symbol'!$A$3:$E$25,5,0))</f>
        <v>25</v>
      </c>
      <c r="BJ53" s="8">
        <f t="shared" si="15"/>
        <v>15</v>
      </c>
      <c r="BK53" s="8" t="str">
        <f t="shared" si="16"/>
        <v>G15</v>
      </c>
    </row>
    <row r="54" spans="24:63" ht="16.8" customHeight="1">
      <c r="X54" s="133"/>
      <c r="Y54" s="27">
        <v>51</v>
      </c>
      <c r="Z54" s="131">
        <v>20</v>
      </c>
      <c r="AA54" s="131">
        <v>20</v>
      </c>
      <c r="AB54" s="65"/>
      <c r="AC54" s="8">
        <f>IF(Z54="","",VLOOKUP('Reel 4 Symbol'!Z54,'Reel 4 Symbol'!$A$3:$E$25,5,0))</f>
        <v>14</v>
      </c>
      <c r="AD54" s="8">
        <f>IF(AA54="","",VLOOKUP('Reel 4 Symbol'!AA54,'Reel 4 Symbol'!$A$3:$E$25,5,0))</f>
        <v>14</v>
      </c>
      <c r="AF54" s="8">
        <f t="shared" si="9"/>
        <v>20</v>
      </c>
      <c r="AG54" s="8">
        <f t="shared" si="10"/>
        <v>20</v>
      </c>
      <c r="AH54" s="133"/>
      <c r="AI54" s="27">
        <v>51</v>
      </c>
      <c r="AJ54" s="131">
        <v>20</v>
      </c>
      <c r="AK54" s="131">
        <v>20</v>
      </c>
      <c r="AL54" s="65"/>
      <c r="AM54" s="8">
        <f>IF(AJ54="","",VLOOKUP('Reel 4 Symbol'!AJ54,'Reel 4 Symbol'!$A$3:$E$25,5,0))</f>
        <v>14</v>
      </c>
      <c r="AN54" s="8">
        <f>IF(AK54="","",VLOOKUP('Reel 4 Symbol'!AK54,'Reel 4 Symbol'!$A$3:$E$25,5,0))</f>
        <v>14</v>
      </c>
      <c r="AP54" s="8">
        <f t="shared" si="11"/>
        <v>20</v>
      </c>
      <c r="AQ54" s="8">
        <f t="shared" si="12"/>
        <v>20</v>
      </c>
      <c r="AR54" s="133"/>
      <c r="AS54" s="27">
        <v>51</v>
      </c>
      <c r="AT54" s="131">
        <v>20</v>
      </c>
      <c r="AU54" s="131">
        <v>20</v>
      </c>
      <c r="AV54" s="65"/>
      <c r="AW54" s="8">
        <f>IF(AT54="","",VLOOKUP('Reel 4 Symbol'!AT54,'Reel 4 Symbol'!$A$3:$E$25,5,0))</f>
        <v>14</v>
      </c>
      <c r="AX54" s="8">
        <f>IF(AU54="","",VLOOKUP('Reel 4 Symbol'!AU54,'Reel 4 Symbol'!$A$3:$E$25,5,0))</f>
        <v>14</v>
      </c>
      <c r="AZ54" s="8">
        <f t="shared" si="13"/>
        <v>20</v>
      </c>
      <c r="BA54" s="8">
        <f t="shared" si="14"/>
        <v>20</v>
      </c>
      <c r="BC54" s="27">
        <v>51</v>
      </c>
      <c r="BD54" s="131">
        <v>20</v>
      </c>
      <c r="BE54" s="131">
        <v>20</v>
      </c>
      <c r="BF54" s="65"/>
      <c r="BG54" s="8">
        <f>IF(BD54="","",VLOOKUP('Reel 4 Symbol'!BD54,'Reel 4 Symbol'!$A$3:$E$25,5,0))</f>
        <v>14</v>
      </c>
      <c r="BH54" s="8">
        <f>IF(BE54="","",VLOOKUP('Reel 4 Symbol'!BE54,'Reel 4 Symbol'!$A$3:$E$25,5,0))</f>
        <v>14</v>
      </c>
      <c r="BJ54" s="8">
        <f t="shared" si="15"/>
        <v>20</v>
      </c>
      <c r="BK54" s="8">
        <f t="shared" si="16"/>
        <v>20</v>
      </c>
    </row>
    <row r="55" spans="24:63" ht="16.8" customHeight="1">
      <c r="X55" s="133"/>
      <c r="Y55" s="27">
        <v>52</v>
      </c>
      <c r="Z55" s="131">
        <v>25</v>
      </c>
      <c r="AA55" s="131" t="s">
        <v>103</v>
      </c>
      <c r="AB55" s="65"/>
      <c r="AC55" s="8">
        <f>IF(Z55="","",VLOOKUP('Reel 4 Symbol'!Z55,'Reel 4 Symbol'!$A$3:$E$25,5,0))</f>
        <v>15</v>
      </c>
      <c r="AD55" s="8">
        <f>IF(AA55="","",VLOOKUP('Reel 4 Symbol'!AA55,'Reel 4 Symbol'!$A$3:$E$25,5,0))</f>
        <v>27</v>
      </c>
      <c r="AF55" s="8">
        <f t="shared" si="9"/>
        <v>25</v>
      </c>
      <c r="AG55" s="8" t="str">
        <f t="shared" si="10"/>
        <v>G25</v>
      </c>
      <c r="AH55" s="133"/>
      <c r="AI55" s="27">
        <v>52</v>
      </c>
      <c r="AJ55" s="131">
        <v>25</v>
      </c>
      <c r="AK55" s="131" t="s">
        <v>103</v>
      </c>
      <c r="AL55" s="65"/>
      <c r="AM55" s="8">
        <f>IF(AJ55="","",VLOOKUP('Reel 4 Symbol'!AJ55,'Reel 4 Symbol'!$A$3:$E$25,5,0))</f>
        <v>15</v>
      </c>
      <c r="AN55" s="8">
        <f>IF(AK55="","",VLOOKUP('Reel 4 Symbol'!AK55,'Reel 4 Symbol'!$A$3:$E$25,5,0))</f>
        <v>27</v>
      </c>
      <c r="AP55" s="8">
        <f t="shared" si="11"/>
        <v>25</v>
      </c>
      <c r="AQ55" s="8" t="str">
        <f t="shared" si="12"/>
        <v>G25</v>
      </c>
      <c r="AR55" s="133"/>
      <c r="AS55" s="27">
        <v>52</v>
      </c>
      <c r="AT55" s="131">
        <v>25</v>
      </c>
      <c r="AU55" s="131" t="s">
        <v>103</v>
      </c>
      <c r="AV55" s="65"/>
      <c r="AW55" s="8">
        <f>IF(AT55="","",VLOOKUP('Reel 4 Symbol'!AT55,'Reel 4 Symbol'!$A$3:$E$25,5,0))</f>
        <v>15</v>
      </c>
      <c r="AX55" s="8">
        <f>IF(AU55="","",VLOOKUP('Reel 4 Symbol'!AU55,'Reel 4 Symbol'!$A$3:$E$25,5,0))</f>
        <v>27</v>
      </c>
      <c r="AZ55" s="8">
        <f t="shared" si="13"/>
        <v>25</v>
      </c>
      <c r="BA55" s="8" t="str">
        <f t="shared" si="14"/>
        <v>G25</v>
      </c>
      <c r="BC55" s="27">
        <v>52</v>
      </c>
      <c r="BD55" s="131">
        <v>25</v>
      </c>
      <c r="BE55" s="131" t="s">
        <v>103</v>
      </c>
      <c r="BF55" s="65"/>
      <c r="BG55" s="8">
        <f>IF(BD55="","",VLOOKUP('Reel 4 Symbol'!BD55,'Reel 4 Symbol'!$A$3:$E$25,5,0))</f>
        <v>15</v>
      </c>
      <c r="BH55" s="8">
        <f>IF(BE55="","",VLOOKUP('Reel 4 Symbol'!BE55,'Reel 4 Symbol'!$A$3:$E$25,5,0))</f>
        <v>27</v>
      </c>
      <c r="BJ55" s="8">
        <f t="shared" si="15"/>
        <v>25</v>
      </c>
      <c r="BK55" s="8" t="str">
        <f t="shared" si="16"/>
        <v>G25</v>
      </c>
    </row>
    <row r="56" spans="24:63" ht="16.8" customHeight="1">
      <c r="X56" s="133"/>
      <c r="Y56" s="27">
        <v>53</v>
      </c>
      <c r="Z56" s="131">
        <v>50</v>
      </c>
      <c r="AA56" s="131">
        <v>50</v>
      </c>
      <c r="AB56" s="65"/>
      <c r="AC56" s="8">
        <f>IF(Z56="","",VLOOKUP('Reel 4 Symbol'!Z56,'Reel 4 Symbol'!$A$3:$E$25,5,0))</f>
        <v>16</v>
      </c>
      <c r="AD56" s="8">
        <f>IF(AA56="","",VLOOKUP('Reel 4 Symbol'!AA56,'Reel 4 Symbol'!$A$3:$E$25,5,0))</f>
        <v>16</v>
      </c>
      <c r="AF56" s="8">
        <f t="shared" si="9"/>
        <v>50</v>
      </c>
      <c r="AG56" s="8">
        <f t="shared" si="10"/>
        <v>50</v>
      </c>
      <c r="AH56" s="133"/>
      <c r="AI56" s="27">
        <v>53</v>
      </c>
      <c r="AJ56" s="131">
        <v>50</v>
      </c>
      <c r="AK56" s="131">
        <v>50</v>
      </c>
      <c r="AL56" s="65"/>
      <c r="AM56" s="8">
        <f>IF(AJ56="","",VLOOKUP('Reel 4 Symbol'!AJ56,'Reel 4 Symbol'!$A$3:$E$25,5,0))</f>
        <v>16</v>
      </c>
      <c r="AN56" s="8">
        <f>IF(AK56="","",VLOOKUP('Reel 4 Symbol'!AK56,'Reel 4 Symbol'!$A$3:$E$25,5,0))</f>
        <v>16</v>
      </c>
      <c r="AP56" s="8">
        <f t="shared" si="11"/>
        <v>50</v>
      </c>
      <c r="AQ56" s="8">
        <f t="shared" si="12"/>
        <v>50</v>
      </c>
      <c r="AR56" s="133"/>
      <c r="AS56" s="27">
        <v>53</v>
      </c>
      <c r="AT56" s="131">
        <v>50</v>
      </c>
      <c r="AU56" s="131">
        <v>50</v>
      </c>
      <c r="AV56" s="65"/>
      <c r="AW56" s="8">
        <f>IF(AT56="","",VLOOKUP('Reel 4 Symbol'!AT56,'Reel 4 Symbol'!$A$3:$E$25,5,0))</f>
        <v>16</v>
      </c>
      <c r="AX56" s="8">
        <f>IF(AU56="","",VLOOKUP('Reel 4 Symbol'!AU56,'Reel 4 Symbol'!$A$3:$E$25,5,0))</f>
        <v>16</v>
      </c>
      <c r="AZ56" s="8">
        <f t="shared" si="13"/>
        <v>50</v>
      </c>
      <c r="BA56" s="8">
        <f t="shared" si="14"/>
        <v>50</v>
      </c>
      <c r="BC56" s="27">
        <v>53</v>
      </c>
      <c r="BD56" s="131">
        <v>50</v>
      </c>
      <c r="BE56" s="131">
        <v>50</v>
      </c>
      <c r="BF56" s="65"/>
      <c r="BG56" s="8">
        <f>IF(BD56="","",VLOOKUP('Reel 4 Symbol'!BD56,'Reel 4 Symbol'!$A$3:$E$25,5,0))</f>
        <v>16</v>
      </c>
      <c r="BH56" s="8">
        <f>IF(BE56="","",VLOOKUP('Reel 4 Symbol'!BE56,'Reel 4 Symbol'!$A$3:$E$25,5,0))</f>
        <v>16</v>
      </c>
      <c r="BJ56" s="8">
        <f t="shared" si="15"/>
        <v>50</v>
      </c>
      <c r="BK56" s="8">
        <f t="shared" si="16"/>
        <v>50</v>
      </c>
    </row>
    <row r="57" spans="24:63" ht="16.8" customHeight="1">
      <c r="X57" s="133"/>
      <c r="Y57" s="27">
        <v>54</v>
      </c>
      <c r="Z57" s="131">
        <v>100</v>
      </c>
      <c r="AA57" s="131">
        <v>100</v>
      </c>
      <c r="AB57" s="65"/>
      <c r="AC57" s="8">
        <f>IF(Z57="","",VLOOKUP('Reel 4 Symbol'!Z57,'Reel 4 Symbol'!$A$3:$E$25,5,0))</f>
        <v>17</v>
      </c>
      <c r="AD57" s="8">
        <f>IF(AA57="","",VLOOKUP('Reel 4 Symbol'!AA57,'Reel 4 Symbol'!$A$3:$E$25,5,0))</f>
        <v>17</v>
      </c>
      <c r="AF57" s="8">
        <f t="shared" si="9"/>
        <v>100</v>
      </c>
      <c r="AG57" s="8">
        <f t="shared" si="10"/>
        <v>100</v>
      </c>
      <c r="AH57" s="133"/>
      <c r="AI57" s="27">
        <v>54</v>
      </c>
      <c r="AJ57" s="131">
        <v>100</v>
      </c>
      <c r="AK57" s="131">
        <v>100</v>
      </c>
      <c r="AL57" s="65"/>
      <c r="AM57" s="8">
        <f>IF(AJ57="","",VLOOKUP('Reel 4 Symbol'!AJ57,'Reel 4 Symbol'!$A$3:$E$25,5,0))</f>
        <v>17</v>
      </c>
      <c r="AN57" s="8">
        <f>IF(AK57="","",VLOOKUP('Reel 4 Symbol'!AK57,'Reel 4 Symbol'!$A$3:$E$25,5,0))</f>
        <v>17</v>
      </c>
      <c r="AP57" s="8">
        <f t="shared" si="11"/>
        <v>100</v>
      </c>
      <c r="AQ57" s="8">
        <f t="shared" si="12"/>
        <v>100</v>
      </c>
      <c r="AR57" s="133"/>
      <c r="AS57" s="27">
        <v>54</v>
      </c>
      <c r="AT57" s="131">
        <v>100</v>
      </c>
      <c r="AU57" s="131">
        <v>100</v>
      </c>
      <c r="AV57" s="65"/>
      <c r="AW57" s="8">
        <f>IF(AT57="","",VLOOKUP('Reel 4 Symbol'!AT57,'Reel 4 Symbol'!$A$3:$E$25,5,0))</f>
        <v>17</v>
      </c>
      <c r="AX57" s="8">
        <f>IF(AU57="","",VLOOKUP('Reel 4 Symbol'!AU57,'Reel 4 Symbol'!$A$3:$E$25,5,0))</f>
        <v>17</v>
      </c>
      <c r="AZ57" s="8">
        <f t="shared" si="13"/>
        <v>100</v>
      </c>
      <c r="BA57" s="8">
        <f t="shared" si="14"/>
        <v>100</v>
      </c>
      <c r="BC57" s="27">
        <v>54</v>
      </c>
      <c r="BD57" s="131">
        <v>100</v>
      </c>
      <c r="BE57" s="131">
        <v>100</v>
      </c>
      <c r="BF57" s="65"/>
      <c r="BG57" s="8">
        <f>IF(BD57="","",VLOOKUP('Reel 4 Symbol'!BD57,'Reel 4 Symbol'!$A$3:$E$25,5,0))</f>
        <v>17</v>
      </c>
      <c r="BH57" s="8">
        <f>IF(BE57="","",VLOOKUP('Reel 4 Symbol'!BE57,'Reel 4 Symbol'!$A$3:$E$25,5,0))</f>
        <v>17</v>
      </c>
      <c r="BJ57" s="8">
        <f t="shared" si="15"/>
        <v>100</v>
      </c>
      <c r="BK57" s="8">
        <f t="shared" si="16"/>
        <v>100</v>
      </c>
    </row>
    <row r="58" spans="24:63" ht="16.8" customHeight="1">
      <c r="X58" s="133"/>
      <c r="Y58" s="27">
        <v>55</v>
      </c>
      <c r="Z58" s="131">
        <v>500</v>
      </c>
      <c r="AA58" s="131">
        <v>500</v>
      </c>
      <c r="AB58" s="65"/>
      <c r="AC58" s="8">
        <f>IF(Z58="","",VLOOKUP('Reel 4 Symbol'!Z58,'Reel 4 Symbol'!$A$3:$E$25,5,0))</f>
        <v>18</v>
      </c>
      <c r="AD58" s="8">
        <f>IF(AA58="","",VLOOKUP('Reel 4 Symbol'!AA58,'Reel 4 Symbol'!$A$3:$E$25,5,0))</f>
        <v>18</v>
      </c>
      <c r="AF58" s="8">
        <f t="shared" si="9"/>
        <v>500</v>
      </c>
      <c r="AG58" s="8">
        <f t="shared" si="10"/>
        <v>500</v>
      </c>
      <c r="AH58" s="133"/>
      <c r="AI58" s="27">
        <v>55</v>
      </c>
      <c r="AJ58" s="131">
        <v>500</v>
      </c>
      <c r="AK58" s="131">
        <v>500</v>
      </c>
      <c r="AL58" s="65"/>
      <c r="AM58" s="8">
        <f>IF(AJ58="","",VLOOKUP('Reel 4 Symbol'!AJ58,'Reel 4 Symbol'!$A$3:$E$25,5,0))</f>
        <v>18</v>
      </c>
      <c r="AN58" s="8">
        <f>IF(AK58="","",VLOOKUP('Reel 4 Symbol'!AK58,'Reel 4 Symbol'!$A$3:$E$25,5,0))</f>
        <v>18</v>
      </c>
      <c r="AP58" s="8">
        <f t="shared" si="11"/>
        <v>500</v>
      </c>
      <c r="AQ58" s="8">
        <f t="shared" si="12"/>
        <v>500</v>
      </c>
      <c r="AR58" s="133"/>
      <c r="AS58" s="27">
        <v>55</v>
      </c>
      <c r="AT58" s="131">
        <v>500</v>
      </c>
      <c r="AU58" s="131">
        <v>500</v>
      </c>
      <c r="AV58" s="65"/>
      <c r="AW58" s="8">
        <f>IF(AT58="","",VLOOKUP('Reel 4 Symbol'!AT58,'Reel 4 Symbol'!$A$3:$E$25,5,0))</f>
        <v>18</v>
      </c>
      <c r="AX58" s="8">
        <f>IF(AU58="","",VLOOKUP('Reel 4 Symbol'!AU58,'Reel 4 Symbol'!$A$3:$E$25,5,0))</f>
        <v>18</v>
      </c>
      <c r="AZ58" s="8">
        <f t="shared" si="13"/>
        <v>500</v>
      </c>
      <c r="BA58" s="8">
        <f t="shared" si="14"/>
        <v>500</v>
      </c>
      <c r="BC58" s="27">
        <v>55</v>
      </c>
      <c r="BD58" s="131">
        <v>500</v>
      </c>
      <c r="BE58" s="131">
        <v>500</v>
      </c>
      <c r="BF58" s="65"/>
      <c r="BG58" s="8">
        <f>IF(BD58="","",VLOOKUP('Reel 4 Symbol'!BD58,'Reel 4 Symbol'!$A$3:$E$25,5,0))</f>
        <v>18</v>
      </c>
      <c r="BH58" s="8">
        <f>IF(BE58="","",VLOOKUP('Reel 4 Symbol'!BE58,'Reel 4 Symbol'!$A$3:$E$25,5,0))</f>
        <v>18</v>
      </c>
      <c r="BJ58" s="8">
        <f t="shared" si="15"/>
        <v>500</v>
      </c>
      <c r="BK58" s="8">
        <f t="shared" si="16"/>
        <v>500</v>
      </c>
    </row>
    <row r="59" spans="24:63" ht="16.8" customHeight="1">
      <c r="X59" s="133"/>
      <c r="Y59" s="27">
        <v>56</v>
      </c>
      <c r="Z59" s="131">
        <v>3</v>
      </c>
      <c r="AA59" s="131" t="s">
        <v>98</v>
      </c>
      <c r="AB59" s="65"/>
      <c r="AC59" s="8">
        <f>IF(Z59="","",VLOOKUP('Reel 4 Symbol'!Z59,'Reel 4 Symbol'!$A$3:$E$25,5,0))</f>
        <v>10</v>
      </c>
      <c r="AD59" s="8">
        <f>IF(AA59="","",VLOOKUP('Reel 4 Symbol'!AA59,'Reel 4 Symbol'!$A$3:$E$25,5,0))</f>
        <v>22</v>
      </c>
      <c r="AF59" s="8">
        <f t="shared" si="9"/>
        <v>3</v>
      </c>
      <c r="AG59" s="8" t="str">
        <f t="shared" si="10"/>
        <v>G3</v>
      </c>
      <c r="AH59" s="133"/>
      <c r="AI59" s="27">
        <v>56</v>
      </c>
      <c r="AJ59" s="131">
        <v>3</v>
      </c>
      <c r="AK59" s="131" t="s">
        <v>98</v>
      </c>
      <c r="AL59" s="65"/>
      <c r="AM59" s="8">
        <f>IF(AJ59="","",VLOOKUP('Reel 4 Symbol'!AJ59,'Reel 4 Symbol'!$A$3:$E$25,5,0))</f>
        <v>10</v>
      </c>
      <c r="AN59" s="8">
        <f>IF(AK59="","",VLOOKUP('Reel 4 Symbol'!AK59,'Reel 4 Symbol'!$A$3:$E$25,5,0))</f>
        <v>22</v>
      </c>
      <c r="AP59" s="8">
        <f t="shared" si="11"/>
        <v>3</v>
      </c>
      <c r="AQ59" s="8" t="str">
        <f t="shared" si="12"/>
        <v>G3</v>
      </c>
      <c r="AR59" s="133"/>
      <c r="AS59" s="27">
        <v>56</v>
      </c>
      <c r="AT59" s="131">
        <v>25</v>
      </c>
      <c r="AU59" s="131" t="s">
        <v>252</v>
      </c>
      <c r="AV59" s="65"/>
      <c r="AW59" s="8">
        <f>IF(AT59="","",VLOOKUP('Reel 4 Symbol'!AT59,'Reel 4 Symbol'!$A$3:$E$25,5,0))</f>
        <v>15</v>
      </c>
      <c r="AX59" s="8">
        <f>IF(AU59="","",VLOOKUP('Reel 4 Symbol'!AU59,'Reel 4 Symbol'!$A$3:$E$25,5,0))</f>
        <v>27</v>
      </c>
      <c r="AZ59" s="8">
        <f t="shared" si="13"/>
        <v>25</v>
      </c>
      <c r="BA59" s="8" t="str">
        <f t="shared" si="14"/>
        <v>G25</v>
      </c>
      <c r="BC59" s="27">
        <v>56</v>
      </c>
      <c r="BD59" s="131">
        <v>3</v>
      </c>
      <c r="BE59" s="131" t="s">
        <v>98</v>
      </c>
      <c r="BF59" s="65"/>
      <c r="BG59" s="8">
        <f>IF(BD59="","",VLOOKUP('Reel 4 Symbol'!BD59,'Reel 4 Symbol'!$A$3:$E$25,5,0))</f>
        <v>10</v>
      </c>
      <c r="BH59" s="8">
        <f>IF(BE59="","",VLOOKUP('Reel 4 Symbol'!BE59,'Reel 4 Symbol'!$A$3:$E$25,5,0))</f>
        <v>22</v>
      </c>
      <c r="BJ59" s="8">
        <f t="shared" si="15"/>
        <v>3</v>
      </c>
      <c r="BK59" s="8" t="str">
        <f t="shared" si="16"/>
        <v>G3</v>
      </c>
    </row>
    <row r="60" spans="24:63" ht="16.8" customHeight="1">
      <c r="X60" s="133"/>
      <c r="Y60" s="27">
        <v>57</v>
      </c>
      <c r="Z60" s="131">
        <v>2</v>
      </c>
      <c r="AA60" s="131">
        <v>2</v>
      </c>
      <c r="AB60" s="65"/>
      <c r="AC60" s="8">
        <f>IF(Z60="","",VLOOKUP('Reel 4 Symbol'!Z60,'Reel 4 Symbol'!$A$3:$E$25,5,0))</f>
        <v>9</v>
      </c>
      <c r="AD60" s="8">
        <f>IF(AA60="","",VLOOKUP('Reel 4 Symbol'!AA60,'Reel 4 Symbol'!$A$3:$E$25,5,0))</f>
        <v>9</v>
      </c>
      <c r="AF60" s="8">
        <f t="shared" si="9"/>
        <v>2</v>
      </c>
      <c r="AG60" s="8">
        <f t="shared" si="10"/>
        <v>2</v>
      </c>
      <c r="AH60" s="133"/>
      <c r="AI60" s="27">
        <v>57</v>
      </c>
      <c r="AJ60" s="131">
        <v>2</v>
      </c>
      <c r="AK60" s="131">
        <v>2</v>
      </c>
      <c r="AL60" s="65"/>
      <c r="AM60" s="8">
        <f>IF(AJ60="","",VLOOKUP('Reel 4 Symbol'!AJ60,'Reel 4 Symbol'!$A$3:$E$25,5,0))</f>
        <v>9</v>
      </c>
      <c r="AN60" s="8">
        <f>IF(AK60="","",VLOOKUP('Reel 4 Symbol'!AK60,'Reel 4 Symbol'!$A$3:$E$25,5,0))</f>
        <v>9</v>
      </c>
      <c r="AP60" s="8">
        <f t="shared" si="11"/>
        <v>2</v>
      </c>
      <c r="AQ60" s="8">
        <f t="shared" si="12"/>
        <v>2</v>
      </c>
      <c r="AR60" s="133"/>
      <c r="AS60" s="27">
        <v>57</v>
      </c>
      <c r="AT60" s="131">
        <v>15</v>
      </c>
      <c r="AU60" s="131">
        <v>15</v>
      </c>
      <c r="AV60" s="65"/>
      <c r="AW60" s="8">
        <f>IF(AT60="","",VLOOKUP('Reel 4 Symbol'!AT60,'Reel 4 Symbol'!$A$3:$E$25,5,0))</f>
        <v>13</v>
      </c>
      <c r="AX60" s="8">
        <f>IF(AU60="","",VLOOKUP('Reel 4 Symbol'!AU60,'Reel 4 Symbol'!$A$3:$E$25,5,0))</f>
        <v>13</v>
      </c>
      <c r="AZ60" s="8">
        <f t="shared" si="13"/>
        <v>15</v>
      </c>
      <c r="BA60" s="8">
        <f t="shared" si="14"/>
        <v>15</v>
      </c>
      <c r="BC60" s="27">
        <v>57</v>
      </c>
      <c r="BD60" s="131">
        <v>2</v>
      </c>
      <c r="BE60" s="131">
        <v>2</v>
      </c>
      <c r="BF60" s="65"/>
      <c r="BG60" s="8">
        <f>IF(BD60="","",VLOOKUP('Reel 4 Symbol'!BD60,'Reel 4 Symbol'!$A$3:$E$25,5,0))</f>
        <v>9</v>
      </c>
      <c r="BH60" s="8">
        <f>IF(BE60="","",VLOOKUP('Reel 4 Symbol'!BE60,'Reel 4 Symbol'!$A$3:$E$25,5,0))</f>
        <v>9</v>
      </c>
      <c r="BJ60" s="8">
        <f t="shared" si="15"/>
        <v>2</v>
      </c>
      <c r="BK60" s="8">
        <f t="shared" si="16"/>
        <v>2</v>
      </c>
    </row>
    <row r="61" spans="24:63" ht="16.8" customHeight="1">
      <c r="X61" s="133"/>
      <c r="Y61" s="27">
        <v>58</v>
      </c>
      <c r="Z61" s="131">
        <v>3</v>
      </c>
      <c r="AA61" s="131" t="s">
        <v>107</v>
      </c>
      <c r="AB61" s="65"/>
      <c r="AC61" s="8">
        <f>IF(Z61="","",VLOOKUP('Reel 4 Symbol'!Z61,'Reel 4 Symbol'!$A$3:$E$25,5,0))</f>
        <v>10</v>
      </c>
      <c r="AD61" s="8">
        <f>IF(AA61="","",VLOOKUP('Reel 4 Symbol'!AA61,'Reel 4 Symbol'!$A$3:$E$25,5,0))</f>
        <v>22</v>
      </c>
      <c r="AF61" s="8">
        <f t="shared" si="9"/>
        <v>3</v>
      </c>
      <c r="AG61" s="8" t="str">
        <f t="shared" si="10"/>
        <v>G3</v>
      </c>
      <c r="AH61" s="133"/>
      <c r="AI61" s="27">
        <v>58</v>
      </c>
      <c r="AJ61" s="131">
        <v>3</v>
      </c>
      <c r="AK61" s="131" t="s">
        <v>98</v>
      </c>
      <c r="AL61" s="65"/>
      <c r="AM61" s="8">
        <f>IF(AJ61="","",VLOOKUP('Reel 4 Symbol'!AJ61,'Reel 4 Symbol'!$A$3:$E$25,5,0))</f>
        <v>10</v>
      </c>
      <c r="AN61" s="8">
        <f>IF(AK61="","",VLOOKUP('Reel 4 Symbol'!AK61,'Reel 4 Symbol'!$A$3:$E$25,5,0))</f>
        <v>22</v>
      </c>
      <c r="AP61" s="8">
        <f t="shared" si="11"/>
        <v>3</v>
      </c>
      <c r="AQ61" s="8" t="str">
        <f t="shared" si="12"/>
        <v>G3</v>
      </c>
      <c r="AR61" s="133"/>
      <c r="AS61" s="27">
        <v>58</v>
      </c>
      <c r="AT61" s="131">
        <v>10</v>
      </c>
      <c r="AU61" s="131">
        <v>10</v>
      </c>
      <c r="AV61" s="65"/>
      <c r="AW61" s="8">
        <f>IF(AT61="","",VLOOKUP('Reel 4 Symbol'!AT61,'Reel 4 Symbol'!$A$3:$E$25,5,0))</f>
        <v>12</v>
      </c>
      <c r="AX61" s="8">
        <f>IF(AU61="","",VLOOKUP('Reel 4 Symbol'!AU61,'Reel 4 Symbol'!$A$3:$E$25,5,0))</f>
        <v>12</v>
      </c>
      <c r="AZ61" s="8">
        <f t="shared" si="13"/>
        <v>10</v>
      </c>
      <c r="BA61" s="8">
        <f t="shared" si="14"/>
        <v>10</v>
      </c>
      <c r="BC61" s="27">
        <v>58</v>
      </c>
      <c r="BD61" s="131">
        <v>3</v>
      </c>
      <c r="BE61" s="131" t="s">
        <v>98</v>
      </c>
      <c r="BF61" s="65"/>
      <c r="BG61" s="8">
        <f>IF(BD61="","",VLOOKUP('Reel 4 Symbol'!BD61,'Reel 4 Symbol'!$A$3:$E$25,5,0))</f>
        <v>10</v>
      </c>
      <c r="BH61" s="8">
        <f>IF(BE61="","",VLOOKUP('Reel 4 Symbol'!BE61,'Reel 4 Symbol'!$A$3:$E$25,5,0))</f>
        <v>22</v>
      </c>
      <c r="BJ61" s="8">
        <f t="shared" si="15"/>
        <v>3</v>
      </c>
      <c r="BK61" s="8" t="str">
        <f t="shared" si="16"/>
        <v>G3</v>
      </c>
    </row>
    <row r="62" spans="24:63" ht="16.8" customHeight="1">
      <c r="X62" s="133"/>
      <c r="Y62" s="27">
        <v>59</v>
      </c>
      <c r="Z62" s="131">
        <v>1</v>
      </c>
      <c r="AA62" s="131">
        <v>1</v>
      </c>
      <c r="AB62" s="65"/>
      <c r="AC62" s="8">
        <f>IF(Z62="","",VLOOKUP('Reel 4 Symbol'!Z62,'Reel 4 Symbol'!$A$3:$E$25,5,0))</f>
        <v>8</v>
      </c>
      <c r="AD62" s="8">
        <f>IF(AA62="","",VLOOKUP('Reel 4 Symbol'!AA62,'Reel 4 Symbol'!$A$3:$E$25,5,0))</f>
        <v>8</v>
      </c>
      <c r="AF62" s="8">
        <f t="shared" si="9"/>
        <v>1</v>
      </c>
      <c r="AG62" s="8">
        <f t="shared" si="10"/>
        <v>1</v>
      </c>
      <c r="AH62" s="133"/>
      <c r="AI62" s="27">
        <v>59</v>
      </c>
      <c r="AJ62" s="131">
        <v>3</v>
      </c>
      <c r="AK62" s="131">
        <v>3</v>
      </c>
      <c r="AL62" s="65"/>
      <c r="AM62" s="8">
        <f>IF(AJ62="","",VLOOKUP('Reel 4 Symbol'!AJ62,'Reel 4 Symbol'!$A$3:$E$25,5,0))</f>
        <v>10</v>
      </c>
      <c r="AN62" s="8">
        <f>IF(AK62="","",VLOOKUP('Reel 4 Symbol'!AK62,'Reel 4 Symbol'!$A$3:$E$25,5,0))</f>
        <v>10</v>
      </c>
      <c r="AP62" s="8">
        <f t="shared" si="11"/>
        <v>3</v>
      </c>
      <c r="AQ62" s="8">
        <f t="shared" si="12"/>
        <v>3</v>
      </c>
      <c r="AR62" s="133"/>
      <c r="AS62" s="27">
        <v>59</v>
      </c>
      <c r="AT62" s="131">
        <v>10</v>
      </c>
      <c r="AU62" s="131" t="s">
        <v>251</v>
      </c>
      <c r="AV62" s="65"/>
      <c r="AW62" s="8">
        <f>IF(AT62="","",VLOOKUP('Reel 4 Symbol'!AT62,'Reel 4 Symbol'!$A$3:$E$25,5,0))</f>
        <v>12</v>
      </c>
      <c r="AX62" s="8">
        <f>IF(AU62="","",VLOOKUP('Reel 4 Symbol'!AU62,'Reel 4 Symbol'!$A$3:$E$25,5,0))</f>
        <v>24</v>
      </c>
      <c r="AZ62" s="8">
        <f t="shared" si="13"/>
        <v>10</v>
      </c>
      <c r="BA62" s="8" t="str">
        <f t="shared" si="14"/>
        <v>G10</v>
      </c>
      <c r="BC62" s="27">
        <v>59</v>
      </c>
      <c r="BD62" s="131">
        <v>3</v>
      </c>
      <c r="BE62" s="131">
        <v>3</v>
      </c>
      <c r="BF62" s="65"/>
      <c r="BG62" s="8">
        <f>IF(BD62="","",VLOOKUP('Reel 4 Symbol'!BD62,'Reel 4 Symbol'!$A$3:$E$25,5,0))</f>
        <v>10</v>
      </c>
      <c r="BH62" s="8">
        <f>IF(BE62="","",VLOOKUP('Reel 4 Symbol'!BE62,'Reel 4 Symbol'!$A$3:$E$25,5,0))</f>
        <v>10</v>
      </c>
      <c r="BJ62" s="8">
        <f t="shared" si="15"/>
        <v>3</v>
      </c>
      <c r="BK62" s="8">
        <f t="shared" si="16"/>
        <v>3</v>
      </c>
    </row>
    <row r="63" spans="24:63" ht="16.8" customHeight="1">
      <c r="X63" s="133"/>
      <c r="Y63" s="27">
        <v>60</v>
      </c>
      <c r="Z63" s="8">
        <v>2</v>
      </c>
      <c r="AA63" s="8">
        <v>2</v>
      </c>
      <c r="AB63" s="65"/>
      <c r="AC63" s="8">
        <f>IF(Z63="","",VLOOKUP('Reel 4 Symbol'!Z63,'Reel 4 Symbol'!$A$3:$E$25,5,0))</f>
        <v>9</v>
      </c>
      <c r="AD63" s="8">
        <f>IF(AA63="","",VLOOKUP('Reel 4 Symbol'!AA63,'Reel 4 Symbol'!$A$3:$E$25,5,0))</f>
        <v>9</v>
      </c>
      <c r="AF63" s="8">
        <f t="shared" si="9"/>
        <v>2</v>
      </c>
      <c r="AG63" s="8">
        <f t="shared" si="10"/>
        <v>2</v>
      </c>
      <c r="AH63" s="133"/>
      <c r="AI63" s="27">
        <v>60</v>
      </c>
      <c r="AJ63" s="8">
        <v>2</v>
      </c>
      <c r="AK63" s="8">
        <v>2</v>
      </c>
      <c r="AL63" s="65"/>
      <c r="AM63" s="8">
        <f>IF(AJ63="","",VLOOKUP('Reel 4 Symbol'!AJ63,'Reel 4 Symbol'!$A$3:$E$25,5,0))</f>
        <v>9</v>
      </c>
      <c r="AN63" s="8">
        <f>IF(AK63="","",VLOOKUP('Reel 4 Symbol'!AK63,'Reel 4 Symbol'!$A$3:$E$25,5,0))</f>
        <v>9</v>
      </c>
      <c r="AP63" s="8">
        <f t="shared" si="11"/>
        <v>2</v>
      </c>
      <c r="AQ63" s="8">
        <f t="shared" si="12"/>
        <v>2</v>
      </c>
      <c r="AR63" s="133"/>
      <c r="AS63" s="27">
        <v>60</v>
      </c>
      <c r="AT63" s="8">
        <v>50</v>
      </c>
      <c r="AU63" s="8">
        <v>50</v>
      </c>
      <c r="AV63" s="65"/>
      <c r="AW63" s="8">
        <f>IF(AT63="","",VLOOKUP('Reel 4 Symbol'!AT63,'Reel 4 Symbol'!$A$3:$E$25,5,0))</f>
        <v>16</v>
      </c>
      <c r="AX63" s="8">
        <f>IF(AU63="","",VLOOKUP('Reel 4 Symbol'!AU63,'Reel 4 Symbol'!$A$3:$E$25,5,0))</f>
        <v>16</v>
      </c>
      <c r="AZ63" s="8">
        <f t="shared" si="13"/>
        <v>50</v>
      </c>
      <c r="BA63" s="8">
        <f t="shared" si="14"/>
        <v>50</v>
      </c>
      <c r="BC63" s="27">
        <v>60</v>
      </c>
      <c r="BD63" s="8">
        <v>2</v>
      </c>
      <c r="BE63" s="8">
        <v>2</v>
      </c>
      <c r="BF63" s="65"/>
      <c r="BG63" s="8">
        <f>IF(BD63="","",VLOOKUP('Reel 4 Symbol'!BD63,'Reel 4 Symbol'!$A$3:$E$25,5,0))</f>
        <v>9</v>
      </c>
      <c r="BH63" s="8">
        <f>IF(BE63="","",VLOOKUP('Reel 4 Symbol'!BE63,'Reel 4 Symbol'!$A$3:$E$25,5,0))</f>
        <v>9</v>
      </c>
      <c r="BJ63" s="8">
        <f t="shared" si="15"/>
        <v>2</v>
      </c>
      <c r="BK63" s="8">
        <f t="shared" si="16"/>
        <v>2</v>
      </c>
    </row>
    <row r="64" spans="24:63" ht="16.8" customHeight="1">
      <c r="X64" s="133"/>
      <c r="Y64" s="27">
        <v>61</v>
      </c>
      <c r="Z64" s="8">
        <v>20</v>
      </c>
      <c r="AA64" s="8">
        <v>20</v>
      </c>
      <c r="AB64" s="65"/>
      <c r="AC64" s="8">
        <f>IF(Z64="","",VLOOKUP('Reel 4 Symbol'!Z64,'Reel 4 Symbol'!$A$3:$E$25,5,0))</f>
        <v>14</v>
      </c>
      <c r="AD64" s="8">
        <f>IF(AA64="","",VLOOKUP('Reel 4 Symbol'!AA64,'Reel 4 Symbol'!$A$3:$E$25,5,0))</f>
        <v>14</v>
      </c>
      <c r="AF64" s="8">
        <f t="shared" si="9"/>
        <v>20</v>
      </c>
      <c r="AG64" s="8">
        <f t="shared" si="10"/>
        <v>20</v>
      </c>
      <c r="AH64" s="133"/>
      <c r="AI64" s="27">
        <v>61</v>
      </c>
      <c r="AJ64" s="8">
        <v>20</v>
      </c>
      <c r="AK64" s="8">
        <v>20</v>
      </c>
      <c r="AL64" s="65"/>
      <c r="AM64" s="8">
        <f>IF(AJ64="","",VLOOKUP('Reel 4 Symbol'!AJ64,'Reel 4 Symbol'!$A$3:$E$25,5,0))</f>
        <v>14</v>
      </c>
      <c r="AN64" s="8">
        <f>IF(AK64="","",VLOOKUP('Reel 4 Symbol'!AK64,'Reel 4 Symbol'!$A$3:$E$25,5,0))</f>
        <v>14</v>
      </c>
      <c r="AP64" s="8">
        <f t="shared" si="11"/>
        <v>20</v>
      </c>
      <c r="AQ64" s="8">
        <f t="shared" si="12"/>
        <v>20</v>
      </c>
      <c r="AR64" s="133"/>
      <c r="AS64" s="27">
        <v>61</v>
      </c>
      <c r="AT64" s="8">
        <v>20</v>
      </c>
      <c r="AU64" s="8">
        <v>20</v>
      </c>
      <c r="AV64" s="65"/>
      <c r="AW64" s="8">
        <f>IF(AT64="","",VLOOKUP('Reel 4 Symbol'!AT64,'Reel 4 Symbol'!$A$3:$E$25,5,0))</f>
        <v>14</v>
      </c>
      <c r="AX64" s="8">
        <f>IF(AU64="","",VLOOKUP('Reel 4 Symbol'!AU64,'Reel 4 Symbol'!$A$3:$E$25,5,0))</f>
        <v>14</v>
      </c>
      <c r="AZ64" s="8">
        <f t="shared" si="13"/>
        <v>20</v>
      </c>
      <c r="BA64" s="8">
        <f t="shared" si="14"/>
        <v>20</v>
      </c>
      <c r="BC64" s="27">
        <v>61</v>
      </c>
      <c r="BD64" s="8">
        <v>20</v>
      </c>
      <c r="BE64" s="8">
        <v>20</v>
      </c>
      <c r="BF64" s="65"/>
      <c r="BG64" s="8">
        <f>IF(BD64="","",VLOOKUP('Reel 4 Symbol'!BD64,'Reel 4 Symbol'!$A$3:$E$25,5,0))</f>
        <v>14</v>
      </c>
      <c r="BH64" s="8">
        <f>IF(BE64="","",VLOOKUP('Reel 4 Symbol'!BE64,'Reel 4 Symbol'!$A$3:$E$25,5,0))</f>
        <v>14</v>
      </c>
      <c r="BJ64" s="8">
        <f t="shared" si="15"/>
        <v>20</v>
      </c>
      <c r="BK64" s="8">
        <f t="shared" si="16"/>
        <v>20</v>
      </c>
    </row>
    <row r="65" spans="24:63" ht="16.8" customHeight="1">
      <c r="X65" s="133"/>
      <c r="Y65" s="27">
        <v>62</v>
      </c>
      <c r="Z65" s="8">
        <v>15</v>
      </c>
      <c r="AA65" s="8" t="s">
        <v>101</v>
      </c>
      <c r="AB65" s="65"/>
      <c r="AC65" s="8">
        <f>IF(Z65="","",VLOOKUP('Reel 4 Symbol'!Z65,'Reel 4 Symbol'!$A$3:$E$25,5,0))</f>
        <v>13</v>
      </c>
      <c r="AD65" s="8">
        <f>IF(AA65="","",VLOOKUP('Reel 4 Symbol'!AA65,'Reel 4 Symbol'!$A$3:$E$25,5,0))</f>
        <v>25</v>
      </c>
      <c r="AF65" s="8">
        <f t="shared" si="9"/>
        <v>15</v>
      </c>
      <c r="AG65" s="8" t="str">
        <f t="shared" si="10"/>
        <v>G15</v>
      </c>
      <c r="AH65" s="133"/>
      <c r="AI65" s="27">
        <v>62</v>
      </c>
      <c r="AJ65" s="8">
        <v>15</v>
      </c>
      <c r="AK65" s="8" t="s">
        <v>101</v>
      </c>
      <c r="AL65" s="65"/>
      <c r="AM65" s="8">
        <f>IF(AJ65="","",VLOOKUP('Reel 4 Symbol'!AJ65,'Reel 4 Symbol'!$A$3:$E$25,5,0))</f>
        <v>13</v>
      </c>
      <c r="AN65" s="8">
        <f>IF(AK65="","",VLOOKUP('Reel 4 Symbol'!AK65,'Reel 4 Symbol'!$A$3:$E$25,5,0))</f>
        <v>25</v>
      </c>
      <c r="AP65" s="8">
        <f t="shared" si="11"/>
        <v>15</v>
      </c>
      <c r="AQ65" s="8" t="str">
        <f t="shared" si="12"/>
        <v>G15</v>
      </c>
      <c r="AR65" s="133"/>
      <c r="AS65" s="27">
        <v>62</v>
      </c>
      <c r="AT65" s="8">
        <v>15</v>
      </c>
      <c r="AU65" s="8" t="s">
        <v>101</v>
      </c>
      <c r="AV65" s="65"/>
      <c r="AW65" s="8">
        <f>IF(AT65="","",VLOOKUP('Reel 4 Symbol'!AT65,'Reel 4 Symbol'!$A$3:$E$25,5,0))</f>
        <v>13</v>
      </c>
      <c r="AX65" s="8">
        <f>IF(AU65="","",VLOOKUP('Reel 4 Symbol'!AU65,'Reel 4 Symbol'!$A$3:$E$25,5,0))</f>
        <v>25</v>
      </c>
      <c r="AZ65" s="8">
        <f t="shared" si="13"/>
        <v>15</v>
      </c>
      <c r="BA65" s="8" t="str">
        <f t="shared" si="14"/>
        <v>G15</v>
      </c>
      <c r="BC65" s="27">
        <v>62</v>
      </c>
      <c r="BD65" s="8">
        <v>15</v>
      </c>
      <c r="BE65" s="8" t="s">
        <v>101</v>
      </c>
      <c r="BF65" s="65"/>
      <c r="BG65" s="8">
        <f>IF(BD65="","",VLOOKUP('Reel 4 Symbol'!BD65,'Reel 4 Symbol'!$A$3:$E$25,5,0))</f>
        <v>13</v>
      </c>
      <c r="BH65" s="8">
        <f>IF(BE65="","",VLOOKUP('Reel 4 Symbol'!BE65,'Reel 4 Symbol'!$A$3:$E$25,5,0))</f>
        <v>25</v>
      </c>
      <c r="BJ65" s="8">
        <f t="shared" si="15"/>
        <v>15</v>
      </c>
      <c r="BK65" s="8" t="str">
        <f t="shared" si="16"/>
        <v>G15</v>
      </c>
    </row>
    <row r="66" spans="24:63" ht="16.8" customHeight="1">
      <c r="X66" s="133"/>
      <c r="Y66" s="27">
        <v>63</v>
      </c>
      <c r="Z66" s="8">
        <v>10</v>
      </c>
      <c r="AA66" s="8">
        <v>10</v>
      </c>
      <c r="AC66" s="8">
        <f>IF(Z66="","",VLOOKUP('Reel 4 Symbol'!Z66,'Reel 4 Symbol'!$A$3:$E$25,5,0))</f>
        <v>12</v>
      </c>
      <c r="AD66" s="8">
        <f>IF(AA66="","",VLOOKUP('Reel 4 Symbol'!AA66,'Reel 4 Symbol'!$A$3:$E$25,5,0))</f>
        <v>12</v>
      </c>
      <c r="AF66" s="8">
        <f t="shared" si="9"/>
        <v>10</v>
      </c>
      <c r="AG66" s="8">
        <f t="shared" si="10"/>
        <v>10</v>
      </c>
      <c r="AH66" s="133"/>
      <c r="AI66" s="27">
        <v>63</v>
      </c>
      <c r="AJ66" s="8">
        <v>10</v>
      </c>
      <c r="AK66" s="8">
        <v>10</v>
      </c>
      <c r="AM66" s="8">
        <f>IF(AJ66="","",VLOOKUP('Reel 4 Symbol'!AJ66,'Reel 4 Symbol'!$A$3:$E$25,5,0))</f>
        <v>12</v>
      </c>
      <c r="AN66" s="8">
        <f>IF(AK66="","",VLOOKUP('Reel 4 Symbol'!AK66,'Reel 4 Symbol'!$A$3:$E$25,5,0))</f>
        <v>12</v>
      </c>
      <c r="AP66" s="8">
        <f t="shared" si="11"/>
        <v>10</v>
      </c>
      <c r="AQ66" s="8">
        <f t="shared" si="12"/>
        <v>10</v>
      </c>
      <c r="AR66" s="133"/>
      <c r="AS66" s="27">
        <v>63</v>
      </c>
      <c r="AT66" s="8">
        <v>10</v>
      </c>
      <c r="AU66" s="8">
        <v>10</v>
      </c>
      <c r="AW66" s="8">
        <f>IF(AT66="","",VLOOKUP('Reel 4 Symbol'!AT66,'Reel 4 Symbol'!$A$3:$E$25,5,0))</f>
        <v>12</v>
      </c>
      <c r="AX66" s="8">
        <f>IF(AU66="","",VLOOKUP('Reel 4 Symbol'!AU66,'Reel 4 Symbol'!$A$3:$E$25,5,0))</f>
        <v>12</v>
      </c>
      <c r="AZ66" s="8">
        <f t="shared" si="13"/>
        <v>10</v>
      </c>
      <c r="BA66" s="8">
        <f t="shared" si="14"/>
        <v>10</v>
      </c>
      <c r="BC66" s="27">
        <v>63</v>
      </c>
      <c r="BD66" s="8">
        <v>10</v>
      </c>
      <c r="BE66" s="8">
        <v>10</v>
      </c>
      <c r="BG66" s="8">
        <f>IF(BD66="","",VLOOKUP('Reel 4 Symbol'!BD66,'Reel 4 Symbol'!$A$3:$E$25,5,0))</f>
        <v>12</v>
      </c>
      <c r="BH66" s="8">
        <f>IF(BE66="","",VLOOKUP('Reel 4 Symbol'!BE66,'Reel 4 Symbol'!$A$3:$E$25,5,0))</f>
        <v>12</v>
      </c>
      <c r="BJ66" s="8">
        <f t="shared" si="15"/>
        <v>10</v>
      </c>
      <c r="BK66" s="8">
        <f t="shared" si="16"/>
        <v>10</v>
      </c>
    </row>
    <row r="67" spans="24:63" ht="16.8" customHeight="1">
      <c r="X67" s="133"/>
      <c r="Y67" s="27">
        <v>64</v>
      </c>
      <c r="Z67" s="8">
        <v>3</v>
      </c>
      <c r="AA67" s="8" t="s">
        <v>98</v>
      </c>
      <c r="AC67" s="8">
        <f>IF(Z67="","",VLOOKUP('Reel 4 Symbol'!Z67,'Reel 4 Symbol'!$A$3:$E$25,5,0))</f>
        <v>10</v>
      </c>
      <c r="AD67" s="8">
        <f>IF(AA67="","",VLOOKUP('Reel 4 Symbol'!AA67,'Reel 4 Symbol'!$A$3:$E$25,5,0))</f>
        <v>22</v>
      </c>
      <c r="AF67" s="8">
        <f t="shared" si="9"/>
        <v>3</v>
      </c>
      <c r="AG67" s="8" t="str">
        <f t="shared" si="10"/>
        <v>G3</v>
      </c>
      <c r="AH67" s="133"/>
      <c r="AI67" s="27">
        <v>64</v>
      </c>
      <c r="AJ67" s="8">
        <v>3</v>
      </c>
      <c r="AK67" s="8" t="s">
        <v>98</v>
      </c>
      <c r="AM67" s="8">
        <f>IF(AJ67="","",VLOOKUP('Reel 4 Symbol'!AJ67,'Reel 4 Symbol'!$A$3:$E$25,5,0))</f>
        <v>10</v>
      </c>
      <c r="AN67" s="8">
        <f>IF(AK67="","",VLOOKUP('Reel 4 Symbol'!AK67,'Reel 4 Symbol'!$A$3:$E$25,5,0))</f>
        <v>22</v>
      </c>
      <c r="AP67" s="8">
        <f t="shared" si="11"/>
        <v>3</v>
      </c>
      <c r="AQ67" s="8" t="str">
        <f t="shared" si="12"/>
        <v>G3</v>
      </c>
      <c r="AR67" s="133"/>
      <c r="AS67" s="27">
        <v>64</v>
      </c>
      <c r="AT67" s="8">
        <v>10</v>
      </c>
      <c r="AU67" s="8" t="s">
        <v>251</v>
      </c>
      <c r="AW67" s="8">
        <f>IF(AT67="","",VLOOKUP('Reel 4 Symbol'!AT67,'Reel 4 Symbol'!$A$3:$E$25,5,0))</f>
        <v>12</v>
      </c>
      <c r="AX67" s="8">
        <f>IF(AU67="","",VLOOKUP('Reel 4 Symbol'!AU67,'Reel 4 Symbol'!$A$3:$E$25,5,0))</f>
        <v>24</v>
      </c>
      <c r="AZ67" s="8">
        <f t="shared" si="13"/>
        <v>10</v>
      </c>
      <c r="BA67" s="8" t="str">
        <f t="shared" si="14"/>
        <v>G10</v>
      </c>
      <c r="BC67" s="27">
        <v>64</v>
      </c>
      <c r="BD67" s="8">
        <v>3</v>
      </c>
      <c r="BE67" s="8" t="s">
        <v>98</v>
      </c>
      <c r="BG67" s="8">
        <f>IF(BD67="","",VLOOKUP('Reel 4 Symbol'!BD67,'Reel 4 Symbol'!$A$3:$E$25,5,0))</f>
        <v>10</v>
      </c>
      <c r="BH67" s="8">
        <f>IF(BE67="","",VLOOKUP('Reel 4 Symbol'!BE67,'Reel 4 Symbol'!$A$3:$E$25,5,0))</f>
        <v>22</v>
      </c>
      <c r="BJ67" s="8">
        <f t="shared" si="15"/>
        <v>3</v>
      </c>
      <c r="BK67" s="8" t="str">
        <f t="shared" si="16"/>
        <v>G3</v>
      </c>
    </row>
    <row r="68" spans="24:63" ht="16.8" customHeight="1">
      <c r="X68" s="133"/>
      <c r="Y68" s="27">
        <v>65</v>
      </c>
      <c r="Z68" s="8">
        <v>2</v>
      </c>
      <c r="AA68" s="8">
        <v>2</v>
      </c>
      <c r="AC68" s="8">
        <f>IF(Z68="","",VLOOKUP('Reel 4 Symbol'!Z68,'Reel 4 Symbol'!$A$3:$E$25,5,0))</f>
        <v>9</v>
      </c>
      <c r="AD68" s="8">
        <f>IF(AA68="","",VLOOKUP('Reel 4 Symbol'!AA68,'Reel 4 Symbol'!$A$3:$E$25,5,0))</f>
        <v>9</v>
      </c>
      <c r="AF68" s="8">
        <f t="shared" ref="AF68:AF131" si="21">IF(Z68&lt;&gt;"", VLOOKUP(Z68,$A$3:$B$25,2,0), "")</f>
        <v>2</v>
      </c>
      <c r="AG68" s="8">
        <f t="shared" ref="AG68:AG131" si="22">IF(AA68&lt;&gt;"", VLOOKUP(AA68,$A$3:$B$25,2,0), "")</f>
        <v>2</v>
      </c>
      <c r="AH68" s="133"/>
      <c r="AI68" s="27">
        <v>65</v>
      </c>
      <c r="AJ68" s="8">
        <v>2</v>
      </c>
      <c r="AK68" s="8">
        <v>2</v>
      </c>
      <c r="AM68" s="8">
        <f>IF(AJ68="","",VLOOKUP('Reel 4 Symbol'!AJ68,'Reel 4 Symbol'!$A$3:$E$25,5,0))</f>
        <v>9</v>
      </c>
      <c r="AN68" s="8">
        <f>IF(AK68="","",VLOOKUP('Reel 4 Symbol'!AK68,'Reel 4 Symbol'!$A$3:$E$25,5,0))</f>
        <v>9</v>
      </c>
      <c r="AP68" s="8">
        <f t="shared" ref="AP68:AP131" si="23">IF(AJ68&lt;&gt;"", VLOOKUP(AJ68,$A$3:$B$25,2,0), "")</f>
        <v>2</v>
      </c>
      <c r="AQ68" s="8">
        <f t="shared" ref="AQ68:AQ131" si="24">IF(AK68&lt;&gt;"", VLOOKUP(AK68,$A$3:$B$25,2,0), "")</f>
        <v>2</v>
      </c>
      <c r="AR68" s="133"/>
      <c r="AS68" s="27">
        <v>65</v>
      </c>
      <c r="AT68" s="8">
        <v>15</v>
      </c>
      <c r="AU68" s="8">
        <v>15</v>
      </c>
      <c r="AW68" s="8">
        <f>IF(AT68="","",VLOOKUP('Reel 4 Symbol'!AT68,'Reel 4 Symbol'!$A$3:$E$25,5,0))</f>
        <v>13</v>
      </c>
      <c r="AX68" s="8">
        <f>IF(AU68="","",VLOOKUP('Reel 4 Symbol'!AU68,'Reel 4 Symbol'!$A$3:$E$25,5,0))</f>
        <v>13</v>
      </c>
      <c r="AZ68" s="8">
        <f t="shared" ref="AZ68:AZ131" si="25">IF(AT68&lt;&gt;"", VLOOKUP(AT68,$A$3:$B$25,2,0), "")</f>
        <v>15</v>
      </c>
      <c r="BA68" s="8">
        <f t="shared" ref="BA68:BA131" si="26">IF(AU68&lt;&gt;"", VLOOKUP(AU68,$A$3:$B$25,2,0), "")</f>
        <v>15</v>
      </c>
      <c r="BC68" s="27">
        <v>65</v>
      </c>
      <c r="BD68" s="8">
        <v>2</v>
      </c>
      <c r="BE68" s="8">
        <v>2</v>
      </c>
      <c r="BG68" s="8">
        <f>IF(BD68="","",VLOOKUP('Reel 4 Symbol'!BD68,'Reel 4 Symbol'!$A$3:$E$25,5,0))</f>
        <v>9</v>
      </c>
      <c r="BH68" s="8">
        <f>IF(BE68="","",VLOOKUP('Reel 4 Symbol'!BE68,'Reel 4 Symbol'!$A$3:$E$25,5,0))</f>
        <v>9</v>
      </c>
      <c r="BJ68" s="8">
        <f t="shared" ref="BJ68:BJ131" si="27">IF(BD68&lt;&gt;"", VLOOKUP(BD68,$A$3:$B$25,2,0), "")</f>
        <v>2</v>
      </c>
      <c r="BK68" s="8">
        <f t="shared" ref="BK68:BK131" si="28">IF(BE68&lt;&gt;"", VLOOKUP(BE68,$A$3:$B$25,2,0), "")</f>
        <v>2</v>
      </c>
    </row>
    <row r="69" spans="24:63" ht="16.8" customHeight="1">
      <c r="X69" s="133"/>
      <c r="Y69" s="27">
        <v>66</v>
      </c>
      <c r="Z69" s="8" t="s">
        <v>132</v>
      </c>
      <c r="AA69" s="8">
        <v>5</v>
      </c>
      <c r="AC69" s="8">
        <f>IF(Z69="","",VLOOKUP('Reel 4 Symbol'!Z69,'Reel 4 Symbol'!$A$3:$E$25,5,0))</f>
        <v>19</v>
      </c>
      <c r="AD69" s="8">
        <f>IF(AA69="","",VLOOKUP('Reel 4 Symbol'!AA69,'Reel 4 Symbol'!$A$3:$E$25,5,0))</f>
        <v>11</v>
      </c>
      <c r="AF69" s="8" t="str">
        <f t="shared" si="21"/>
        <v>Re-spin</v>
      </c>
      <c r="AG69" s="8">
        <f t="shared" si="22"/>
        <v>5</v>
      </c>
      <c r="AH69" s="133"/>
      <c r="AI69" s="27">
        <v>66</v>
      </c>
      <c r="AJ69" s="8" t="s">
        <v>132</v>
      </c>
      <c r="AK69" s="8">
        <v>5</v>
      </c>
      <c r="AM69" s="8">
        <f>IF(AJ69="","",VLOOKUP('Reel 4 Symbol'!AJ69,'Reel 4 Symbol'!$A$3:$E$25,5,0))</f>
        <v>19</v>
      </c>
      <c r="AN69" s="8">
        <f>IF(AK69="","",VLOOKUP('Reel 4 Symbol'!AK69,'Reel 4 Symbol'!$A$3:$E$25,5,0))</f>
        <v>11</v>
      </c>
      <c r="AP69" s="8" t="str">
        <f t="shared" si="23"/>
        <v>Re-spin</v>
      </c>
      <c r="AQ69" s="8">
        <f t="shared" si="24"/>
        <v>5</v>
      </c>
      <c r="AR69" s="133"/>
      <c r="AS69" s="27">
        <v>66</v>
      </c>
      <c r="AT69" s="8" t="s">
        <v>132</v>
      </c>
      <c r="AU69" s="8">
        <v>10</v>
      </c>
      <c r="AW69" s="8">
        <f>IF(AT69="","",VLOOKUP('Reel 4 Symbol'!AT69,'Reel 4 Symbol'!$A$3:$E$25,5,0))</f>
        <v>19</v>
      </c>
      <c r="AX69" s="8">
        <f>IF(AU69="","",VLOOKUP('Reel 4 Symbol'!AU69,'Reel 4 Symbol'!$A$3:$E$25,5,0))</f>
        <v>12</v>
      </c>
      <c r="AZ69" s="8" t="str">
        <f t="shared" si="25"/>
        <v>Re-spin</v>
      </c>
      <c r="BA69" s="8">
        <f t="shared" si="26"/>
        <v>10</v>
      </c>
      <c r="BC69" s="27">
        <v>66</v>
      </c>
      <c r="BD69" s="8" t="s">
        <v>132</v>
      </c>
      <c r="BE69" s="8">
        <v>5</v>
      </c>
      <c r="BG69" s="8">
        <f>IF(BD69="","",VLOOKUP('Reel 4 Symbol'!BD69,'Reel 4 Symbol'!$A$3:$E$25,5,0))</f>
        <v>19</v>
      </c>
      <c r="BH69" s="8">
        <f>IF(BE69="","",VLOOKUP('Reel 4 Symbol'!BE69,'Reel 4 Symbol'!$A$3:$E$25,5,0))</f>
        <v>11</v>
      </c>
      <c r="BJ69" s="8" t="str">
        <f t="shared" si="27"/>
        <v>Re-spin</v>
      </c>
      <c r="BK69" s="8">
        <f t="shared" si="28"/>
        <v>5</v>
      </c>
    </row>
    <row r="70" spans="24:63" ht="16.8" customHeight="1">
      <c r="X70" s="133"/>
      <c r="Y70" s="27">
        <v>67</v>
      </c>
      <c r="Z70" s="8">
        <v>1</v>
      </c>
      <c r="AA70" s="8">
        <v>1</v>
      </c>
      <c r="AC70" s="8">
        <f>IF(Z70="","",VLOOKUP('Reel 4 Symbol'!Z70,'Reel 4 Symbol'!$A$3:$E$25,5,0))</f>
        <v>8</v>
      </c>
      <c r="AD70" s="8">
        <f>IF(AA70="","",VLOOKUP('Reel 4 Symbol'!AA70,'Reel 4 Symbol'!$A$3:$E$25,5,0))</f>
        <v>8</v>
      </c>
      <c r="AF70" s="8">
        <f t="shared" si="21"/>
        <v>1</v>
      </c>
      <c r="AG70" s="8">
        <f t="shared" si="22"/>
        <v>1</v>
      </c>
      <c r="AH70" s="133"/>
      <c r="AI70" s="27">
        <v>67</v>
      </c>
      <c r="AJ70" s="8">
        <v>5</v>
      </c>
      <c r="AK70" s="8">
        <v>5</v>
      </c>
      <c r="AM70" s="8">
        <f>IF(AJ70="","",VLOOKUP('Reel 4 Symbol'!AJ70,'Reel 4 Symbol'!$A$3:$E$25,5,0))</f>
        <v>11</v>
      </c>
      <c r="AN70" s="8">
        <f>IF(AK70="","",VLOOKUP('Reel 4 Symbol'!AK70,'Reel 4 Symbol'!$A$3:$E$25,5,0))</f>
        <v>11</v>
      </c>
      <c r="AP70" s="8">
        <f t="shared" si="23"/>
        <v>5</v>
      </c>
      <c r="AQ70" s="8">
        <f t="shared" si="24"/>
        <v>5</v>
      </c>
      <c r="AR70" s="133"/>
      <c r="AS70" s="27">
        <v>67</v>
      </c>
      <c r="AT70" s="8">
        <v>10</v>
      </c>
      <c r="AU70" s="8" t="s">
        <v>251</v>
      </c>
      <c r="AW70" s="8">
        <f>IF(AT70="","",VLOOKUP('Reel 4 Symbol'!AT70,'Reel 4 Symbol'!$A$3:$E$25,5,0))</f>
        <v>12</v>
      </c>
      <c r="AX70" s="8">
        <f>IF(AU70="","",VLOOKUP('Reel 4 Symbol'!AU70,'Reel 4 Symbol'!$A$3:$E$25,5,0))</f>
        <v>24</v>
      </c>
      <c r="AZ70" s="8">
        <f t="shared" si="25"/>
        <v>10</v>
      </c>
      <c r="BA70" s="8" t="str">
        <f t="shared" si="26"/>
        <v>G10</v>
      </c>
      <c r="BC70" s="27">
        <v>67</v>
      </c>
      <c r="BD70" s="8">
        <v>5</v>
      </c>
      <c r="BE70" s="8">
        <v>5</v>
      </c>
      <c r="BG70" s="8">
        <f>IF(BD70="","",VLOOKUP('Reel 4 Symbol'!BD70,'Reel 4 Symbol'!$A$3:$E$25,5,0))</f>
        <v>11</v>
      </c>
      <c r="BH70" s="8">
        <f>IF(BE70="","",VLOOKUP('Reel 4 Symbol'!BE70,'Reel 4 Symbol'!$A$3:$E$25,5,0))</f>
        <v>11</v>
      </c>
      <c r="BJ70" s="8">
        <f t="shared" si="27"/>
        <v>5</v>
      </c>
      <c r="BK70" s="8">
        <f t="shared" si="28"/>
        <v>5</v>
      </c>
    </row>
    <row r="71" spans="24:63" ht="16.8" customHeight="1">
      <c r="X71" s="133"/>
      <c r="Y71" s="27">
        <v>68</v>
      </c>
      <c r="Z71" s="8">
        <v>5</v>
      </c>
      <c r="AA71" s="8" t="s">
        <v>99</v>
      </c>
      <c r="AC71" s="8">
        <f>IF(Z71="","",VLOOKUP('Reel 4 Symbol'!Z71,'Reel 4 Symbol'!$A$3:$E$25,5,0))</f>
        <v>11</v>
      </c>
      <c r="AD71" s="8">
        <f>IF(AA71="","",VLOOKUP('Reel 4 Symbol'!AA71,'Reel 4 Symbol'!$A$3:$E$25,5,0))</f>
        <v>23</v>
      </c>
      <c r="AF71" s="8">
        <f t="shared" si="21"/>
        <v>5</v>
      </c>
      <c r="AG71" s="8" t="str">
        <f t="shared" si="22"/>
        <v>G5</v>
      </c>
      <c r="AH71" s="133"/>
      <c r="AI71" s="27">
        <v>68</v>
      </c>
      <c r="AJ71" s="8">
        <v>5</v>
      </c>
      <c r="AK71" s="8" t="s">
        <v>99</v>
      </c>
      <c r="AM71" s="8">
        <f>IF(AJ71="","",VLOOKUP('Reel 4 Symbol'!AJ71,'Reel 4 Symbol'!$A$3:$E$25,5,0))</f>
        <v>11</v>
      </c>
      <c r="AN71" s="8">
        <f>IF(AK71="","",VLOOKUP('Reel 4 Symbol'!AK71,'Reel 4 Symbol'!$A$3:$E$25,5,0))</f>
        <v>23</v>
      </c>
      <c r="AP71" s="8">
        <f t="shared" si="23"/>
        <v>5</v>
      </c>
      <c r="AQ71" s="8" t="str">
        <f t="shared" si="24"/>
        <v>G5</v>
      </c>
      <c r="AR71" s="133"/>
      <c r="AS71" s="27">
        <v>68</v>
      </c>
      <c r="AT71" s="8">
        <v>15</v>
      </c>
      <c r="AU71" s="8">
        <v>15</v>
      </c>
      <c r="AW71" s="8">
        <f>IF(AT71="","",VLOOKUP('Reel 4 Symbol'!AT71,'Reel 4 Symbol'!$A$3:$E$25,5,0))</f>
        <v>13</v>
      </c>
      <c r="AX71" s="8">
        <f>IF(AU71="","",VLOOKUP('Reel 4 Symbol'!AU71,'Reel 4 Symbol'!$A$3:$E$25,5,0))</f>
        <v>13</v>
      </c>
      <c r="AZ71" s="8">
        <f t="shared" si="25"/>
        <v>15</v>
      </c>
      <c r="BA71" s="8">
        <f t="shared" si="26"/>
        <v>15</v>
      </c>
      <c r="BC71" s="27">
        <v>68</v>
      </c>
      <c r="BD71" s="8">
        <v>5</v>
      </c>
      <c r="BE71" s="8" t="s">
        <v>99</v>
      </c>
      <c r="BG71" s="8">
        <f>IF(BD71="","",VLOOKUP('Reel 4 Symbol'!BD71,'Reel 4 Symbol'!$A$3:$E$25,5,0))</f>
        <v>11</v>
      </c>
      <c r="BH71" s="8">
        <f>IF(BE71="","",VLOOKUP('Reel 4 Symbol'!BE71,'Reel 4 Symbol'!$A$3:$E$25,5,0))</f>
        <v>23</v>
      </c>
      <c r="BJ71" s="8">
        <f t="shared" si="27"/>
        <v>5</v>
      </c>
      <c r="BK71" s="8" t="str">
        <f t="shared" si="28"/>
        <v>G5</v>
      </c>
    </row>
    <row r="72" spans="24:63" ht="16.8" customHeight="1">
      <c r="X72" s="133"/>
      <c r="Y72" s="27">
        <v>69</v>
      </c>
      <c r="Z72" s="8">
        <v>10</v>
      </c>
      <c r="AA72" s="8">
        <v>10</v>
      </c>
      <c r="AC72" s="8">
        <f>IF(Z72="","",VLOOKUP('Reel 4 Symbol'!Z72,'Reel 4 Symbol'!$A$3:$E$25,5,0))</f>
        <v>12</v>
      </c>
      <c r="AD72" s="8">
        <f>IF(AA72="","",VLOOKUP('Reel 4 Symbol'!AA72,'Reel 4 Symbol'!$A$3:$E$25,5,0))</f>
        <v>12</v>
      </c>
      <c r="AF72" s="8">
        <f t="shared" si="21"/>
        <v>10</v>
      </c>
      <c r="AG72" s="8">
        <f t="shared" si="22"/>
        <v>10</v>
      </c>
      <c r="AH72" s="133"/>
      <c r="AI72" s="27">
        <v>69</v>
      </c>
      <c r="AJ72" s="8">
        <v>10</v>
      </c>
      <c r="AK72" s="8">
        <v>10</v>
      </c>
      <c r="AM72" s="8">
        <f>IF(AJ72="","",VLOOKUP('Reel 4 Symbol'!AJ72,'Reel 4 Symbol'!$A$3:$E$25,5,0))</f>
        <v>12</v>
      </c>
      <c r="AN72" s="8">
        <f>IF(AK72="","",VLOOKUP('Reel 4 Symbol'!AK72,'Reel 4 Symbol'!$A$3:$E$25,5,0))</f>
        <v>12</v>
      </c>
      <c r="AP72" s="8">
        <f t="shared" si="23"/>
        <v>10</v>
      </c>
      <c r="AQ72" s="8">
        <f t="shared" si="24"/>
        <v>10</v>
      </c>
      <c r="AR72" s="133"/>
      <c r="AS72" s="27">
        <v>69</v>
      </c>
      <c r="AT72" s="8">
        <v>10</v>
      </c>
      <c r="AU72" s="8">
        <v>10</v>
      </c>
      <c r="AW72" s="8">
        <f>IF(AT72="","",VLOOKUP('Reel 4 Symbol'!AT72,'Reel 4 Symbol'!$A$3:$E$25,5,0))</f>
        <v>12</v>
      </c>
      <c r="AX72" s="8">
        <f>IF(AU72="","",VLOOKUP('Reel 4 Symbol'!AU72,'Reel 4 Symbol'!$A$3:$E$25,5,0))</f>
        <v>12</v>
      </c>
      <c r="AZ72" s="8">
        <f t="shared" si="25"/>
        <v>10</v>
      </c>
      <c r="BA72" s="8">
        <f t="shared" si="26"/>
        <v>10</v>
      </c>
      <c r="BC72" s="27">
        <v>69</v>
      </c>
      <c r="BD72" s="8">
        <v>10</v>
      </c>
      <c r="BE72" s="8">
        <v>10</v>
      </c>
      <c r="BG72" s="8">
        <f>IF(BD72="","",VLOOKUP('Reel 4 Symbol'!BD72,'Reel 4 Symbol'!$A$3:$E$25,5,0))</f>
        <v>12</v>
      </c>
      <c r="BH72" s="8">
        <f>IF(BE72="","",VLOOKUP('Reel 4 Symbol'!BE72,'Reel 4 Symbol'!$A$3:$E$25,5,0))</f>
        <v>12</v>
      </c>
      <c r="BJ72" s="8">
        <f t="shared" si="27"/>
        <v>10</v>
      </c>
      <c r="BK72" s="8">
        <f t="shared" si="28"/>
        <v>10</v>
      </c>
    </row>
    <row r="73" spans="24:63" ht="16.8" customHeight="1">
      <c r="X73" s="133"/>
      <c r="Y73" s="27">
        <v>70</v>
      </c>
      <c r="Z73" s="8">
        <v>15</v>
      </c>
      <c r="AA73" s="8" t="s">
        <v>101</v>
      </c>
      <c r="AC73" s="8">
        <f>IF(Z73="","",VLOOKUP('Reel 4 Symbol'!Z73,'Reel 4 Symbol'!$A$3:$E$25,5,0))</f>
        <v>13</v>
      </c>
      <c r="AD73" s="8">
        <f>IF(AA73="","",VLOOKUP('Reel 4 Symbol'!AA73,'Reel 4 Symbol'!$A$3:$E$25,5,0))</f>
        <v>25</v>
      </c>
      <c r="AF73" s="8">
        <f t="shared" si="21"/>
        <v>15</v>
      </c>
      <c r="AG73" s="8" t="str">
        <f t="shared" si="22"/>
        <v>G15</v>
      </c>
      <c r="AH73" s="133"/>
      <c r="AI73" s="27">
        <v>70</v>
      </c>
      <c r="AJ73" s="8">
        <v>15</v>
      </c>
      <c r="AK73" s="8" t="s">
        <v>101</v>
      </c>
      <c r="AM73" s="8">
        <f>IF(AJ73="","",VLOOKUP('Reel 4 Symbol'!AJ73,'Reel 4 Symbol'!$A$3:$E$25,5,0))</f>
        <v>13</v>
      </c>
      <c r="AN73" s="8">
        <f>IF(AK73="","",VLOOKUP('Reel 4 Symbol'!AK73,'Reel 4 Symbol'!$A$3:$E$25,5,0))</f>
        <v>25</v>
      </c>
      <c r="AP73" s="8">
        <f t="shared" si="23"/>
        <v>15</v>
      </c>
      <c r="AQ73" s="8" t="str">
        <f t="shared" si="24"/>
        <v>G15</v>
      </c>
      <c r="AR73" s="133"/>
      <c r="AS73" s="27">
        <v>70</v>
      </c>
      <c r="AT73" s="8">
        <v>15</v>
      </c>
      <c r="AU73" s="8" t="s">
        <v>101</v>
      </c>
      <c r="AW73" s="8">
        <f>IF(AT73="","",VLOOKUP('Reel 4 Symbol'!AT73,'Reel 4 Symbol'!$A$3:$E$25,5,0))</f>
        <v>13</v>
      </c>
      <c r="AX73" s="8">
        <f>IF(AU73="","",VLOOKUP('Reel 4 Symbol'!AU73,'Reel 4 Symbol'!$A$3:$E$25,5,0))</f>
        <v>25</v>
      </c>
      <c r="AZ73" s="8">
        <f t="shared" si="25"/>
        <v>15</v>
      </c>
      <c r="BA73" s="8" t="str">
        <f t="shared" si="26"/>
        <v>G15</v>
      </c>
      <c r="BC73" s="27">
        <v>70</v>
      </c>
      <c r="BD73" s="8">
        <v>15</v>
      </c>
      <c r="BE73" s="8" t="s">
        <v>101</v>
      </c>
      <c r="BG73" s="8">
        <f>IF(BD73="","",VLOOKUP('Reel 4 Symbol'!BD73,'Reel 4 Symbol'!$A$3:$E$25,5,0))</f>
        <v>13</v>
      </c>
      <c r="BH73" s="8">
        <f>IF(BE73="","",VLOOKUP('Reel 4 Symbol'!BE73,'Reel 4 Symbol'!$A$3:$E$25,5,0))</f>
        <v>25</v>
      </c>
      <c r="BJ73" s="8">
        <f t="shared" si="27"/>
        <v>15</v>
      </c>
      <c r="BK73" s="8" t="str">
        <f t="shared" si="28"/>
        <v>G15</v>
      </c>
    </row>
    <row r="74" spans="24:63" ht="16.8" customHeight="1">
      <c r="X74" s="133"/>
      <c r="Y74" s="27">
        <v>71</v>
      </c>
      <c r="Z74" s="8">
        <v>20</v>
      </c>
      <c r="AA74" s="8">
        <v>20</v>
      </c>
      <c r="AC74" s="8">
        <f>IF(Z74="","",VLOOKUP('Reel 4 Symbol'!Z74,'Reel 4 Symbol'!$A$3:$E$25,5,0))</f>
        <v>14</v>
      </c>
      <c r="AD74" s="8">
        <f>IF(AA74="","",VLOOKUP('Reel 4 Symbol'!AA74,'Reel 4 Symbol'!$A$3:$E$25,5,0))</f>
        <v>14</v>
      </c>
      <c r="AF74" s="8">
        <f t="shared" si="21"/>
        <v>20</v>
      </c>
      <c r="AG74" s="8">
        <f t="shared" si="22"/>
        <v>20</v>
      </c>
      <c r="AH74" s="133"/>
      <c r="AI74" s="27">
        <v>71</v>
      </c>
      <c r="AJ74" s="8">
        <v>20</v>
      </c>
      <c r="AK74" s="8">
        <v>20</v>
      </c>
      <c r="AM74" s="8">
        <f>IF(AJ74="","",VLOOKUP('Reel 4 Symbol'!AJ74,'Reel 4 Symbol'!$A$3:$E$25,5,0))</f>
        <v>14</v>
      </c>
      <c r="AN74" s="8">
        <f>IF(AK74="","",VLOOKUP('Reel 4 Symbol'!AK74,'Reel 4 Symbol'!$A$3:$E$25,5,0))</f>
        <v>14</v>
      </c>
      <c r="AP74" s="8">
        <f t="shared" si="23"/>
        <v>20</v>
      </c>
      <c r="AQ74" s="8">
        <f t="shared" si="24"/>
        <v>20</v>
      </c>
      <c r="AR74" s="133"/>
      <c r="AS74" s="27">
        <v>71</v>
      </c>
      <c r="AT74" s="8">
        <v>20</v>
      </c>
      <c r="AU74" s="8">
        <v>20</v>
      </c>
      <c r="AW74" s="8">
        <f>IF(AT74="","",VLOOKUP('Reel 4 Symbol'!AT74,'Reel 4 Symbol'!$A$3:$E$25,5,0))</f>
        <v>14</v>
      </c>
      <c r="AX74" s="8">
        <f>IF(AU74="","",VLOOKUP('Reel 4 Symbol'!AU74,'Reel 4 Symbol'!$A$3:$E$25,5,0))</f>
        <v>14</v>
      </c>
      <c r="AZ74" s="8">
        <f t="shared" si="25"/>
        <v>20</v>
      </c>
      <c r="BA74" s="8">
        <f t="shared" si="26"/>
        <v>20</v>
      </c>
      <c r="BC74" s="27">
        <v>71</v>
      </c>
      <c r="BD74" s="8">
        <v>20</v>
      </c>
      <c r="BE74" s="8">
        <v>20</v>
      </c>
      <c r="BG74" s="8">
        <f>IF(BD74="","",VLOOKUP('Reel 4 Symbol'!BD74,'Reel 4 Symbol'!$A$3:$E$25,5,0))</f>
        <v>14</v>
      </c>
      <c r="BH74" s="8">
        <f>IF(BE74="","",VLOOKUP('Reel 4 Symbol'!BE74,'Reel 4 Symbol'!$A$3:$E$25,5,0))</f>
        <v>14</v>
      </c>
      <c r="BJ74" s="8">
        <f t="shared" si="27"/>
        <v>20</v>
      </c>
      <c r="BK74" s="8">
        <f t="shared" si="28"/>
        <v>20</v>
      </c>
    </row>
    <row r="75" spans="24:63" ht="16.8" customHeight="1">
      <c r="X75" s="133"/>
      <c r="Y75" s="27">
        <v>72</v>
      </c>
      <c r="Z75" s="8">
        <v>25</v>
      </c>
      <c r="AA75" s="8">
        <v>25</v>
      </c>
      <c r="AC75" s="8">
        <f>IF(Z75="","",VLOOKUP('Reel 4 Symbol'!Z75,'Reel 4 Symbol'!$A$3:$E$25,5,0))</f>
        <v>15</v>
      </c>
      <c r="AD75" s="8">
        <f>IF(AA75="","",VLOOKUP('Reel 4 Symbol'!AA75,'Reel 4 Symbol'!$A$3:$E$25,5,0))</f>
        <v>15</v>
      </c>
      <c r="AF75" s="8">
        <f t="shared" si="21"/>
        <v>25</v>
      </c>
      <c r="AG75" s="8">
        <f t="shared" si="22"/>
        <v>25</v>
      </c>
      <c r="AH75" s="133"/>
      <c r="AI75" s="27">
        <v>72</v>
      </c>
      <c r="AJ75" s="8">
        <v>25</v>
      </c>
      <c r="AK75" s="8">
        <v>25</v>
      </c>
      <c r="AM75" s="8">
        <f>IF(AJ75="","",VLOOKUP('Reel 4 Symbol'!AJ75,'Reel 4 Symbol'!$A$3:$E$25,5,0))</f>
        <v>15</v>
      </c>
      <c r="AN75" s="8">
        <f>IF(AK75="","",VLOOKUP('Reel 4 Symbol'!AK75,'Reel 4 Symbol'!$A$3:$E$25,5,0))</f>
        <v>15</v>
      </c>
      <c r="AP75" s="8">
        <f t="shared" si="23"/>
        <v>25</v>
      </c>
      <c r="AQ75" s="8">
        <f t="shared" si="24"/>
        <v>25</v>
      </c>
      <c r="AR75" s="133"/>
      <c r="AS75" s="27">
        <v>72</v>
      </c>
      <c r="AT75" s="8">
        <v>25</v>
      </c>
      <c r="AU75" s="8">
        <v>25</v>
      </c>
      <c r="AW75" s="8">
        <f>IF(AT75="","",VLOOKUP('Reel 4 Symbol'!AT75,'Reel 4 Symbol'!$A$3:$E$25,5,0))</f>
        <v>15</v>
      </c>
      <c r="AX75" s="8">
        <f>IF(AU75="","",VLOOKUP('Reel 4 Symbol'!AU75,'Reel 4 Symbol'!$A$3:$E$25,5,0))</f>
        <v>15</v>
      </c>
      <c r="AZ75" s="8">
        <f t="shared" si="25"/>
        <v>25</v>
      </c>
      <c r="BA75" s="8">
        <f t="shared" si="26"/>
        <v>25</v>
      </c>
      <c r="BC75" s="27">
        <v>72</v>
      </c>
      <c r="BD75" s="8">
        <v>25</v>
      </c>
      <c r="BE75" s="8">
        <v>25</v>
      </c>
      <c r="BG75" s="8">
        <f>IF(BD75="","",VLOOKUP('Reel 4 Symbol'!BD75,'Reel 4 Symbol'!$A$3:$E$25,5,0))</f>
        <v>15</v>
      </c>
      <c r="BH75" s="8">
        <f>IF(BE75="","",VLOOKUP('Reel 4 Symbol'!BE75,'Reel 4 Symbol'!$A$3:$E$25,5,0))</f>
        <v>15</v>
      </c>
      <c r="BJ75" s="8">
        <f t="shared" si="27"/>
        <v>25</v>
      </c>
      <c r="BK75" s="8">
        <f t="shared" si="28"/>
        <v>25</v>
      </c>
    </row>
    <row r="76" spans="24:63" ht="16.8" customHeight="1">
      <c r="X76" s="133"/>
      <c r="Y76" s="27">
        <v>73</v>
      </c>
      <c r="Z76" s="8">
        <v>1</v>
      </c>
      <c r="AA76" s="8">
        <v>1</v>
      </c>
      <c r="AC76" s="8">
        <f>IF(Z76="","",VLOOKUP('Reel 4 Symbol'!Z76,'Reel 4 Symbol'!$A$3:$E$25,5,0))</f>
        <v>8</v>
      </c>
      <c r="AD76" s="8">
        <f>IF(AA76="","",VLOOKUP('Reel 4 Symbol'!AA76,'Reel 4 Symbol'!$A$3:$E$25,5,0))</f>
        <v>8</v>
      </c>
      <c r="AF76" s="8">
        <f t="shared" si="21"/>
        <v>1</v>
      </c>
      <c r="AG76" s="8">
        <f t="shared" si="22"/>
        <v>1</v>
      </c>
      <c r="AH76" s="133"/>
      <c r="AI76" s="27">
        <v>73</v>
      </c>
      <c r="AJ76" s="8">
        <v>10</v>
      </c>
      <c r="AK76" s="8">
        <v>10</v>
      </c>
      <c r="AM76" s="8">
        <f>IF(AJ76="","",VLOOKUP('Reel 4 Symbol'!AJ76,'Reel 4 Symbol'!$A$3:$E$25,5,0))</f>
        <v>12</v>
      </c>
      <c r="AN76" s="8">
        <f>IF(AK76="","",VLOOKUP('Reel 4 Symbol'!AK76,'Reel 4 Symbol'!$A$3:$E$25,5,0))</f>
        <v>12</v>
      </c>
      <c r="AP76" s="8">
        <f t="shared" si="23"/>
        <v>10</v>
      </c>
      <c r="AQ76" s="8">
        <f t="shared" si="24"/>
        <v>10</v>
      </c>
      <c r="AR76" s="133"/>
      <c r="AS76" s="27">
        <v>73</v>
      </c>
      <c r="AT76" s="8">
        <v>10</v>
      </c>
      <c r="AU76" s="8">
        <v>10</v>
      </c>
      <c r="AW76" s="8">
        <f>IF(AT76="","",VLOOKUP('Reel 4 Symbol'!AT76,'Reel 4 Symbol'!$A$3:$E$25,5,0))</f>
        <v>12</v>
      </c>
      <c r="AX76" s="8">
        <f>IF(AU76="","",VLOOKUP('Reel 4 Symbol'!AU76,'Reel 4 Symbol'!$A$3:$E$25,5,0))</f>
        <v>12</v>
      </c>
      <c r="AZ76" s="8">
        <f t="shared" si="25"/>
        <v>10</v>
      </c>
      <c r="BA76" s="8">
        <f t="shared" si="26"/>
        <v>10</v>
      </c>
      <c r="BC76" s="27">
        <v>73</v>
      </c>
      <c r="BD76" s="8">
        <v>10</v>
      </c>
      <c r="BE76" s="8">
        <v>10</v>
      </c>
      <c r="BG76" s="8">
        <f>IF(BD76="","",VLOOKUP('Reel 4 Symbol'!BD76,'Reel 4 Symbol'!$A$3:$E$25,5,0))</f>
        <v>12</v>
      </c>
      <c r="BH76" s="8">
        <f>IF(BE76="","",VLOOKUP('Reel 4 Symbol'!BE76,'Reel 4 Symbol'!$A$3:$E$25,5,0))</f>
        <v>12</v>
      </c>
      <c r="BJ76" s="8">
        <f t="shared" si="27"/>
        <v>10</v>
      </c>
      <c r="BK76" s="8">
        <f t="shared" si="28"/>
        <v>10</v>
      </c>
    </row>
    <row r="77" spans="24:63" ht="16.8" customHeight="1">
      <c r="X77" s="133"/>
      <c r="Y77" s="27">
        <v>74</v>
      </c>
      <c r="Z77" s="8">
        <v>3</v>
      </c>
      <c r="AA77" s="8" t="s">
        <v>107</v>
      </c>
      <c r="AC77" s="8">
        <f>IF(Z77="","",VLOOKUP('Reel 4 Symbol'!Z77,'Reel 4 Symbol'!$A$3:$E$25,5,0))</f>
        <v>10</v>
      </c>
      <c r="AD77" s="8">
        <f>IF(AA77="","",VLOOKUP('Reel 4 Symbol'!AA77,'Reel 4 Symbol'!$A$3:$E$25,5,0))</f>
        <v>22</v>
      </c>
      <c r="AF77" s="8">
        <f t="shared" si="21"/>
        <v>3</v>
      </c>
      <c r="AG77" s="8" t="str">
        <f t="shared" si="22"/>
        <v>G3</v>
      </c>
      <c r="AH77" s="133"/>
      <c r="AI77" s="27">
        <v>74</v>
      </c>
      <c r="AJ77" s="8">
        <v>3</v>
      </c>
      <c r="AK77" s="8" t="s">
        <v>98</v>
      </c>
      <c r="AM77" s="8">
        <f>IF(AJ77="","",VLOOKUP('Reel 4 Symbol'!AJ77,'Reel 4 Symbol'!$A$3:$E$25,5,0))</f>
        <v>10</v>
      </c>
      <c r="AN77" s="8">
        <f>IF(AK77="","",VLOOKUP('Reel 4 Symbol'!AK77,'Reel 4 Symbol'!$A$3:$E$25,5,0))</f>
        <v>22</v>
      </c>
      <c r="AP77" s="8">
        <f t="shared" si="23"/>
        <v>3</v>
      </c>
      <c r="AQ77" s="8" t="str">
        <f t="shared" si="24"/>
        <v>G3</v>
      </c>
      <c r="AR77" s="133"/>
      <c r="AS77" s="27">
        <v>74</v>
      </c>
      <c r="AT77" s="8">
        <v>15</v>
      </c>
      <c r="AU77" s="8" t="s">
        <v>126</v>
      </c>
      <c r="AW77" s="8">
        <f>IF(AT77="","",VLOOKUP('Reel 4 Symbol'!AT77,'Reel 4 Symbol'!$A$3:$E$25,5,0))</f>
        <v>13</v>
      </c>
      <c r="AX77" s="8">
        <f>IF(AU77="","",VLOOKUP('Reel 4 Symbol'!AU77,'Reel 4 Symbol'!$A$3:$E$25,5,0))</f>
        <v>25</v>
      </c>
      <c r="AZ77" s="8">
        <f t="shared" si="25"/>
        <v>15</v>
      </c>
      <c r="BA77" s="8" t="str">
        <f t="shared" si="26"/>
        <v>G15</v>
      </c>
      <c r="BC77" s="27">
        <v>74</v>
      </c>
      <c r="BD77" s="8">
        <v>3</v>
      </c>
      <c r="BE77" s="8" t="s">
        <v>98</v>
      </c>
      <c r="BG77" s="8">
        <f>IF(BD77="","",VLOOKUP('Reel 4 Symbol'!BD77,'Reel 4 Symbol'!$A$3:$E$25,5,0))</f>
        <v>10</v>
      </c>
      <c r="BH77" s="8">
        <f>IF(BE77="","",VLOOKUP('Reel 4 Symbol'!BE77,'Reel 4 Symbol'!$A$3:$E$25,5,0))</f>
        <v>22</v>
      </c>
      <c r="BJ77" s="8">
        <f t="shared" si="27"/>
        <v>3</v>
      </c>
      <c r="BK77" s="8" t="str">
        <f t="shared" si="28"/>
        <v>G3</v>
      </c>
    </row>
    <row r="78" spans="24:63" ht="16.8" customHeight="1">
      <c r="X78" s="133"/>
      <c r="Y78" s="27">
        <v>75</v>
      </c>
      <c r="Z78" s="8">
        <v>2</v>
      </c>
      <c r="AA78" s="8">
        <v>2</v>
      </c>
      <c r="AC78" s="8">
        <f>IF(Z78="","",VLOOKUP('Reel 4 Symbol'!Z78,'Reel 4 Symbol'!$A$3:$E$25,5,0))</f>
        <v>9</v>
      </c>
      <c r="AD78" s="8">
        <f>IF(AA78="","",VLOOKUP('Reel 4 Symbol'!AA78,'Reel 4 Symbol'!$A$3:$E$25,5,0))</f>
        <v>9</v>
      </c>
      <c r="AF78" s="8">
        <f t="shared" si="21"/>
        <v>2</v>
      </c>
      <c r="AG78" s="8">
        <f t="shared" si="22"/>
        <v>2</v>
      </c>
      <c r="AH78" s="133"/>
      <c r="AI78" s="27">
        <v>75</v>
      </c>
      <c r="AJ78" s="8">
        <v>2</v>
      </c>
      <c r="AK78" s="8">
        <v>2</v>
      </c>
      <c r="AM78" s="8">
        <f>IF(AJ78="","",VLOOKUP('Reel 4 Symbol'!AJ78,'Reel 4 Symbol'!$A$3:$E$25,5,0))</f>
        <v>9</v>
      </c>
      <c r="AN78" s="8">
        <f>IF(AK78="","",VLOOKUP('Reel 4 Symbol'!AK78,'Reel 4 Symbol'!$A$3:$E$25,5,0))</f>
        <v>9</v>
      </c>
      <c r="AP78" s="8">
        <f t="shared" si="23"/>
        <v>2</v>
      </c>
      <c r="AQ78" s="8">
        <f t="shared" si="24"/>
        <v>2</v>
      </c>
      <c r="AR78" s="133"/>
      <c r="AS78" s="27">
        <v>75</v>
      </c>
      <c r="AT78" s="8">
        <v>20</v>
      </c>
      <c r="AU78" s="8">
        <v>20</v>
      </c>
      <c r="AW78" s="8">
        <f>IF(AT78="","",VLOOKUP('Reel 4 Symbol'!AT78,'Reel 4 Symbol'!$A$3:$E$25,5,0))</f>
        <v>14</v>
      </c>
      <c r="AX78" s="8">
        <f>IF(AU78="","",VLOOKUP('Reel 4 Symbol'!AU78,'Reel 4 Symbol'!$A$3:$E$25,5,0))</f>
        <v>14</v>
      </c>
      <c r="AZ78" s="8">
        <f t="shared" si="25"/>
        <v>20</v>
      </c>
      <c r="BA78" s="8">
        <f t="shared" si="26"/>
        <v>20</v>
      </c>
      <c r="BC78" s="27">
        <v>75</v>
      </c>
      <c r="BD78" s="8">
        <v>2</v>
      </c>
      <c r="BE78" s="8">
        <v>2</v>
      </c>
      <c r="BG78" s="8">
        <f>IF(BD78="","",VLOOKUP('Reel 4 Symbol'!BD78,'Reel 4 Symbol'!$A$3:$E$25,5,0))</f>
        <v>9</v>
      </c>
      <c r="BH78" s="8">
        <f>IF(BE78="","",VLOOKUP('Reel 4 Symbol'!BE78,'Reel 4 Symbol'!$A$3:$E$25,5,0))</f>
        <v>9</v>
      </c>
      <c r="BJ78" s="8">
        <f t="shared" si="27"/>
        <v>2</v>
      </c>
      <c r="BK78" s="8">
        <f t="shared" si="28"/>
        <v>2</v>
      </c>
    </row>
    <row r="79" spans="24:63" ht="16.8" customHeight="1">
      <c r="X79" s="133"/>
      <c r="Y79" s="27">
        <v>76</v>
      </c>
      <c r="Z79" s="8">
        <v>1</v>
      </c>
      <c r="AA79" s="8" t="s">
        <v>96</v>
      </c>
      <c r="AC79" s="8">
        <f>IF(Z79="","",VLOOKUP('Reel 4 Symbol'!Z79,'Reel 4 Symbol'!$A$3:$E$25,5,0))</f>
        <v>8</v>
      </c>
      <c r="AD79" s="8">
        <f>IF(AA79="","",VLOOKUP('Reel 4 Symbol'!AA79,'Reel 4 Symbol'!$A$3:$E$25,5,0))</f>
        <v>20</v>
      </c>
      <c r="AF79" s="8">
        <f t="shared" si="21"/>
        <v>1</v>
      </c>
      <c r="AG79" s="8" t="str">
        <f t="shared" si="22"/>
        <v>G1</v>
      </c>
      <c r="AH79" s="133"/>
      <c r="AI79" s="27">
        <v>76</v>
      </c>
      <c r="AJ79" s="8">
        <v>15</v>
      </c>
      <c r="AK79" s="8" t="s">
        <v>126</v>
      </c>
      <c r="AM79" s="8">
        <f>IF(AJ79="","",VLOOKUP('Reel 4 Symbol'!AJ79,'Reel 4 Symbol'!$A$3:$E$25,5,0))</f>
        <v>13</v>
      </c>
      <c r="AN79" s="8">
        <f>IF(AK79="","",VLOOKUP('Reel 4 Symbol'!AK79,'Reel 4 Symbol'!$A$3:$E$25,5,0))</f>
        <v>25</v>
      </c>
      <c r="AP79" s="8">
        <f t="shared" si="23"/>
        <v>15</v>
      </c>
      <c r="AQ79" s="8" t="str">
        <f t="shared" si="24"/>
        <v>G15</v>
      </c>
      <c r="AR79" s="133"/>
      <c r="AS79" s="27">
        <v>76</v>
      </c>
      <c r="AT79" s="8">
        <v>15</v>
      </c>
      <c r="AU79" s="8" t="s">
        <v>101</v>
      </c>
      <c r="AW79" s="8">
        <f>IF(AT79="","",VLOOKUP('Reel 4 Symbol'!AT79,'Reel 4 Symbol'!$A$3:$E$25,5,0))</f>
        <v>13</v>
      </c>
      <c r="AX79" s="8">
        <f>IF(AU79="","",VLOOKUP('Reel 4 Symbol'!AU79,'Reel 4 Symbol'!$A$3:$E$25,5,0))</f>
        <v>25</v>
      </c>
      <c r="AZ79" s="8">
        <f t="shared" si="25"/>
        <v>15</v>
      </c>
      <c r="BA79" s="8" t="str">
        <f t="shared" si="26"/>
        <v>G15</v>
      </c>
      <c r="BC79" s="27">
        <v>76</v>
      </c>
      <c r="BD79" s="8">
        <v>15</v>
      </c>
      <c r="BE79" s="8" t="s">
        <v>101</v>
      </c>
      <c r="BG79" s="8">
        <f>IF(BD79="","",VLOOKUP('Reel 4 Symbol'!BD79,'Reel 4 Symbol'!$A$3:$E$25,5,0))</f>
        <v>13</v>
      </c>
      <c r="BH79" s="8">
        <f>IF(BE79="","",VLOOKUP('Reel 4 Symbol'!BE79,'Reel 4 Symbol'!$A$3:$E$25,5,0))</f>
        <v>25</v>
      </c>
      <c r="BJ79" s="8">
        <f t="shared" si="27"/>
        <v>15</v>
      </c>
      <c r="BK79" s="8" t="str">
        <f t="shared" si="28"/>
        <v>G15</v>
      </c>
    </row>
    <row r="80" spans="24:63" ht="16.8" customHeight="1">
      <c r="X80" s="133"/>
      <c r="Y80" s="27">
        <v>77</v>
      </c>
      <c r="Z80" s="8">
        <v>50</v>
      </c>
      <c r="AA80" s="8">
        <v>50</v>
      </c>
      <c r="AC80" s="8">
        <f>IF(Z80="","",VLOOKUP('Reel 4 Symbol'!Z80,'Reel 4 Symbol'!$A$3:$E$25,5,0))</f>
        <v>16</v>
      </c>
      <c r="AD80" s="8">
        <f>IF(AA80="","",VLOOKUP('Reel 4 Symbol'!AA80,'Reel 4 Symbol'!$A$3:$E$25,5,0))</f>
        <v>16</v>
      </c>
      <c r="AF80" s="8">
        <f t="shared" si="21"/>
        <v>50</v>
      </c>
      <c r="AG80" s="8">
        <f t="shared" si="22"/>
        <v>50</v>
      </c>
      <c r="AH80" s="133"/>
      <c r="AI80" s="27">
        <v>77</v>
      </c>
      <c r="AJ80" s="8">
        <v>50</v>
      </c>
      <c r="AK80" s="8">
        <v>50</v>
      </c>
      <c r="AM80" s="8">
        <f>IF(AJ80="","",VLOOKUP('Reel 4 Symbol'!AJ80,'Reel 4 Symbol'!$A$3:$E$25,5,0))</f>
        <v>16</v>
      </c>
      <c r="AN80" s="8">
        <f>IF(AK80="","",VLOOKUP('Reel 4 Symbol'!AK80,'Reel 4 Symbol'!$A$3:$E$25,5,0))</f>
        <v>16</v>
      </c>
      <c r="AP80" s="8">
        <f t="shared" si="23"/>
        <v>50</v>
      </c>
      <c r="AQ80" s="8">
        <f t="shared" si="24"/>
        <v>50</v>
      </c>
      <c r="AR80" s="133"/>
      <c r="AS80" s="27">
        <v>77</v>
      </c>
      <c r="AT80" s="8">
        <v>50</v>
      </c>
      <c r="AU80" s="8">
        <v>50</v>
      </c>
      <c r="AW80" s="8">
        <f>IF(AT80="","",VLOOKUP('Reel 4 Symbol'!AT80,'Reel 4 Symbol'!$A$3:$E$25,5,0))</f>
        <v>16</v>
      </c>
      <c r="AX80" s="8">
        <f>IF(AU80="","",VLOOKUP('Reel 4 Symbol'!AU80,'Reel 4 Symbol'!$A$3:$E$25,5,0))</f>
        <v>16</v>
      </c>
      <c r="AZ80" s="8">
        <f t="shared" si="25"/>
        <v>50</v>
      </c>
      <c r="BA80" s="8">
        <f t="shared" si="26"/>
        <v>50</v>
      </c>
      <c r="BC80" s="27">
        <v>77</v>
      </c>
      <c r="BD80" s="8">
        <v>50</v>
      </c>
      <c r="BE80" s="8">
        <v>50</v>
      </c>
      <c r="BG80" s="8">
        <f>IF(BD80="","",VLOOKUP('Reel 4 Symbol'!BD80,'Reel 4 Symbol'!$A$3:$E$25,5,0))</f>
        <v>16</v>
      </c>
      <c r="BH80" s="8">
        <f>IF(BE80="","",VLOOKUP('Reel 4 Symbol'!BE80,'Reel 4 Symbol'!$A$3:$E$25,5,0))</f>
        <v>16</v>
      </c>
      <c r="BJ80" s="8">
        <f t="shared" si="27"/>
        <v>50</v>
      </c>
      <c r="BK80" s="8">
        <f t="shared" si="28"/>
        <v>50</v>
      </c>
    </row>
    <row r="81" spans="24:63" ht="16.8" customHeight="1">
      <c r="X81" s="133"/>
      <c r="Y81" s="27">
        <v>78</v>
      </c>
      <c r="Z81" s="8">
        <v>25</v>
      </c>
      <c r="AA81" s="8" t="s">
        <v>103</v>
      </c>
      <c r="AC81" s="8">
        <f>IF(Z81="","",VLOOKUP('Reel 4 Symbol'!Z81,'Reel 4 Symbol'!$A$3:$E$25,5,0))</f>
        <v>15</v>
      </c>
      <c r="AD81" s="8">
        <f>IF(AA81="","",VLOOKUP('Reel 4 Symbol'!AA81,'Reel 4 Symbol'!$A$3:$E$25,5,0))</f>
        <v>27</v>
      </c>
      <c r="AF81" s="8">
        <f t="shared" si="21"/>
        <v>25</v>
      </c>
      <c r="AG81" s="8" t="str">
        <f t="shared" si="22"/>
        <v>G25</v>
      </c>
      <c r="AH81" s="133"/>
      <c r="AI81" s="27">
        <v>78</v>
      </c>
      <c r="AJ81" s="8">
        <v>25</v>
      </c>
      <c r="AK81" s="8" t="s">
        <v>103</v>
      </c>
      <c r="AM81" s="8">
        <f>IF(AJ81="","",VLOOKUP('Reel 4 Symbol'!AJ81,'Reel 4 Symbol'!$A$3:$E$25,5,0))</f>
        <v>15</v>
      </c>
      <c r="AN81" s="8">
        <f>IF(AK81="","",VLOOKUP('Reel 4 Symbol'!AK81,'Reel 4 Symbol'!$A$3:$E$25,5,0))</f>
        <v>27</v>
      </c>
      <c r="AP81" s="8">
        <f t="shared" si="23"/>
        <v>25</v>
      </c>
      <c r="AQ81" s="8" t="str">
        <f t="shared" si="24"/>
        <v>G25</v>
      </c>
      <c r="AR81" s="133"/>
      <c r="AS81" s="27">
        <v>78</v>
      </c>
      <c r="AT81" s="8">
        <v>25</v>
      </c>
      <c r="AU81" s="8" t="s">
        <v>103</v>
      </c>
      <c r="AW81" s="8">
        <f>IF(AT81="","",VLOOKUP('Reel 4 Symbol'!AT81,'Reel 4 Symbol'!$A$3:$E$25,5,0))</f>
        <v>15</v>
      </c>
      <c r="AX81" s="8">
        <f>IF(AU81="","",VLOOKUP('Reel 4 Symbol'!AU81,'Reel 4 Symbol'!$A$3:$E$25,5,0))</f>
        <v>27</v>
      </c>
      <c r="AZ81" s="8">
        <f t="shared" si="25"/>
        <v>25</v>
      </c>
      <c r="BA81" s="8" t="str">
        <f t="shared" si="26"/>
        <v>G25</v>
      </c>
      <c r="BC81" s="27">
        <v>78</v>
      </c>
      <c r="BD81" s="8">
        <v>25</v>
      </c>
      <c r="BE81" s="8" t="s">
        <v>103</v>
      </c>
      <c r="BG81" s="8">
        <f>IF(BD81="","",VLOOKUP('Reel 4 Symbol'!BD81,'Reel 4 Symbol'!$A$3:$E$25,5,0))</f>
        <v>15</v>
      </c>
      <c r="BH81" s="8">
        <f>IF(BE81="","",VLOOKUP('Reel 4 Symbol'!BE81,'Reel 4 Symbol'!$A$3:$E$25,5,0))</f>
        <v>27</v>
      </c>
      <c r="BJ81" s="8">
        <f t="shared" si="27"/>
        <v>25</v>
      </c>
      <c r="BK81" s="8" t="str">
        <f t="shared" si="28"/>
        <v>G25</v>
      </c>
    </row>
    <row r="82" spans="24:63" ht="16.8" customHeight="1">
      <c r="X82" s="133"/>
      <c r="Y82" s="27">
        <v>79</v>
      </c>
      <c r="Z82" s="8">
        <v>15</v>
      </c>
      <c r="AA82" s="8">
        <v>15</v>
      </c>
      <c r="AC82" s="8">
        <f>IF(Z82="","",VLOOKUP('Reel 4 Symbol'!Z82,'Reel 4 Symbol'!$A$3:$E$25,5,0))</f>
        <v>13</v>
      </c>
      <c r="AD82" s="8">
        <f>IF(AA82="","",VLOOKUP('Reel 4 Symbol'!AA82,'Reel 4 Symbol'!$A$3:$E$25,5,0))</f>
        <v>13</v>
      </c>
      <c r="AF82" s="8">
        <f t="shared" si="21"/>
        <v>15</v>
      </c>
      <c r="AG82" s="8">
        <f t="shared" si="22"/>
        <v>15</v>
      </c>
      <c r="AH82" s="133"/>
      <c r="AI82" s="27">
        <v>79</v>
      </c>
      <c r="AJ82" s="8">
        <v>15</v>
      </c>
      <c r="AK82" s="8">
        <v>15</v>
      </c>
      <c r="AM82" s="8">
        <f>IF(AJ82="","",VLOOKUP('Reel 4 Symbol'!AJ82,'Reel 4 Symbol'!$A$3:$E$25,5,0))</f>
        <v>13</v>
      </c>
      <c r="AN82" s="8">
        <f>IF(AK82="","",VLOOKUP('Reel 4 Symbol'!AK82,'Reel 4 Symbol'!$A$3:$E$25,5,0))</f>
        <v>13</v>
      </c>
      <c r="AP82" s="8">
        <f t="shared" si="23"/>
        <v>15</v>
      </c>
      <c r="AQ82" s="8">
        <f t="shared" si="24"/>
        <v>15</v>
      </c>
      <c r="AR82" s="133"/>
      <c r="AS82" s="27">
        <v>79</v>
      </c>
      <c r="AT82" s="8">
        <v>100</v>
      </c>
      <c r="AU82" s="8">
        <v>15</v>
      </c>
      <c r="AW82" s="8">
        <f>IF(AT82="","",VLOOKUP('Reel 4 Symbol'!AT82,'Reel 4 Symbol'!$A$3:$E$25,5,0))</f>
        <v>17</v>
      </c>
      <c r="AX82" s="8">
        <f>IF(AU82="","",VLOOKUP('Reel 4 Symbol'!AU82,'Reel 4 Symbol'!$A$3:$E$25,5,0))</f>
        <v>13</v>
      </c>
      <c r="AZ82" s="8">
        <f t="shared" si="25"/>
        <v>100</v>
      </c>
      <c r="BA82" s="8">
        <f t="shared" si="26"/>
        <v>15</v>
      </c>
      <c r="BC82" s="27">
        <v>79</v>
      </c>
      <c r="BD82" s="8">
        <v>15</v>
      </c>
      <c r="BE82" s="8">
        <v>15</v>
      </c>
      <c r="BG82" s="8">
        <f>IF(BD82="","",VLOOKUP('Reel 4 Symbol'!BD82,'Reel 4 Symbol'!$A$3:$E$25,5,0))</f>
        <v>13</v>
      </c>
      <c r="BH82" s="8">
        <f>IF(BE82="","",VLOOKUP('Reel 4 Symbol'!BE82,'Reel 4 Symbol'!$A$3:$E$25,5,0))</f>
        <v>13</v>
      </c>
      <c r="BJ82" s="8">
        <f t="shared" si="27"/>
        <v>15</v>
      </c>
      <c r="BK82" s="8">
        <f t="shared" si="28"/>
        <v>15</v>
      </c>
    </row>
    <row r="83" spans="24:63" ht="16.8" customHeight="1">
      <c r="X83" s="133"/>
      <c r="Y83" s="27">
        <v>80</v>
      </c>
      <c r="Z83" s="8">
        <v>2</v>
      </c>
      <c r="AA83" s="8" t="s">
        <v>124</v>
      </c>
      <c r="AC83" s="8">
        <f>IF(Z83="","",VLOOKUP('Reel 4 Symbol'!Z83,'Reel 4 Symbol'!$A$3:$E$25,5,0))</f>
        <v>9</v>
      </c>
      <c r="AD83" s="8">
        <f>IF(AA83="","",VLOOKUP('Reel 4 Symbol'!AA83,'Reel 4 Symbol'!$A$3:$E$25,5,0))</f>
        <v>21</v>
      </c>
      <c r="AF83" s="8">
        <f t="shared" si="21"/>
        <v>2</v>
      </c>
      <c r="AG83" s="8" t="str">
        <f t="shared" si="22"/>
        <v>G2</v>
      </c>
      <c r="AH83" s="133"/>
      <c r="AI83" s="27">
        <v>80</v>
      </c>
      <c r="AJ83" s="8">
        <v>2</v>
      </c>
      <c r="AK83" s="8" t="s">
        <v>97</v>
      </c>
      <c r="AM83" s="8">
        <f>IF(AJ83="","",VLOOKUP('Reel 4 Symbol'!AJ83,'Reel 4 Symbol'!$A$3:$E$25,5,0))</f>
        <v>9</v>
      </c>
      <c r="AN83" s="8">
        <f>IF(AK83="","",VLOOKUP('Reel 4 Symbol'!AK83,'Reel 4 Symbol'!$A$3:$E$25,5,0))</f>
        <v>21</v>
      </c>
      <c r="AP83" s="8">
        <f t="shared" si="23"/>
        <v>2</v>
      </c>
      <c r="AQ83" s="8" t="str">
        <f t="shared" si="24"/>
        <v>G2</v>
      </c>
      <c r="AR83" s="133"/>
      <c r="AS83" s="27">
        <v>80</v>
      </c>
      <c r="AT83" s="8">
        <v>15</v>
      </c>
      <c r="AU83" s="8" t="s">
        <v>126</v>
      </c>
      <c r="AW83" s="8">
        <f>IF(AT83="","",VLOOKUP('Reel 4 Symbol'!AT83,'Reel 4 Symbol'!$A$3:$E$25,5,0))</f>
        <v>13</v>
      </c>
      <c r="AX83" s="8">
        <f>IF(AU83="","",VLOOKUP('Reel 4 Symbol'!AU83,'Reel 4 Symbol'!$A$3:$E$25,5,0))</f>
        <v>25</v>
      </c>
      <c r="AZ83" s="8">
        <f t="shared" si="25"/>
        <v>15</v>
      </c>
      <c r="BA83" s="8" t="str">
        <f t="shared" si="26"/>
        <v>G15</v>
      </c>
      <c r="BC83" s="27">
        <v>80</v>
      </c>
      <c r="BD83" s="8">
        <v>2</v>
      </c>
      <c r="BE83" s="8" t="s">
        <v>97</v>
      </c>
      <c r="BG83" s="8">
        <f>IF(BD83="","",VLOOKUP('Reel 4 Symbol'!BD83,'Reel 4 Symbol'!$A$3:$E$25,5,0))</f>
        <v>9</v>
      </c>
      <c r="BH83" s="8">
        <f>IF(BE83="","",VLOOKUP('Reel 4 Symbol'!BE83,'Reel 4 Symbol'!$A$3:$E$25,5,0))</f>
        <v>21</v>
      </c>
      <c r="BJ83" s="8">
        <f t="shared" si="27"/>
        <v>2</v>
      </c>
      <c r="BK83" s="8" t="str">
        <f t="shared" si="28"/>
        <v>G2</v>
      </c>
    </row>
    <row r="84" spans="24:63" ht="16.8" customHeight="1">
      <c r="X84" s="133"/>
      <c r="Y84" s="27">
        <v>81</v>
      </c>
      <c r="Z84" s="8">
        <v>3</v>
      </c>
      <c r="AA84" s="8">
        <v>3</v>
      </c>
      <c r="AC84" s="8">
        <f>IF(Z84="","",VLOOKUP('Reel 4 Symbol'!Z84,'Reel 4 Symbol'!$A$3:$E$25,5,0))</f>
        <v>10</v>
      </c>
      <c r="AD84" s="8">
        <f>IF(AA84="","",VLOOKUP('Reel 4 Symbol'!AA84,'Reel 4 Symbol'!$A$3:$E$25,5,0))</f>
        <v>10</v>
      </c>
      <c r="AF84" s="8">
        <f t="shared" si="21"/>
        <v>3</v>
      </c>
      <c r="AG84" s="8">
        <f t="shared" si="22"/>
        <v>3</v>
      </c>
      <c r="AH84" s="133"/>
      <c r="AI84" s="27">
        <v>81</v>
      </c>
      <c r="AJ84" s="8">
        <v>3</v>
      </c>
      <c r="AK84" s="8">
        <v>3</v>
      </c>
      <c r="AM84" s="8">
        <f>IF(AJ84="","",VLOOKUP('Reel 4 Symbol'!AJ84,'Reel 4 Symbol'!$A$3:$E$25,5,0))</f>
        <v>10</v>
      </c>
      <c r="AN84" s="8">
        <f>IF(AK84="","",VLOOKUP('Reel 4 Symbol'!AK84,'Reel 4 Symbol'!$A$3:$E$25,5,0))</f>
        <v>10</v>
      </c>
      <c r="AP84" s="8">
        <f t="shared" si="23"/>
        <v>3</v>
      </c>
      <c r="AQ84" s="8">
        <f t="shared" si="24"/>
        <v>3</v>
      </c>
      <c r="AR84" s="133"/>
      <c r="AS84" s="27">
        <v>81</v>
      </c>
      <c r="AT84" s="8">
        <v>10</v>
      </c>
      <c r="AU84" s="8">
        <v>10</v>
      </c>
      <c r="AW84" s="8">
        <f>IF(AT84="","",VLOOKUP('Reel 4 Symbol'!AT84,'Reel 4 Symbol'!$A$3:$E$25,5,0))</f>
        <v>12</v>
      </c>
      <c r="AX84" s="8">
        <f>IF(AU84="","",VLOOKUP('Reel 4 Symbol'!AU84,'Reel 4 Symbol'!$A$3:$E$25,5,0))</f>
        <v>12</v>
      </c>
      <c r="AZ84" s="8">
        <f t="shared" si="25"/>
        <v>10</v>
      </c>
      <c r="BA84" s="8">
        <f t="shared" si="26"/>
        <v>10</v>
      </c>
      <c r="BC84" s="27">
        <v>81</v>
      </c>
      <c r="BD84" s="8">
        <v>3</v>
      </c>
      <c r="BE84" s="8">
        <v>3</v>
      </c>
      <c r="BG84" s="8">
        <f>IF(BD84="","",VLOOKUP('Reel 4 Symbol'!BD84,'Reel 4 Symbol'!$A$3:$E$25,5,0))</f>
        <v>10</v>
      </c>
      <c r="BH84" s="8">
        <f>IF(BE84="","",VLOOKUP('Reel 4 Symbol'!BE84,'Reel 4 Symbol'!$A$3:$E$25,5,0))</f>
        <v>10</v>
      </c>
      <c r="BJ84" s="8">
        <f t="shared" si="27"/>
        <v>3</v>
      </c>
      <c r="BK84" s="8">
        <f t="shared" si="28"/>
        <v>3</v>
      </c>
    </row>
    <row r="85" spans="24:63" ht="16.8" customHeight="1">
      <c r="X85" s="133"/>
      <c r="Y85" s="27">
        <v>82</v>
      </c>
      <c r="Z85" s="8">
        <v>1</v>
      </c>
      <c r="AA85" s="8" t="s">
        <v>184</v>
      </c>
      <c r="AC85" s="8">
        <f>IF(Z85="","",VLOOKUP('Reel 4 Symbol'!Z85,'Reel 4 Symbol'!$A$3:$E$25,5,0))</f>
        <v>8</v>
      </c>
      <c r="AD85" s="8">
        <f>IF(AA85="","",VLOOKUP('Reel 4 Symbol'!AA85,'Reel 4 Symbol'!$A$3:$E$25,5,0))</f>
        <v>20</v>
      </c>
      <c r="AF85" s="8">
        <f t="shared" si="21"/>
        <v>1</v>
      </c>
      <c r="AG85" s="8" t="str">
        <f t="shared" si="22"/>
        <v>G1</v>
      </c>
      <c r="AH85" s="133"/>
      <c r="AI85" s="27">
        <v>82</v>
      </c>
      <c r="AJ85" s="8">
        <v>20</v>
      </c>
      <c r="AK85" s="8" t="s">
        <v>125</v>
      </c>
      <c r="AM85" s="8">
        <f>IF(AJ85="","",VLOOKUP('Reel 4 Symbol'!AJ85,'Reel 4 Symbol'!$A$3:$E$25,5,0))</f>
        <v>14</v>
      </c>
      <c r="AN85" s="8">
        <f>IF(AK85="","",VLOOKUP('Reel 4 Symbol'!AK85,'Reel 4 Symbol'!$A$3:$E$25,5,0))</f>
        <v>26</v>
      </c>
      <c r="AP85" s="8">
        <f t="shared" si="23"/>
        <v>20</v>
      </c>
      <c r="AQ85" s="8" t="str">
        <f t="shared" si="24"/>
        <v>G20</v>
      </c>
      <c r="AR85" s="133"/>
      <c r="AS85" s="27">
        <v>82</v>
      </c>
      <c r="AT85" s="8">
        <v>20</v>
      </c>
      <c r="AU85" s="8" t="s">
        <v>102</v>
      </c>
      <c r="AW85" s="8">
        <f>IF(AT85="","",VLOOKUP('Reel 4 Symbol'!AT85,'Reel 4 Symbol'!$A$3:$E$25,5,0))</f>
        <v>14</v>
      </c>
      <c r="AX85" s="8">
        <f>IF(AU85="","",VLOOKUP('Reel 4 Symbol'!AU85,'Reel 4 Symbol'!$A$3:$E$25,5,0))</f>
        <v>26</v>
      </c>
      <c r="AZ85" s="8">
        <f t="shared" si="25"/>
        <v>20</v>
      </c>
      <c r="BA85" s="8" t="str">
        <f t="shared" si="26"/>
        <v>G20</v>
      </c>
      <c r="BC85" s="27">
        <v>82</v>
      </c>
      <c r="BD85" s="8">
        <v>20</v>
      </c>
      <c r="BE85" s="8" t="s">
        <v>102</v>
      </c>
      <c r="BG85" s="8">
        <f>IF(BD85="","",VLOOKUP('Reel 4 Symbol'!BD85,'Reel 4 Symbol'!$A$3:$E$25,5,0))</f>
        <v>14</v>
      </c>
      <c r="BH85" s="8">
        <f>IF(BE85="","",VLOOKUP('Reel 4 Symbol'!BE85,'Reel 4 Symbol'!$A$3:$E$25,5,0))</f>
        <v>26</v>
      </c>
      <c r="BJ85" s="8">
        <f t="shared" si="27"/>
        <v>20</v>
      </c>
      <c r="BK85" s="8" t="str">
        <f t="shared" si="28"/>
        <v>G20</v>
      </c>
    </row>
    <row r="86" spans="24:63" ht="16.8" customHeight="1">
      <c r="X86" s="133"/>
      <c r="Y86" s="27">
        <v>83</v>
      </c>
      <c r="Z86" s="8">
        <v>2</v>
      </c>
      <c r="AA86" s="8">
        <v>2</v>
      </c>
      <c r="AC86" s="8">
        <f>IF(Z86="","",VLOOKUP('Reel 4 Symbol'!Z86,'Reel 4 Symbol'!$A$3:$E$25,5,0))</f>
        <v>9</v>
      </c>
      <c r="AD86" s="8">
        <f>IF(AA86="","",VLOOKUP('Reel 4 Symbol'!AA86,'Reel 4 Symbol'!$A$3:$E$25,5,0))</f>
        <v>9</v>
      </c>
      <c r="AF86" s="8">
        <f t="shared" si="21"/>
        <v>2</v>
      </c>
      <c r="AG86" s="8">
        <f t="shared" si="22"/>
        <v>2</v>
      </c>
      <c r="AH86" s="133"/>
      <c r="AI86" s="27">
        <v>83</v>
      </c>
      <c r="AJ86" s="8">
        <v>2</v>
      </c>
      <c r="AK86" s="8">
        <v>2</v>
      </c>
      <c r="AM86" s="8">
        <f>IF(AJ86="","",VLOOKUP('Reel 4 Symbol'!AJ86,'Reel 4 Symbol'!$A$3:$E$25,5,0))</f>
        <v>9</v>
      </c>
      <c r="AN86" s="8">
        <f>IF(AK86="","",VLOOKUP('Reel 4 Symbol'!AK86,'Reel 4 Symbol'!$A$3:$E$25,5,0))</f>
        <v>9</v>
      </c>
      <c r="AP86" s="8">
        <f t="shared" si="23"/>
        <v>2</v>
      </c>
      <c r="AQ86" s="8">
        <f t="shared" si="24"/>
        <v>2</v>
      </c>
      <c r="AR86" s="133"/>
      <c r="AS86" s="27">
        <v>83</v>
      </c>
      <c r="AT86" s="8">
        <v>50</v>
      </c>
      <c r="AU86" s="8">
        <v>50</v>
      </c>
      <c r="AW86" s="8">
        <f>IF(AT86="","",VLOOKUP('Reel 4 Symbol'!AT86,'Reel 4 Symbol'!$A$3:$E$25,5,0))</f>
        <v>16</v>
      </c>
      <c r="AX86" s="8">
        <f>IF(AU86="","",VLOOKUP('Reel 4 Symbol'!AU86,'Reel 4 Symbol'!$A$3:$E$25,5,0))</f>
        <v>16</v>
      </c>
      <c r="AZ86" s="8">
        <f t="shared" si="25"/>
        <v>50</v>
      </c>
      <c r="BA86" s="8">
        <f t="shared" si="26"/>
        <v>50</v>
      </c>
      <c r="BC86" s="27">
        <v>83</v>
      </c>
      <c r="BD86" s="8">
        <v>2</v>
      </c>
      <c r="BE86" s="8">
        <v>2</v>
      </c>
      <c r="BG86" s="8">
        <f>IF(BD86="","",VLOOKUP('Reel 4 Symbol'!BD86,'Reel 4 Symbol'!$A$3:$E$25,5,0))</f>
        <v>9</v>
      </c>
      <c r="BH86" s="8">
        <f>IF(BE86="","",VLOOKUP('Reel 4 Symbol'!BE86,'Reel 4 Symbol'!$A$3:$E$25,5,0))</f>
        <v>9</v>
      </c>
      <c r="BJ86" s="8">
        <f t="shared" si="27"/>
        <v>2</v>
      </c>
      <c r="BK86" s="8">
        <f t="shared" si="28"/>
        <v>2</v>
      </c>
    </row>
    <row r="87" spans="24:63" ht="16.8" customHeight="1">
      <c r="X87" s="133"/>
      <c r="Y87" s="27">
        <v>84</v>
      </c>
      <c r="Z87" s="8">
        <v>10</v>
      </c>
      <c r="AA87" s="8" t="s">
        <v>100</v>
      </c>
      <c r="AC87" s="8">
        <f>IF(Z87="","",VLOOKUP('Reel 4 Symbol'!Z87,'Reel 4 Symbol'!$A$3:$E$25,5,0))</f>
        <v>12</v>
      </c>
      <c r="AD87" s="8">
        <f>IF(AA87="","",VLOOKUP('Reel 4 Symbol'!AA87,'Reel 4 Symbol'!$A$3:$E$25,5,0))</f>
        <v>24</v>
      </c>
      <c r="AF87" s="8">
        <f t="shared" si="21"/>
        <v>10</v>
      </c>
      <c r="AG87" s="8" t="str">
        <f t="shared" si="22"/>
        <v>G10</v>
      </c>
      <c r="AH87" s="133"/>
      <c r="AI87" s="27">
        <v>84</v>
      </c>
      <c r="AJ87" s="8">
        <v>10</v>
      </c>
      <c r="AK87" s="8" t="s">
        <v>100</v>
      </c>
      <c r="AM87" s="8">
        <f>IF(AJ87="","",VLOOKUP('Reel 4 Symbol'!AJ87,'Reel 4 Symbol'!$A$3:$E$25,5,0))</f>
        <v>12</v>
      </c>
      <c r="AN87" s="8">
        <f>IF(AK87="","",VLOOKUP('Reel 4 Symbol'!AK87,'Reel 4 Symbol'!$A$3:$E$25,5,0))</f>
        <v>24</v>
      </c>
      <c r="AP87" s="8">
        <f t="shared" si="23"/>
        <v>10</v>
      </c>
      <c r="AQ87" s="8" t="str">
        <f t="shared" si="24"/>
        <v>G10</v>
      </c>
      <c r="AR87" s="133"/>
      <c r="AS87" s="27">
        <v>84</v>
      </c>
      <c r="AT87" s="8">
        <v>10</v>
      </c>
      <c r="AU87" s="8" t="s">
        <v>100</v>
      </c>
      <c r="AW87" s="8">
        <f>IF(AT87="","",VLOOKUP('Reel 4 Symbol'!AT87,'Reel 4 Symbol'!$A$3:$E$25,5,0))</f>
        <v>12</v>
      </c>
      <c r="AX87" s="8">
        <f>IF(AU87="","",VLOOKUP('Reel 4 Symbol'!AU87,'Reel 4 Symbol'!$A$3:$E$25,5,0))</f>
        <v>24</v>
      </c>
      <c r="AZ87" s="8">
        <f t="shared" si="25"/>
        <v>10</v>
      </c>
      <c r="BA87" s="8" t="str">
        <f t="shared" si="26"/>
        <v>G10</v>
      </c>
      <c r="BC87" s="27">
        <v>84</v>
      </c>
      <c r="BD87" s="8">
        <v>10</v>
      </c>
      <c r="BE87" s="8" t="s">
        <v>100</v>
      </c>
      <c r="BG87" s="8">
        <f>IF(BD87="","",VLOOKUP('Reel 4 Symbol'!BD87,'Reel 4 Symbol'!$A$3:$E$25,5,0))</f>
        <v>12</v>
      </c>
      <c r="BH87" s="8">
        <f>IF(BE87="","",VLOOKUP('Reel 4 Symbol'!BE87,'Reel 4 Symbol'!$A$3:$E$25,5,0))</f>
        <v>24</v>
      </c>
      <c r="BJ87" s="8">
        <f t="shared" si="27"/>
        <v>10</v>
      </c>
      <c r="BK87" s="8" t="str">
        <f t="shared" si="28"/>
        <v>G10</v>
      </c>
    </row>
    <row r="88" spans="24:63" ht="16.8" customHeight="1">
      <c r="X88" s="133"/>
      <c r="Y88" s="27">
        <v>85</v>
      </c>
      <c r="Z88" s="8"/>
      <c r="AA88" s="8"/>
      <c r="AC88" s="8" t="str">
        <f>IF(Z88="","",VLOOKUP('Reel 4 Symbol'!Z88,'Reel 4 Symbol'!$A$3:$E$25,5,0))</f>
        <v/>
      </c>
      <c r="AD88" s="8" t="str">
        <f>IF(AA88="","",VLOOKUP('Reel 4 Symbol'!AA88,'Reel 4 Symbol'!$A$3:$E$25,5,0))</f>
        <v/>
      </c>
      <c r="AF88" s="8" t="str">
        <f t="shared" si="21"/>
        <v/>
      </c>
      <c r="AG88" s="8" t="str">
        <f t="shared" si="22"/>
        <v/>
      </c>
      <c r="AH88" s="133"/>
      <c r="AI88" s="27">
        <v>85</v>
      </c>
      <c r="AJ88" s="8"/>
      <c r="AK88" s="8"/>
      <c r="AM88" s="8" t="str">
        <f>IF(AJ88="","",VLOOKUP('Reel 4 Symbol'!AJ88,'Reel 4 Symbol'!$A$3:$E$25,5,0))</f>
        <v/>
      </c>
      <c r="AN88" s="8" t="str">
        <f>IF(AK88="","",VLOOKUP('Reel 4 Symbol'!AK88,'Reel 4 Symbol'!$A$3:$E$25,5,0))</f>
        <v/>
      </c>
      <c r="AP88" s="8" t="str">
        <f t="shared" si="23"/>
        <v/>
      </c>
      <c r="AQ88" s="8" t="str">
        <f t="shared" si="24"/>
        <v/>
      </c>
      <c r="AR88" s="133"/>
      <c r="AS88" s="27">
        <v>85</v>
      </c>
      <c r="AT88" s="8"/>
      <c r="AU88" s="8"/>
      <c r="AW88" s="8" t="str">
        <f>IF(AT88="","",VLOOKUP('Reel 4 Symbol'!AT88,'Reel 4 Symbol'!$A$3:$E$25,5,0))</f>
        <v/>
      </c>
      <c r="AX88" s="8" t="str">
        <f>IF(AU88="","",VLOOKUP('Reel 4 Symbol'!AU88,'Reel 4 Symbol'!$A$3:$E$25,5,0))</f>
        <v/>
      </c>
      <c r="AZ88" s="8" t="str">
        <f t="shared" si="25"/>
        <v/>
      </c>
      <c r="BA88" s="8" t="str">
        <f t="shared" si="26"/>
        <v/>
      </c>
      <c r="BC88" s="27">
        <v>85</v>
      </c>
      <c r="BD88" s="8"/>
      <c r="BE88" s="8"/>
      <c r="BG88" s="8" t="str">
        <f>IF(BD88="","",VLOOKUP('Reel 4 Symbol'!BD88,'Reel 4 Symbol'!$A$3:$E$25,5,0))</f>
        <v/>
      </c>
      <c r="BH88" s="8" t="str">
        <f>IF(BE88="","",VLOOKUP('Reel 4 Symbol'!BE88,'Reel 4 Symbol'!$A$3:$E$25,5,0))</f>
        <v/>
      </c>
      <c r="BJ88" s="8" t="str">
        <f t="shared" si="27"/>
        <v/>
      </c>
      <c r="BK88" s="8" t="str">
        <f t="shared" si="28"/>
        <v/>
      </c>
    </row>
    <row r="89" spans="24:63" ht="16.8" customHeight="1">
      <c r="X89" s="133"/>
      <c r="Y89" s="27">
        <v>86</v>
      </c>
      <c r="Z89" s="8"/>
      <c r="AA89" s="8"/>
      <c r="AC89" s="8" t="str">
        <f>IF(Z89="","",VLOOKUP('Reel 4 Symbol'!Z89,'Reel 4 Symbol'!$A$3:$E$25,5,0))</f>
        <v/>
      </c>
      <c r="AD89" s="8" t="str">
        <f>IF(AA89="","",VLOOKUP('Reel 4 Symbol'!AA89,'Reel 4 Symbol'!$A$3:$E$25,5,0))</f>
        <v/>
      </c>
      <c r="AF89" s="8" t="str">
        <f t="shared" si="21"/>
        <v/>
      </c>
      <c r="AG89" s="8" t="str">
        <f t="shared" si="22"/>
        <v/>
      </c>
      <c r="AH89" s="133"/>
      <c r="AI89" s="27">
        <v>86</v>
      </c>
      <c r="AJ89" s="8"/>
      <c r="AK89" s="8"/>
      <c r="AM89" s="8" t="str">
        <f>IF(AJ89="","",VLOOKUP('Reel 4 Symbol'!AJ89,'Reel 4 Symbol'!$A$3:$E$25,5,0))</f>
        <v/>
      </c>
      <c r="AN89" s="8" t="str">
        <f>IF(AK89="","",VLOOKUP('Reel 4 Symbol'!AK89,'Reel 4 Symbol'!$A$3:$E$25,5,0))</f>
        <v/>
      </c>
      <c r="AP89" s="8" t="str">
        <f t="shared" si="23"/>
        <v/>
      </c>
      <c r="AQ89" s="8" t="str">
        <f t="shared" si="24"/>
        <v/>
      </c>
      <c r="AR89" s="133"/>
      <c r="AS89" s="27">
        <v>86</v>
      </c>
      <c r="AT89" s="8"/>
      <c r="AU89" s="8"/>
      <c r="AW89" s="8" t="str">
        <f>IF(AT89="","",VLOOKUP('Reel 4 Symbol'!AT89,'Reel 4 Symbol'!$A$3:$E$25,5,0))</f>
        <v/>
      </c>
      <c r="AX89" s="8" t="str">
        <f>IF(AU89="","",VLOOKUP('Reel 4 Symbol'!AU89,'Reel 4 Symbol'!$A$3:$E$25,5,0))</f>
        <v/>
      </c>
      <c r="AZ89" s="8" t="str">
        <f t="shared" si="25"/>
        <v/>
      </c>
      <c r="BA89" s="8" t="str">
        <f t="shared" si="26"/>
        <v/>
      </c>
      <c r="BC89" s="27">
        <v>86</v>
      </c>
      <c r="BD89" s="8"/>
      <c r="BE89" s="8"/>
      <c r="BG89" s="8" t="str">
        <f>IF(BD89="","",VLOOKUP('Reel 4 Symbol'!BD89,'Reel 4 Symbol'!$A$3:$E$25,5,0))</f>
        <v/>
      </c>
      <c r="BH89" s="8" t="str">
        <f>IF(BE89="","",VLOOKUP('Reel 4 Symbol'!BE89,'Reel 4 Symbol'!$A$3:$E$25,5,0))</f>
        <v/>
      </c>
      <c r="BJ89" s="8" t="str">
        <f t="shared" si="27"/>
        <v/>
      </c>
      <c r="BK89" s="8" t="str">
        <f t="shared" si="28"/>
        <v/>
      </c>
    </row>
    <row r="90" spans="24:63" ht="16.8" customHeight="1">
      <c r="X90" s="133"/>
      <c r="Y90" s="27">
        <v>87</v>
      </c>
      <c r="Z90" s="8"/>
      <c r="AA90" s="8"/>
      <c r="AC90" s="8" t="str">
        <f>IF(Z90="","",VLOOKUP('Reel 4 Symbol'!Z90,'Reel 4 Symbol'!$A$3:$E$25,5,0))</f>
        <v/>
      </c>
      <c r="AD90" s="8" t="str">
        <f>IF(AA90="","",VLOOKUP('Reel 4 Symbol'!AA90,'Reel 4 Symbol'!$A$3:$E$25,5,0))</f>
        <v/>
      </c>
      <c r="AF90" s="8" t="str">
        <f t="shared" si="21"/>
        <v/>
      </c>
      <c r="AG90" s="8" t="str">
        <f t="shared" si="22"/>
        <v/>
      </c>
      <c r="AH90" s="133"/>
      <c r="AI90" s="27">
        <v>87</v>
      </c>
      <c r="AJ90" s="8"/>
      <c r="AK90" s="8"/>
      <c r="AM90" s="8" t="str">
        <f>IF(AJ90="","",VLOOKUP('Reel 4 Symbol'!AJ90,'Reel 4 Symbol'!$A$3:$E$25,5,0))</f>
        <v/>
      </c>
      <c r="AN90" s="8" t="str">
        <f>IF(AK90="","",VLOOKUP('Reel 4 Symbol'!AK90,'Reel 4 Symbol'!$A$3:$E$25,5,0))</f>
        <v/>
      </c>
      <c r="AP90" s="8" t="str">
        <f t="shared" si="23"/>
        <v/>
      </c>
      <c r="AQ90" s="8" t="str">
        <f t="shared" si="24"/>
        <v/>
      </c>
      <c r="AR90" s="133"/>
      <c r="AS90" s="27">
        <v>87</v>
      </c>
      <c r="AT90" s="8"/>
      <c r="AU90" s="8"/>
      <c r="AW90" s="8" t="str">
        <f>IF(AT90="","",VLOOKUP('Reel 4 Symbol'!AT90,'Reel 4 Symbol'!$A$3:$E$25,5,0))</f>
        <v/>
      </c>
      <c r="AX90" s="8" t="str">
        <f>IF(AU90="","",VLOOKUP('Reel 4 Symbol'!AU90,'Reel 4 Symbol'!$A$3:$E$25,5,0))</f>
        <v/>
      </c>
      <c r="AZ90" s="8" t="str">
        <f t="shared" si="25"/>
        <v/>
      </c>
      <c r="BA90" s="8" t="str">
        <f t="shared" si="26"/>
        <v/>
      </c>
      <c r="BC90" s="27">
        <v>87</v>
      </c>
      <c r="BD90" s="8"/>
      <c r="BE90" s="8"/>
      <c r="BG90" s="8" t="str">
        <f>IF(BD90="","",VLOOKUP('Reel 4 Symbol'!BD90,'Reel 4 Symbol'!$A$3:$E$25,5,0))</f>
        <v/>
      </c>
      <c r="BH90" s="8" t="str">
        <f>IF(BE90="","",VLOOKUP('Reel 4 Symbol'!BE90,'Reel 4 Symbol'!$A$3:$E$25,5,0))</f>
        <v/>
      </c>
      <c r="BJ90" s="8" t="str">
        <f t="shared" si="27"/>
        <v/>
      </c>
      <c r="BK90" s="8" t="str">
        <f t="shared" si="28"/>
        <v/>
      </c>
    </row>
    <row r="91" spans="24:63" ht="16.8" customHeight="1">
      <c r="X91" s="133"/>
      <c r="Y91" s="27">
        <v>88</v>
      </c>
      <c r="Z91" s="8"/>
      <c r="AA91" s="8"/>
      <c r="AC91" s="8" t="str">
        <f>IF(Z91="","",VLOOKUP('Reel 4 Symbol'!Z91,'Reel 4 Symbol'!$A$3:$E$25,5,0))</f>
        <v/>
      </c>
      <c r="AD91" s="8" t="str">
        <f>IF(AA91="","",VLOOKUP('Reel 4 Symbol'!AA91,'Reel 4 Symbol'!$A$3:$E$25,5,0))</f>
        <v/>
      </c>
      <c r="AF91" s="8" t="str">
        <f t="shared" si="21"/>
        <v/>
      </c>
      <c r="AG91" s="8" t="str">
        <f t="shared" si="22"/>
        <v/>
      </c>
      <c r="AH91" s="133"/>
      <c r="AI91" s="27">
        <v>88</v>
      </c>
      <c r="AJ91" s="8"/>
      <c r="AK91" s="8"/>
      <c r="AM91" s="8" t="str">
        <f>IF(AJ91="","",VLOOKUP('Reel 4 Symbol'!AJ91,'Reel 4 Symbol'!$A$3:$E$25,5,0))</f>
        <v/>
      </c>
      <c r="AN91" s="8" t="str">
        <f>IF(AK91="","",VLOOKUP('Reel 4 Symbol'!AK91,'Reel 4 Symbol'!$A$3:$E$25,5,0))</f>
        <v/>
      </c>
      <c r="AP91" s="8" t="str">
        <f t="shared" si="23"/>
        <v/>
      </c>
      <c r="AQ91" s="8" t="str">
        <f t="shared" si="24"/>
        <v/>
      </c>
      <c r="AR91" s="133"/>
      <c r="AS91" s="27">
        <v>88</v>
      </c>
      <c r="AT91" s="8"/>
      <c r="AU91" s="8"/>
      <c r="AW91" s="8" t="str">
        <f>IF(AT91="","",VLOOKUP('Reel 4 Symbol'!AT91,'Reel 4 Symbol'!$A$3:$E$25,5,0))</f>
        <v/>
      </c>
      <c r="AX91" s="8" t="str">
        <f>IF(AU91="","",VLOOKUP('Reel 4 Symbol'!AU91,'Reel 4 Symbol'!$A$3:$E$25,5,0))</f>
        <v/>
      </c>
      <c r="AZ91" s="8" t="str">
        <f t="shared" si="25"/>
        <v/>
      </c>
      <c r="BA91" s="8" t="str">
        <f t="shared" si="26"/>
        <v/>
      </c>
      <c r="BC91" s="27">
        <v>88</v>
      </c>
      <c r="BD91" s="8"/>
      <c r="BE91" s="8"/>
      <c r="BG91" s="8" t="str">
        <f>IF(BD91="","",VLOOKUP('Reel 4 Symbol'!BD91,'Reel 4 Symbol'!$A$3:$E$25,5,0))</f>
        <v/>
      </c>
      <c r="BH91" s="8" t="str">
        <f>IF(BE91="","",VLOOKUP('Reel 4 Symbol'!BE91,'Reel 4 Symbol'!$A$3:$E$25,5,0))</f>
        <v/>
      </c>
      <c r="BJ91" s="8" t="str">
        <f t="shared" si="27"/>
        <v/>
      </c>
      <c r="BK91" s="8" t="str">
        <f t="shared" si="28"/>
        <v/>
      </c>
    </row>
    <row r="92" spans="24:63" ht="16.8" customHeight="1">
      <c r="X92" s="133"/>
      <c r="Y92" s="27">
        <v>89</v>
      </c>
      <c r="Z92" s="8"/>
      <c r="AA92" s="8"/>
      <c r="AC92" s="8" t="str">
        <f>IF(Z92="","",VLOOKUP('Reel 4 Symbol'!Z92,'Reel 4 Symbol'!$A$3:$E$25,5,0))</f>
        <v/>
      </c>
      <c r="AD92" s="8" t="str">
        <f>IF(AA92="","",VLOOKUP('Reel 4 Symbol'!AA92,'Reel 4 Symbol'!$A$3:$E$25,5,0))</f>
        <v/>
      </c>
      <c r="AF92" s="8" t="str">
        <f t="shared" si="21"/>
        <v/>
      </c>
      <c r="AG92" s="8" t="str">
        <f t="shared" si="22"/>
        <v/>
      </c>
      <c r="AH92" s="133"/>
      <c r="AI92" s="27">
        <v>89</v>
      </c>
      <c r="AJ92" s="8"/>
      <c r="AK92" s="8"/>
      <c r="AM92" s="8" t="str">
        <f>IF(AJ92="","",VLOOKUP('Reel 4 Symbol'!AJ92,'Reel 4 Symbol'!$A$3:$E$25,5,0))</f>
        <v/>
      </c>
      <c r="AN92" s="8" t="str">
        <f>IF(AK92="","",VLOOKUP('Reel 4 Symbol'!AK92,'Reel 4 Symbol'!$A$3:$E$25,5,0))</f>
        <v/>
      </c>
      <c r="AP92" s="8" t="str">
        <f t="shared" si="23"/>
        <v/>
      </c>
      <c r="AQ92" s="8" t="str">
        <f t="shared" si="24"/>
        <v/>
      </c>
      <c r="AR92" s="133"/>
      <c r="AS92" s="27">
        <v>89</v>
      </c>
      <c r="AT92" s="8"/>
      <c r="AU92" s="8"/>
      <c r="AW92" s="8" t="str">
        <f>IF(AT92="","",VLOOKUP('Reel 4 Symbol'!AT92,'Reel 4 Symbol'!$A$3:$E$25,5,0))</f>
        <v/>
      </c>
      <c r="AX92" s="8" t="str">
        <f>IF(AU92="","",VLOOKUP('Reel 4 Symbol'!AU92,'Reel 4 Symbol'!$A$3:$E$25,5,0))</f>
        <v/>
      </c>
      <c r="AZ92" s="8" t="str">
        <f t="shared" si="25"/>
        <v/>
      </c>
      <c r="BA92" s="8" t="str">
        <f t="shared" si="26"/>
        <v/>
      </c>
      <c r="BC92" s="27">
        <v>89</v>
      </c>
      <c r="BD92" s="8"/>
      <c r="BE92" s="8"/>
      <c r="BG92" s="8" t="str">
        <f>IF(BD92="","",VLOOKUP('Reel 4 Symbol'!BD92,'Reel 4 Symbol'!$A$3:$E$25,5,0))</f>
        <v/>
      </c>
      <c r="BH92" s="8" t="str">
        <f>IF(BE92="","",VLOOKUP('Reel 4 Symbol'!BE92,'Reel 4 Symbol'!$A$3:$E$25,5,0))</f>
        <v/>
      </c>
      <c r="BJ92" s="8" t="str">
        <f t="shared" si="27"/>
        <v/>
      </c>
      <c r="BK92" s="8" t="str">
        <f t="shared" si="28"/>
        <v/>
      </c>
    </row>
    <row r="93" spans="24:63" ht="16.8" customHeight="1">
      <c r="X93" s="133"/>
      <c r="Y93" s="27">
        <v>90</v>
      </c>
      <c r="Z93" s="8"/>
      <c r="AA93" s="8"/>
      <c r="AC93" s="8" t="str">
        <f>IF(Z93="","",VLOOKUP('Reel 4 Symbol'!Z93,'Reel 4 Symbol'!$A$3:$E$25,5,0))</f>
        <v/>
      </c>
      <c r="AD93" s="8" t="str">
        <f>IF(AA93="","",VLOOKUP('Reel 4 Symbol'!AA93,'Reel 4 Symbol'!$A$3:$E$25,5,0))</f>
        <v/>
      </c>
      <c r="AF93" s="8" t="str">
        <f t="shared" si="21"/>
        <v/>
      </c>
      <c r="AG93" s="8" t="str">
        <f t="shared" si="22"/>
        <v/>
      </c>
      <c r="AH93" s="133"/>
      <c r="AI93" s="27">
        <v>90</v>
      </c>
      <c r="AJ93" s="8"/>
      <c r="AK93" s="8"/>
      <c r="AM93" s="8" t="str">
        <f>IF(AJ93="","",VLOOKUP('Reel 4 Symbol'!AJ93,'Reel 4 Symbol'!$A$3:$E$25,5,0))</f>
        <v/>
      </c>
      <c r="AN93" s="8" t="str">
        <f>IF(AK93="","",VLOOKUP('Reel 4 Symbol'!AK93,'Reel 4 Symbol'!$A$3:$E$25,5,0))</f>
        <v/>
      </c>
      <c r="AP93" s="8" t="str">
        <f t="shared" si="23"/>
        <v/>
      </c>
      <c r="AQ93" s="8" t="str">
        <f t="shared" si="24"/>
        <v/>
      </c>
      <c r="AR93" s="133"/>
      <c r="AS93" s="27">
        <v>90</v>
      </c>
      <c r="AT93" s="8"/>
      <c r="AU93" s="8"/>
      <c r="AW93" s="8" t="str">
        <f>IF(AT93="","",VLOOKUP('Reel 4 Symbol'!AT93,'Reel 4 Symbol'!$A$3:$E$25,5,0))</f>
        <v/>
      </c>
      <c r="AX93" s="8" t="str">
        <f>IF(AU93="","",VLOOKUP('Reel 4 Symbol'!AU93,'Reel 4 Symbol'!$A$3:$E$25,5,0))</f>
        <v/>
      </c>
      <c r="AZ93" s="8" t="str">
        <f t="shared" si="25"/>
        <v/>
      </c>
      <c r="BA93" s="8" t="str">
        <f t="shared" si="26"/>
        <v/>
      </c>
      <c r="BC93" s="27">
        <v>90</v>
      </c>
      <c r="BD93" s="8"/>
      <c r="BE93" s="8"/>
      <c r="BG93" s="8" t="str">
        <f>IF(BD93="","",VLOOKUP('Reel 4 Symbol'!BD93,'Reel 4 Symbol'!$A$3:$E$25,5,0))</f>
        <v/>
      </c>
      <c r="BH93" s="8" t="str">
        <f>IF(BE93="","",VLOOKUP('Reel 4 Symbol'!BE93,'Reel 4 Symbol'!$A$3:$E$25,5,0))</f>
        <v/>
      </c>
      <c r="BJ93" s="8" t="str">
        <f t="shared" si="27"/>
        <v/>
      </c>
      <c r="BK93" s="8" t="str">
        <f t="shared" si="28"/>
        <v/>
      </c>
    </row>
    <row r="94" spans="24:63" ht="16.8" customHeight="1">
      <c r="X94" s="133"/>
      <c r="Y94" s="27">
        <v>91</v>
      </c>
      <c r="Z94" s="8"/>
      <c r="AA94" s="8"/>
      <c r="AC94" s="8" t="str">
        <f>IF(Z94="","",VLOOKUP('Reel 4 Symbol'!Z94,'Reel 4 Symbol'!$A$3:$E$25,5,0))</f>
        <v/>
      </c>
      <c r="AD94" s="8" t="str">
        <f>IF(AA94="","",VLOOKUP('Reel 4 Symbol'!AA94,'Reel 4 Symbol'!$A$3:$E$25,5,0))</f>
        <v/>
      </c>
      <c r="AF94" s="8" t="str">
        <f t="shared" si="21"/>
        <v/>
      </c>
      <c r="AG94" s="8" t="str">
        <f t="shared" si="22"/>
        <v/>
      </c>
      <c r="AH94" s="133"/>
      <c r="AI94" s="27">
        <v>91</v>
      </c>
      <c r="AJ94" s="8"/>
      <c r="AK94" s="8"/>
      <c r="AM94" s="8" t="str">
        <f>IF(AJ94="","",VLOOKUP('Reel 4 Symbol'!AJ94,'Reel 4 Symbol'!$A$3:$E$25,5,0))</f>
        <v/>
      </c>
      <c r="AN94" s="8" t="str">
        <f>IF(AK94="","",VLOOKUP('Reel 4 Symbol'!AK94,'Reel 4 Symbol'!$A$3:$E$25,5,0))</f>
        <v/>
      </c>
      <c r="AP94" s="8" t="str">
        <f t="shared" si="23"/>
        <v/>
      </c>
      <c r="AQ94" s="8" t="str">
        <f t="shared" si="24"/>
        <v/>
      </c>
      <c r="AR94" s="133"/>
      <c r="AS94" s="27">
        <v>91</v>
      </c>
      <c r="AT94" s="8"/>
      <c r="AU94" s="8"/>
      <c r="AW94" s="8" t="str">
        <f>IF(AT94="","",VLOOKUP('Reel 4 Symbol'!AT94,'Reel 4 Symbol'!$A$3:$E$25,5,0))</f>
        <v/>
      </c>
      <c r="AX94" s="8" t="str">
        <f>IF(AU94="","",VLOOKUP('Reel 4 Symbol'!AU94,'Reel 4 Symbol'!$A$3:$E$25,5,0))</f>
        <v/>
      </c>
      <c r="AZ94" s="8" t="str">
        <f t="shared" si="25"/>
        <v/>
      </c>
      <c r="BA94" s="8" t="str">
        <f t="shared" si="26"/>
        <v/>
      </c>
      <c r="BC94" s="27">
        <v>91</v>
      </c>
      <c r="BD94" s="8"/>
      <c r="BE94" s="8"/>
      <c r="BG94" s="8" t="str">
        <f>IF(BD94="","",VLOOKUP('Reel 4 Symbol'!BD94,'Reel 4 Symbol'!$A$3:$E$25,5,0))</f>
        <v/>
      </c>
      <c r="BH94" s="8" t="str">
        <f>IF(BE94="","",VLOOKUP('Reel 4 Symbol'!BE94,'Reel 4 Symbol'!$A$3:$E$25,5,0))</f>
        <v/>
      </c>
      <c r="BJ94" s="8" t="str">
        <f t="shared" si="27"/>
        <v/>
      </c>
      <c r="BK94" s="8" t="str">
        <f t="shared" si="28"/>
        <v/>
      </c>
    </row>
    <row r="95" spans="24:63" ht="16.8" customHeight="1">
      <c r="X95" s="133"/>
      <c r="Y95" s="27">
        <v>92</v>
      </c>
      <c r="Z95" s="8"/>
      <c r="AA95" s="8"/>
      <c r="AC95" s="8" t="str">
        <f>IF(Z95="","",VLOOKUP('Reel 4 Symbol'!Z95,'Reel 4 Symbol'!$A$3:$E$25,5,0))</f>
        <v/>
      </c>
      <c r="AD95" s="8" t="str">
        <f>IF(AA95="","",VLOOKUP('Reel 4 Symbol'!AA95,'Reel 4 Symbol'!$A$3:$E$25,5,0))</f>
        <v/>
      </c>
      <c r="AF95" s="8" t="str">
        <f t="shared" si="21"/>
        <v/>
      </c>
      <c r="AG95" s="8" t="str">
        <f t="shared" si="22"/>
        <v/>
      </c>
      <c r="AH95" s="133"/>
      <c r="AI95" s="27">
        <v>92</v>
      </c>
      <c r="AJ95" s="8"/>
      <c r="AK95" s="8"/>
      <c r="AM95" s="8" t="str">
        <f>IF(AJ95="","",VLOOKUP('Reel 4 Symbol'!AJ95,'Reel 4 Symbol'!$A$3:$E$25,5,0))</f>
        <v/>
      </c>
      <c r="AN95" s="8" t="str">
        <f>IF(AK95="","",VLOOKUP('Reel 4 Symbol'!AK95,'Reel 4 Symbol'!$A$3:$E$25,5,0))</f>
        <v/>
      </c>
      <c r="AP95" s="8" t="str">
        <f t="shared" si="23"/>
        <v/>
      </c>
      <c r="AQ95" s="8" t="str">
        <f t="shared" si="24"/>
        <v/>
      </c>
      <c r="AR95" s="133"/>
      <c r="AS95" s="27">
        <v>92</v>
      </c>
      <c r="AT95" s="8"/>
      <c r="AU95" s="8"/>
      <c r="AW95" s="8" t="str">
        <f>IF(AT95="","",VLOOKUP('Reel 4 Symbol'!AT95,'Reel 4 Symbol'!$A$3:$E$25,5,0))</f>
        <v/>
      </c>
      <c r="AX95" s="8" t="str">
        <f>IF(AU95="","",VLOOKUP('Reel 4 Symbol'!AU95,'Reel 4 Symbol'!$A$3:$E$25,5,0))</f>
        <v/>
      </c>
      <c r="AZ95" s="8" t="str">
        <f t="shared" si="25"/>
        <v/>
      </c>
      <c r="BA95" s="8" t="str">
        <f t="shared" si="26"/>
        <v/>
      </c>
      <c r="BC95" s="27">
        <v>92</v>
      </c>
      <c r="BD95" s="8"/>
      <c r="BE95" s="8"/>
      <c r="BG95" s="8" t="str">
        <f>IF(BD95="","",VLOOKUP('Reel 4 Symbol'!BD95,'Reel 4 Symbol'!$A$3:$E$25,5,0))</f>
        <v/>
      </c>
      <c r="BH95" s="8" t="str">
        <f>IF(BE95="","",VLOOKUP('Reel 4 Symbol'!BE95,'Reel 4 Symbol'!$A$3:$E$25,5,0))</f>
        <v/>
      </c>
      <c r="BJ95" s="8" t="str">
        <f t="shared" si="27"/>
        <v/>
      </c>
      <c r="BK95" s="8" t="str">
        <f t="shared" si="28"/>
        <v/>
      </c>
    </row>
    <row r="96" spans="24:63" ht="16.8" customHeight="1">
      <c r="X96" s="133"/>
      <c r="Y96" s="27">
        <v>93</v>
      </c>
      <c r="Z96" s="8"/>
      <c r="AA96" s="8"/>
      <c r="AC96" s="8" t="str">
        <f>IF(Z96="","",VLOOKUP('Reel 4 Symbol'!Z96,'Reel 4 Symbol'!$A$3:$E$25,5,0))</f>
        <v/>
      </c>
      <c r="AD96" s="8" t="str">
        <f>IF(AA96="","",VLOOKUP('Reel 4 Symbol'!AA96,'Reel 4 Symbol'!$A$3:$E$25,5,0))</f>
        <v/>
      </c>
      <c r="AF96" s="8" t="str">
        <f t="shared" si="21"/>
        <v/>
      </c>
      <c r="AG96" s="8" t="str">
        <f t="shared" si="22"/>
        <v/>
      </c>
      <c r="AH96" s="133"/>
      <c r="AI96" s="27">
        <v>93</v>
      </c>
      <c r="AJ96" s="8"/>
      <c r="AK96" s="8"/>
      <c r="AM96" s="8" t="str">
        <f>IF(AJ96="","",VLOOKUP('Reel 4 Symbol'!AJ96,'Reel 4 Symbol'!$A$3:$E$25,5,0))</f>
        <v/>
      </c>
      <c r="AN96" s="8" t="str">
        <f>IF(AK96="","",VLOOKUP('Reel 4 Symbol'!AK96,'Reel 4 Symbol'!$A$3:$E$25,5,0))</f>
        <v/>
      </c>
      <c r="AP96" s="8" t="str">
        <f t="shared" si="23"/>
        <v/>
      </c>
      <c r="AQ96" s="8" t="str">
        <f t="shared" si="24"/>
        <v/>
      </c>
      <c r="AR96" s="133"/>
      <c r="AS96" s="27">
        <v>93</v>
      </c>
      <c r="AT96" s="8"/>
      <c r="AU96" s="8"/>
      <c r="AW96" s="8" t="str">
        <f>IF(AT96="","",VLOOKUP('Reel 4 Symbol'!AT96,'Reel 4 Symbol'!$A$3:$E$25,5,0))</f>
        <v/>
      </c>
      <c r="AX96" s="8" t="str">
        <f>IF(AU96="","",VLOOKUP('Reel 4 Symbol'!AU96,'Reel 4 Symbol'!$A$3:$E$25,5,0))</f>
        <v/>
      </c>
      <c r="AZ96" s="8" t="str">
        <f t="shared" si="25"/>
        <v/>
      </c>
      <c r="BA96" s="8" t="str">
        <f t="shared" si="26"/>
        <v/>
      </c>
      <c r="BC96" s="27">
        <v>93</v>
      </c>
      <c r="BD96" s="8"/>
      <c r="BE96" s="8"/>
      <c r="BG96" s="8" t="str">
        <f>IF(BD96="","",VLOOKUP('Reel 4 Symbol'!BD96,'Reel 4 Symbol'!$A$3:$E$25,5,0))</f>
        <v/>
      </c>
      <c r="BH96" s="8" t="str">
        <f>IF(BE96="","",VLOOKUP('Reel 4 Symbol'!BE96,'Reel 4 Symbol'!$A$3:$E$25,5,0))</f>
        <v/>
      </c>
      <c r="BJ96" s="8" t="str">
        <f t="shared" si="27"/>
        <v/>
      </c>
      <c r="BK96" s="8" t="str">
        <f t="shared" si="28"/>
        <v/>
      </c>
    </row>
    <row r="97" spans="24:63" ht="16.8" customHeight="1">
      <c r="X97" s="133"/>
      <c r="Y97" s="27">
        <v>94</v>
      </c>
      <c r="Z97" s="8"/>
      <c r="AA97" s="8"/>
      <c r="AC97" s="8" t="str">
        <f>IF(Z97="","",VLOOKUP('Reel 4 Symbol'!Z97,'Reel 4 Symbol'!$A$3:$E$25,5,0))</f>
        <v/>
      </c>
      <c r="AD97" s="8" t="str">
        <f>IF(AA97="","",VLOOKUP('Reel 4 Symbol'!AA97,'Reel 4 Symbol'!$A$3:$E$25,5,0))</f>
        <v/>
      </c>
      <c r="AF97" s="8" t="str">
        <f t="shared" si="21"/>
        <v/>
      </c>
      <c r="AG97" s="8" t="str">
        <f t="shared" si="22"/>
        <v/>
      </c>
      <c r="AH97" s="133"/>
      <c r="AI97" s="27">
        <v>94</v>
      </c>
      <c r="AJ97" s="8"/>
      <c r="AK97" s="8"/>
      <c r="AM97" s="8" t="str">
        <f>IF(AJ97="","",VLOOKUP('Reel 4 Symbol'!AJ97,'Reel 4 Symbol'!$A$3:$E$25,5,0))</f>
        <v/>
      </c>
      <c r="AN97" s="8" t="str">
        <f>IF(AK97="","",VLOOKUP('Reel 4 Symbol'!AK97,'Reel 4 Symbol'!$A$3:$E$25,5,0))</f>
        <v/>
      </c>
      <c r="AP97" s="8" t="str">
        <f t="shared" si="23"/>
        <v/>
      </c>
      <c r="AQ97" s="8" t="str">
        <f t="shared" si="24"/>
        <v/>
      </c>
      <c r="AR97" s="133"/>
      <c r="AS97" s="27">
        <v>94</v>
      </c>
      <c r="AT97" s="8"/>
      <c r="AU97" s="8"/>
      <c r="AW97" s="8" t="str">
        <f>IF(AT97="","",VLOOKUP('Reel 4 Symbol'!AT97,'Reel 4 Symbol'!$A$3:$E$25,5,0))</f>
        <v/>
      </c>
      <c r="AX97" s="8" t="str">
        <f>IF(AU97="","",VLOOKUP('Reel 4 Symbol'!AU97,'Reel 4 Symbol'!$A$3:$E$25,5,0))</f>
        <v/>
      </c>
      <c r="AZ97" s="8" t="str">
        <f t="shared" si="25"/>
        <v/>
      </c>
      <c r="BA97" s="8" t="str">
        <f t="shared" si="26"/>
        <v/>
      </c>
      <c r="BC97" s="27">
        <v>94</v>
      </c>
      <c r="BD97" s="8"/>
      <c r="BE97" s="8"/>
      <c r="BG97" s="8" t="str">
        <f>IF(BD97="","",VLOOKUP('Reel 4 Symbol'!BD97,'Reel 4 Symbol'!$A$3:$E$25,5,0))</f>
        <v/>
      </c>
      <c r="BH97" s="8" t="str">
        <f>IF(BE97="","",VLOOKUP('Reel 4 Symbol'!BE97,'Reel 4 Symbol'!$A$3:$E$25,5,0))</f>
        <v/>
      </c>
      <c r="BJ97" s="8" t="str">
        <f t="shared" si="27"/>
        <v/>
      </c>
      <c r="BK97" s="8" t="str">
        <f t="shared" si="28"/>
        <v/>
      </c>
    </row>
    <row r="98" spans="24:63" ht="16.8" customHeight="1">
      <c r="X98" s="133"/>
      <c r="Y98" s="27">
        <v>95</v>
      </c>
      <c r="Z98" s="8"/>
      <c r="AA98" s="8"/>
      <c r="AC98" s="8" t="str">
        <f>IF(Z98="","",VLOOKUP('Reel 4 Symbol'!Z98,'Reel 4 Symbol'!$A$3:$E$25,5,0))</f>
        <v/>
      </c>
      <c r="AD98" s="8" t="str">
        <f>IF(AA98="","",VLOOKUP('Reel 4 Symbol'!AA98,'Reel 4 Symbol'!$A$3:$E$25,5,0))</f>
        <v/>
      </c>
      <c r="AF98" s="8" t="str">
        <f t="shared" si="21"/>
        <v/>
      </c>
      <c r="AG98" s="8" t="str">
        <f t="shared" si="22"/>
        <v/>
      </c>
      <c r="AH98" s="133"/>
      <c r="AI98" s="27">
        <v>95</v>
      </c>
      <c r="AJ98" s="8"/>
      <c r="AK98" s="8"/>
      <c r="AM98" s="8" t="str">
        <f>IF(AJ98="","",VLOOKUP('Reel 4 Symbol'!AJ98,'Reel 4 Symbol'!$A$3:$E$25,5,0))</f>
        <v/>
      </c>
      <c r="AN98" s="8" t="str">
        <f>IF(AK98="","",VLOOKUP('Reel 4 Symbol'!AK98,'Reel 4 Symbol'!$A$3:$E$25,5,0))</f>
        <v/>
      </c>
      <c r="AP98" s="8" t="str">
        <f t="shared" si="23"/>
        <v/>
      </c>
      <c r="AQ98" s="8" t="str">
        <f t="shared" si="24"/>
        <v/>
      </c>
      <c r="AR98" s="133"/>
      <c r="AS98" s="27">
        <v>95</v>
      </c>
      <c r="AT98" s="8"/>
      <c r="AU98" s="8"/>
      <c r="AW98" s="8" t="str">
        <f>IF(AT98="","",VLOOKUP('Reel 4 Symbol'!AT98,'Reel 4 Symbol'!$A$3:$E$25,5,0))</f>
        <v/>
      </c>
      <c r="AX98" s="8" t="str">
        <f>IF(AU98="","",VLOOKUP('Reel 4 Symbol'!AU98,'Reel 4 Symbol'!$A$3:$E$25,5,0))</f>
        <v/>
      </c>
      <c r="AZ98" s="8" t="str">
        <f t="shared" si="25"/>
        <v/>
      </c>
      <c r="BA98" s="8" t="str">
        <f t="shared" si="26"/>
        <v/>
      </c>
      <c r="BC98" s="27">
        <v>95</v>
      </c>
      <c r="BD98" s="8"/>
      <c r="BE98" s="8"/>
      <c r="BG98" s="8" t="str">
        <f>IF(BD98="","",VLOOKUP('Reel 4 Symbol'!BD98,'Reel 4 Symbol'!$A$3:$E$25,5,0))</f>
        <v/>
      </c>
      <c r="BH98" s="8" t="str">
        <f>IF(BE98="","",VLOOKUP('Reel 4 Symbol'!BE98,'Reel 4 Symbol'!$A$3:$E$25,5,0))</f>
        <v/>
      </c>
      <c r="BJ98" s="8" t="str">
        <f t="shared" si="27"/>
        <v/>
      </c>
      <c r="BK98" s="8" t="str">
        <f t="shared" si="28"/>
        <v/>
      </c>
    </row>
    <row r="99" spans="24:63" ht="16.8" customHeight="1">
      <c r="X99" s="133"/>
      <c r="Y99" s="27">
        <v>96</v>
      </c>
      <c r="Z99" s="8"/>
      <c r="AA99" s="8"/>
      <c r="AC99" s="8" t="str">
        <f>IF(Z99="","",VLOOKUP('Reel 4 Symbol'!Z99,'Reel 4 Symbol'!$A$3:$E$25,5,0))</f>
        <v/>
      </c>
      <c r="AD99" s="8" t="str">
        <f>IF(AA99="","",VLOOKUP('Reel 4 Symbol'!AA99,'Reel 4 Symbol'!$A$3:$E$25,5,0))</f>
        <v/>
      </c>
      <c r="AF99" s="8" t="str">
        <f t="shared" si="21"/>
        <v/>
      </c>
      <c r="AG99" s="8" t="str">
        <f t="shared" si="22"/>
        <v/>
      </c>
      <c r="AH99" s="133"/>
      <c r="AI99" s="27">
        <v>96</v>
      </c>
      <c r="AJ99" s="8"/>
      <c r="AK99" s="8"/>
      <c r="AM99" s="8" t="str">
        <f>IF(AJ99="","",VLOOKUP('Reel 4 Symbol'!AJ99,'Reel 4 Symbol'!$A$3:$E$25,5,0))</f>
        <v/>
      </c>
      <c r="AN99" s="8" t="str">
        <f>IF(AK99="","",VLOOKUP('Reel 4 Symbol'!AK99,'Reel 4 Symbol'!$A$3:$E$25,5,0))</f>
        <v/>
      </c>
      <c r="AP99" s="8" t="str">
        <f t="shared" si="23"/>
        <v/>
      </c>
      <c r="AQ99" s="8" t="str">
        <f t="shared" si="24"/>
        <v/>
      </c>
      <c r="AR99" s="133"/>
      <c r="AS99" s="27">
        <v>96</v>
      </c>
      <c r="AT99" s="8"/>
      <c r="AU99" s="8"/>
      <c r="AW99" s="8" t="str">
        <f>IF(AT99="","",VLOOKUP('Reel 4 Symbol'!AT99,'Reel 4 Symbol'!$A$3:$E$25,5,0))</f>
        <v/>
      </c>
      <c r="AX99" s="8" t="str">
        <f>IF(AU99="","",VLOOKUP('Reel 4 Symbol'!AU99,'Reel 4 Symbol'!$A$3:$E$25,5,0))</f>
        <v/>
      </c>
      <c r="AZ99" s="8" t="str">
        <f t="shared" si="25"/>
        <v/>
      </c>
      <c r="BA99" s="8" t="str">
        <f t="shared" si="26"/>
        <v/>
      </c>
      <c r="BC99" s="27">
        <v>96</v>
      </c>
      <c r="BD99" s="8"/>
      <c r="BE99" s="8"/>
      <c r="BG99" s="8" t="str">
        <f>IF(BD99="","",VLOOKUP('Reel 4 Symbol'!BD99,'Reel 4 Symbol'!$A$3:$E$25,5,0))</f>
        <v/>
      </c>
      <c r="BH99" s="8" t="str">
        <f>IF(BE99="","",VLOOKUP('Reel 4 Symbol'!BE99,'Reel 4 Symbol'!$A$3:$E$25,5,0))</f>
        <v/>
      </c>
      <c r="BJ99" s="8" t="str">
        <f t="shared" si="27"/>
        <v/>
      </c>
      <c r="BK99" s="8" t="str">
        <f t="shared" si="28"/>
        <v/>
      </c>
    </row>
    <row r="100" spans="24:63" ht="16.8" customHeight="1">
      <c r="X100" s="133"/>
      <c r="Y100" s="27">
        <v>97</v>
      </c>
      <c r="Z100" s="8"/>
      <c r="AA100" s="8"/>
      <c r="AC100" s="8" t="str">
        <f>IF(Z100="","",VLOOKUP('Reel 4 Symbol'!Z100,'Reel 4 Symbol'!$A$3:$E$25,5,0))</f>
        <v/>
      </c>
      <c r="AD100" s="8" t="str">
        <f>IF(AA100="","",VLOOKUP('Reel 4 Symbol'!AA100,'Reel 4 Symbol'!$A$3:$E$25,5,0))</f>
        <v/>
      </c>
      <c r="AF100" s="8" t="str">
        <f t="shared" si="21"/>
        <v/>
      </c>
      <c r="AG100" s="8" t="str">
        <f t="shared" si="22"/>
        <v/>
      </c>
      <c r="AH100" s="133"/>
      <c r="AI100" s="27">
        <v>97</v>
      </c>
      <c r="AJ100" s="8"/>
      <c r="AK100" s="8"/>
      <c r="AM100" s="8" t="str">
        <f>IF(AJ100="","",VLOOKUP('Reel 4 Symbol'!AJ100,'Reel 4 Symbol'!$A$3:$E$25,5,0))</f>
        <v/>
      </c>
      <c r="AN100" s="8" t="str">
        <f>IF(AK100="","",VLOOKUP('Reel 4 Symbol'!AK100,'Reel 4 Symbol'!$A$3:$E$25,5,0))</f>
        <v/>
      </c>
      <c r="AP100" s="8" t="str">
        <f t="shared" si="23"/>
        <v/>
      </c>
      <c r="AQ100" s="8" t="str">
        <f t="shared" si="24"/>
        <v/>
      </c>
      <c r="AR100" s="133"/>
      <c r="AS100" s="27">
        <v>97</v>
      </c>
      <c r="AT100" s="8"/>
      <c r="AU100" s="8"/>
      <c r="AW100" s="8" t="str">
        <f>IF(AT100="","",VLOOKUP('Reel 4 Symbol'!AT100,'Reel 4 Symbol'!$A$3:$E$25,5,0))</f>
        <v/>
      </c>
      <c r="AX100" s="8" t="str">
        <f>IF(AU100="","",VLOOKUP('Reel 4 Symbol'!AU100,'Reel 4 Symbol'!$A$3:$E$25,5,0))</f>
        <v/>
      </c>
      <c r="AZ100" s="8" t="str">
        <f t="shared" si="25"/>
        <v/>
      </c>
      <c r="BA100" s="8" t="str">
        <f t="shared" si="26"/>
        <v/>
      </c>
      <c r="BC100" s="27">
        <v>97</v>
      </c>
      <c r="BD100" s="8"/>
      <c r="BE100" s="8"/>
      <c r="BG100" s="8" t="str">
        <f>IF(BD100="","",VLOOKUP('Reel 4 Symbol'!BD100,'Reel 4 Symbol'!$A$3:$E$25,5,0))</f>
        <v/>
      </c>
      <c r="BH100" s="8" t="str">
        <f>IF(BE100="","",VLOOKUP('Reel 4 Symbol'!BE100,'Reel 4 Symbol'!$A$3:$E$25,5,0))</f>
        <v/>
      </c>
      <c r="BJ100" s="8" t="str">
        <f t="shared" si="27"/>
        <v/>
      </c>
      <c r="BK100" s="8" t="str">
        <f t="shared" si="28"/>
        <v/>
      </c>
    </row>
    <row r="101" spans="24:63" ht="16.8" customHeight="1">
      <c r="X101" s="133"/>
      <c r="Y101" s="27">
        <v>98</v>
      </c>
      <c r="Z101" s="8"/>
      <c r="AA101" s="8"/>
      <c r="AC101" s="8" t="str">
        <f>IF(Z101="","",VLOOKUP('Reel 4 Symbol'!Z101,'Reel 4 Symbol'!$A$3:$E$25,5,0))</f>
        <v/>
      </c>
      <c r="AD101" s="8" t="str">
        <f>IF(AA101="","",VLOOKUP('Reel 4 Symbol'!AA101,'Reel 4 Symbol'!$A$3:$E$25,5,0))</f>
        <v/>
      </c>
      <c r="AF101" s="8" t="str">
        <f t="shared" si="21"/>
        <v/>
      </c>
      <c r="AG101" s="8" t="str">
        <f t="shared" si="22"/>
        <v/>
      </c>
      <c r="AH101" s="133"/>
      <c r="AI101" s="27">
        <v>98</v>
      </c>
      <c r="AJ101" s="8"/>
      <c r="AK101" s="8"/>
      <c r="AM101" s="8" t="str">
        <f>IF(AJ101="","",VLOOKUP('Reel 4 Symbol'!AJ101,'Reel 4 Symbol'!$A$3:$E$25,5,0))</f>
        <v/>
      </c>
      <c r="AN101" s="8" t="str">
        <f>IF(AK101="","",VLOOKUP('Reel 4 Symbol'!AK101,'Reel 4 Symbol'!$A$3:$E$25,5,0))</f>
        <v/>
      </c>
      <c r="AP101" s="8" t="str">
        <f t="shared" si="23"/>
        <v/>
      </c>
      <c r="AQ101" s="8" t="str">
        <f t="shared" si="24"/>
        <v/>
      </c>
      <c r="AR101" s="133"/>
      <c r="AS101" s="27">
        <v>98</v>
      </c>
      <c r="AT101" s="8"/>
      <c r="AU101" s="8"/>
      <c r="AW101" s="8" t="str">
        <f>IF(AT101="","",VLOOKUP('Reel 4 Symbol'!AT101,'Reel 4 Symbol'!$A$3:$E$25,5,0))</f>
        <v/>
      </c>
      <c r="AX101" s="8" t="str">
        <f>IF(AU101="","",VLOOKUP('Reel 4 Symbol'!AU101,'Reel 4 Symbol'!$A$3:$E$25,5,0))</f>
        <v/>
      </c>
      <c r="AZ101" s="8" t="str">
        <f t="shared" si="25"/>
        <v/>
      </c>
      <c r="BA101" s="8" t="str">
        <f t="shared" si="26"/>
        <v/>
      </c>
      <c r="BC101" s="27">
        <v>98</v>
      </c>
      <c r="BD101" s="8"/>
      <c r="BE101" s="8"/>
      <c r="BG101" s="8" t="str">
        <f>IF(BD101="","",VLOOKUP('Reel 4 Symbol'!BD101,'Reel 4 Symbol'!$A$3:$E$25,5,0))</f>
        <v/>
      </c>
      <c r="BH101" s="8" t="str">
        <f>IF(BE101="","",VLOOKUP('Reel 4 Symbol'!BE101,'Reel 4 Symbol'!$A$3:$E$25,5,0))</f>
        <v/>
      </c>
      <c r="BJ101" s="8" t="str">
        <f t="shared" si="27"/>
        <v/>
      </c>
      <c r="BK101" s="8" t="str">
        <f t="shared" si="28"/>
        <v/>
      </c>
    </row>
    <row r="102" spans="24:63" ht="16.8" customHeight="1">
      <c r="X102" s="133"/>
      <c r="Y102" s="27">
        <v>99</v>
      </c>
      <c r="Z102" s="8"/>
      <c r="AA102" s="8"/>
      <c r="AC102" s="8" t="str">
        <f>IF(Z102="","",VLOOKUP('Reel 4 Symbol'!Z102,'Reel 4 Symbol'!$A$3:$E$25,5,0))</f>
        <v/>
      </c>
      <c r="AD102" s="8" t="str">
        <f>IF(AA102="","",VLOOKUP('Reel 4 Symbol'!AA102,'Reel 4 Symbol'!$A$3:$E$25,5,0))</f>
        <v/>
      </c>
      <c r="AF102" s="8" t="str">
        <f t="shared" si="21"/>
        <v/>
      </c>
      <c r="AG102" s="8" t="str">
        <f t="shared" si="22"/>
        <v/>
      </c>
      <c r="AH102" s="133"/>
      <c r="AI102" s="27">
        <v>99</v>
      </c>
      <c r="AJ102" s="8"/>
      <c r="AK102" s="8"/>
      <c r="AM102" s="8" t="str">
        <f>IF(AJ102="","",VLOOKUP('Reel 4 Symbol'!AJ102,'Reel 4 Symbol'!$A$3:$E$25,5,0))</f>
        <v/>
      </c>
      <c r="AN102" s="8" t="str">
        <f>IF(AK102="","",VLOOKUP('Reel 4 Symbol'!AK102,'Reel 4 Symbol'!$A$3:$E$25,5,0))</f>
        <v/>
      </c>
      <c r="AP102" s="8" t="str">
        <f t="shared" si="23"/>
        <v/>
      </c>
      <c r="AQ102" s="8" t="str">
        <f t="shared" si="24"/>
        <v/>
      </c>
      <c r="AR102" s="133"/>
      <c r="AS102" s="27">
        <v>99</v>
      </c>
      <c r="AT102" s="8"/>
      <c r="AU102" s="8"/>
      <c r="AW102" s="8" t="str">
        <f>IF(AT102="","",VLOOKUP('Reel 4 Symbol'!AT102,'Reel 4 Symbol'!$A$3:$E$25,5,0))</f>
        <v/>
      </c>
      <c r="AX102" s="8" t="str">
        <f>IF(AU102="","",VLOOKUP('Reel 4 Symbol'!AU102,'Reel 4 Symbol'!$A$3:$E$25,5,0))</f>
        <v/>
      </c>
      <c r="AZ102" s="8" t="str">
        <f t="shared" si="25"/>
        <v/>
      </c>
      <c r="BA102" s="8" t="str">
        <f t="shared" si="26"/>
        <v/>
      </c>
      <c r="BC102" s="27">
        <v>99</v>
      </c>
      <c r="BD102" s="8"/>
      <c r="BE102" s="8"/>
      <c r="BG102" s="8" t="str">
        <f>IF(BD102="","",VLOOKUP('Reel 4 Symbol'!BD102,'Reel 4 Symbol'!$A$3:$E$25,5,0))</f>
        <v/>
      </c>
      <c r="BH102" s="8" t="str">
        <f>IF(BE102="","",VLOOKUP('Reel 4 Symbol'!BE102,'Reel 4 Symbol'!$A$3:$E$25,5,0))</f>
        <v/>
      </c>
      <c r="BJ102" s="8" t="str">
        <f t="shared" si="27"/>
        <v/>
      </c>
      <c r="BK102" s="8" t="str">
        <f t="shared" si="28"/>
        <v/>
      </c>
    </row>
    <row r="103" spans="24:63" ht="16.8" customHeight="1">
      <c r="X103" s="133"/>
      <c r="Y103" s="27">
        <v>100</v>
      </c>
      <c r="Z103" s="8"/>
      <c r="AA103" s="8"/>
      <c r="AC103" s="8" t="str">
        <f>IF(Z103="","",VLOOKUP('Reel 4 Symbol'!Z103,'Reel 4 Symbol'!$A$3:$E$25,5,0))</f>
        <v/>
      </c>
      <c r="AD103" s="8" t="str">
        <f>IF(AA103="","",VLOOKUP('Reel 4 Symbol'!AA103,'Reel 4 Symbol'!$A$3:$E$25,5,0))</f>
        <v/>
      </c>
      <c r="AF103" s="8" t="str">
        <f t="shared" si="21"/>
        <v/>
      </c>
      <c r="AG103" s="8" t="str">
        <f t="shared" si="22"/>
        <v/>
      </c>
      <c r="AH103" s="133"/>
      <c r="AI103" s="27">
        <v>100</v>
      </c>
      <c r="AJ103" s="8"/>
      <c r="AK103" s="8"/>
      <c r="AM103" s="8" t="str">
        <f>IF(AJ103="","",VLOOKUP('Reel 4 Symbol'!AJ103,'Reel 4 Symbol'!$A$3:$E$25,5,0))</f>
        <v/>
      </c>
      <c r="AN103" s="8" t="str">
        <f>IF(AK103="","",VLOOKUP('Reel 4 Symbol'!AK103,'Reel 4 Symbol'!$A$3:$E$25,5,0))</f>
        <v/>
      </c>
      <c r="AP103" s="8" t="str">
        <f t="shared" si="23"/>
        <v/>
      </c>
      <c r="AQ103" s="8" t="str">
        <f t="shared" si="24"/>
        <v/>
      </c>
      <c r="AR103" s="133"/>
      <c r="AS103" s="27">
        <v>100</v>
      </c>
      <c r="AT103" s="8"/>
      <c r="AU103" s="8"/>
      <c r="AW103" s="8" t="str">
        <f>IF(AT103="","",VLOOKUP('Reel 4 Symbol'!AT103,'Reel 4 Symbol'!$A$3:$E$25,5,0))</f>
        <v/>
      </c>
      <c r="AX103" s="8" t="str">
        <f>IF(AU103="","",VLOOKUP('Reel 4 Symbol'!AU103,'Reel 4 Symbol'!$A$3:$E$25,5,0))</f>
        <v/>
      </c>
      <c r="AZ103" s="8" t="str">
        <f t="shared" si="25"/>
        <v/>
      </c>
      <c r="BA103" s="8" t="str">
        <f t="shared" si="26"/>
        <v/>
      </c>
      <c r="BC103" s="27">
        <v>100</v>
      </c>
      <c r="BD103" s="8"/>
      <c r="BE103" s="8"/>
      <c r="BG103" s="8" t="str">
        <f>IF(BD103="","",VLOOKUP('Reel 4 Symbol'!BD103,'Reel 4 Symbol'!$A$3:$E$25,5,0))</f>
        <v/>
      </c>
      <c r="BH103" s="8" t="str">
        <f>IF(BE103="","",VLOOKUP('Reel 4 Symbol'!BE103,'Reel 4 Symbol'!$A$3:$E$25,5,0))</f>
        <v/>
      </c>
      <c r="BJ103" s="8" t="str">
        <f t="shared" si="27"/>
        <v/>
      </c>
      <c r="BK103" s="8" t="str">
        <f t="shared" si="28"/>
        <v/>
      </c>
    </row>
    <row r="104" spans="24:63" ht="16.8" customHeight="1">
      <c r="X104" s="133"/>
      <c r="Y104" s="27">
        <v>101</v>
      </c>
      <c r="Z104" s="8"/>
      <c r="AA104" s="8"/>
      <c r="AC104" s="8" t="str">
        <f>IF(Z104="","",VLOOKUP('Reel 4 Symbol'!Z104,'Reel 4 Symbol'!$A$3:$E$25,5,0))</f>
        <v/>
      </c>
      <c r="AD104" s="8" t="str">
        <f>IF(AA104="","",VLOOKUP('Reel 4 Symbol'!AA104,'Reel 4 Symbol'!$A$3:$E$25,5,0))</f>
        <v/>
      </c>
      <c r="AF104" s="8" t="str">
        <f t="shared" si="21"/>
        <v/>
      </c>
      <c r="AG104" s="8" t="str">
        <f t="shared" si="22"/>
        <v/>
      </c>
      <c r="AH104" s="133"/>
      <c r="AI104" s="27">
        <v>101</v>
      </c>
      <c r="AJ104" s="8"/>
      <c r="AK104" s="8"/>
      <c r="AM104" s="8" t="str">
        <f>IF(AJ104="","",VLOOKUP('Reel 4 Symbol'!AJ104,'Reel 4 Symbol'!$A$3:$E$25,5,0))</f>
        <v/>
      </c>
      <c r="AN104" s="8" t="str">
        <f>IF(AK104="","",VLOOKUP('Reel 4 Symbol'!AK104,'Reel 4 Symbol'!$A$3:$E$25,5,0))</f>
        <v/>
      </c>
      <c r="AP104" s="8" t="str">
        <f t="shared" si="23"/>
        <v/>
      </c>
      <c r="AQ104" s="8" t="str">
        <f t="shared" si="24"/>
        <v/>
      </c>
      <c r="AR104" s="133"/>
      <c r="AS104" s="27">
        <v>101</v>
      </c>
      <c r="AT104" s="8"/>
      <c r="AU104" s="8"/>
      <c r="AW104" s="8" t="str">
        <f>IF(AT104="","",VLOOKUP('Reel 4 Symbol'!AT104,'Reel 4 Symbol'!$A$3:$E$25,5,0))</f>
        <v/>
      </c>
      <c r="AX104" s="8" t="str">
        <f>IF(AU104="","",VLOOKUP('Reel 4 Symbol'!AU104,'Reel 4 Symbol'!$A$3:$E$25,5,0))</f>
        <v/>
      </c>
      <c r="AZ104" s="8" t="str">
        <f t="shared" si="25"/>
        <v/>
      </c>
      <c r="BA104" s="8" t="str">
        <f t="shared" si="26"/>
        <v/>
      </c>
      <c r="BC104" s="27">
        <v>101</v>
      </c>
      <c r="BD104" s="8"/>
      <c r="BE104" s="8"/>
      <c r="BG104" s="8" t="str">
        <f>IF(BD104="","",VLOOKUP('Reel 4 Symbol'!BD104,'Reel 4 Symbol'!$A$3:$E$25,5,0))</f>
        <v/>
      </c>
      <c r="BH104" s="8" t="str">
        <f>IF(BE104="","",VLOOKUP('Reel 4 Symbol'!BE104,'Reel 4 Symbol'!$A$3:$E$25,5,0))</f>
        <v/>
      </c>
      <c r="BJ104" s="8" t="str">
        <f t="shared" si="27"/>
        <v/>
      </c>
      <c r="BK104" s="8" t="str">
        <f t="shared" si="28"/>
        <v/>
      </c>
    </row>
    <row r="105" spans="24:63" ht="16.8" customHeight="1">
      <c r="X105" s="133"/>
      <c r="Y105" s="27">
        <v>102</v>
      </c>
      <c r="Z105" s="8"/>
      <c r="AA105" s="8"/>
      <c r="AC105" s="8" t="str">
        <f>IF(Z105="","",VLOOKUP('Reel 4 Symbol'!Z105,'Reel 4 Symbol'!$A$3:$E$25,5,0))</f>
        <v/>
      </c>
      <c r="AD105" s="8" t="str">
        <f>IF(AA105="","",VLOOKUP('Reel 4 Symbol'!AA105,'Reel 4 Symbol'!$A$3:$E$25,5,0))</f>
        <v/>
      </c>
      <c r="AF105" s="8" t="str">
        <f t="shared" si="21"/>
        <v/>
      </c>
      <c r="AG105" s="8" t="str">
        <f t="shared" si="22"/>
        <v/>
      </c>
      <c r="AH105" s="133"/>
      <c r="AI105" s="27">
        <v>102</v>
      </c>
      <c r="AJ105" s="8"/>
      <c r="AK105" s="8"/>
      <c r="AM105" s="8" t="str">
        <f>IF(AJ105="","",VLOOKUP('Reel 4 Symbol'!AJ105,'Reel 4 Symbol'!$A$3:$E$25,5,0))</f>
        <v/>
      </c>
      <c r="AN105" s="8" t="str">
        <f>IF(AK105="","",VLOOKUP('Reel 4 Symbol'!AK105,'Reel 4 Symbol'!$A$3:$E$25,5,0))</f>
        <v/>
      </c>
      <c r="AP105" s="8" t="str">
        <f t="shared" si="23"/>
        <v/>
      </c>
      <c r="AQ105" s="8" t="str">
        <f t="shared" si="24"/>
        <v/>
      </c>
      <c r="AR105" s="133"/>
      <c r="AS105" s="27">
        <v>102</v>
      </c>
      <c r="AT105" s="8"/>
      <c r="AU105" s="8"/>
      <c r="AW105" s="8" t="str">
        <f>IF(AT105="","",VLOOKUP('Reel 4 Symbol'!AT105,'Reel 4 Symbol'!$A$3:$E$25,5,0))</f>
        <v/>
      </c>
      <c r="AX105" s="8" t="str">
        <f>IF(AU105="","",VLOOKUP('Reel 4 Symbol'!AU105,'Reel 4 Symbol'!$A$3:$E$25,5,0))</f>
        <v/>
      </c>
      <c r="AZ105" s="8" t="str">
        <f t="shared" si="25"/>
        <v/>
      </c>
      <c r="BA105" s="8" t="str">
        <f t="shared" si="26"/>
        <v/>
      </c>
      <c r="BC105" s="27">
        <v>102</v>
      </c>
      <c r="BD105" s="8"/>
      <c r="BE105" s="8"/>
      <c r="BG105" s="8" t="str">
        <f>IF(BD105="","",VLOOKUP('Reel 4 Symbol'!BD105,'Reel 4 Symbol'!$A$3:$E$25,5,0))</f>
        <v/>
      </c>
      <c r="BH105" s="8" t="str">
        <f>IF(BE105="","",VLOOKUP('Reel 4 Symbol'!BE105,'Reel 4 Symbol'!$A$3:$E$25,5,0))</f>
        <v/>
      </c>
      <c r="BJ105" s="8" t="str">
        <f t="shared" si="27"/>
        <v/>
      </c>
      <c r="BK105" s="8" t="str">
        <f t="shared" si="28"/>
        <v/>
      </c>
    </row>
    <row r="106" spans="24:63" ht="16.8" customHeight="1">
      <c r="X106" s="133"/>
      <c r="Y106" s="27">
        <v>103</v>
      </c>
      <c r="Z106" s="8"/>
      <c r="AA106" s="8"/>
      <c r="AC106" s="8" t="str">
        <f>IF(Z106="","",VLOOKUP('Reel 4 Symbol'!Z106,'Reel 4 Symbol'!$A$3:$E$25,5,0))</f>
        <v/>
      </c>
      <c r="AD106" s="8" t="str">
        <f>IF(AA106="","",VLOOKUP('Reel 4 Symbol'!AA106,'Reel 4 Symbol'!$A$3:$E$25,5,0))</f>
        <v/>
      </c>
      <c r="AF106" s="8" t="str">
        <f t="shared" si="21"/>
        <v/>
      </c>
      <c r="AG106" s="8" t="str">
        <f t="shared" si="22"/>
        <v/>
      </c>
      <c r="AH106" s="133"/>
      <c r="AI106" s="27">
        <v>103</v>
      </c>
      <c r="AJ106" s="8"/>
      <c r="AK106" s="8"/>
      <c r="AM106" s="8" t="str">
        <f>IF(AJ106="","",VLOOKUP('Reel 4 Symbol'!AJ106,'Reel 4 Symbol'!$A$3:$E$25,5,0))</f>
        <v/>
      </c>
      <c r="AN106" s="8" t="str">
        <f>IF(AK106="","",VLOOKUP('Reel 4 Symbol'!AK106,'Reel 4 Symbol'!$A$3:$E$25,5,0))</f>
        <v/>
      </c>
      <c r="AP106" s="8" t="str">
        <f t="shared" si="23"/>
        <v/>
      </c>
      <c r="AQ106" s="8" t="str">
        <f t="shared" si="24"/>
        <v/>
      </c>
      <c r="AR106" s="133"/>
      <c r="AS106" s="27">
        <v>103</v>
      </c>
      <c r="AT106" s="8"/>
      <c r="AU106" s="8"/>
      <c r="AW106" s="8" t="str">
        <f>IF(AT106="","",VLOOKUP('Reel 4 Symbol'!AT106,'Reel 4 Symbol'!$A$3:$E$25,5,0))</f>
        <v/>
      </c>
      <c r="AX106" s="8" t="str">
        <f>IF(AU106="","",VLOOKUP('Reel 4 Symbol'!AU106,'Reel 4 Symbol'!$A$3:$E$25,5,0))</f>
        <v/>
      </c>
      <c r="AZ106" s="8" t="str">
        <f t="shared" si="25"/>
        <v/>
      </c>
      <c r="BA106" s="8" t="str">
        <f t="shared" si="26"/>
        <v/>
      </c>
      <c r="BC106" s="27">
        <v>103</v>
      </c>
      <c r="BD106" s="8"/>
      <c r="BE106" s="8"/>
      <c r="BG106" s="8" t="str">
        <f>IF(BD106="","",VLOOKUP('Reel 4 Symbol'!BD106,'Reel 4 Symbol'!$A$3:$E$25,5,0))</f>
        <v/>
      </c>
      <c r="BH106" s="8" t="str">
        <f>IF(BE106="","",VLOOKUP('Reel 4 Symbol'!BE106,'Reel 4 Symbol'!$A$3:$E$25,5,0))</f>
        <v/>
      </c>
      <c r="BJ106" s="8" t="str">
        <f t="shared" si="27"/>
        <v/>
      </c>
      <c r="BK106" s="8" t="str">
        <f t="shared" si="28"/>
        <v/>
      </c>
    </row>
    <row r="107" spans="24:63" ht="16.8" customHeight="1">
      <c r="X107" s="133"/>
      <c r="Y107" s="27">
        <v>104</v>
      </c>
      <c r="Z107" s="8"/>
      <c r="AA107" s="8"/>
      <c r="AC107" s="8" t="str">
        <f>IF(Z107="","",VLOOKUP('Reel 4 Symbol'!Z107,'Reel 4 Symbol'!$A$3:$E$25,5,0))</f>
        <v/>
      </c>
      <c r="AD107" s="8" t="str">
        <f>IF(AA107="","",VLOOKUP('Reel 4 Symbol'!AA107,'Reel 4 Symbol'!$A$3:$E$25,5,0))</f>
        <v/>
      </c>
      <c r="AF107" s="8" t="str">
        <f t="shared" si="21"/>
        <v/>
      </c>
      <c r="AG107" s="8" t="str">
        <f t="shared" si="22"/>
        <v/>
      </c>
      <c r="AH107" s="133"/>
      <c r="AI107" s="27">
        <v>104</v>
      </c>
      <c r="AJ107" s="8"/>
      <c r="AK107" s="8"/>
      <c r="AM107" s="8" t="str">
        <f>IF(AJ107="","",VLOOKUP('Reel 4 Symbol'!AJ107,'Reel 4 Symbol'!$A$3:$E$25,5,0))</f>
        <v/>
      </c>
      <c r="AN107" s="8" t="str">
        <f>IF(AK107="","",VLOOKUP('Reel 4 Symbol'!AK107,'Reel 4 Symbol'!$A$3:$E$25,5,0))</f>
        <v/>
      </c>
      <c r="AP107" s="8" t="str">
        <f t="shared" si="23"/>
        <v/>
      </c>
      <c r="AQ107" s="8" t="str">
        <f t="shared" si="24"/>
        <v/>
      </c>
      <c r="AR107" s="133"/>
      <c r="AS107" s="27">
        <v>104</v>
      </c>
      <c r="AT107" s="8"/>
      <c r="AU107" s="8"/>
      <c r="AW107" s="8" t="str">
        <f>IF(AT107="","",VLOOKUP('Reel 4 Symbol'!AT107,'Reel 4 Symbol'!$A$3:$E$25,5,0))</f>
        <v/>
      </c>
      <c r="AX107" s="8" t="str">
        <f>IF(AU107="","",VLOOKUP('Reel 4 Symbol'!AU107,'Reel 4 Symbol'!$A$3:$E$25,5,0))</f>
        <v/>
      </c>
      <c r="AZ107" s="8" t="str">
        <f t="shared" si="25"/>
        <v/>
      </c>
      <c r="BA107" s="8" t="str">
        <f t="shared" si="26"/>
        <v/>
      </c>
      <c r="BC107" s="27">
        <v>104</v>
      </c>
      <c r="BD107" s="8"/>
      <c r="BE107" s="8"/>
      <c r="BG107" s="8" t="str">
        <f>IF(BD107="","",VLOOKUP('Reel 4 Symbol'!BD107,'Reel 4 Symbol'!$A$3:$E$25,5,0))</f>
        <v/>
      </c>
      <c r="BH107" s="8" t="str">
        <f>IF(BE107="","",VLOOKUP('Reel 4 Symbol'!BE107,'Reel 4 Symbol'!$A$3:$E$25,5,0))</f>
        <v/>
      </c>
      <c r="BJ107" s="8" t="str">
        <f t="shared" si="27"/>
        <v/>
      </c>
      <c r="BK107" s="8" t="str">
        <f t="shared" si="28"/>
        <v/>
      </c>
    </row>
    <row r="108" spans="24:63" ht="16.8" customHeight="1">
      <c r="X108" s="133"/>
      <c r="Y108" s="27">
        <v>105</v>
      </c>
      <c r="Z108" s="8"/>
      <c r="AA108" s="8"/>
      <c r="AC108" s="8" t="str">
        <f>IF(Z108="","",VLOOKUP('Reel 4 Symbol'!Z108,'Reel 4 Symbol'!$A$3:$E$25,5,0))</f>
        <v/>
      </c>
      <c r="AD108" s="8" t="str">
        <f>IF(AA108="","",VLOOKUP('Reel 4 Symbol'!AA108,'Reel 4 Symbol'!$A$3:$E$25,5,0))</f>
        <v/>
      </c>
      <c r="AF108" s="8" t="str">
        <f t="shared" si="21"/>
        <v/>
      </c>
      <c r="AG108" s="8" t="str">
        <f t="shared" si="22"/>
        <v/>
      </c>
      <c r="AH108" s="133"/>
      <c r="AI108" s="27">
        <v>105</v>
      </c>
      <c r="AJ108" s="8"/>
      <c r="AK108" s="8"/>
      <c r="AM108" s="8" t="str">
        <f>IF(AJ108="","",VLOOKUP('Reel 4 Symbol'!AJ108,'Reel 4 Symbol'!$A$3:$E$25,5,0))</f>
        <v/>
      </c>
      <c r="AN108" s="8" t="str">
        <f>IF(AK108="","",VLOOKUP('Reel 4 Symbol'!AK108,'Reel 4 Symbol'!$A$3:$E$25,5,0))</f>
        <v/>
      </c>
      <c r="AP108" s="8" t="str">
        <f t="shared" si="23"/>
        <v/>
      </c>
      <c r="AQ108" s="8" t="str">
        <f t="shared" si="24"/>
        <v/>
      </c>
      <c r="AR108" s="133"/>
      <c r="AS108" s="27">
        <v>105</v>
      </c>
      <c r="AT108" s="8"/>
      <c r="AU108" s="8"/>
      <c r="AW108" s="8" t="str">
        <f>IF(AT108="","",VLOOKUP('Reel 4 Symbol'!AT108,'Reel 4 Symbol'!$A$3:$E$25,5,0))</f>
        <v/>
      </c>
      <c r="AX108" s="8" t="str">
        <f>IF(AU108="","",VLOOKUP('Reel 4 Symbol'!AU108,'Reel 4 Symbol'!$A$3:$E$25,5,0))</f>
        <v/>
      </c>
      <c r="AZ108" s="8" t="str">
        <f t="shared" si="25"/>
        <v/>
      </c>
      <c r="BA108" s="8" t="str">
        <f t="shared" si="26"/>
        <v/>
      </c>
      <c r="BC108" s="27">
        <v>105</v>
      </c>
      <c r="BD108" s="8"/>
      <c r="BE108" s="8"/>
      <c r="BG108" s="8" t="str">
        <f>IF(BD108="","",VLOOKUP('Reel 4 Symbol'!BD108,'Reel 4 Symbol'!$A$3:$E$25,5,0))</f>
        <v/>
      </c>
      <c r="BH108" s="8" t="str">
        <f>IF(BE108="","",VLOOKUP('Reel 4 Symbol'!BE108,'Reel 4 Symbol'!$A$3:$E$25,5,0))</f>
        <v/>
      </c>
      <c r="BJ108" s="8" t="str">
        <f t="shared" si="27"/>
        <v/>
      </c>
      <c r="BK108" s="8" t="str">
        <f t="shared" si="28"/>
        <v/>
      </c>
    </row>
    <row r="109" spans="24:63" ht="16.8" customHeight="1">
      <c r="X109" s="133"/>
      <c r="Y109" s="27">
        <v>106</v>
      </c>
      <c r="Z109" s="8"/>
      <c r="AA109" s="8"/>
      <c r="AC109" s="8" t="str">
        <f>IF(Z109="","",VLOOKUP('Reel 4 Symbol'!Z109,'Reel 4 Symbol'!$A$3:$E$25,5,0))</f>
        <v/>
      </c>
      <c r="AD109" s="8" t="str">
        <f>IF(AA109="","",VLOOKUP('Reel 4 Symbol'!AA109,'Reel 4 Symbol'!$A$3:$E$25,5,0))</f>
        <v/>
      </c>
      <c r="AF109" s="8" t="str">
        <f t="shared" si="21"/>
        <v/>
      </c>
      <c r="AG109" s="8" t="str">
        <f t="shared" si="22"/>
        <v/>
      </c>
      <c r="AH109" s="133"/>
      <c r="AI109" s="27">
        <v>106</v>
      </c>
      <c r="AJ109" s="8"/>
      <c r="AK109" s="8"/>
      <c r="AM109" s="8" t="str">
        <f>IF(AJ109="","",VLOOKUP('Reel 4 Symbol'!AJ109,'Reel 4 Symbol'!$A$3:$E$25,5,0))</f>
        <v/>
      </c>
      <c r="AN109" s="8" t="str">
        <f>IF(AK109="","",VLOOKUP('Reel 4 Symbol'!AK109,'Reel 4 Symbol'!$A$3:$E$25,5,0))</f>
        <v/>
      </c>
      <c r="AP109" s="8" t="str">
        <f t="shared" si="23"/>
        <v/>
      </c>
      <c r="AQ109" s="8" t="str">
        <f t="shared" si="24"/>
        <v/>
      </c>
      <c r="AR109" s="133"/>
      <c r="AS109" s="27">
        <v>106</v>
      </c>
      <c r="AT109" s="8"/>
      <c r="AU109" s="8"/>
      <c r="AW109" s="8" t="str">
        <f>IF(AT109="","",VLOOKUP('Reel 4 Symbol'!AT109,'Reel 4 Symbol'!$A$3:$E$25,5,0))</f>
        <v/>
      </c>
      <c r="AX109" s="8" t="str">
        <f>IF(AU109="","",VLOOKUP('Reel 4 Symbol'!AU109,'Reel 4 Symbol'!$A$3:$E$25,5,0))</f>
        <v/>
      </c>
      <c r="AZ109" s="8" t="str">
        <f t="shared" si="25"/>
        <v/>
      </c>
      <c r="BA109" s="8" t="str">
        <f t="shared" si="26"/>
        <v/>
      </c>
      <c r="BC109" s="27">
        <v>106</v>
      </c>
      <c r="BD109" s="8"/>
      <c r="BE109" s="8"/>
      <c r="BG109" s="8" t="str">
        <f>IF(BD109="","",VLOOKUP('Reel 4 Symbol'!BD109,'Reel 4 Symbol'!$A$3:$E$25,5,0))</f>
        <v/>
      </c>
      <c r="BH109" s="8" t="str">
        <f>IF(BE109="","",VLOOKUP('Reel 4 Symbol'!BE109,'Reel 4 Symbol'!$A$3:$E$25,5,0))</f>
        <v/>
      </c>
      <c r="BJ109" s="8" t="str">
        <f t="shared" si="27"/>
        <v/>
      </c>
      <c r="BK109" s="8" t="str">
        <f t="shared" si="28"/>
        <v/>
      </c>
    </row>
    <row r="110" spans="24:63" ht="16.8" customHeight="1">
      <c r="X110" s="133"/>
      <c r="Y110" s="27">
        <v>107</v>
      </c>
      <c r="Z110" s="8"/>
      <c r="AA110" s="8"/>
      <c r="AC110" s="8" t="str">
        <f>IF(Z110="","",VLOOKUP('Reel 4 Symbol'!Z110,'Reel 4 Symbol'!$A$3:$E$25,5,0))</f>
        <v/>
      </c>
      <c r="AD110" s="8" t="str">
        <f>IF(AA110="","",VLOOKUP('Reel 4 Symbol'!AA110,'Reel 4 Symbol'!$A$3:$E$25,5,0))</f>
        <v/>
      </c>
      <c r="AF110" s="8" t="str">
        <f t="shared" si="21"/>
        <v/>
      </c>
      <c r="AG110" s="8" t="str">
        <f t="shared" si="22"/>
        <v/>
      </c>
      <c r="AH110" s="133"/>
      <c r="AI110" s="27">
        <v>107</v>
      </c>
      <c r="AJ110" s="8"/>
      <c r="AK110" s="8"/>
      <c r="AM110" s="8" t="str">
        <f>IF(AJ110="","",VLOOKUP('Reel 4 Symbol'!AJ110,'Reel 4 Symbol'!$A$3:$E$25,5,0))</f>
        <v/>
      </c>
      <c r="AN110" s="8" t="str">
        <f>IF(AK110="","",VLOOKUP('Reel 4 Symbol'!AK110,'Reel 4 Symbol'!$A$3:$E$25,5,0))</f>
        <v/>
      </c>
      <c r="AP110" s="8" t="str">
        <f t="shared" si="23"/>
        <v/>
      </c>
      <c r="AQ110" s="8" t="str">
        <f t="shared" si="24"/>
        <v/>
      </c>
      <c r="AR110" s="133"/>
      <c r="AS110" s="27">
        <v>107</v>
      </c>
      <c r="AT110" s="8"/>
      <c r="AU110" s="8"/>
      <c r="AW110" s="8" t="str">
        <f>IF(AT110="","",VLOOKUP('Reel 4 Symbol'!AT110,'Reel 4 Symbol'!$A$3:$E$25,5,0))</f>
        <v/>
      </c>
      <c r="AX110" s="8" t="str">
        <f>IF(AU110="","",VLOOKUP('Reel 4 Symbol'!AU110,'Reel 4 Symbol'!$A$3:$E$25,5,0))</f>
        <v/>
      </c>
      <c r="AZ110" s="8" t="str">
        <f t="shared" si="25"/>
        <v/>
      </c>
      <c r="BA110" s="8" t="str">
        <f t="shared" si="26"/>
        <v/>
      </c>
      <c r="BC110" s="27">
        <v>107</v>
      </c>
      <c r="BD110" s="8"/>
      <c r="BE110" s="8"/>
      <c r="BG110" s="8" t="str">
        <f>IF(BD110="","",VLOOKUP('Reel 4 Symbol'!BD110,'Reel 4 Symbol'!$A$3:$E$25,5,0))</f>
        <v/>
      </c>
      <c r="BH110" s="8" t="str">
        <f>IF(BE110="","",VLOOKUP('Reel 4 Symbol'!BE110,'Reel 4 Symbol'!$A$3:$E$25,5,0))</f>
        <v/>
      </c>
      <c r="BJ110" s="8" t="str">
        <f t="shared" si="27"/>
        <v/>
      </c>
      <c r="BK110" s="8" t="str">
        <f t="shared" si="28"/>
        <v/>
      </c>
    </row>
    <row r="111" spans="24:63" ht="16.8" customHeight="1">
      <c r="X111" s="133"/>
      <c r="Y111" s="27">
        <v>108</v>
      </c>
      <c r="Z111" s="8"/>
      <c r="AA111" s="8"/>
      <c r="AC111" s="8" t="str">
        <f>IF(Z111="","",VLOOKUP('Reel 4 Symbol'!Z111,'Reel 4 Symbol'!$A$3:$E$25,5,0))</f>
        <v/>
      </c>
      <c r="AD111" s="8" t="str">
        <f>IF(AA111="","",VLOOKUP('Reel 4 Symbol'!AA111,'Reel 4 Symbol'!$A$3:$E$25,5,0))</f>
        <v/>
      </c>
      <c r="AF111" s="8" t="str">
        <f t="shared" si="21"/>
        <v/>
      </c>
      <c r="AG111" s="8" t="str">
        <f t="shared" si="22"/>
        <v/>
      </c>
      <c r="AH111" s="133"/>
      <c r="AI111" s="27">
        <v>108</v>
      </c>
      <c r="AJ111" s="8"/>
      <c r="AK111" s="8"/>
      <c r="AM111" s="8" t="str">
        <f>IF(AJ111="","",VLOOKUP('Reel 4 Symbol'!AJ111,'Reel 4 Symbol'!$A$3:$E$25,5,0))</f>
        <v/>
      </c>
      <c r="AN111" s="8" t="str">
        <f>IF(AK111="","",VLOOKUP('Reel 4 Symbol'!AK111,'Reel 4 Symbol'!$A$3:$E$25,5,0))</f>
        <v/>
      </c>
      <c r="AP111" s="8" t="str">
        <f t="shared" si="23"/>
        <v/>
      </c>
      <c r="AQ111" s="8" t="str">
        <f t="shared" si="24"/>
        <v/>
      </c>
      <c r="AR111" s="133"/>
      <c r="AS111" s="27">
        <v>108</v>
      </c>
      <c r="AT111" s="8"/>
      <c r="AU111" s="8"/>
      <c r="AW111" s="8" t="str">
        <f>IF(AT111="","",VLOOKUP('Reel 4 Symbol'!AT111,'Reel 4 Symbol'!$A$3:$E$25,5,0))</f>
        <v/>
      </c>
      <c r="AX111" s="8" t="str">
        <f>IF(AU111="","",VLOOKUP('Reel 4 Symbol'!AU111,'Reel 4 Symbol'!$A$3:$E$25,5,0))</f>
        <v/>
      </c>
      <c r="AZ111" s="8" t="str">
        <f t="shared" si="25"/>
        <v/>
      </c>
      <c r="BA111" s="8" t="str">
        <f t="shared" si="26"/>
        <v/>
      </c>
      <c r="BC111" s="27">
        <v>108</v>
      </c>
      <c r="BD111" s="8"/>
      <c r="BE111" s="8"/>
      <c r="BG111" s="8" t="str">
        <f>IF(BD111="","",VLOOKUP('Reel 4 Symbol'!BD111,'Reel 4 Symbol'!$A$3:$E$25,5,0))</f>
        <v/>
      </c>
      <c r="BH111" s="8" t="str">
        <f>IF(BE111="","",VLOOKUP('Reel 4 Symbol'!BE111,'Reel 4 Symbol'!$A$3:$E$25,5,0))</f>
        <v/>
      </c>
      <c r="BJ111" s="8" t="str">
        <f t="shared" si="27"/>
        <v/>
      </c>
      <c r="BK111" s="8" t="str">
        <f t="shared" si="28"/>
        <v/>
      </c>
    </row>
    <row r="112" spans="24:63" ht="16.8" customHeight="1">
      <c r="X112" s="133"/>
      <c r="Y112" s="27">
        <v>109</v>
      </c>
      <c r="Z112" s="8"/>
      <c r="AA112" s="8"/>
      <c r="AC112" s="8" t="str">
        <f>IF(Z112="","",VLOOKUP('Reel 4 Symbol'!Z112,'Reel 4 Symbol'!$A$3:$E$25,5,0))</f>
        <v/>
      </c>
      <c r="AD112" s="8" t="str">
        <f>IF(AA112="","",VLOOKUP('Reel 4 Symbol'!AA112,'Reel 4 Symbol'!$A$3:$E$25,5,0))</f>
        <v/>
      </c>
      <c r="AF112" s="8" t="str">
        <f t="shared" si="21"/>
        <v/>
      </c>
      <c r="AG112" s="8" t="str">
        <f t="shared" si="22"/>
        <v/>
      </c>
      <c r="AH112" s="133"/>
      <c r="AI112" s="27">
        <v>109</v>
      </c>
      <c r="AJ112" s="8"/>
      <c r="AK112" s="8"/>
      <c r="AM112" s="8" t="str">
        <f>IF(AJ112="","",VLOOKUP('Reel 4 Symbol'!AJ112,'Reel 4 Symbol'!$A$3:$E$25,5,0))</f>
        <v/>
      </c>
      <c r="AN112" s="8" t="str">
        <f>IF(AK112="","",VLOOKUP('Reel 4 Symbol'!AK112,'Reel 4 Symbol'!$A$3:$E$25,5,0))</f>
        <v/>
      </c>
      <c r="AP112" s="8" t="str">
        <f t="shared" si="23"/>
        <v/>
      </c>
      <c r="AQ112" s="8" t="str">
        <f t="shared" si="24"/>
        <v/>
      </c>
      <c r="AR112" s="133"/>
      <c r="AS112" s="27">
        <v>109</v>
      </c>
      <c r="AT112" s="8"/>
      <c r="AU112" s="8"/>
      <c r="AW112" s="8" t="str">
        <f>IF(AT112="","",VLOOKUP('Reel 4 Symbol'!AT112,'Reel 4 Symbol'!$A$3:$E$25,5,0))</f>
        <v/>
      </c>
      <c r="AX112" s="8" t="str">
        <f>IF(AU112="","",VLOOKUP('Reel 4 Symbol'!AU112,'Reel 4 Symbol'!$A$3:$E$25,5,0))</f>
        <v/>
      </c>
      <c r="AZ112" s="8" t="str">
        <f t="shared" si="25"/>
        <v/>
      </c>
      <c r="BA112" s="8" t="str">
        <f t="shared" si="26"/>
        <v/>
      </c>
      <c r="BC112" s="27">
        <v>109</v>
      </c>
      <c r="BD112" s="8"/>
      <c r="BE112" s="8"/>
      <c r="BG112" s="8" t="str">
        <f>IF(BD112="","",VLOOKUP('Reel 4 Symbol'!BD112,'Reel 4 Symbol'!$A$3:$E$25,5,0))</f>
        <v/>
      </c>
      <c r="BH112" s="8" t="str">
        <f>IF(BE112="","",VLOOKUP('Reel 4 Symbol'!BE112,'Reel 4 Symbol'!$A$3:$E$25,5,0))</f>
        <v/>
      </c>
      <c r="BJ112" s="8" t="str">
        <f t="shared" si="27"/>
        <v/>
      </c>
      <c r="BK112" s="8" t="str">
        <f t="shared" si="28"/>
        <v/>
      </c>
    </row>
    <row r="113" spans="24:63" ht="16.8" customHeight="1">
      <c r="X113" s="133"/>
      <c r="Y113" s="27">
        <v>110</v>
      </c>
      <c r="Z113" s="8"/>
      <c r="AA113" s="8"/>
      <c r="AC113" s="8" t="str">
        <f>IF(Z113="","",VLOOKUP('Reel 4 Symbol'!Z113,'Reel 4 Symbol'!$A$3:$E$25,5,0))</f>
        <v/>
      </c>
      <c r="AD113" s="8" t="str">
        <f>IF(AA113="","",VLOOKUP('Reel 4 Symbol'!AA113,'Reel 4 Symbol'!$A$3:$E$25,5,0))</f>
        <v/>
      </c>
      <c r="AF113" s="8" t="str">
        <f t="shared" si="21"/>
        <v/>
      </c>
      <c r="AG113" s="8" t="str">
        <f t="shared" si="22"/>
        <v/>
      </c>
      <c r="AH113" s="133"/>
      <c r="AI113" s="27">
        <v>110</v>
      </c>
      <c r="AJ113" s="8"/>
      <c r="AK113" s="8"/>
      <c r="AM113" s="8" t="str">
        <f>IF(AJ113="","",VLOOKUP('Reel 4 Symbol'!AJ113,'Reel 4 Symbol'!$A$3:$E$25,5,0))</f>
        <v/>
      </c>
      <c r="AN113" s="8" t="str">
        <f>IF(AK113="","",VLOOKUP('Reel 4 Symbol'!AK113,'Reel 4 Symbol'!$A$3:$E$25,5,0))</f>
        <v/>
      </c>
      <c r="AP113" s="8" t="str">
        <f t="shared" si="23"/>
        <v/>
      </c>
      <c r="AQ113" s="8" t="str">
        <f t="shared" si="24"/>
        <v/>
      </c>
      <c r="AR113" s="133"/>
      <c r="AS113" s="27">
        <v>110</v>
      </c>
      <c r="AT113" s="8"/>
      <c r="AU113" s="8"/>
      <c r="AW113" s="8" t="str">
        <f>IF(AT113="","",VLOOKUP('Reel 4 Symbol'!AT113,'Reel 4 Symbol'!$A$3:$E$25,5,0))</f>
        <v/>
      </c>
      <c r="AX113" s="8" t="str">
        <f>IF(AU113="","",VLOOKUP('Reel 4 Symbol'!AU113,'Reel 4 Symbol'!$A$3:$E$25,5,0))</f>
        <v/>
      </c>
      <c r="AZ113" s="8" t="str">
        <f t="shared" si="25"/>
        <v/>
      </c>
      <c r="BA113" s="8" t="str">
        <f t="shared" si="26"/>
        <v/>
      </c>
      <c r="BC113" s="27">
        <v>110</v>
      </c>
      <c r="BD113" s="8"/>
      <c r="BE113" s="8"/>
      <c r="BG113" s="8" t="str">
        <f>IF(BD113="","",VLOOKUP('Reel 4 Symbol'!BD113,'Reel 4 Symbol'!$A$3:$E$25,5,0))</f>
        <v/>
      </c>
      <c r="BH113" s="8" t="str">
        <f>IF(BE113="","",VLOOKUP('Reel 4 Symbol'!BE113,'Reel 4 Symbol'!$A$3:$E$25,5,0))</f>
        <v/>
      </c>
      <c r="BJ113" s="8" t="str">
        <f t="shared" si="27"/>
        <v/>
      </c>
      <c r="BK113" s="8" t="str">
        <f t="shared" si="28"/>
        <v/>
      </c>
    </row>
    <row r="114" spans="24:63" ht="16.8" customHeight="1">
      <c r="X114" s="133"/>
      <c r="Y114" s="27">
        <v>111</v>
      </c>
      <c r="Z114" s="8"/>
      <c r="AA114" s="8"/>
      <c r="AC114" s="8" t="str">
        <f>IF(Z114="","",VLOOKUP('Reel 4 Symbol'!Z114,'Reel 4 Symbol'!$A$3:$E$25,5,0))</f>
        <v/>
      </c>
      <c r="AD114" s="8" t="str">
        <f>IF(AA114="","",VLOOKUP('Reel 4 Symbol'!AA114,'Reel 4 Symbol'!$A$3:$E$25,5,0))</f>
        <v/>
      </c>
      <c r="AF114" s="8" t="str">
        <f t="shared" si="21"/>
        <v/>
      </c>
      <c r="AG114" s="8" t="str">
        <f t="shared" si="22"/>
        <v/>
      </c>
      <c r="AH114" s="133"/>
      <c r="AI114" s="27">
        <v>111</v>
      </c>
      <c r="AJ114" s="8"/>
      <c r="AK114" s="8"/>
      <c r="AM114" s="8" t="str">
        <f>IF(AJ114="","",VLOOKUP('Reel 4 Symbol'!AJ114,'Reel 4 Symbol'!$A$3:$E$25,5,0))</f>
        <v/>
      </c>
      <c r="AN114" s="8" t="str">
        <f>IF(AK114="","",VLOOKUP('Reel 4 Symbol'!AK114,'Reel 4 Symbol'!$A$3:$E$25,5,0))</f>
        <v/>
      </c>
      <c r="AP114" s="8" t="str">
        <f t="shared" si="23"/>
        <v/>
      </c>
      <c r="AQ114" s="8" t="str">
        <f t="shared" si="24"/>
        <v/>
      </c>
      <c r="AR114" s="133"/>
      <c r="AS114" s="27">
        <v>111</v>
      </c>
      <c r="AT114" s="8"/>
      <c r="AU114" s="8"/>
      <c r="AW114" s="8" t="str">
        <f>IF(AT114="","",VLOOKUP('Reel 4 Symbol'!AT114,'Reel 4 Symbol'!$A$3:$E$25,5,0))</f>
        <v/>
      </c>
      <c r="AX114" s="8" t="str">
        <f>IF(AU114="","",VLOOKUP('Reel 4 Symbol'!AU114,'Reel 4 Symbol'!$A$3:$E$25,5,0))</f>
        <v/>
      </c>
      <c r="AZ114" s="8" t="str">
        <f t="shared" si="25"/>
        <v/>
      </c>
      <c r="BA114" s="8" t="str">
        <f t="shared" si="26"/>
        <v/>
      </c>
      <c r="BC114" s="27">
        <v>111</v>
      </c>
      <c r="BD114" s="8"/>
      <c r="BE114" s="8"/>
      <c r="BG114" s="8" t="str">
        <f>IF(BD114="","",VLOOKUP('Reel 4 Symbol'!BD114,'Reel 4 Symbol'!$A$3:$E$25,5,0))</f>
        <v/>
      </c>
      <c r="BH114" s="8" t="str">
        <f>IF(BE114="","",VLOOKUP('Reel 4 Symbol'!BE114,'Reel 4 Symbol'!$A$3:$E$25,5,0))</f>
        <v/>
      </c>
      <c r="BJ114" s="8" t="str">
        <f t="shared" si="27"/>
        <v/>
      </c>
      <c r="BK114" s="8" t="str">
        <f t="shared" si="28"/>
        <v/>
      </c>
    </row>
    <row r="115" spans="24:63" ht="16.8" customHeight="1">
      <c r="X115" s="133"/>
      <c r="Y115" s="27">
        <v>112</v>
      </c>
      <c r="Z115" s="8"/>
      <c r="AA115" s="8"/>
      <c r="AC115" s="8" t="str">
        <f>IF(Z115="","",VLOOKUP('Reel 4 Symbol'!Z115,'Reel 4 Symbol'!$A$3:$E$25,5,0))</f>
        <v/>
      </c>
      <c r="AD115" s="8" t="str">
        <f>IF(AA115="","",VLOOKUP('Reel 4 Symbol'!AA115,'Reel 4 Symbol'!$A$3:$E$25,5,0))</f>
        <v/>
      </c>
      <c r="AF115" s="8" t="str">
        <f t="shared" si="21"/>
        <v/>
      </c>
      <c r="AG115" s="8" t="str">
        <f t="shared" si="22"/>
        <v/>
      </c>
      <c r="AH115" s="133"/>
      <c r="AI115" s="27">
        <v>112</v>
      </c>
      <c r="AJ115" s="8"/>
      <c r="AK115" s="8"/>
      <c r="AM115" s="8" t="str">
        <f>IF(AJ115="","",VLOOKUP('Reel 4 Symbol'!AJ115,'Reel 4 Symbol'!$A$3:$E$25,5,0))</f>
        <v/>
      </c>
      <c r="AN115" s="8" t="str">
        <f>IF(AK115="","",VLOOKUP('Reel 4 Symbol'!AK115,'Reel 4 Symbol'!$A$3:$E$25,5,0))</f>
        <v/>
      </c>
      <c r="AP115" s="8" t="str">
        <f t="shared" si="23"/>
        <v/>
      </c>
      <c r="AQ115" s="8" t="str">
        <f t="shared" si="24"/>
        <v/>
      </c>
      <c r="AR115" s="133"/>
      <c r="AS115" s="27">
        <v>112</v>
      </c>
      <c r="AT115" s="8"/>
      <c r="AU115" s="8"/>
      <c r="AW115" s="8" t="str">
        <f>IF(AT115="","",VLOOKUP('Reel 4 Symbol'!AT115,'Reel 4 Symbol'!$A$3:$E$25,5,0))</f>
        <v/>
      </c>
      <c r="AX115" s="8" t="str">
        <f>IF(AU115="","",VLOOKUP('Reel 4 Symbol'!AU115,'Reel 4 Symbol'!$A$3:$E$25,5,0))</f>
        <v/>
      </c>
      <c r="AZ115" s="8" t="str">
        <f t="shared" si="25"/>
        <v/>
      </c>
      <c r="BA115" s="8" t="str">
        <f t="shared" si="26"/>
        <v/>
      </c>
      <c r="BC115" s="27">
        <v>112</v>
      </c>
      <c r="BD115" s="8"/>
      <c r="BE115" s="8"/>
      <c r="BG115" s="8" t="str">
        <f>IF(BD115="","",VLOOKUP('Reel 4 Symbol'!BD115,'Reel 4 Symbol'!$A$3:$E$25,5,0))</f>
        <v/>
      </c>
      <c r="BH115" s="8" t="str">
        <f>IF(BE115="","",VLOOKUP('Reel 4 Symbol'!BE115,'Reel 4 Symbol'!$A$3:$E$25,5,0))</f>
        <v/>
      </c>
      <c r="BJ115" s="8" t="str">
        <f t="shared" si="27"/>
        <v/>
      </c>
      <c r="BK115" s="8" t="str">
        <f t="shared" si="28"/>
        <v/>
      </c>
    </row>
    <row r="116" spans="24:63" ht="16.8" customHeight="1">
      <c r="X116" s="133"/>
      <c r="Y116" s="27">
        <v>113</v>
      </c>
      <c r="Z116" s="8"/>
      <c r="AA116" s="8"/>
      <c r="AC116" s="8" t="str">
        <f>IF(Z116="","",VLOOKUP('Reel 4 Symbol'!Z116,'Reel 4 Symbol'!$A$3:$E$25,5,0))</f>
        <v/>
      </c>
      <c r="AD116" s="8" t="str">
        <f>IF(AA116="","",VLOOKUP('Reel 4 Symbol'!AA116,'Reel 4 Symbol'!$A$3:$E$25,5,0))</f>
        <v/>
      </c>
      <c r="AF116" s="8" t="str">
        <f t="shared" si="21"/>
        <v/>
      </c>
      <c r="AG116" s="8" t="str">
        <f t="shared" si="22"/>
        <v/>
      </c>
      <c r="AH116" s="133"/>
      <c r="AI116" s="27">
        <v>113</v>
      </c>
      <c r="AJ116" s="8"/>
      <c r="AK116" s="8"/>
      <c r="AM116" s="8" t="str">
        <f>IF(AJ116="","",VLOOKUP('Reel 4 Symbol'!AJ116,'Reel 4 Symbol'!$A$3:$E$25,5,0))</f>
        <v/>
      </c>
      <c r="AN116" s="8" t="str">
        <f>IF(AK116="","",VLOOKUP('Reel 4 Symbol'!AK116,'Reel 4 Symbol'!$A$3:$E$25,5,0))</f>
        <v/>
      </c>
      <c r="AP116" s="8" t="str">
        <f t="shared" si="23"/>
        <v/>
      </c>
      <c r="AQ116" s="8" t="str">
        <f t="shared" si="24"/>
        <v/>
      </c>
      <c r="AR116" s="133"/>
      <c r="AS116" s="27">
        <v>113</v>
      </c>
      <c r="AT116" s="8"/>
      <c r="AU116" s="8"/>
      <c r="AW116" s="8" t="str">
        <f>IF(AT116="","",VLOOKUP('Reel 4 Symbol'!AT116,'Reel 4 Symbol'!$A$3:$E$25,5,0))</f>
        <v/>
      </c>
      <c r="AX116" s="8" t="str">
        <f>IF(AU116="","",VLOOKUP('Reel 4 Symbol'!AU116,'Reel 4 Symbol'!$A$3:$E$25,5,0))</f>
        <v/>
      </c>
      <c r="AZ116" s="8" t="str">
        <f t="shared" si="25"/>
        <v/>
      </c>
      <c r="BA116" s="8" t="str">
        <f t="shared" si="26"/>
        <v/>
      </c>
      <c r="BC116" s="27">
        <v>113</v>
      </c>
      <c r="BD116" s="8"/>
      <c r="BE116" s="8"/>
      <c r="BG116" s="8" t="str">
        <f>IF(BD116="","",VLOOKUP('Reel 4 Symbol'!BD116,'Reel 4 Symbol'!$A$3:$E$25,5,0))</f>
        <v/>
      </c>
      <c r="BH116" s="8" t="str">
        <f>IF(BE116="","",VLOOKUP('Reel 4 Symbol'!BE116,'Reel 4 Symbol'!$A$3:$E$25,5,0))</f>
        <v/>
      </c>
      <c r="BJ116" s="8" t="str">
        <f t="shared" si="27"/>
        <v/>
      </c>
      <c r="BK116" s="8" t="str">
        <f t="shared" si="28"/>
        <v/>
      </c>
    </row>
    <row r="117" spans="24:63" ht="16.8" customHeight="1">
      <c r="X117" s="133"/>
      <c r="Y117" s="27">
        <v>114</v>
      </c>
      <c r="Z117" s="8"/>
      <c r="AA117" s="8"/>
      <c r="AC117" s="8" t="str">
        <f>IF(Z117="","",VLOOKUP('Reel 4 Symbol'!Z117,'Reel 4 Symbol'!$A$3:$E$25,5,0))</f>
        <v/>
      </c>
      <c r="AD117" s="8" t="str">
        <f>IF(AA117="","",VLOOKUP('Reel 4 Symbol'!AA117,'Reel 4 Symbol'!$A$3:$E$25,5,0))</f>
        <v/>
      </c>
      <c r="AF117" s="8" t="str">
        <f t="shared" si="21"/>
        <v/>
      </c>
      <c r="AG117" s="8" t="str">
        <f t="shared" si="22"/>
        <v/>
      </c>
      <c r="AH117" s="133"/>
      <c r="AI117" s="27">
        <v>114</v>
      </c>
      <c r="AJ117" s="8"/>
      <c r="AK117" s="8"/>
      <c r="AM117" s="8" t="str">
        <f>IF(AJ117="","",VLOOKUP('Reel 4 Symbol'!AJ117,'Reel 4 Symbol'!$A$3:$E$25,5,0))</f>
        <v/>
      </c>
      <c r="AN117" s="8" t="str">
        <f>IF(AK117="","",VLOOKUP('Reel 4 Symbol'!AK117,'Reel 4 Symbol'!$A$3:$E$25,5,0))</f>
        <v/>
      </c>
      <c r="AP117" s="8" t="str">
        <f t="shared" si="23"/>
        <v/>
      </c>
      <c r="AQ117" s="8" t="str">
        <f t="shared" si="24"/>
        <v/>
      </c>
      <c r="AR117" s="133"/>
      <c r="AS117" s="27">
        <v>114</v>
      </c>
      <c r="AT117" s="8"/>
      <c r="AU117" s="8"/>
      <c r="AW117" s="8" t="str">
        <f>IF(AT117="","",VLOOKUP('Reel 4 Symbol'!AT117,'Reel 4 Symbol'!$A$3:$E$25,5,0))</f>
        <v/>
      </c>
      <c r="AX117" s="8" t="str">
        <f>IF(AU117="","",VLOOKUP('Reel 4 Symbol'!AU117,'Reel 4 Symbol'!$A$3:$E$25,5,0))</f>
        <v/>
      </c>
      <c r="AZ117" s="8" t="str">
        <f t="shared" si="25"/>
        <v/>
      </c>
      <c r="BA117" s="8" t="str">
        <f t="shared" si="26"/>
        <v/>
      </c>
      <c r="BC117" s="27">
        <v>114</v>
      </c>
      <c r="BD117" s="8"/>
      <c r="BE117" s="8"/>
      <c r="BG117" s="8" t="str">
        <f>IF(BD117="","",VLOOKUP('Reel 4 Symbol'!BD117,'Reel 4 Symbol'!$A$3:$E$25,5,0))</f>
        <v/>
      </c>
      <c r="BH117" s="8" t="str">
        <f>IF(BE117="","",VLOOKUP('Reel 4 Symbol'!BE117,'Reel 4 Symbol'!$A$3:$E$25,5,0))</f>
        <v/>
      </c>
      <c r="BJ117" s="8" t="str">
        <f t="shared" si="27"/>
        <v/>
      </c>
      <c r="BK117" s="8" t="str">
        <f t="shared" si="28"/>
        <v/>
      </c>
    </row>
    <row r="118" spans="24:63" ht="16.8" customHeight="1">
      <c r="X118" s="133"/>
      <c r="Y118" s="27">
        <v>115</v>
      </c>
      <c r="Z118" s="8"/>
      <c r="AA118" s="8"/>
      <c r="AC118" s="8" t="str">
        <f>IF(Z118="","",VLOOKUP('Reel 4 Symbol'!Z118,'Reel 4 Symbol'!$A$3:$E$25,5,0))</f>
        <v/>
      </c>
      <c r="AD118" s="8" t="str">
        <f>IF(AA118="","",VLOOKUP('Reel 4 Symbol'!AA118,'Reel 4 Symbol'!$A$3:$E$25,5,0))</f>
        <v/>
      </c>
      <c r="AF118" s="8" t="str">
        <f t="shared" si="21"/>
        <v/>
      </c>
      <c r="AG118" s="8" t="str">
        <f t="shared" si="22"/>
        <v/>
      </c>
      <c r="AH118" s="133"/>
      <c r="AI118" s="27">
        <v>115</v>
      </c>
      <c r="AJ118" s="8"/>
      <c r="AK118" s="8"/>
      <c r="AM118" s="8" t="str">
        <f>IF(AJ118="","",VLOOKUP('Reel 4 Symbol'!AJ118,'Reel 4 Symbol'!$A$3:$E$25,5,0))</f>
        <v/>
      </c>
      <c r="AN118" s="8" t="str">
        <f>IF(AK118="","",VLOOKUP('Reel 4 Symbol'!AK118,'Reel 4 Symbol'!$A$3:$E$25,5,0))</f>
        <v/>
      </c>
      <c r="AP118" s="8" t="str">
        <f t="shared" si="23"/>
        <v/>
      </c>
      <c r="AQ118" s="8" t="str">
        <f t="shared" si="24"/>
        <v/>
      </c>
      <c r="AR118" s="133"/>
      <c r="AS118" s="27">
        <v>115</v>
      </c>
      <c r="AT118" s="8"/>
      <c r="AU118" s="8"/>
      <c r="AW118" s="8" t="str">
        <f>IF(AT118="","",VLOOKUP('Reel 4 Symbol'!AT118,'Reel 4 Symbol'!$A$3:$E$25,5,0))</f>
        <v/>
      </c>
      <c r="AX118" s="8" t="str">
        <f>IF(AU118="","",VLOOKUP('Reel 4 Symbol'!AU118,'Reel 4 Symbol'!$A$3:$E$25,5,0))</f>
        <v/>
      </c>
      <c r="AZ118" s="8" t="str">
        <f t="shared" si="25"/>
        <v/>
      </c>
      <c r="BA118" s="8" t="str">
        <f t="shared" si="26"/>
        <v/>
      </c>
      <c r="BC118" s="27">
        <v>115</v>
      </c>
      <c r="BD118" s="8"/>
      <c r="BE118" s="8"/>
      <c r="BG118" s="8" t="str">
        <f>IF(BD118="","",VLOOKUP('Reel 4 Symbol'!BD118,'Reel 4 Symbol'!$A$3:$E$25,5,0))</f>
        <v/>
      </c>
      <c r="BH118" s="8" t="str">
        <f>IF(BE118="","",VLOOKUP('Reel 4 Symbol'!BE118,'Reel 4 Symbol'!$A$3:$E$25,5,0))</f>
        <v/>
      </c>
      <c r="BJ118" s="8" t="str">
        <f t="shared" si="27"/>
        <v/>
      </c>
      <c r="BK118" s="8" t="str">
        <f t="shared" si="28"/>
        <v/>
      </c>
    </row>
    <row r="119" spans="24:63" ht="16.8" customHeight="1">
      <c r="X119" s="133"/>
      <c r="Y119" s="27">
        <v>116</v>
      </c>
      <c r="Z119" s="8"/>
      <c r="AA119" s="8"/>
      <c r="AC119" s="8" t="str">
        <f>IF(Z119="","",VLOOKUP('Reel 4 Symbol'!Z119,'Reel 4 Symbol'!$A$3:$E$25,5,0))</f>
        <v/>
      </c>
      <c r="AD119" s="8" t="str">
        <f>IF(AA119="","",VLOOKUP('Reel 4 Symbol'!AA119,'Reel 4 Symbol'!$A$3:$E$25,5,0))</f>
        <v/>
      </c>
      <c r="AF119" s="8" t="str">
        <f t="shared" si="21"/>
        <v/>
      </c>
      <c r="AG119" s="8" t="str">
        <f t="shared" si="22"/>
        <v/>
      </c>
      <c r="AH119" s="133"/>
      <c r="AI119" s="27">
        <v>116</v>
      </c>
      <c r="AJ119" s="8"/>
      <c r="AK119" s="8"/>
      <c r="AM119" s="8" t="str">
        <f>IF(AJ119="","",VLOOKUP('Reel 4 Symbol'!AJ119,'Reel 4 Symbol'!$A$3:$E$25,5,0))</f>
        <v/>
      </c>
      <c r="AN119" s="8" t="str">
        <f>IF(AK119="","",VLOOKUP('Reel 4 Symbol'!AK119,'Reel 4 Symbol'!$A$3:$E$25,5,0))</f>
        <v/>
      </c>
      <c r="AP119" s="8" t="str">
        <f t="shared" si="23"/>
        <v/>
      </c>
      <c r="AQ119" s="8" t="str">
        <f t="shared" si="24"/>
        <v/>
      </c>
      <c r="AR119" s="133"/>
      <c r="AS119" s="27">
        <v>116</v>
      </c>
      <c r="AT119" s="8"/>
      <c r="AU119" s="8"/>
      <c r="AW119" s="8" t="str">
        <f>IF(AT119="","",VLOOKUP('Reel 4 Symbol'!AT119,'Reel 4 Symbol'!$A$3:$E$25,5,0))</f>
        <v/>
      </c>
      <c r="AX119" s="8" t="str">
        <f>IF(AU119="","",VLOOKUP('Reel 4 Symbol'!AU119,'Reel 4 Symbol'!$A$3:$E$25,5,0))</f>
        <v/>
      </c>
      <c r="AZ119" s="8" t="str">
        <f t="shared" si="25"/>
        <v/>
      </c>
      <c r="BA119" s="8" t="str">
        <f t="shared" si="26"/>
        <v/>
      </c>
      <c r="BC119" s="27">
        <v>116</v>
      </c>
      <c r="BD119" s="8"/>
      <c r="BE119" s="8"/>
      <c r="BG119" s="8" t="str">
        <f>IF(BD119="","",VLOOKUP('Reel 4 Symbol'!BD119,'Reel 4 Symbol'!$A$3:$E$25,5,0))</f>
        <v/>
      </c>
      <c r="BH119" s="8" t="str">
        <f>IF(BE119="","",VLOOKUP('Reel 4 Symbol'!BE119,'Reel 4 Symbol'!$A$3:$E$25,5,0))</f>
        <v/>
      </c>
      <c r="BJ119" s="8" t="str">
        <f t="shared" si="27"/>
        <v/>
      </c>
      <c r="BK119" s="8" t="str">
        <f t="shared" si="28"/>
        <v/>
      </c>
    </row>
    <row r="120" spans="24:63" ht="16.8" customHeight="1">
      <c r="X120" s="133"/>
      <c r="Y120" s="27">
        <v>117</v>
      </c>
      <c r="Z120" s="8"/>
      <c r="AA120" s="8"/>
      <c r="AC120" s="8" t="str">
        <f>IF(Z120="","",VLOOKUP('Reel 4 Symbol'!Z120,'Reel 4 Symbol'!$A$3:$E$25,5,0))</f>
        <v/>
      </c>
      <c r="AD120" s="8" t="str">
        <f>IF(AA120="","",VLOOKUP('Reel 4 Symbol'!AA120,'Reel 4 Symbol'!$A$3:$E$25,5,0))</f>
        <v/>
      </c>
      <c r="AF120" s="8" t="str">
        <f t="shared" si="21"/>
        <v/>
      </c>
      <c r="AG120" s="8" t="str">
        <f t="shared" si="22"/>
        <v/>
      </c>
      <c r="AH120" s="133"/>
      <c r="AI120" s="27">
        <v>117</v>
      </c>
      <c r="AJ120" s="8"/>
      <c r="AK120" s="8"/>
      <c r="AM120" s="8" t="str">
        <f>IF(AJ120="","",VLOOKUP('Reel 4 Symbol'!AJ120,'Reel 4 Symbol'!$A$3:$E$25,5,0))</f>
        <v/>
      </c>
      <c r="AN120" s="8" t="str">
        <f>IF(AK120="","",VLOOKUP('Reel 4 Symbol'!AK120,'Reel 4 Symbol'!$A$3:$E$25,5,0))</f>
        <v/>
      </c>
      <c r="AP120" s="8" t="str">
        <f t="shared" si="23"/>
        <v/>
      </c>
      <c r="AQ120" s="8" t="str">
        <f t="shared" si="24"/>
        <v/>
      </c>
      <c r="AR120" s="133"/>
      <c r="AS120" s="27">
        <v>117</v>
      </c>
      <c r="AT120" s="8"/>
      <c r="AU120" s="8"/>
      <c r="AW120" s="8" t="str">
        <f>IF(AT120="","",VLOOKUP('Reel 4 Symbol'!AT120,'Reel 4 Symbol'!$A$3:$E$25,5,0))</f>
        <v/>
      </c>
      <c r="AX120" s="8" t="str">
        <f>IF(AU120="","",VLOOKUP('Reel 4 Symbol'!AU120,'Reel 4 Symbol'!$A$3:$E$25,5,0))</f>
        <v/>
      </c>
      <c r="AZ120" s="8" t="str">
        <f t="shared" si="25"/>
        <v/>
      </c>
      <c r="BA120" s="8" t="str">
        <f t="shared" si="26"/>
        <v/>
      </c>
      <c r="BC120" s="27">
        <v>117</v>
      </c>
      <c r="BD120" s="8"/>
      <c r="BE120" s="8"/>
      <c r="BG120" s="8" t="str">
        <f>IF(BD120="","",VLOOKUP('Reel 4 Symbol'!BD120,'Reel 4 Symbol'!$A$3:$E$25,5,0))</f>
        <v/>
      </c>
      <c r="BH120" s="8" t="str">
        <f>IF(BE120="","",VLOOKUP('Reel 4 Symbol'!BE120,'Reel 4 Symbol'!$A$3:$E$25,5,0))</f>
        <v/>
      </c>
      <c r="BJ120" s="8" t="str">
        <f t="shared" si="27"/>
        <v/>
      </c>
      <c r="BK120" s="8" t="str">
        <f t="shared" si="28"/>
        <v/>
      </c>
    </row>
    <row r="121" spans="24:63" ht="16.8" customHeight="1">
      <c r="X121" s="133"/>
      <c r="Y121" s="27">
        <v>118</v>
      </c>
      <c r="Z121" s="8"/>
      <c r="AA121" s="8"/>
      <c r="AC121" s="8" t="str">
        <f>IF(Z121="","",VLOOKUP('Reel 4 Symbol'!Z121,'Reel 4 Symbol'!$A$3:$E$25,5,0))</f>
        <v/>
      </c>
      <c r="AD121" s="8" t="str">
        <f>IF(AA121="","",VLOOKUP('Reel 4 Symbol'!AA121,'Reel 4 Symbol'!$A$3:$E$25,5,0))</f>
        <v/>
      </c>
      <c r="AF121" s="8" t="str">
        <f t="shared" si="21"/>
        <v/>
      </c>
      <c r="AG121" s="8" t="str">
        <f t="shared" si="22"/>
        <v/>
      </c>
      <c r="AH121" s="133"/>
      <c r="AI121" s="27">
        <v>118</v>
      </c>
      <c r="AJ121" s="8"/>
      <c r="AK121" s="8"/>
      <c r="AM121" s="8" t="str">
        <f>IF(AJ121="","",VLOOKUP('Reel 4 Symbol'!AJ121,'Reel 4 Symbol'!$A$3:$E$25,5,0))</f>
        <v/>
      </c>
      <c r="AN121" s="8" t="str">
        <f>IF(AK121="","",VLOOKUP('Reel 4 Symbol'!AK121,'Reel 4 Symbol'!$A$3:$E$25,5,0))</f>
        <v/>
      </c>
      <c r="AP121" s="8" t="str">
        <f t="shared" si="23"/>
        <v/>
      </c>
      <c r="AQ121" s="8" t="str">
        <f t="shared" si="24"/>
        <v/>
      </c>
      <c r="AR121" s="133"/>
      <c r="AS121" s="27">
        <v>118</v>
      </c>
      <c r="AT121" s="8"/>
      <c r="AU121" s="8"/>
      <c r="AW121" s="8" t="str">
        <f>IF(AT121="","",VLOOKUP('Reel 4 Symbol'!AT121,'Reel 4 Symbol'!$A$3:$E$25,5,0))</f>
        <v/>
      </c>
      <c r="AX121" s="8" t="str">
        <f>IF(AU121="","",VLOOKUP('Reel 4 Symbol'!AU121,'Reel 4 Symbol'!$A$3:$E$25,5,0))</f>
        <v/>
      </c>
      <c r="AZ121" s="8" t="str">
        <f t="shared" si="25"/>
        <v/>
      </c>
      <c r="BA121" s="8" t="str">
        <f t="shared" si="26"/>
        <v/>
      </c>
      <c r="BC121" s="27">
        <v>118</v>
      </c>
      <c r="BD121" s="8"/>
      <c r="BE121" s="8"/>
      <c r="BG121" s="8" t="str">
        <f>IF(BD121="","",VLOOKUP('Reel 4 Symbol'!BD121,'Reel 4 Symbol'!$A$3:$E$25,5,0))</f>
        <v/>
      </c>
      <c r="BH121" s="8" t="str">
        <f>IF(BE121="","",VLOOKUP('Reel 4 Symbol'!BE121,'Reel 4 Symbol'!$A$3:$E$25,5,0))</f>
        <v/>
      </c>
      <c r="BJ121" s="8" t="str">
        <f t="shared" si="27"/>
        <v/>
      </c>
      <c r="BK121" s="8" t="str">
        <f t="shared" si="28"/>
        <v/>
      </c>
    </row>
    <row r="122" spans="24:63" ht="16.8" customHeight="1">
      <c r="X122" s="133"/>
      <c r="Y122" s="27">
        <v>119</v>
      </c>
      <c r="Z122" s="8"/>
      <c r="AA122" s="8"/>
      <c r="AC122" s="8" t="str">
        <f>IF(Z122="","",VLOOKUP('Reel 4 Symbol'!Z122,'Reel 4 Symbol'!$A$3:$E$25,5,0))</f>
        <v/>
      </c>
      <c r="AD122" s="8" t="str">
        <f>IF(AA122="","",VLOOKUP('Reel 4 Symbol'!AA122,'Reel 4 Symbol'!$A$3:$E$25,5,0))</f>
        <v/>
      </c>
      <c r="AF122" s="8" t="str">
        <f t="shared" si="21"/>
        <v/>
      </c>
      <c r="AG122" s="8" t="str">
        <f t="shared" si="22"/>
        <v/>
      </c>
      <c r="AH122" s="133"/>
      <c r="AI122" s="27">
        <v>119</v>
      </c>
      <c r="AJ122" s="8"/>
      <c r="AK122" s="8"/>
      <c r="AM122" s="8" t="str">
        <f>IF(AJ122="","",VLOOKUP('Reel 4 Symbol'!AJ122,'Reel 4 Symbol'!$A$3:$E$25,5,0))</f>
        <v/>
      </c>
      <c r="AN122" s="8" t="str">
        <f>IF(AK122="","",VLOOKUP('Reel 4 Symbol'!AK122,'Reel 4 Symbol'!$A$3:$E$25,5,0))</f>
        <v/>
      </c>
      <c r="AP122" s="8" t="str">
        <f t="shared" si="23"/>
        <v/>
      </c>
      <c r="AQ122" s="8" t="str">
        <f t="shared" si="24"/>
        <v/>
      </c>
      <c r="AR122" s="133"/>
      <c r="AS122" s="27">
        <v>119</v>
      </c>
      <c r="AT122" s="8"/>
      <c r="AU122" s="8"/>
      <c r="AW122" s="8" t="str">
        <f>IF(AT122="","",VLOOKUP('Reel 4 Symbol'!AT122,'Reel 4 Symbol'!$A$3:$E$25,5,0))</f>
        <v/>
      </c>
      <c r="AX122" s="8" t="str">
        <f>IF(AU122="","",VLOOKUP('Reel 4 Symbol'!AU122,'Reel 4 Symbol'!$A$3:$E$25,5,0))</f>
        <v/>
      </c>
      <c r="AZ122" s="8" t="str">
        <f t="shared" si="25"/>
        <v/>
      </c>
      <c r="BA122" s="8" t="str">
        <f t="shared" si="26"/>
        <v/>
      </c>
      <c r="BC122" s="27">
        <v>119</v>
      </c>
      <c r="BD122" s="8"/>
      <c r="BE122" s="8"/>
      <c r="BG122" s="8" t="str">
        <f>IF(BD122="","",VLOOKUP('Reel 4 Symbol'!BD122,'Reel 4 Symbol'!$A$3:$E$25,5,0))</f>
        <v/>
      </c>
      <c r="BH122" s="8" t="str">
        <f>IF(BE122="","",VLOOKUP('Reel 4 Symbol'!BE122,'Reel 4 Symbol'!$A$3:$E$25,5,0))</f>
        <v/>
      </c>
      <c r="BJ122" s="8" t="str">
        <f t="shared" si="27"/>
        <v/>
      </c>
      <c r="BK122" s="8" t="str">
        <f t="shared" si="28"/>
        <v/>
      </c>
    </row>
    <row r="123" spans="24:63" ht="16.8" customHeight="1">
      <c r="X123" s="133"/>
      <c r="Y123" s="27">
        <v>120</v>
      </c>
      <c r="Z123" s="8"/>
      <c r="AA123" s="8"/>
      <c r="AC123" s="8" t="str">
        <f>IF(Z123="","",VLOOKUP('Reel 4 Symbol'!Z123,'Reel 4 Symbol'!$A$3:$E$25,5,0))</f>
        <v/>
      </c>
      <c r="AD123" s="8" t="str">
        <f>IF(AA123="","",VLOOKUP('Reel 4 Symbol'!AA123,'Reel 4 Symbol'!$A$3:$E$25,5,0))</f>
        <v/>
      </c>
      <c r="AF123" s="8" t="str">
        <f t="shared" si="21"/>
        <v/>
      </c>
      <c r="AG123" s="8" t="str">
        <f t="shared" si="22"/>
        <v/>
      </c>
      <c r="AH123" s="133"/>
      <c r="AI123" s="27">
        <v>120</v>
      </c>
      <c r="AJ123" s="8"/>
      <c r="AK123" s="8"/>
      <c r="AM123" s="8" t="str">
        <f>IF(AJ123="","",VLOOKUP('Reel 4 Symbol'!AJ123,'Reel 4 Symbol'!$A$3:$E$25,5,0))</f>
        <v/>
      </c>
      <c r="AN123" s="8" t="str">
        <f>IF(AK123="","",VLOOKUP('Reel 4 Symbol'!AK123,'Reel 4 Symbol'!$A$3:$E$25,5,0))</f>
        <v/>
      </c>
      <c r="AP123" s="8" t="str">
        <f t="shared" si="23"/>
        <v/>
      </c>
      <c r="AQ123" s="8" t="str">
        <f t="shared" si="24"/>
        <v/>
      </c>
      <c r="AR123" s="133"/>
      <c r="AS123" s="27">
        <v>120</v>
      </c>
      <c r="AT123" s="8"/>
      <c r="AU123" s="8"/>
      <c r="AW123" s="8" t="str">
        <f>IF(AT123="","",VLOOKUP('Reel 4 Symbol'!AT123,'Reel 4 Symbol'!$A$3:$E$25,5,0))</f>
        <v/>
      </c>
      <c r="AX123" s="8" t="str">
        <f>IF(AU123="","",VLOOKUP('Reel 4 Symbol'!AU123,'Reel 4 Symbol'!$A$3:$E$25,5,0))</f>
        <v/>
      </c>
      <c r="AZ123" s="8" t="str">
        <f t="shared" si="25"/>
        <v/>
      </c>
      <c r="BA123" s="8" t="str">
        <f t="shared" si="26"/>
        <v/>
      </c>
      <c r="BC123" s="27">
        <v>120</v>
      </c>
      <c r="BD123" s="8"/>
      <c r="BE123" s="8"/>
      <c r="BG123" s="8" t="str">
        <f>IF(BD123="","",VLOOKUP('Reel 4 Symbol'!BD123,'Reel 4 Symbol'!$A$3:$E$25,5,0))</f>
        <v/>
      </c>
      <c r="BH123" s="8" t="str">
        <f>IF(BE123="","",VLOOKUP('Reel 4 Symbol'!BE123,'Reel 4 Symbol'!$A$3:$E$25,5,0))</f>
        <v/>
      </c>
      <c r="BJ123" s="8" t="str">
        <f t="shared" si="27"/>
        <v/>
      </c>
      <c r="BK123" s="8" t="str">
        <f t="shared" si="28"/>
        <v/>
      </c>
    </row>
    <row r="124" spans="24:63" ht="16.8" customHeight="1">
      <c r="X124" s="133"/>
      <c r="Y124" s="27">
        <v>121</v>
      </c>
      <c r="Z124" s="8"/>
      <c r="AA124" s="8"/>
      <c r="AC124" s="8" t="str">
        <f>IF(Z124="","",VLOOKUP('Reel 4 Symbol'!Z124,'Reel 4 Symbol'!$A$3:$E$25,5,0))</f>
        <v/>
      </c>
      <c r="AD124" s="8" t="str">
        <f>IF(AA124="","",VLOOKUP('Reel 4 Symbol'!AA124,'Reel 4 Symbol'!$A$3:$E$25,5,0))</f>
        <v/>
      </c>
      <c r="AF124" s="8" t="str">
        <f t="shared" si="21"/>
        <v/>
      </c>
      <c r="AG124" s="8" t="str">
        <f t="shared" si="22"/>
        <v/>
      </c>
      <c r="AH124" s="133"/>
      <c r="AI124" s="27">
        <v>121</v>
      </c>
      <c r="AJ124" s="8"/>
      <c r="AK124" s="8"/>
      <c r="AM124" s="8" t="str">
        <f>IF(AJ124="","",VLOOKUP('Reel 4 Symbol'!AJ124,'Reel 4 Symbol'!$A$3:$E$25,5,0))</f>
        <v/>
      </c>
      <c r="AN124" s="8" t="str">
        <f>IF(AK124="","",VLOOKUP('Reel 4 Symbol'!AK124,'Reel 4 Symbol'!$A$3:$E$25,5,0))</f>
        <v/>
      </c>
      <c r="AP124" s="8" t="str">
        <f t="shared" si="23"/>
        <v/>
      </c>
      <c r="AQ124" s="8" t="str">
        <f t="shared" si="24"/>
        <v/>
      </c>
      <c r="AR124" s="133"/>
      <c r="AS124" s="27">
        <v>121</v>
      </c>
      <c r="AT124" s="8"/>
      <c r="AU124" s="8"/>
      <c r="AW124" s="8" t="str">
        <f>IF(AT124="","",VLOOKUP('Reel 4 Symbol'!AT124,'Reel 4 Symbol'!$A$3:$E$25,5,0))</f>
        <v/>
      </c>
      <c r="AX124" s="8" t="str">
        <f>IF(AU124="","",VLOOKUP('Reel 4 Symbol'!AU124,'Reel 4 Symbol'!$A$3:$E$25,5,0))</f>
        <v/>
      </c>
      <c r="AZ124" s="8" t="str">
        <f t="shared" si="25"/>
        <v/>
      </c>
      <c r="BA124" s="8" t="str">
        <f t="shared" si="26"/>
        <v/>
      </c>
      <c r="BC124" s="27">
        <v>121</v>
      </c>
      <c r="BD124" s="8"/>
      <c r="BE124" s="8"/>
      <c r="BG124" s="8" t="str">
        <f>IF(BD124="","",VLOOKUP('Reel 4 Symbol'!BD124,'Reel 4 Symbol'!$A$3:$E$25,5,0))</f>
        <v/>
      </c>
      <c r="BH124" s="8" t="str">
        <f>IF(BE124="","",VLOOKUP('Reel 4 Symbol'!BE124,'Reel 4 Symbol'!$A$3:$E$25,5,0))</f>
        <v/>
      </c>
      <c r="BJ124" s="8" t="str">
        <f t="shared" si="27"/>
        <v/>
      </c>
      <c r="BK124" s="8" t="str">
        <f t="shared" si="28"/>
        <v/>
      </c>
    </row>
    <row r="125" spans="24:63" ht="16.8" customHeight="1">
      <c r="X125" s="133"/>
      <c r="Y125" s="27">
        <v>122</v>
      </c>
      <c r="Z125" s="8"/>
      <c r="AA125" s="8"/>
      <c r="AC125" s="8" t="str">
        <f>IF(Z125="","",VLOOKUP('Reel 4 Symbol'!Z125,'Reel 4 Symbol'!$A$3:$E$25,5,0))</f>
        <v/>
      </c>
      <c r="AD125" s="8" t="str">
        <f>IF(AA125="","",VLOOKUP('Reel 4 Symbol'!AA125,'Reel 4 Symbol'!$A$3:$E$25,5,0))</f>
        <v/>
      </c>
      <c r="AF125" s="8" t="str">
        <f t="shared" si="21"/>
        <v/>
      </c>
      <c r="AG125" s="8" t="str">
        <f t="shared" si="22"/>
        <v/>
      </c>
      <c r="AH125" s="133"/>
      <c r="AI125" s="27">
        <v>122</v>
      </c>
      <c r="AJ125" s="8"/>
      <c r="AK125" s="8"/>
      <c r="AM125" s="8" t="str">
        <f>IF(AJ125="","",VLOOKUP('Reel 4 Symbol'!AJ125,'Reel 4 Symbol'!$A$3:$E$25,5,0))</f>
        <v/>
      </c>
      <c r="AN125" s="8" t="str">
        <f>IF(AK125="","",VLOOKUP('Reel 4 Symbol'!AK125,'Reel 4 Symbol'!$A$3:$E$25,5,0))</f>
        <v/>
      </c>
      <c r="AP125" s="8" t="str">
        <f t="shared" si="23"/>
        <v/>
      </c>
      <c r="AQ125" s="8" t="str">
        <f t="shared" si="24"/>
        <v/>
      </c>
      <c r="AR125" s="133"/>
      <c r="AS125" s="27">
        <v>122</v>
      </c>
      <c r="AT125" s="8"/>
      <c r="AU125" s="8"/>
      <c r="AW125" s="8" t="str">
        <f>IF(AT125="","",VLOOKUP('Reel 4 Symbol'!AT125,'Reel 4 Symbol'!$A$3:$E$25,5,0))</f>
        <v/>
      </c>
      <c r="AX125" s="8" t="str">
        <f>IF(AU125="","",VLOOKUP('Reel 4 Symbol'!AU125,'Reel 4 Symbol'!$A$3:$E$25,5,0))</f>
        <v/>
      </c>
      <c r="AZ125" s="8" t="str">
        <f t="shared" si="25"/>
        <v/>
      </c>
      <c r="BA125" s="8" t="str">
        <f t="shared" si="26"/>
        <v/>
      </c>
      <c r="BC125" s="27">
        <v>122</v>
      </c>
      <c r="BD125" s="8"/>
      <c r="BE125" s="8"/>
      <c r="BG125" s="8" t="str">
        <f>IF(BD125="","",VLOOKUP('Reel 4 Symbol'!BD125,'Reel 4 Symbol'!$A$3:$E$25,5,0))</f>
        <v/>
      </c>
      <c r="BH125" s="8" t="str">
        <f>IF(BE125="","",VLOOKUP('Reel 4 Symbol'!BE125,'Reel 4 Symbol'!$A$3:$E$25,5,0))</f>
        <v/>
      </c>
      <c r="BJ125" s="8" t="str">
        <f t="shared" si="27"/>
        <v/>
      </c>
      <c r="BK125" s="8" t="str">
        <f t="shared" si="28"/>
        <v/>
      </c>
    </row>
    <row r="126" spans="24:63" ht="16.8" customHeight="1">
      <c r="X126" s="133"/>
      <c r="Y126" s="27">
        <v>123</v>
      </c>
      <c r="Z126" s="8"/>
      <c r="AA126" s="8"/>
      <c r="AC126" s="8" t="str">
        <f>IF(Z126="","",VLOOKUP('Reel 4 Symbol'!Z126,'Reel 4 Symbol'!$A$3:$E$25,5,0))</f>
        <v/>
      </c>
      <c r="AD126" s="8" t="str">
        <f>IF(AA126="","",VLOOKUP('Reel 4 Symbol'!AA126,'Reel 4 Symbol'!$A$3:$E$25,5,0))</f>
        <v/>
      </c>
      <c r="AF126" s="8" t="str">
        <f t="shared" si="21"/>
        <v/>
      </c>
      <c r="AG126" s="8" t="str">
        <f t="shared" si="22"/>
        <v/>
      </c>
      <c r="AH126" s="133"/>
      <c r="AI126" s="27">
        <v>123</v>
      </c>
      <c r="AJ126" s="8"/>
      <c r="AK126" s="8"/>
      <c r="AM126" s="8" t="str">
        <f>IF(AJ126="","",VLOOKUP('Reel 4 Symbol'!AJ126,'Reel 4 Symbol'!$A$3:$E$25,5,0))</f>
        <v/>
      </c>
      <c r="AN126" s="8" t="str">
        <f>IF(AK126="","",VLOOKUP('Reel 4 Symbol'!AK126,'Reel 4 Symbol'!$A$3:$E$25,5,0))</f>
        <v/>
      </c>
      <c r="AP126" s="8" t="str">
        <f t="shared" si="23"/>
        <v/>
      </c>
      <c r="AQ126" s="8" t="str">
        <f t="shared" si="24"/>
        <v/>
      </c>
      <c r="AR126" s="133"/>
      <c r="AS126" s="27">
        <v>123</v>
      </c>
      <c r="AT126" s="8"/>
      <c r="AU126" s="8"/>
      <c r="AW126" s="8" t="str">
        <f>IF(AT126="","",VLOOKUP('Reel 4 Symbol'!AT126,'Reel 4 Symbol'!$A$3:$E$25,5,0))</f>
        <v/>
      </c>
      <c r="AX126" s="8" t="str">
        <f>IF(AU126="","",VLOOKUP('Reel 4 Symbol'!AU126,'Reel 4 Symbol'!$A$3:$E$25,5,0))</f>
        <v/>
      </c>
      <c r="AZ126" s="8" t="str">
        <f t="shared" si="25"/>
        <v/>
      </c>
      <c r="BA126" s="8" t="str">
        <f t="shared" si="26"/>
        <v/>
      </c>
      <c r="BC126" s="27">
        <v>123</v>
      </c>
      <c r="BD126" s="8"/>
      <c r="BE126" s="8"/>
      <c r="BG126" s="8" t="str">
        <f>IF(BD126="","",VLOOKUP('Reel 4 Symbol'!BD126,'Reel 4 Symbol'!$A$3:$E$25,5,0))</f>
        <v/>
      </c>
      <c r="BH126" s="8" t="str">
        <f>IF(BE126="","",VLOOKUP('Reel 4 Symbol'!BE126,'Reel 4 Symbol'!$A$3:$E$25,5,0))</f>
        <v/>
      </c>
      <c r="BJ126" s="8" t="str">
        <f t="shared" si="27"/>
        <v/>
      </c>
      <c r="BK126" s="8" t="str">
        <f t="shared" si="28"/>
        <v/>
      </c>
    </row>
    <row r="127" spans="24:63" ht="16.8" customHeight="1">
      <c r="X127" s="133"/>
      <c r="Y127" s="27">
        <v>124</v>
      </c>
      <c r="Z127" s="8"/>
      <c r="AA127" s="8"/>
      <c r="AC127" s="8" t="str">
        <f>IF(Z127="","",VLOOKUP('Reel 4 Symbol'!Z127,'Reel 4 Symbol'!$A$3:$E$25,5,0))</f>
        <v/>
      </c>
      <c r="AD127" s="8" t="str">
        <f>IF(AA127="","",VLOOKUP('Reel 4 Symbol'!AA127,'Reel 4 Symbol'!$A$3:$E$25,5,0))</f>
        <v/>
      </c>
      <c r="AF127" s="8" t="str">
        <f t="shared" si="21"/>
        <v/>
      </c>
      <c r="AG127" s="8" t="str">
        <f t="shared" si="22"/>
        <v/>
      </c>
      <c r="AH127" s="133"/>
      <c r="AI127" s="27">
        <v>124</v>
      </c>
      <c r="AJ127" s="8"/>
      <c r="AK127" s="8"/>
      <c r="AM127" s="8" t="str">
        <f>IF(AJ127="","",VLOOKUP('Reel 4 Symbol'!AJ127,'Reel 4 Symbol'!$A$3:$E$25,5,0))</f>
        <v/>
      </c>
      <c r="AN127" s="8" t="str">
        <f>IF(AK127="","",VLOOKUP('Reel 4 Symbol'!AK127,'Reel 4 Symbol'!$A$3:$E$25,5,0))</f>
        <v/>
      </c>
      <c r="AP127" s="8" t="str">
        <f t="shared" si="23"/>
        <v/>
      </c>
      <c r="AQ127" s="8" t="str">
        <f t="shared" si="24"/>
        <v/>
      </c>
      <c r="AR127" s="133"/>
      <c r="AS127" s="27">
        <v>124</v>
      </c>
      <c r="AT127" s="8"/>
      <c r="AU127" s="8"/>
      <c r="AW127" s="8" t="str">
        <f>IF(AT127="","",VLOOKUP('Reel 4 Symbol'!AT127,'Reel 4 Symbol'!$A$3:$E$25,5,0))</f>
        <v/>
      </c>
      <c r="AX127" s="8" t="str">
        <f>IF(AU127="","",VLOOKUP('Reel 4 Symbol'!AU127,'Reel 4 Symbol'!$A$3:$E$25,5,0))</f>
        <v/>
      </c>
      <c r="AZ127" s="8" t="str">
        <f t="shared" si="25"/>
        <v/>
      </c>
      <c r="BA127" s="8" t="str">
        <f t="shared" si="26"/>
        <v/>
      </c>
      <c r="BC127" s="27">
        <v>124</v>
      </c>
      <c r="BD127" s="8"/>
      <c r="BE127" s="8"/>
      <c r="BG127" s="8" t="str">
        <f>IF(BD127="","",VLOOKUP('Reel 4 Symbol'!BD127,'Reel 4 Symbol'!$A$3:$E$25,5,0))</f>
        <v/>
      </c>
      <c r="BH127" s="8" t="str">
        <f>IF(BE127="","",VLOOKUP('Reel 4 Symbol'!BE127,'Reel 4 Symbol'!$A$3:$E$25,5,0))</f>
        <v/>
      </c>
      <c r="BJ127" s="8" t="str">
        <f t="shared" si="27"/>
        <v/>
      </c>
      <c r="BK127" s="8" t="str">
        <f t="shared" si="28"/>
        <v/>
      </c>
    </row>
    <row r="128" spans="24:63" ht="16.8" customHeight="1">
      <c r="X128" s="133"/>
      <c r="Y128" s="27">
        <v>125</v>
      </c>
      <c r="Z128" s="8"/>
      <c r="AA128" s="8"/>
      <c r="AC128" s="8" t="str">
        <f>IF(Z128="","",VLOOKUP('Reel 4 Symbol'!Z128,'Reel 4 Symbol'!$A$3:$E$25,5,0))</f>
        <v/>
      </c>
      <c r="AD128" s="8" t="str">
        <f>IF(AA128="","",VLOOKUP('Reel 4 Symbol'!AA128,'Reel 4 Symbol'!$A$3:$E$25,5,0))</f>
        <v/>
      </c>
      <c r="AF128" s="8" t="str">
        <f t="shared" si="21"/>
        <v/>
      </c>
      <c r="AG128" s="8" t="str">
        <f t="shared" si="22"/>
        <v/>
      </c>
      <c r="AH128" s="133"/>
      <c r="AI128" s="27">
        <v>125</v>
      </c>
      <c r="AJ128" s="8"/>
      <c r="AK128" s="8"/>
      <c r="AM128" s="8" t="str">
        <f>IF(AJ128="","",VLOOKUP('Reel 4 Symbol'!AJ128,'Reel 4 Symbol'!$A$3:$E$25,5,0))</f>
        <v/>
      </c>
      <c r="AN128" s="8" t="str">
        <f>IF(AK128="","",VLOOKUP('Reel 4 Symbol'!AK128,'Reel 4 Symbol'!$A$3:$E$25,5,0))</f>
        <v/>
      </c>
      <c r="AP128" s="8" t="str">
        <f t="shared" si="23"/>
        <v/>
      </c>
      <c r="AQ128" s="8" t="str">
        <f t="shared" si="24"/>
        <v/>
      </c>
      <c r="AR128" s="133"/>
      <c r="AS128" s="27">
        <v>125</v>
      </c>
      <c r="AT128" s="8"/>
      <c r="AU128" s="8"/>
      <c r="AW128" s="8" t="str">
        <f>IF(AT128="","",VLOOKUP('Reel 4 Symbol'!AT128,'Reel 4 Symbol'!$A$3:$E$25,5,0))</f>
        <v/>
      </c>
      <c r="AX128" s="8" t="str">
        <f>IF(AU128="","",VLOOKUP('Reel 4 Symbol'!AU128,'Reel 4 Symbol'!$A$3:$E$25,5,0))</f>
        <v/>
      </c>
      <c r="AZ128" s="8" t="str">
        <f t="shared" si="25"/>
        <v/>
      </c>
      <c r="BA128" s="8" t="str">
        <f t="shared" si="26"/>
        <v/>
      </c>
      <c r="BC128" s="27">
        <v>125</v>
      </c>
      <c r="BD128" s="8"/>
      <c r="BE128" s="8"/>
      <c r="BG128" s="8" t="str">
        <f>IF(BD128="","",VLOOKUP('Reel 4 Symbol'!BD128,'Reel 4 Symbol'!$A$3:$E$25,5,0))</f>
        <v/>
      </c>
      <c r="BH128" s="8" t="str">
        <f>IF(BE128="","",VLOOKUP('Reel 4 Symbol'!BE128,'Reel 4 Symbol'!$A$3:$E$25,5,0))</f>
        <v/>
      </c>
      <c r="BJ128" s="8" t="str">
        <f t="shared" si="27"/>
        <v/>
      </c>
      <c r="BK128" s="8" t="str">
        <f t="shared" si="28"/>
        <v/>
      </c>
    </row>
    <row r="129" spans="24:63" ht="16.8" customHeight="1">
      <c r="X129" s="133"/>
      <c r="Y129" s="27">
        <v>126</v>
      </c>
      <c r="Z129" s="8"/>
      <c r="AA129" s="8"/>
      <c r="AC129" s="8" t="str">
        <f>IF(Z129="","",VLOOKUP('Reel 4 Symbol'!Z129,'Reel 4 Symbol'!$A$3:$E$25,5,0))</f>
        <v/>
      </c>
      <c r="AD129" s="8" t="str">
        <f>IF(AA129="","",VLOOKUP('Reel 4 Symbol'!AA129,'Reel 4 Symbol'!$A$3:$E$25,5,0))</f>
        <v/>
      </c>
      <c r="AF129" s="8" t="str">
        <f t="shared" si="21"/>
        <v/>
      </c>
      <c r="AG129" s="8" t="str">
        <f t="shared" si="22"/>
        <v/>
      </c>
      <c r="AH129" s="133"/>
      <c r="AI129" s="27">
        <v>126</v>
      </c>
      <c r="AJ129" s="8"/>
      <c r="AK129" s="8"/>
      <c r="AM129" s="8" t="str">
        <f>IF(AJ129="","",VLOOKUP('Reel 4 Symbol'!AJ129,'Reel 4 Symbol'!$A$3:$E$25,5,0))</f>
        <v/>
      </c>
      <c r="AN129" s="8" t="str">
        <f>IF(AK129="","",VLOOKUP('Reel 4 Symbol'!AK129,'Reel 4 Symbol'!$A$3:$E$25,5,0))</f>
        <v/>
      </c>
      <c r="AP129" s="8" t="str">
        <f t="shared" si="23"/>
        <v/>
      </c>
      <c r="AQ129" s="8" t="str">
        <f t="shared" si="24"/>
        <v/>
      </c>
      <c r="AR129" s="133"/>
      <c r="AS129" s="27">
        <v>126</v>
      </c>
      <c r="AT129" s="8"/>
      <c r="AU129" s="8"/>
      <c r="AW129" s="8" t="str">
        <f>IF(AT129="","",VLOOKUP('Reel 4 Symbol'!AT129,'Reel 4 Symbol'!$A$3:$E$25,5,0))</f>
        <v/>
      </c>
      <c r="AX129" s="8" t="str">
        <f>IF(AU129="","",VLOOKUP('Reel 4 Symbol'!AU129,'Reel 4 Symbol'!$A$3:$E$25,5,0))</f>
        <v/>
      </c>
      <c r="AZ129" s="8" t="str">
        <f t="shared" si="25"/>
        <v/>
      </c>
      <c r="BA129" s="8" t="str">
        <f t="shared" si="26"/>
        <v/>
      </c>
      <c r="BC129" s="27">
        <v>126</v>
      </c>
      <c r="BD129" s="8"/>
      <c r="BE129" s="8"/>
      <c r="BG129" s="8" t="str">
        <f>IF(BD129="","",VLOOKUP('Reel 4 Symbol'!BD129,'Reel 4 Symbol'!$A$3:$E$25,5,0))</f>
        <v/>
      </c>
      <c r="BH129" s="8" t="str">
        <f>IF(BE129="","",VLOOKUP('Reel 4 Symbol'!BE129,'Reel 4 Symbol'!$A$3:$E$25,5,0))</f>
        <v/>
      </c>
      <c r="BJ129" s="8" t="str">
        <f t="shared" si="27"/>
        <v/>
      </c>
      <c r="BK129" s="8" t="str">
        <f t="shared" si="28"/>
        <v/>
      </c>
    </row>
    <row r="130" spans="24:63" ht="16.8" customHeight="1">
      <c r="X130" s="133"/>
      <c r="Y130" s="27">
        <v>127</v>
      </c>
      <c r="Z130" s="8"/>
      <c r="AA130" s="8"/>
      <c r="AC130" s="8" t="str">
        <f>IF(Z130="","",VLOOKUP('Reel 4 Symbol'!Z130,'Reel 4 Symbol'!$A$3:$E$25,5,0))</f>
        <v/>
      </c>
      <c r="AD130" s="8" t="str">
        <f>IF(AA130="","",VLOOKUP('Reel 4 Symbol'!AA130,'Reel 4 Symbol'!$A$3:$E$25,5,0))</f>
        <v/>
      </c>
      <c r="AF130" s="8" t="str">
        <f t="shared" si="21"/>
        <v/>
      </c>
      <c r="AG130" s="8" t="str">
        <f t="shared" si="22"/>
        <v/>
      </c>
      <c r="AH130" s="133"/>
      <c r="AI130" s="27">
        <v>127</v>
      </c>
      <c r="AJ130" s="8"/>
      <c r="AK130" s="8"/>
      <c r="AM130" s="8" t="str">
        <f>IF(AJ130="","",VLOOKUP('Reel 4 Symbol'!AJ130,'Reel 4 Symbol'!$A$3:$E$25,5,0))</f>
        <v/>
      </c>
      <c r="AN130" s="8" t="str">
        <f>IF(AK130="","",VLOOKUP('Reel 4 Symbol'!AK130,'Reel 4 Symbol'!$A$3:$E$25,5,0))</f>
        <v/>
      </c>
      <c r="AP130" s="8" t="str">
        <f t="shared" si="23"/>
        <v/>
      </c>
      <c r="AQ130" s="8" t="str">
        <f t="shared" si="24"/>
        <v/>
      </c>
      <c r="AR130" s="133"/>
      <c r="AS130" s="27">
        <v>127</v>
      </c>
      <c r="AT130" s="8"/>
      <c r="AU130" s="8"/>
      <c r="AW130" s="8" t="str">
        <f>IF(AT130="","",VLOOKUP('Reel 4 Symbol'!AT130,'Reel 4 Symbol'!$A$3:$E$25,5,0))</f>
        <v/>
      </c>
      <c r="AX130" s="8" t="str">
        <f>IF(AU130="","",VLOOKUP('Reel 4 Symbol'!AU130,'Reel 4 Symbol'!$A$3:$E$25,5,0))</f>
        <v/>
      </c>
      <c r="AZ130" s="8" t="str">
        <f t="shared" si="25"/>
        <v/>
      </c>
      <c r="BA130" s="8" t="str">
        <f t="shared" si="26"/>
        <v/>
      </c>
      <c r="BC130" s="27">
        <v>127</v>
      </c>
      <c r="BD130" s="8"/>
      <c r="BE130" s="8"/>
      <c r="BG130" s="8" t="str">
        <f>IF(BD130="","",VLOOKUP('Reel 4 Symbol'!BD130,'Reel 4 Symbol'!$A$3:$E$25,5,0))</f>
        <v/>
      </c>
      <c r="BH130" s="8" t="str">
        <f>IF(BE130="","",VLOOKUP('Reel 4 Symbol'!BE130,'Reel 4 Symbol'!$A$3:$E$25,5,0))</f>
        <v/>
      </c>
      <c r="BJ130" s="8" t="str">
        <f t="shared" si="27"/>
        <v/>
      </c>
      <c r="BK130" s="8" t="str">
        <f t="shared" si="28"/>
        <v/>
      </c>
    </row>
    <row r="131" spans="24:63" ht="16.8" customHeight="1">
      <c r="X131" s="133"/>
      <c r="Y131" s="27">
        <v>128</v>
      </c>
      <c r="Z131" s="8"/>
      <c r="AA131" s="8"/>
      <c r="AC131" s="8" t="str">
        <f>IF(Z131="","",VLOOKUP('Reel 4 Symbol'!Z131,'Reel 4 Symbol'!$A$3:$E$25,5,0))</f>
        <v/>
      </c>
      <c r="AD131" s="8" t="str">
        <f>IF(AA131="","",VLOOKUP('Reel 4 Symbol'!AA131,'Reel 4 Symbol'!$A$3:$E$25,5,0))</f>
        <v/>
      </c>
      <c r="AF131" s="8" t="str">
        <f t="shared" si="21"/>
        <v/>
      </c>
      <c r="AG131" s="8" t="str">
        <f t="shared" si="22"/>
        <v/>
      </c>
      <c r="AH131" s="133"/>
      <c r="AI131" s="27">
        <v>128</v>
      </c>
      <c r="AJ131" s="8"/>
      <c r="AK131" s="8"/>
      <c r="AM131" s="8" t="str">
        <f>IF(AJ131="","",VLOOKUP('Reel 4 Symbol'!AJ131,'Reel 4 Symbol'!$A$3:$E$25,5,0))</f>
        <v/>
      </c>
      <c r="AN131" s="8" t="str">
        <f>IF(AK131="","",VLOOKUP('Reel 4 Symbol'!AK131,'Reel 4 Symbol'!$A$3:$E$25,5,0))</f>
        <v/>
      </c>
      <c r="AP131" s="8" t="str">
        <f t="shared" si="23"/>
        <v/>
      </c>
      <c r="AQ131" s="8" t="str">
        <f t="shared" si="24"/>
        <v/>
      </c>
      <c r="AR131" s="133"/>
      <c r="AS131" s="27">
        <v>128</v>
      </c>
      <c r="AT131" s="8"/>
      <c r="AU131" s="8"/>
      <c r="AW131" s="8" t="str">
        <f>IF(AT131="","",VLOOKUP('Reel 4 Symbol'!AT131,'Reel 4 Symbol'!$A$3:$E$25,5,0))</f>
        <v/>
      </c>
      <c r="AX131" s="8" t="str">
        <f>IF(AU131="","",VLOOKUP('Reel 4 Symbol'!AU131,'Reel 4 Symbol'!$A$3:$E$25,5,0))</f>
        <v/>
      </c>
      <c r="AZ131" s="8" t="str">
        <f t="shared" si="25"/>
        <v/>
      </c>
      <c r="BA131" s="8" t="str">
        <f t="shared" si="26"/>
        <v/>
      </c>
      <c r="BC131" s="27">
        <v>128</v>
      </c>
      <c r="BD131" s="8"/>
      <c r="BE131" s="8"/>
      <c r="BG131" s="8" t="str">
        <f>IF(BD131="","",VLOOKUP('Reel 4 Symbol'!BD131,'Reel 4 Symbol'!$A$3:$E$25,5,0))</f>
        <v/>
      </c>
      <c r="BH131" s="8" t="str">
        <f>IF(BE131="","",VLOOKUP('Reel 4 Symbol'!BE131,'Reel 4 Symbol'!$A$3:$E$25,5,0))</f>
        <v/>
      </c>
      <c r="BJ131" s="8" t="str">
        <f t="shared" si="27"/>
        <v/>
      </c>
      <c r="BK131" s="8" t="str">
        <f t="shared" si="28"/>
        <v/>
      </c>
    </row>
    <row r="132" spans="24:63" ht="16.8" customHeight="1">
      <c r="X132" s="133"/>
      <c r="Y132" s="27">
        <v>129</v>
      </c>
      <c r="Z132" s="8"/>
      <c r="AA132" s="8"/>
      <c r="AC132" s="8" t="str">
        <f>IF(Z132="","",VLOOKUP('Reel 4 Symbol'!Z132,'Reel 4 Symbol'!$A$3:$E$25,5,0))</f>
        <v/>
      </c>
      <c r="AD132" s="8" t="str">
        <f>IF(AA132="","",VLOOKUP('Reel 4 Symbol'!AA132,'Reel 4 Symbol'!$A$3:$E$25,5,0))</f>
        <v/>
      </c>
      <c r="AF132" s="8" t="str">
        <f t="shared" ref="AF132:AF195" si="29">IF(Z132&lt;&gt;"", VLOOKUP(Z132,$A$3:$B$25,2,0), "")</f>
        <v/>
      </c>
      <c r="AG132" s="8" t="str">
        <f t="shared" ref="AG132:AG195" si="30">IF(AA132&lt;&gt;"", VLOOKUP(AA132,$A$3:$B$25,2,0), "")</f>
        <v/>
      </c>
      <c r="AH132" s="133"/>
      <c r="AI132" s="27">
        <v>129</v>
      </c>
      <c r="AJ132" s="8"/>
      <c r="AK132" s="8"/>
      <c r="AM132" s="8" t="str">
        <f>IF(AJ132="","",VLOOKUP('Reel 4 Symbol'!AJ132,'Reel 4 Symbol'!$A$3:$E$25,5,0))</f>
        <v/>
      </c>
      <c r="AN132" s="8" t="str">
        <f>IF(AK132="","",VLOOKUP('Reel 4 Symbol'!AK132,'Reel 4 Symbol'!$A$3:$E$25,5,0))</f>
        <v/>
      </c>
      <c r="AP132" s="8" t="str">
        <f t="shared" ref="AP132:AP195" si="31">IF(AJ132&lt;&gt;"", VLOOKUP(AJ132,$A$3:$B$25,2,0), "")</f>
        <v/>
      </c>
      <c r="AQ132" s="8" t="str">
        <f t="shared" ref="AQ132:AQ195" si="32">IF(AK132&lt;&gt;"", VLOOKUP(AK132,$A$3:$B$25,2,0), "")</f>
        <v/>
      </c>
      <c r="AR132" s="133"/>
      <c r="AS132" s="27">
        <v>129</v>
      </c>
      <c r="AT132" s="8"/>
      <c r="AU132" s="8"/>
      <c r="AW132" s="8" t="str">
        <f>IF(AT132="","",VLOOKUP('Reel 4 Symbol'!AT132,'Reel 4 Symbol'!$A$3:$E$25,5,0))</f>
        <v/>
      </c>
      <c r="AX132" s="8" t="str">
        <f>IF(AU132="","",VLOOKUP('Reel 4 Symbol'!AU132,'Reel 4 Symbol'!$A$3:$E$25,5,0))</f>
        <v/>
      </c>
      <c r="AZ132" s="8" t="str">
        <f t="shared" ref="AZ132:AZ195" si="33">IF(AT132&lt;&gt;"", VLOOKUP(AT132,$A$3:$B$25,2,0), "")</f>
        <v/>
      </c>
      <c r="BA132" s="8" t="str">
        <f t="shared" ref="BA132:BA195" si="34">IF(AU132&lt;&gt;"", VLOOKUP(AU132,$A$3:$B$25,2,0), "")</f>
        <v/>
      </c>
      <c r="BC132" s="27">
        <v>129</v>
      </c>
      <c r="BD132" s="8"/>
      <c r="BE132" s="8"/>
      <c r="BG132" s="8" t="str">
        <f>IF(BD132="","",VLOOKUP('Reel 4 Symbol'!BD132,'Reel 4 Symbol'!$A$3:$E$25,5,0))</f>
        <v/>
      </c>
      <c r="BH132" s="8" t="str">
        <f>IF(BE132="","",VLOOKUP('Reel 4 Symbol'!BE132,'Reel 4 Symbol'!$A$3:$E$25,5,0))</f>
        <v/>
      </c>
      <c r="BJ132" s="8" t="str">
        <f t="shared" ref="BJ132:BJ195" si="35">IF(BD132&lt;&gt;"", VLOOKUP(BD132,$A$3:$B$25,2,0), "")</f>
        <v/>
      </c>
      <c r="BK132" s="8" t="str">
        <f t="shared" ref="BK132:BK195" si="36">IF(BE132&lt;&gt;"", VLOOKUP(BE132,$A$3:$B$25,2,0), "")</f>
        <v/>
      </c>
    </row>
    <row r="133" spans="24:63" ht="16.8" customHeight="1">
      <c r="X133" s="133"/>
      <c r="Y133" s="27">
        <v>130</v>
      </c>
      <c r="Z133" s="8"/>
      <c r="AA133" s="8"/>
      <c r="AC133" s="8" t="str">
        <f>IF(Z133="","",VLOOKUP('Reel 4 Symbol'!Z133,'Reel 4 Symbol'!$A$3:$E$25,5,0))</f>
        <v/>
      </c>
      <c r="AD133" s="8" t="str">
        <f>IF(AA133="","",VLOOKUP('Reel 4 Symbol'!AA133,'Reel 4 Symbol'!$A$3:$E$25,5,0))</f>
        <v/>
      </c>
      <c r="AF133" s="8" t="str">
        <f t="shared" si="29"/>
        <v/>
      </c>
      <c r="AG133" s="8" t="str">
        <f t="shared" si="30"/>
        <v/>
      </c>
      <c r="AH133" s="133"/>
      <c r="AI133" s="27">
        <v>130</v>
      </c>
      <c r="AJ133" s="8"/>
      <c r="AK133" s="8"/>
      <c r="AM133" s="8" t="str">
        <f>IF(AJ133="","",VLOOKUP('Reel 4 Symbol'!AJ133,'Reel 4 Symbol'!$A$3:$E$25,5,0))</f>
        <v/>
      </c>
      <c r="AN133" s="8" t="str">
        <f>IF(AK133="","",VLOOKUP('Reel 4 Symbol'!AK133,'Reel 4 Symbol'!$A$3:$E$25,5,0))</f>
        <v/>
      </c>
      <c r="AP133" s="8" t="str">
        <f t="shared" si="31"/>
        <v/>
      </c>
      <c r="AQ133" s="8" t="str">
        <f t="shared" si="32"/>
        <v/>
      </c>
      <c r="AR133" s="133"/>
      <c r="AS133" s="27">
        <v>130</v>
      </c>
      <c r="AT133" s="8"/>
      <c r="AU133" s="8"/>
      <c r="AW133" s="8" t="str">
        <f>IF(AT133="","",VLOOKUP('Reel 4 Symbol'!AT133,'Reel 4 Symbol'!$A$3:$E$25,5,0))</f>
        <v/>
      </c>
      <c r="AX133" s="8" t="str">
        <f>IF(AU133="","",VLOOKUP('Reel 4 Symbol'!AU133,'Reel 4 Symbol'!$A$3:$E$25,5,0))</f>
        <v/>
      </c>
      <c r="AZ133" s="8" t="str">
        <f t="shared" si="33"/>
        <v/>
      </c>
      <c r="BA133" s="8" t="str">
        <f t="shared" si="34"/>
        <v/>
      </c>
      <c r="BC133" s="27">
        <v>130</v>
      </c>
      <c r="BD133" s="8"/>
      <c r="BE133" s="8"/>
      <c r="BG133" s="8" t="str">
        <f>IF(BD133="","",VLOOKUP('Reel 4 Symbol'!BD133,'Reel 4 Symbol'!$A$3:$E$25,5,0))</f>
        <v/>
      </c>
      <c r="BH133" s="8" t="str">
        <f>IF(BE133="","",VLOOKUP('Reel 4 Symbol'!BE133,'Reel 4 Symbol'!$A$3:$E$25,5,0))</f>
        <v/>
      </c>
      <c r="BJ133" s="8" t="str">
        <f t="shared" si="35"/>
        <v/>
      </c>
      <c r="BK133" s="8" t="str">
        <f t="shared" si="36"/>
        <v/>
      </c>
    </row>
    <row r="134" spans="24:63" ht="16.8" customHeight="1">
      <c r="X134" s="133"/>
      <c r="Y134" s="27">
        <v>131</v>
      </c>
      <c r="Z134" s="8"/>
      <c r="AA134" s="8"/>
      <c r="AC134" s="8" t="str">
        <f>IF(Z134="","",VLOOKUP('Reel 4 Symbol'!Z134,'Reel 4 Symbol'!$A$3:$E$25,5,0))</f>
        <v/>
      </c>
      <c r="AD134" s="8" t="str">
        <f>IF(AA134="","",VLOOKUP('Reel 4 Symbol'!AA134,'Reel 4 Symbol'!$A$3:$E$25,5,0))</f>
        <v/>
      </c>
      <c r="AF134" s="8" t="str">
        <f t="shared" si="29"/>
        <v/>
      </c>
      <c r="AG134" s="8" t="str">
        <f t="shared" si="30"/>
        <v/>
      </c>
      <c r="AH134" s="133"/>
      <c r="AI134" s="27">
        <v>131</v>
      </c>
      <c r="AJ134" s="8"/>
      <c r="AK134" s="8"/>
      <c r="AM134" s="8" t="str">
        <f>IF(AJ134="","",VLOOKUP('Reel 4 Symbol'!AJ134,'Reel 4 Symbol'!$A$3:$E$25,5,0))</f>
        <v/>
      </c>
      <c r="AN134" s="8" t="str">
        <f>IF(AK134="","",VLOOKUP('Reel 4 Symbol'!AK134,'Reel 4 Symbol'!$A$3:$E$25,5,0))</f>
        <v/>
      </c>
      <c r="AP134" s="8" t="str">
        <f t="shared" si="31"/>
        <v/>
      </c>
      <c r="AQ134" s="8" t="str">
        <f t="shared" si="32"/>
        <v/>
      </c>
      <c r="AR134" s="133"/>
      <c r="AS134" s="27">
        <v>131</v>
      </c>
      <c r="AT134" s="8"/>
      <c r="AU134" s="8"/>
      <c r="AW134" s="8" t="str">
        <f>IF(AT134="","",VLOOKUP('Reel 4 Symbol'!AT134,'Reel 4 Symbol'!$A$3:$E$25,5,0))</f>
        <v/>
      </c>
      <c r="AX134" s="8" t="str">
        <f>IF(AU134="","",VLOOKUP('Reel 4 Symbol'!AU134,'Reel 4 Symbol'!$A$3:$E$25,5,0))</f>
        <v/>
      </c>
      <c r="AZ134" s="8" t="str">
        <f t="shared" si="33"/>
        <v/>
      </c>
      <c r="BA134" s="8" t="str">
        <f t="shared" si="34"/>
        <v/>
      </c>
      <c r="BC134" s="27">
        <v>131</v>
      </c>
      <c r="BD134" s="8"/>
      <c r="BE134" s="8"/>
      <c r="BG134" s="8" t="str">
        <f>IF(BD134="","",VLOOKUP('Reel 4 Symbol'!BD134,'Reel 4 Symbol'!$A$3:$E$25,5,0))</f>
        <v/>
      </c>
      <c r="BH134" s="8" t="str">
        <f>IF(BE134="","",VLOOKUP('Reel 4 Symbol'!BE134,'Reel 4 Symbol'!$A$3:$E$25,5,0))</f>
        <v/>
      </c>
      <c r="BJ134" s="8" t="str">
        <f t="shared" si="35"/>
        <v/>
      </c>
      <c r="BK134" s="8" t="str">
        <f t="shared" si="36"/>
        <v/>
      </c>
    </row>
    <row r="135" spans="24:63" ht="16.8" customHeight="1">
      <c r="X135" s="133"/>
      <c r="Y135" s="27">
        <v>132</v>
      </c>
      <c r="Z135" s="8"/>
      <c r="AA135" s="8"/>
      <c r="AC135" s="8" t="str">
        <f>IF(Z135="","",VLOOKUP('Reel 4 Symbol'!Z135,'Reel 4 Symbol'!$A$3:$E$25,5,0))</f>
        <v/>
      </c>
      <c r="AD135" s="8" t="str">
        <f>IF(AA135="","",VLOOKUP('Reel 4 Symbol'!AA135,'Reel 4 Symbol'!$A$3:$E$25,5,0))</f>
        <v/>
      </c>
      <c r="AF135" s="8" t="str">
        <f t="shared" si="29"/>
        <v/>
      </c>
      <c r="AG135" s="8" t="str">
        <f t="shared" si="30"/>
        <v/>
      </c>
      <c r="AH135" s="133"/>
      <c r="AI135" s="27">
        <v>132</v>
      </c>
      <c r="AJ135" s="8"/>
      <c r="AK135" s="8"/>
      <c r="AM135" s="8" t="str">
        <f>IF(AJ135="","",VLOOKUP('Reel 4 Symbol'!AJ135,'Reel 4 Symbol'!$A$3:$E$25,5,0))</f>
        <v/>
      </c>
      <c r="AN135" s="8" t="str">
        <f>IF(AK135="","",VLOOKUP('Reel 4 Symbol'!AK135,'Reel 4 Symbol'!$A$3:$E$25,5,0))</f>
        <v/>
      </c>
      <c r="AP135" s="8" t="str">
        <f t="shared" si="31"/>
        <v/>
      </c>
      <c r="AQ135" s="8" t="str">
        <f t="shared" si="32"/>
        <v/>
      </c>
      <c r="AR135" s="133"/>
      <c r="AS135" s="27">
        <v>132</v>
      </c>
      <c r="AT135" s="8"/>
      <c r="AU135" s="8"/>
      <c r="AW135" s="8" t="str">
        <f>IF(AT135="","",VLOOKUP('Reel 4 Symbol'!AT135,'Reel 4 Symbol'!$A$3:$E$25,5,0))</f>
        <v/>
      </c>
      <c r="AX135" s="8" t="str">
        <f>IF(AU135="","",VLOOKUP('Reel 4 Symbol'!AU135,'Reel 4 Symbol'!$A$3:$E$25,5,0))</f>
        <v/>
      </c>
      <c r="AZ135" s="8" t="str">
        <f t="shared" si="33"/>
        <v/>
      </c>
      <c r="BA135" s="8" t="str">
        <f t="shared" si="34"/>
        <v/>
      </c>
      <c r="BC135" s="27">
        <v>132</v>
      </c>
      <c r="BD135" s="8"/>
      <c r="BE135" s="8"/>
      <c r="BG135" s="8" t="str">
        <f>IF(BD135="","",VLOOKUP('Reel 4 Symbol'!BD135,'Reel 4 Symbol'!$A$3:$E$25,5,0))</f>
        <v/>
      </c>
      <c r="BH135" s="8" t="str">
        <f>IF(BE135="","",VLOOKUP('Reel 4 Symbol'!BE135,'Reel 4 Symbol'!$A$3:$E$25,5,0))</f>
        <v/>
      </c>
      <c r="BJ135" s="8" t="str">
        <f t="shared" si="35"/>
        <v/>
      </c>
      <c r="BK135" s="8" t="str">
        <f t="shared" si="36"/>
        <v/>
      </c>
    </row>
    <row r="136" spans="24:63" ht="16.8" customHeight="1">
      <c r="X136" s="133"/>
      <c r="Y136" s="27">
        <v>133</v>
      </c>
      <c r="Z136" s="8"/>
      <c r="AA136" s="8"/>
      <c r="AC136" s="8" t="str">
        <f>IF(Z136="","",VLOOKUP('Reel 4 Symbol'!Z136,'Reel 4 Symbol'!$A$3:$E$25,5,0))</f>
        <v/>
      </c>
      <c r="AD136" s="8" t="str">
        <f>IF(AA136="","",VLOOKUP('Reel 4 Symbol'!AA136,'Reel 4 Symbol'!$A$3:$E$25,5,0))</f>
        <v/>
      </c>
      <c r="AF136" s="8" t="str">
        <f t="shared" si="29"/>
        <v/>
      </c>
      <c r="AG136" s="8" t="str">
        <f t="shared" si="30"/>
        <v/>
      </c>
      <c r="AH136" s="133"/>
      <c r="AI136" s="27">
        <v>133</v>
      </c>
      <c r="AJ136" s="8"/>
      <c r="AK136" s="8"/>
      <c r="AM136" s="8" t="str">
        <f>IF(AJ136="","",VLOOKUP('Reel 4 Symbol'!AJ136,'Reel 4 Symbol'!$A$3:$E$25,5,0))</f>
        <v/>
      </c>
      <c r="AN136" s="8" t="str">
        <f>IF(AK136="","",VLOOKUP('Reel 4 Symbol'!AK136,'Reel 4 Symbol'!$A$3:$E$25,5,0))</f>
        <v/>
      </c>
      <c r="AP136" s="8" t="str">
        <f t="shared" si="31"/>
        <v/>
      </c>
      <c r="AQ136" s="8" t="str">
        <f t="shared" si="32"/>
        <v/>
      </c>
      <c r="AR136" s="133"/>
      <c r="AS136" s="27">
        <v>133</v>
      </c>
      <c r="AT136" s="8"/>
      <c r="AU136" s="8"/>
      <c r="AW136" s="8" t="str">
        <f>IF(AT136="","",VLOOKUP('Reel 4 Symbol'!AT136,'Reel 4 Symbol'!$A$3:$E$25,5,0))</f>
        <v/>
      </c>
      <c r="AX136" s="8" t="str">
        <f>IF(AU136="","",VLOOKUP('Reel 4 Symbol'!AU136,'Reel 4 Symbol'!$A$3:$E$25,5,0))</f>
        <v/>
      </c>
      <c r="AZ136" s="8" t="str">
        <f t="shared" si="33"/>
        <v/>
      </c>
      <c r="BA136" s="8" t="str">
        <f t="shared" si="34"/>
        <v/>
      </c>
      <c r="BC136" s="27">
        <v>133</v>
      </c>
      <c r="BD136" s="8"/>
      <c r="BE136" s="8"/>
      <c r="BG136" s="8" t="str">
        <f>IF(BD136="","",VLOOKUP('Reel 4 Symbol'!BD136,'Reel 4 Symbol'!$A$3:$E$25,5,0))</f>
        <v/>
      </c>
      <c r="BH136" s="8" t="str">
        <f>IF(BE136="","",VLOOKUP('Reel 4 Symbol'!BE136,'Reel 4 Symbol'!$A$3:$E$25,5,0))</f>
        <v/>
      </c>
      <c r="BJ136" s="8" t="str">
        <f t="shared" si="35"/>
        <v/>
      </c>
      <c r="BK136" s="8" t="str">
        <f t="shared" si="36"/>
        <v/>
      </c>
    </row>
    <row r="137" spans="24:63" ht="16.8" customHeight="1">
      <c r="X137" s="133"/>
      <c r="Y137" s="27">
        <v>134</v>
      </c>
      <c r="Z137" s="8"/>
      <c r="AA137" s="8"/>
      <c r="AC137" s="8" t="str">
        <f>IF(Z137="","",VLOOKUP('Reel 4 Symbol'!Z137,'Reel 4 Symbol'!$A$3:$E$25,5,0))</f>
        <v/>
      </c>
      <c r="AD137" s="8" t="str">
        <f>IF(AA137="","",VLOOKUP('Reel 4 Symbol'!AA137,'Reel 4 Symbol'!$A$3:$E$25,5,0))</f>
        <v/>
      </c>
      <c r="AF137" s="8" t="str">
        <f t="shared" si="29"/>
        <v/>
      </c>
      <c r="AG137" s="8" t="str">
        <f t="shared" si="30"/>
        <v/>
      </c>
      <c r="AH137" s="133"/>
      <c r="AI137" s="27">
        <v>134</v>
      </c>
      <c r="AJ137" s="8"/>
      <c r="AK137" s="8"/>
      <c r="AM137" s="8" t="str">
        <f>IF(AJ137="","",VLOOKUP('Reel 4 Symbol'!AJ137,'Reel 4 Symbol'!$A$3:$E$25,5,0))</f>
        <v/>
      </c>
      <c r="AN137" s="8" t="str">
        <f>IF(AK137="","",VLOOKUP('Reel 4 Symbol'!AK137,'Reel 4 Symbol'!$A$3:$E$25,5,0))</f>
        <v/>
      </c>
      <c r="AP137" s="8" t="str">
        <f t="shared" si="31"/>
        <v/>
      </c>
      <c r="AQ137" s="8" t="str">
        <f t="shared" si="32"/>
        <v/>
      </c>
      <c r="AR137" s="133"/>
      <c r="AS137" s="27">
        <v>134</v>
      </c>
      <c r="AT137" s="8"/>
      <c r="AU137" s="8"/>
      <c r="AW137" s="8" t="str">
        <f>IF(AT137="","",VLOOKUP('Reel 4 Symbol'!AT137,'Reel 4 Symbol'!$A$3:$E$25,5,0))</f>
        <v/>
      </c>
      <c r="AX137" s="8" t="str">
        <f>IF(AU137="","",VLOOKUP('Reel 4 Symbol'!AU137,'Reel 4 Symbol'!$A$3:$E$25,5,0))</f>
        <v/>
      </c>
      <c r="AZ137" s="8" t="str">
        <f t="shared" si="33"/>
        <v/>
      </c>
      <c r="BA137" s="8" t="str">
        <f t="shared" si="34"/>
        <v/>
      </c>
      <c r="BC137" s="27">
        <v>134</v>
      </c>
      <c r="BD137" s="8"/>
      <c r="BE137" s="8"/>
      <c r="BG137" s="8" t="str">
        <f>IF(BD137="","",VLOOKUP('Reel 4 Symbol'!BD137,'Reel 4 Symbol'!$A$3:$E$25,5,0))</f>
        <v/>
      </c>
      <c r="BH137" s="8" t="str">
        <f>IF(BE137="","",VLOOKUP('Reel 4 Symbol'!BE137,'Reel 4 Symbol'!$A$3:$E$25,5,0))</f>
        <v/>
      </c>
      <c r="BJ137" s="8" t="str">
        <f t="shared" si="35"/>
        <v/>
      </c>
      <c r="BK137" s="8" t="str">
        <f t="shared" si="36"/>
        <v/>
      </c>
    </row>
    <row r="138" spans="24:63" ht="16.8" customHeight="1">
      <c r="X138" s="133"/>
      <c r="Y138" s="27">
        <v>135</v>
      </c>
      <c r="Z138" s="8"/>
      <c r="AA138" s="8"/>
      <c r="AC138" s="8" t="str">
        <f>IF(Z138="","",VLOOKUP('Reel 4 Symbol'!Z138,'Reel 4 Symbol'!$A$3:$E$25,5,0))</f>
        <v/>
      </c>
      <c r="AD138" s="8" t="str">
        <f>IF(AA138="","",VLOOKUP('Reel 4 Symbol'!AA138,'Reel 4 Symbol'!$A$3:$E$25,5,0))</f>
        <v/>
      </c>
      <c r="AF138" s="8" t="str">
        <f t="shared" si="29"/>
        <v/>
      </c>
      <c r="AG138" s="8" t="str">
        <f t="shared" si="30"/>
        <v/>
      </c>
      <c r="AH138" s="133"/>
      <c r="AI138" s="27">
        <v>135</v>
      </c>
      <c r="AJ138" s="8"/>
      <c r="AK138" s="8"/>
      <c r="AM138" s="8" t="str">
        <f>IF(AJ138="","",VLOOKUP('Reel 4 Symbol'!AJ138,'Reel 4 Symbol'!$A$3:$E$25,5,0))</f>
        <v/>
      </c>
      <c r="AN138" s="8" t="str">
        <f>IF(AK138="","",VLOOKUP('Reel 4 Symbol'!AK138,'Reel 4 Symbol'!$A$3:$E$25,5,0))</f>
        <v/>
      </c>
      <c r="AP138" s="8" t="str">
        <f t="shared" si="31"/>
        <v/>
      </c>
      <c r="AQ138" s="8" t="str">
        <f t="shared" si="32"/>
        <v/>
      </c>
      <c r="AR138" s="133"/>
      <c r="AS138" s="27">
        <v>135</v>
      </c>
      <c r="AT138" s="8"/>
      <c r="AU138" s="8"/>
      <c r="AW138" s="8" t="str">
        <f>IF(AT138="","",VLOOKUP('Reel 4 Symbol'!AT138,'Reel 4 Symbol'!$A$3:$E$25,5,0))</f>
        <v/>
      </c>
      <c r="AX138" s="8" t="str">
        <f>IF(AU138="","",VLOOKUP('Reel 4 Symbol'!AU138,'Reel 4 Symbol'!$A$3:$E$25,5,0))</f>
        <v/>
      </c>
      <c r="AZ138" s="8" t="str">
        <f t="shared" si="33"/>
        <v/>
      </c>
      <c r="BA138" s="8" t="str">
        <f t="shared" si="34"/>
        <v/>
      </c>
      <c r="BC138" s="27">
        <v>135</v>
      </c>
      <c r="BD138" s="8"/>
      <c r="BE138" s="8"/>
      <c r="BG138" s="8" t="str">
        <f>IF(BD138="","",VLOOKUP('Reel 4 Symbol'!BD138,'Reel 4 Symbol'!$A$3:$E$25,5,0))</f>
        <v/>
      </c>
      <c r="BH138" s="8" t="str">
        <f>IF(BE138="","",VLOOKUP('Reel 4 Symbol'!BE138,'Reel 4 Symbol'!$A$3:$E$25,5,0))</f>
        <v/>
      </c>
      <c r="BJ138" s="8" t="str">
        <f t="shared" si="35"/>
        <v/>
      </c>
      <c r="BK138" s="8" t="str">
        <f t="shared" si="36"/>
        <v/>
      </c>
    </row>
    <row r="139" spans="24:63" ht="16.8" customHeight="1">
      <c r="X139" s="133"/>
      <c r="Y139" s="27">
        <v>136</v>
      </c>
      <c r="Z139" s="8"/>
      <c r="AA139" s="8"/>
      <c r="AC139" s="8" t="str">
        <f>IF(Z139="","",VLOOKUP('Reel 4 Symbol'!Z139,'Reel 4 Symbol'!$A$3:$E$25,5,0))</f>
        <v/>
      </c>
      <c r="AD139" s="8" t="str">
        <f>IF(AA139="","",VLOOKUP('Reel 4 Symbol'!AA139,'Reel 4 Symbol'!$A$3:$E$25,5,0))</f>
        <v/>
      </c>
      <c r="AF139" s="8" t="str">
        <f t="shared" si="29"/>
        <v/>
      </c>
      <c r="AG139" s="8" t="str">
        <f t="shared" si="30"/>
        <v/>
      </c>
      <c r="AH139" s="133"/>
      <c r="AI139" s="27">
        <v>136</v>
      </c>
      <c r="AJ139" s="8"/>
      <c r="AK139" s="8"/>
      <c r="AM139" s="8" t="str">
        <f>IF(AJ139="","",VLOOKUP('Reel 4 Symbol'!AJ139,'Reel 4 Symbol'!$A$3:$E$25,5,0))</f>
        <v/>
      </c>
      <c r="AN139" s="8" t="str">
        <f>IF(AK139="","",VLOOKUP('Reel 4 Symbol'!AK139,'Reel 4 Symbol'!$A$3:$E$25,5,0))</f>
        <v/>
      </c>
      <c r="AP139" s="8" t="str">
        <f t="shared" si="31"/>
        <v/>
      </c>
      <c r="AQ139" s="8" t="str">
        <f t="shared" si="32"/>
        <v/>
      </c>
      <c r="AR139" s="133"/>
      <c r="AS139" s="27">
        <v>136</v>
      </c>
      <c r="AT139" s="8"/>
      <c r="AU139" s="8"/>
      <c r="AW139" s="8" t="str">
        <f>IF(AT139="","",VLOOKUP('Reel 4 Symbol'!AT139,'Reel 4 Symbol'!$A$3:$E$25,5,0))</f>
        <v/>
      </c>
      <c r="AX139" s="8" t="str">
        <f>IF(AU139="","",VLOOKUP('Reel 4 Symbol'!AU139,'Reel 4 Symbol'!$A$3:$E$25,5,0))</f>
        <v/>
      </c>
      <c r="AZ139" s="8" t="str">
        <f t="shared" si="33"/>
        <v/>
      </c>
      <c r="BA139" s="8" t="str">
        <f t="shared" si="34"/>
        <v/>
      </c>
      <c r="BC139" s="27">
        <v>136</v>
      </c>
      <c r="BD139" s="8"/>
      <c r="BE139" s="8"/>
      <c r="BG139" s="8" t="str">
        <f>IF(BD139="","",VLOOKUP('Reel 4 Symbol'!BD139,'Reel 4 Symbol'!$A$3:$E$25,5,0))</f>
        <v/>
      </c>
      <c r="BH139" s="8" t="str">
        <f>IF(BE139="","",VLOOKUP('Reel 4 Symbol'!BE139,'Reel 4 Symbol'!$A$3:$E$25,5,0))</f>
        <v/>
      </c>
      <c r="BJ139" s="8" t="str">
        <f t="shared" si="35"/>
        <v/>
      </c>
      <c r="BK139" s="8" t="str">
        <f t="shared" si="36"/>
        <v/>
      </c>
    </row>
    <row r="140" spans="24:63" ht="16.8" customHeight="1">
      <c r="X140" s="133"/>
      <c r="Y140" s="27">
        <v>137</v>
      </c>
      <c r="Z140" s="8"/>
      <c r="AA140" s="8"/>
      <c r="AC140" s="8" t="str">
        <f>IF(Z140="","",VLOOKUP('Reel 4 Symbol'!Z140,'Reel 4 Symbol'!$A$3:$E$25,5,0))</f>
        <v/>
      </c>
      <c r="AD140" s="8" t="str">
        <f>IF(AA140="","",VLOOKUP('Reel 4 Symbol'!AA140,'Reel 4 Symbol'!$A$3:$E$25,5,0))</f>
        <v/>
      </c>
      <c r="AF140" s="8" t="str">
        <f t="shared" si="29"/>
        <v/>
      </c>
      <c r="AG140" s="8" t="str">
        <f t="shared" si="30"/>
        <v/>
      </c>
      <c r="AH140" s="133"/>
      <c r="AI140" s="27">
        <v>137</v>
      </c>
      <c r="AJ140" s="8"/>
      <c r="AK140" s="8"/>
      <c r="AM140" s="8" t="str">
        <f>IF(AJ140="","",VLOOKUP('Reel 4 Symbol'!AJ140,'Reel 4 Symbol'!$A$3:$E$25,5,0))</f>
        <v/>
      </c>
      <c r="AN140" s="8" t="str">
        <f>IF(AK140="","",VLOOKUP('Reel 4 Symbol'!AK140,'Reel 4 Symbol'!$A$3:$E$25,5,0))</f>
        <v/>
      </c>
      <c r="AP140" s="8" t="str">
        <f t="shared" si="31"/>
        <v/>
      </c>
      <c r="AQ140" s="8" t="str">
        <f t="shared" si="32"/>
        <v/>
      </c>
      <c r="AR140" s="133"/>
      <c r="AS140" s="27">
        <v>137</v>
      </c>
      <c r="AT140" s="8"/>
      <c r="AU140" s="8"/>
      <c r="AW140" s="8" t="str">
        <f>IF(AT140="","",VLOOKUP('Reel 4 Symbol'!AT140,'Reel 4 Symbol'!$A$3:$E$25,5,0))</f>
        <v/>
      </c>
      <c r="AX140" s="8" t="str">
        <f>IF(AU140="","",VLOOKUP('Reel 4 Symbol'!AU140,'Reel 4 Symbol'!$A$3:$E$25,5,0))</f>
        <v/>
      </c>
      <c r="AZ140" s="8" t="str">
        <f t="shared" si="33"/>
        <v/>
      </c>
      <c r="BA140" s="8" t="str">
        <f t="shared" si="34"/>
        <v/>
      </c>
      <c r="BC140" s="27">
        <v>137</v>
      </c>
      <c r="BD140" s="8"/>
      <c r="BE140" s="8"/>
      <c r="BG140" s="8" t="str">
        <f>IF(BD140="","",VLOOKUP('Reel 4 Symbol'!BD140,'Reel 4 Symbol'!$A$3:$E$25,5,0))</f>
        <v/>
      </c>
      <c r="BH140" s="8" t="str">
        <f>IF(BE140="","",VLOOKUP('Reel 4 Symbol'!BE140,'Reel 4 Symbol'!$A$3:$E$25,5,0))</f>
        <v/>
      </c>
      <c r="BJ140" s="8" t="str">
        <f t="shared" si="35"/>
        <v/>
      </c>
      <c r="BK140" s="8" t="str">
        <f t="shared" si="36"/>
        <v/>
      </c>
    </row>
    <row r="141" spans="24:63" ht="16.8" customHeight="1">
      <c r="X141" s="133"/>
      <c r="Y141" s="27">
        <v>138</v>
      </c>
      <c r="Z141" s="8"/>
      <c r="AA141" s="8"/>
      <c r="AC141" s="8" t="str">
        <f>IF(Z141="","",VLOOKUP('Reel 4 Symbol'!Z141,'Reel 4 Symbol'!$A$3:$E$25,5,0))</f>
        <v/>
      </c>
      <c r="AD141" s="8" t="str">
        <f>IF(AA141="","",VLOOKUP('Reel 4 Symbol'!AA141,'Reel 4 Symbol'!$A$3:$E$25,5,0))</f>
        <v/>
      </c>
      <c r="AF141" s="8" t="str">
        <f t="shared" si="29"/>
        <v/>
      </c>
      <c r="AG141" s="8" t="str">
        <f t="shared" si="30"/>
        <v/>
      </c>
      <c r="AH141" s="133"/>
      <c r="AI141" s="27">
        <v>138</v>
      </c>
      <c r="AJ141" s="8"/>
      <c r="AK141" s="8"/>
      <c r="AM141" s="8" t="str">
        <f>IF(AJ141="","",VLOOKUP('Reel 4 Symbol'!AJ141,'Reel 4 Symbol'!$A$3:$E$25,5,0))</f>
        <v/>
      </c>
      <c r="AN141" s="8" t="str">
        <f>IF(AK141="","",VLOOKUP('Reel 4 Symbol'!AK141,'Reel 4 Symbol'!$A$3:$E$25,5,0))</f>
        <v/>
      </c>
      <c r="AP141" s="8" t="str">
        <f t="shared" si="31"/>
        <v/>
      </c>
      <c r="AQ141" s="8" t="str">
        <f t="shared" si="32"/>
        <v/>
      </c>
      <c r="AR141" s="133"/>
      <c r="AS141" s="27">
        <v>138</v>
      </c>
      <c r="AT141" s="8"/>
      <c r="AU141" s="8"/>
      <c r="AW141" s="8" t="str">
        <f>IF(AT141="","",VLOOKUP('Reel 4 Symbol'!AT141,'Reel 4 Symbol'!$A$3:$E$25,5,0))</f>
        <v/>
      </c>
      <c r="AX141" s="8" t="str">
        <f>IF(AU141="","",VLOOKUP('Reel 4 Symbol'!AU141,'Reel 4 Symbol'!$A$3:$E$25,5,0))</f>
        <v/>
      </c>
      <c r="AZ141" s="8" t="str">
        <f t="shared" si="33"/>
        <v/>
      </c>
      <c r="BA141" s="8" t="str">
        <f t="shared" si="34"/>
        <v/>
      </c>
      <c r="BC141" s="27">
        <v>138</v>
      </c>
      <c r="BD141" s="8"/>
      <c r="BE141" s="8"/>
      <c r="BG141" s="8" t="str">
        <f>IF(BD141="","",VLOOKUP('Reel 4 Symbol'!BD141,'Reel 4 Symbol'!$A$3:$E$25,5,0))</f>
        <v/>
      </c>
      <c r="BH141" s="8" t="str">
        <f>IF(BE141="","",VLOOKUP('Reel 4 Symbol'!BE141,'Reel 4 Symbol'!$A$3:$E$25,5,0))</f>
        <v/>
      </c>
      <c r="BJ141" s="8" t="str">
        <f t="shared" si="35"/>
        <v/>
      </c>
      <c r="BK141" s="8" t="str">
        <f t="shared" si="36"/>
        <v/>
      </c>
    </row>
    <row r="142" spans="24:63" ht="16.8" customHeight="1">
      <c r="X142" s="133"/>
      <c r="Y142" s="27">
        <v>139</v>
      </c>
      <c r="Z142" s="8"/>
      <c r="AA142" s="8"/>
      <c r="AC142" s="8" t="str">
        <f>IF(Z142="","",VLOOKUP('Reel 4 Symbol'!Z142,'Reel 4 Symbol'!$A$3:$E$25,5,0))</f>
        <v/>
      </c>
      <c r="AD142" s="8" t="str">
        <f>IF(AA142="","",VLOOKUP('Reel 4 Symbol'!AA142,'Reel 4 Symbol'!$A$3:$E$25,5,0))</f>
        <v/>
      </c>
      <c r="AF142" s="8" t="str">
        <f t="shared" si="29"/>
        <v/>
      </c>
      <c r="AG142" s="8" t="str">
        <f t="shared" si="30"/>
        <v/>
      </c>
      <c r="AH142" s="133"/>
      <c r="AI142" s="27">
        <v>139</v>
      </c>
      <c r="AJ142" s="8"/>
      <c r="AK142" s="8"/>
      <c r="AM142" s="8" t="str">
        <f>IF(AJ142="","",VLOOKUP('Reel 4 Symbol'!AJ142,'Reel 4 Symbol'!$A$3:$E$25,5,0))</f>
        <v/>
      </c>
      <c r="AN142" s="8" t="str">
        <f>IF(AK142="","",VLOOKUP('Reel 4 Symbol'!AK142,'Reel 4 Symbol'!$A$3:$E$25,5,0))</f>
        <v/>
      </c>
      <c r="AP142" s="8" t="str">
        <f t="shared" si="31"/>
        <v/>
      </c>
      <c r="AQ142" s="8" t="str">
        <f t="shared" si="32"/>
        <v/>
      </c>
      <c r="AR142" s="133"/>
      <c r="AS142" s="27">
        <v>139</v>
      </c>
      <c r="AT142" s="8"/>
      <c r="AU142" s="8"/>
      <c r="AW142" s="8" t="str">
        <f>IF(AT142="","",VLOOKUP('Reel 4 Symbol'!AT142,'Reel 4 Symbol'!$A$3:$E$25,5,0))</f>
        <v/>
      </c>
      <c r="AX142" s="8" t="str">
        <f>IF(AU142="","",VLOOKUP('Reel 4 Symbol'!AU142,'Reel 4 Symbol'!$A$3:$E$25,5,0))</f>
        <v/>
      </c>
      <c r="AZ142" s="8" t="str">
        <f t="shared" si="33"/>
        <v/>
      </c>
      <c r="BA142" s="8" t="str">
        <f t="shared" si="34"/>
        <v/>
      </c>
      <c r="BC142" s="27">
        <v>139</v>
      </c>
      <c r="BD142" s="8"/>
      <c r="BE142" s="8"/>
      <c r="BG142" s="8" t="str">
        <f>IF(BD142="","",VLOOKUP('Reel 4 Symbol'!BD142,'Reel 4 Symbol'!$A$3:$E$25,5,0))</f>
        <v/>
      </c>
      <c r="BH142" s="8" t="str">
        <f>IF(BE142="","",VLOOKUP('Reel 4 Symbol'!BE142,'Reel 4 Symbol'!$A$3:$E$25,5,0))</f>
        <v/>
      </c>
      <c r="BJ142" s="8" t="str">
        <f t="shared" si="35"/>
        <v/>
      </c>
      <c r="BK142" s="8" t="str">
        <f t="shared" si="36"/>
        <v/>
      </c>
    </row>
    <row r="143" spans="24:63" ht="16.8" customHeight="1">
      <c r="X143" s="133"/>
      <c r="Y143" s="27">
        <v>140</v>
      </c>
      <c r="Z143" s="8"/>
      <c r="AA143" s="8"/>
      <c r="AC143" s="8" t="str">
        <f>IF(Z143="","",VLOOKUP('Reel 4 Symbol'!Z143,'Reel 4 Symbol'!$A$3:$E$25,5,0))</f>
        <v/>
      </c>
      <c r="AD143" s="8" t="str">
        <f>IF(AA143="","",VLOOKUP('Reel 4 Symbol'!AA143,'Reel 4 Symbol'!$A$3:$E$25,5,0))</f>
        <v/>
      </c>
      <c r="AF143" s="8" t="str">
        <f t="shared" si="29"/>
        <v/>
      </c>
      <c r="AG143" s="8" t="str">
        <f t="shared" si="30"/>
        <v/>
      </c>
      <c r="AH143" s="133"/>
      <c r="AI143" s="27">
        <v>140</v>
      </c>
      <c r="AJ143" s="8"/>
      <c r="AK143" s="8"/>
      <c r="AM143" s="8" t="str">
        <f>IF(AJ143="","",VLOOKUP('Reel 4 Symbol'!AJ143,'Reel 4 Symbol'!$A$3:$E$25,5,0))</f>
        <v/>
      </c>
      <c r="AN143" s="8" t="str">
        <f>IF(AK143="","",VLOOKUP('Reel 4 Symbol'!AK143,'Reel 4 Symbol'!$A$3:$E$25,5,0))</f>
        <v/>
      </c>
      <c r="AP143" s="8" t="str">
        <f t="shared" si="31"/>
        <v/>
      </c>
      <c r="AQ143" s="8" t="str">
        <f t="shared" si="32"/>
        <v/>
      </c>
      <c r="AR143" s="133"/>
      <c r="AS143" s="27">
        <v>140</v>
      </c>
      <c r="AT143" s="8"/>
      <c r="AU143" s="8"/>
      <c r="AW143" s="8" t="str">
        <f>IF(AT143="","",VLOOKUP('Reel 4 Symbol'!AT143,'Reel 4 Symbol'!$A$3:$E$25,5,0))</f>
        <v/>
      </c>
      <c r="AX143" s="8" t="str">
        <f>IF(AU143="","",VLOOKUP('Reel 4 Symbol'!AU143,'Reel 4 Symbol'!$A$3:$E$25,5,0))</f>
        <v/>
      </c>
      <c r="AZ143" s="8" t="str">
        <f t="shared" si="33"/>
        <v/>
      </c>
      <c r="BA143" s="8" t="str">
        <f t="shared" si="34"/>
        <v/>
      </c>
      <c r="BC143" s="27">
        <v>140</v>
      </c>
      <c r="BD143" s="8"/>
      <c r="BE143" s="8"/>
      <c r="BG143" s="8" t="str">
        <f>IF(BD143="","",VLOOKUP('Reel 4 Symbol'!BD143,'Reel 4 Symbol'!$A$3:$E$25,5,0))</f>
        <v/>
      </c>
      <c r="BH143" s="8" t="str">
        <f>IF(BE143="","",VLOOKUP('Reel 4 Symbol'!BE143,'Reel 4 Symbol'!$A$3:$E$25,5,0))</f>
        <v/>
      </c>
      <c r="BJ143" s="8" t="str">
        <f t="shared" si="35"/>
        <v/>
      </c>
      <c r="BK143" s="8" t="str">
        <f t="shared" si="36"/>
        <v/>
      </c>
    </row>
    <row r="144" spans="24:63" ht="16.8" customHeight="1">
      <c r="X144" s="133"/>
      <c r="Y144" s="27">
        <v>141</v>
      </c>
      <c r="Z144" s="8"/>
      <c r="AA144" s="8"/>
      <c r="AC144" s="8" t="str">
        <f>IF(Z144="","",VLOOKUP('Reel 4 Symbol'!Z144,'Reel 4 Symbol'!$A$3:$E$25,5,0))</f>
        <v/>
      </c>
      <c r="AD144" s="8" t="str">
        <f>IF(AA144="","",VLOOKUP('Reel 4 Symbol'!AA144,'Reel 4 Symbol'!$A$3:$E$25,5,0))</f>
        <v/>
      </c>
      <c r="AF144" s="8" t="str">
        <f t="shared" si="29"/>
        <v/>
      </c>
      <c r="AG144" s="8" t="str">
        <f t="shared" si="30"/>
        <v/>
      </c>
      <c r="AH144" s="133"/>
      <c r="AI144" s="27">
        <v>141</v>
      </c>
      <c r="AJ144" s="8"/>
      <c r="AK144" s="8"/>
      <c r="AM144" s="8" t="str">
        <f>IF(AJ144="","",VLOOKUP('Reel 4 Symbol'!AJ144,'Reel 4 Symbol'!$A$3:$E$25,5,0))</f>
        <v/>
      </c>
      <c r="AN144" s="8" t="str">
        <f>IF(AK144="","",VLOOKUP('Reel 4 Symbol'!AK144,'Reel 4 Symbol'!$A$3:$E$25,5,0))</f>
        <v/>
      </c>
      <c r="AP144" s="8" t="str">
        <f t="shared" si="31"/>
        <v/>
      </c>
      <c r="AQ144" s="8" t="str">
        <f t="shared" si="32"/>
        <v/>
      </c>
      <c r="AR144" s="133"/>
      <c r="AS144" s="27">
        <v>141</v>
      </c>
      <c r="AT144" s="8"/>
      <c r="AU144" s="8"/>
      <c r="AW144" s="8" t="str">
        <f>IF(AT144="","",VLOOKUP('Reel 4 Symbol'!AT144,'Reel 4 Symbol'!$A$3:$E$25,5,0))</f>
        <v/>
      </c>
      <c r="AX144" s="8" t="str">
        <f>IF(AU144="","",VLOOKUP('Reel 4 Symbol'!AU144,'Reel 4 Symbol'!$A$3:$E$25,5,0))</f>
        <v/>
      </c>
      <c r="AZ144" s="8" t="str">
        <f t="shared" si="33"/>
        <v/>
      </c>
      <c r="BA144" s="8" t="str">
        <f t="shared" si="34"/>
        <v/>
      </c>
      <c r="BC144" s="27">
        <v>141</v>
      </c>
      <c r="BD144" s="8"/>
      <c r="BE144" s="8"/>
      <c r="BG144" s="8" t="str">
        <f>IF(BD144="","",VLOOKUP('Reel 4 Symbol'!BD144,'Reel 4 Symbol'!$A$3:$E$25,5,0))</f>
        <v/>
      </c>
      <c r="BH144" s="8" t="str">
        <f>IF(BE144="","",VLOOKUP('Reel 4 Symbol'!BE144,'Reel 4 Symbol'!$A$3:$E$25,5,0))</f>
        <v/>
      </c>
      <c r="BJ144" s="8" t="str">
        <f t="shared" si="35"/>
        <v/>
      </c>
      <c r="BK144" s="8" t="str">
        <f t="shared" si="36"/>
        <v/>
      </c>
    </row>
    <row r="145" spans="24:63" ht="16.8" customHeight="1">
      <c r="X145" s="133"/>
      <c r="Y145" s="27">
        <v>142</v>
      </c>
      <c r="Z145" s="8"/>
      <c r="AA145" s="8"/>
      <c r="AC145" s="8" t="str">
        <f>IF(Z145="","",VLOOKUP('Reel 4 Symbol'!Z145,'Reel 4 Symbol'!$A$3:$E$25,5,0))</f>
        <v/>
      </c>
      <c r="AD145" s="8" t="str">
        <f>IF(AA145="","",VLOOKUP('Reel 4 Symbol'!AA145,'Reel 4 Symbol'!$A$3:$E$25,5,0))</f>
        <v/>
      </c>
      <c r="AF145" s="8" t="str">
        <f t="shared" si="29"/>
        <v/>
      </c>
      <c r="AG145" s="8" t="str">
        <f t="shared" si="30"/>
        <v/>
      </c>
      <c r="AH145" s="133"/>
      <c r="AI145" s="27">
        <v>142</v>
      </c>
      <c r="AJ145" s="8"/>
      <c r="AK145" s="8"/>
      <c r="AM145" s="8" t="str">
        <f>IF(AJ145="","",VLOOKUP('Reel 4 Symbol'!AJ145,'Reel 4 Symbol'!$A$3:$E$25,5,0))</f>
        <v/>
      </c>
      <c r="AN145" s="8" t="str">
        <f>IF(AK145="","",VLOOKUP('Reel 4 Symbol'!AK145,'Reel 4 Symbol'!$A$3:$E$25,5,0))</f>
        <v/>
      </c>
      <c r="AP145" s="8" t="str">
        <f t="shared" si="31"/>
        <v/>
      </c>
      <c r="AQ145" s="8" t="str">
        <f t="shared" si="32"/>
        <v/>
      </c>
      <c r="AR145" s="133"/>
      <c r="AS145" s="27">
        <v>142</v>
      </c>
      <c r="AT145" s="8"/>
      <c r="AU145" s="8"/>
      <c r="AW145" s="8" t="str">
        <f>IF(AT145="","",VLOOKUP('Reel 4 Symbol'!AT145,'Reel 4 Symbol'!$A$3:$E$25,5,0))</f>
        <v/>
      </c>
      <c r="AX145" s="8" t="str">
        <f>IF(AU145="","",VLOOKUP('Reel 4 Symbol'!AU145,'Reel 4 Symbol'!$A$3:$E$25,5,0))</f>
        <v/>
      </c>
      <c r="AZ145" s="8" t="str">
        <f t="shared" si="33"/>
        <v/>
      </c>
      <c r="BA145" s="8" t="str">
        <f t="shared" si="34"/>
        <v/>
      </c>
      <c r="BC145" s="27">
        <v>142</v>
      </c>
      <c r="BD145" s="8"/>
      <c r="BE145" s="8"/>
      <c r="BG145" s="8" t="str">
        <f>IF(BD145="","",VLOOKUP('Reel 4 Symbol'!BD145,'Reel 4 Symbol'!$A$3:$E$25,5,0))</f>
        <v/>
      </c>
      <c r="BH145" s="8" t="str">
        <f>IF(BE145="","",VLOOKUP('Reel 4 Symbol'!BE145,'Reel 4 Symbol'!$A$3:$E$25,5,0))</f>
        <v/>
      </c>
      <c r="BJ145" s="8" t="str">
        <f t="shared" si="35"/>
        <v/>
      </c>
      <c r="BK145" s="8" t="str">
        <f t="shared" si="36"/>
        <v/>
      </c>
    </row>
    <row r="146" spans="24:63" ht="16.8" customHeight="1">
      <c r="X146" s="133"/>
      <c r="Y146" s="27">
        <v>143</v>
      </c>
      <c r="Z146" s="8"/>
      <c r="AA146" s="8"/>
      <c r="AC146" s="8" t="str">
        <f>IF(Z146="","",VLOOKUP('Reel 4 Symbol'!Z146,'Reel 4 Symbol'!$A$3:$E$25,5,0))</f>
        <v/>
      </c>
      <c r="AD146" s="8" t="str">
        <f>IF(AA146="","",VLOOKUP('Reel 4 Symbol'!AA146,'Reel 4 Symbol'!$A$3:$E$25,5,0))</f>
        <v/>
      </c>
      <c r="AF146" s="8" t="str">
        <f t="shared" si="29"/>
        <v/>
      </c>
      <c r="AG146" s="8" t="str">
        <f t="shared" si="30"/>
        <v/>
      </c>
      <c r="AH146" s="133"/>
      <c r="AI146" s="27">
        <v>143</v>
      </c>
      <c r="AJ146" s="8"/>
      <c r="AK146" s="8"/>
      <c r="AM146" s="8" t="str">
        <f>IF(AJ146="","",VLOOKUP('Reel 4 Symbol'!AJ146,'Reel 4 Symbol'!$A$3:$E$25,5,0))</f>
        <v/>
      </c>
      <c r="AN146" s="8" t="str">
        <f>IF(AK146="","",VLOOKUP('Reel 4 Symbol'!AK146,'Reel 4 Symbol'!$A$3:$E$25,5,0))</f>
        <v/>
      </c>
      <c r="AP146" s="8" t="str">
        <f t="shared" si="31"/>
        <v/>
      </c>
      <c r="AQ146" s="8" t="str">
        <f t="shared" si="32"/>
        <v/>
      </c>
      <c r="AR146" s="133"/>
      <c r="AS146" s="27">
        <v>143</v>
      </c>
      <c r="AT146" s="8"/>
      <c r="AU146" s="8"/>
      <c r="AW146" s="8" t="str">
        <f>IF(AT146="","",VLOOKUP('Reel 4 Symbol'!AT146,'Reel 4 Symbol'!$A$3:$E$25,5,0))</f>
        <v/>
      </c>
      <c r="AX146" s="8" t="str">
        <f>IF(AU146="","",VLOOKUP('Reel 4 Symbol'!AU146,'Reel 4 Symbol'!$A$3:$E$25,5,0))</f>
        <v/>
      </c>
      <c r="AZ146" s="8" t="str">
        <f t="shared" si="33"/>
        <v/>
      </c>
      <c r="BA146" s="8" t="str">
        <f t="shared" si="34"/>
        <v/>
      </c>
      <c r="BC146" s="27">
        <v>143</v>
      </c>
      <c r="BD146" s="8"/>
      <c r="BE146" s="8"/>
      <c r="BG146" s="8" t="str">
        <f>IF(BD146="","",VLOOKUP('Reel 4 Symbol'!BD146,'Reel 4 Symbol'!$A$3:$E$25,5,0))</f>
        <v/>
      </c>
      <c r="BH146" s="8" t="str">
        <f>IF(BE146="","",VLOOKUP('Reel 4 Symbol'!BE146,'Reel 4 Symbol'!$A$3:$E$25,5,0))</f>
        <v/>
      </c>
      <c r="BJ146" s="8" t="str">
        <f t="shared" si="35"/>
        <v/>
      </c>
      <c r="BK146" s="8" t="str">
        <f t="shared" si="36"/>
        <v/>
      </c>
    </row>
    <row r="147" spans="24:63" ht="16.8" customHeight="1">
      <c r="X147" s="133"/>
      <c r="Y147" s="27">
        <v>144</v>
      </c>
      <c r="Z147" s="8"/>
      <c r="AA147" s="8"/>
      <c r="AC147" s="8" t="str">
        <f>IF(Z147="","",VLOOKUP('Reel 4 Symbol'!Z147,'Reel 4 Symbol'!$A$3:$E$25,5,0))</f>
        <v/>
      </c>
      <c r="AD147" s="8" t="str">
        <f>IF(AA147="","",VLOOKUP('Reel 4 Symbol'!AA147,'Reel 4 Symbol'!$A$3:$E$25,5,0))</f>
        <v/>
      </c>
      <c r="AF147" s="8" t="str">
        <f t="shared" si="29"/>
        <v/>
      </c>
      <c r="AG147" s="8" t="str">
        <f t="shared" si="30"/>
        <v/>
      </c>
      <c r="AH147" s="133"/>
      <c r="AI147" s="27">
        <v>144</v>
      </c>
      <c r="AJ147" s="8"/>
      <c r="AK147" s="8"/>
      <c r="AM147" s="8" t="str">
        <f>IF(AJ147="","",VLOOKUP('Reel 4 Symbol'!AJ147,'Reel 4 Symbol'!$A$3:$E$25,5,0))</f>
        <v/>
      </c>
      <c r="AN147" s="8" t="str">
        <f>IF(AK147="","",VLOOKUP('Reel 4 Symbol'!AK147,'Reel 4 Symbol'!$A$3:$E$25,5,0))</f>
        <v/>
      </c>
      <c r="AP147" s="8" t="str">
        <f t="shared" si="31"/>
        <v/>
      </c>
      <c r="AQ147" s="8" t="str">
        <f t="shared" si="32"/>
        <v/>
      </c>
      <c r="AR147" s="133"/>
      <c r="AS147" s="27">
        <v>144</v>
      </c>
      <c r="AT147" s="8"/>
      <c r="AU147" s="8"/>
      <c r="AW147" s="8" t="str">
        <f>IF(AT147="","",VLOOKUP('Reel 4 Symbol'!AT147,'Reel 4 Symbol'!$A$3:$E$25,5,0))</f>
        <v/>
      </c>
      <c r="AX147" s="8" t="str">
        <f>IF(AU147="","",VLOOKUP('Reel 4 Symbol'!AU147,'Reel 4 Symbol'!$A$3:$E$25,5,0))</f>
        <v/>
      </c>
      <c r="AZ147" s="8" t="str">
        <f t="shared" si="33"/>
        <v/>
      </c>
      <c r="BA147" s="8" t="str">
        <f t="shared" si="34"/>
        <v/>
      </c>
      <c r="BC147" s="27">
        <v>144</v>
      </c>
      <c r="BD147" s="8"/>
      <c r="BE147" s="8"/>
      <c r="BG147" s="8" t="str">
        <f>IF(BD147="","",VLOOKUP('Reel 4 Symbol'!BD147,'Reel 4 Symbol'!$A$3:$E$25,5,0))</f>
        <v/>
      </c>
      <c r="BH147" s="8" t="str">
        <f>IF(BE147="","",VLOOKUP('Reel 4 Symbol'!BE147,'Reel 4 Symbol'!$A$3:$E$25,5,0))</f>
        <v/>
      </c>
      <c r="BJ147" s="8" t="str">
        <f t="shared" si="35"/>
        <v/>
      </c>
      <c r="BK147" s="8" t="str">
        <f t="shared" si="36"/>
        <v/>
      </c>
    </row>
    <row r="148" spans="24:63" ht="16.8" customHeight="1">
      <c r="X148" s="133"/>
      <c r="Y148" s="27">
        <v>145</v>
      </c>
      <c r="Z148" s="8"/>
      <c r="AA148" s="8"/>
      <c r="AC148" s="8" t="str">
        <f>IF(Z148="","",VLOOKUP('Reel 4 Symbol'!Z148,'Reel 4 Symbol'!$A$3:$E$25,5,0))</f>
        <v/>
      </c>
      <c r="AD148" s="8" t="str">
        <f>IF(AA148="","",VLOOKUP('Reel 4 Symbol'!AA148,'Reel 4 Symbol'!$A$3:$E$25,5,0))</f>
        <v/>
      </c>
      <c r="AF148" s="8" t="str">
        <f t="shared" si="29"/>
        <v/>
      </c>
      <c r="AG148" s="8" t="str">
        <f t="shared" si="30"/>
        <v/>
      </c>
      <c r="AH148" s="133"/>
      <c r="AI148" s="27">
        <v>145</v>
      </c>
      <c r="AJ148" s="8"/>
      <c r="AK148" s="8"/>
      <c r="AM148" s="8" t="str">
        <f>IF(AJ148="","",VLOOKUP('Reel 4 Symbol'!AJ148,'Reel 4 Symbol'!$A$3:$E$25,5,0))</f>
        <v/>
      </c>
      <c r="AN148" s="8" t="str">
        <f>IF(AK148="","",VLOOKUP('Reel 4 Symbol'!AK148,'Reel 4 Symbol'!$A$3:$E$25,5,0))</f>
        <v/>
      </c>
      <c r="AP148" s="8" t="str">
        <f t="shared" si="31"/>
        <v/>
      </c>
      <c r="AQ148" s="8" t="str">
        <f t="shared" si="32"/>
        <v/>
      </c>
      <c r="AR148" s="133"/>
      <c r="AS148" s="27">
        <v>145</v>
      </c>
      <c r="AT148" s="8"/>
      <c r="AU148" s="8"/>
      <c r="AW148" s="8" t="str">
        <f>IF(AT148="","",VLOOKUP('Reel 4 Symbol'!AT148,'Reel 4 Symbol'!$A$3:$E$25,5,0))</f>
        <v/>
      </c>
      <c r="AX148" s="8" t="str">
        <f>IF(AU148="","",VLOOKUP('Reel 4 Symbol'!AU148,'Reel 4 Symbol'!$A$3:$E$25,5,0))</f>
        <v/>
      </c>
      <c r="AZ148" s="8" t="str">
        <f t="shared" si="33"/>
        <v/>
      </c>
      <c r="BA148" s="8" t="str">
        <f t="shared" si="34"/>
        <v/>
      </c>
      <c r="BC148" s="27">
        <v>145</v>
      </c>
      <c r="BD148" s="8"/>
      <c r="BE148" s="8"/>
      <c r="BG148" s="8" t="str">
        <f>IF(BD148="","",VLOOKUP('Reel 4 Symbol'!BD148,'Reel 4 Symbol'!$A$3:$E$25,5,0))</f>
        <v/>
      </c>
      <c r="BH148" s="8" t="str">
        <f>IF(BE148="","",VLOOKUP('Reel 4 Symbol'!BE148,'Reel 4 Symbol'!$A$3:$E$25,5,0))</f>
        <v/>
      </c>
      <c r="BJ148" s="8" t="str">
        <f t="shared" si="35"/>
        <v/>
      </c>
      <c r="BK148" s="8" t="str">
        <f t="shared" si="36"/>
        <v/>
      </c>
    </row>
    <row r="149" spans="24:63" ht="16.8" customHeight="1">
      <c r="X149" s="133"/>
      <c r="Y149" s="27">
        <v>146</v>
      </c>
      <c r="Z149" s="8"/>
      <c r="AA149" s="8"/>
      <c r="AC149" s="8" t="str">
        <f>IF(Z149="","",VLOOKUP('Reel 4 Symbol'!Z149,'Reel 4 Symbol'!$A$3:$E$25,5,0))</f>
        <v/>
      </c>
      <c r="AD149" s="8" t="str">
        <f>IF(AA149="","",VLOOKUP('Reel 4 Symbol'!AA149,'Reel 4 Symbol'!$A$3:$E$25,5,0))</f>
        <v/>
      </c>
      <c r="AF149" s="8" t="str">
        <f t="shared" si="29"/>
        <v/>
      </c>
      <c r="AG149" s="8" t="str">
        <f t="shared" si="30"/>
        <v/>
      </c>
      <c r="AH149" s="133"/>
      <c r="AI149" s="27">
        <v>146</v>
      </c>
      <c r="AJ149" s="8"/>
      <c r="AK149" s="8"/>
      <c r="AM149" s="8" t="str">
        <f>IF(AJ149="","",VLOOKUP('Reel 4 Symbol'!AJ149,'Reel 4 Symbol'!$A$3:$E$25,5,0))</f>
        <v/>
      </c>
      <c r="AN149" s="8" t="str">
        <f>IF(AK149="","",VLOOKUP('Reel 4 Symbol'!AK149,'Reel 4 Symbol'!$A$3:$E$25,5,0))</f>
        <v/>
      </c>
      <c r="AP149" s="8" t="str">
        <f t="shared" si="31"/>
        <v/>
      </c>
      <c r="AQ149" s="8" t="str">
        <f t="shared" si="32"/>
        <v/>
      </c>
      <c r="AR149" s="133"/>
      <c r="AS149" s="27">
        <v>146</v>
      </c>
      <c r="AT149" s="8"/>
      <c r="AU149" s="8"/>
      <c r="AW149" s="8" t="str">
        <f>IF(AT149="","",VLOOKUP('Reel 4 Symbol'!AT149,'Reel 4 Symbol'!$A$3:$E$25,5,0))</f>
        <v/>
      </c>
      <c r="AX149" s="8" t="str">
        <f>IF(AU149="","",VLOOKUP('Reel 4 Symbol'!AU149,'Reel 4 Symbol'!$A$3:$E$25,5,0))</f>
        <v/>
      </c>
      <c r="AZ149" s="8" t="str">
        <f t="shared" si="33"/>
        <v/>
      </c>
      <c r="BA149" s="8" t="str">
        <f t="shared" si="34"/>
        <v/>
      </c>
      <c r="BC149" s="27">
        <v>146</v>
      </c>
      <c r="BD149" s="8"/>
      <c r="BE149" s="8"/>
      <c r="BG149" s="8" t="str">
        <f>IF(BD149="","",VLOOKUP('Reel 4 Symbol'!BD149,'Reel 4 Symbol'!$A$3:$E$25,5,0))</f>
        <v/>
      </c>
      <c r="BH149" s="8" t="str">
        <f>IF(BE149="","",VLOOKUP('Reel 4 Symbol'!BE149,'Reel 4 Symbol'!$A$3:$E$25,5,0))</f>
        <v/>
      </c>
      <c r="BJ149" s="8" t="str">
        <f t="shared" si="35"/>
        <v/>
      </c>
      <c r="BK149" s="8" t="str">
        <f t="shared" si="36"/>
        <v/>
      </c>
    </row>
    <row r="150" spans="24:63" ht="16.8" customHeight="1">
      <c r="X150" s="133"/>
      <c r="Y150" s="27">
        <v>147</v>
      </c>
      <c r="Z150" s="8"/>
      <c r="AA150" s="8"/>
      <c r="AC150" s="8" t="str">
        <f>IF(Z150="","",VLOOKUP('Reel 4 Symbol'!Z150,'Reel 4 Symbol'!$A$3:$E$25,5,0))</f>
        <v/>
      </c>
      <c r="AD150" s="8" t="str">
        <f>IF(AA150="","",VLOOKUP('Reel 4 Symbol'!AA150,'Reel 4 Symbol'!$A$3:$E$25,5,0))</f>
        <v/>
      </c>
      <c r="AF150" s="8" t="str">
        <f t="shared" si="29"/>
        <v/>
      </c>
      <c r="AG150" s="8" t="str">
        <f t="shared" si="30"/>
        <v/>
      </c>
      <c r="AH150" s="133"/>
      <c r="AI150" s="27">
        <v>147</v>
      </c>
      <c r="AJ150" s="8"/>
      <c r="AK150" s="8"/>
      <c r="AM150" s="8" t="str">
        <f>IF(AJ150="","",VLOOKUP('Reel 4 Symbol'!AJ150,'Reel 4 Symbol'!$A$3:$E$25,5,0))</f>
        <v/>
      </c>
      <c r="AN150" s="8" t="str">
        <f>IF(AK150="","",VLOOKUP('Reel 4 Symbol'!AK150,'Reel 4 Symbol'!$A$3:$E$25,5,0))</f>
        <v/>
      </c>
      <c r="AP150" s="8" t="str">
        <f t="shared" si="31"/>
        <v/>
      </c>
      <c r="AQ150" s="8" t="str">
        <f t="shared" si="32"/>
        <v/>
      </c>
      <c r="AR150" s="133"/>
      <c r="AS150" s="27">
        <v>147</v>
      </c>
      <c r="AT150" s="8"/>
      <c r="AU150" s="8"/>
      <c r="AW150" s="8" t="str">
        <f>IF(AT150="","",VLOOKUP('Reel 4 Symbol'!AT150,'Reel 4 Symbol'!$A$3:$E$25,5,0))</f>
        <v/>
      </c>
      <c r="AX150" s="8" t="str">
        <f>IF(AU150="","",VLOOKUP('Reel 4 Symbol'!AU150,'Reel 4 Symbol'!$A$3:$E$25,5,0))</f>
        <v/>
      </c>
      <c r="AZ150" s="8" t="str">
        <f t="shared" si="33"/>
        <v/>
      </c>
      <c r="BA150" s="8" t="str">
        <f t="shared" si="34"/>
        <v/>
      </c>
      <c r="BC150" s="27">
        <v>147</v>
      </c>
      <c r="BD150" s="8"/>
      <c r="BE150" s="8"/>
      <c r="BG150" s="8" t="str">
        <f>IF(BD150="","",VLOOKUP('Reel 4 Symbol'!BD150,'Reel 4 Symbol'!$A$3:$E$25,5,0))</f>
        <v/>
      </c>
      <c r="BH150" s="8" t="str">
        <f>IF(BE150="","",VLOOKUP('Reel 4 Symbol'!BE150,'Reel 4 Symbol'!$A$3:$E$25,5,0))</f>
        <v/>
      </c>
      <c r="BJ150" s="8" t="str">
        <f t="shared" si="35"/>
        <v/>
      </c>
      <c r="BK150" s="8" t="str">
        <f t="shared" si="36"/>
        <v/>
      </c>
    </row>
    <row r="151" spans="24:63" ht="16.8" customHeight="1">
      <c r="X151" s="133"/>
      <c r="Y151" s="27">
        <v>148</v>
      </c>
      <c r="Z151" s="8"/>
      <c r="AA151" s="8"/>
      <c r="AC151" s="8" t="str">
        <f>IF(Z151="","",VLOOKUP('Reel 4 Symbol'!Z151,'Reel 4 Symbol'!$A$3:$E$25,5,0))</f>
        <v/>
      </c>
      <c r="AD151" s="8" t="str">
        <f>IF(AA151="","",VLOOKUP('Reel 4 Symbol'!AA151,'Reel 4 Symbol'!$A$3:$E$25,5,0))</f>
        <v/>
      </c>
      <c r="AF151" s="8" t="str">
        <f t="shared" si="29"/>
        <v/>
      </c>
      <c r="AG151" s="8" t="str">
        <f t="shared" si="30"/>
        <v/>
      </c>
      <c r="AH151" s="133"/>
      <c r="AI151" s="27">
        <v>148</v>
      </c>
      <c r="AJ151" s="8"/>
      <c r="AK151" s="8"/>
      <c r="AM151" s="8" t="str">
        <f>IF(AJ151="","",VLOOKUP('Reel 4 Symbol'!AJ151,'Reel 4 Symbol'!$A$3:$E$25,5,0))</f>
        <v/>
      </c>
      <c r="AN151" s="8" t="str">
        <f>IF(AK151="","",VLOOKUP('Reel 4 Symbol'!AK151,'Reel 4 Symbol'!$A$3:$E$25,5,0))</f>
        <v/>
      </c>
      <c r="AP151" s="8" t="str">
        <f t="shared" si="31"/>
        <v/>
      </c>
      <c r="AQ151" s="8" t="str">
        <f t="shared" si="32"/>
        <v/>
      </c>
      <c r="AR151" s="133"/>
      <c r="AS151" s="27">
        <v>148</v>
      </c>
      <c r="AT151" s="8"/>
      <c r="AU151" s="8"/>
      <c r="AW151" s="8" t="str">
        <f>IF(AT151="","",VLOOKUP('Reel 4 Symbol'!AT151,'Reel 4 Symbol'!$A$3:$E$25,5,0))</f>
        <v/>
      </c>
      <c r="AX151" s="8" t="str">
        <f>IF(AU151="","",VLOOKUP('Reel 4 Symbol'!AU151,'Reel 4 Symbol'!$A$3:$E$25,5,0))</f>
        <v/>
      </c>
      <c r="AZ151" s="8" t="str">
        <f t="shared" si="33"/>
        <v/>
      </c>
      <c r="BA151" s="8" t="str">
        <f t="shared" si="34"/>
        <v/>
      </c>
      <c r="BC151" s="27">
        <v>148</v>
      </c>
      <c r="BD151" s="8"/>
      <c r="BE151" s="8"/>
      <c r="BG151" s="8" t="str">
        <f>IF(BD151="","",VLOOKUP('Reel 4 Symbol'!BD151,'Reel 4 Symbol'!$A$3:$E$25,5,0))</f>
        <v/>
      </c>
      <c r="BH151" s="8" t="str">
        <f>IF(BE151="","",VLOOKUP('Reel 4 Symbol'!BE151,'Reel 4 Symbol'!$A$3:$E$25,5,0))</f>
        <v/>
      </c>
      <c r="BJ151" s="8" t="str">
        <f t="shared" si="35"/>
        <v/>
      </c>
      <c r="BK151" s="8" t="str">
        <f t="shared" si="36"/>
        <v/>
      </c>
    </row>
    <row r="152" spans="24:63" ht="16.8" customHeight="1">
      <c r="X152" s="133"/>
      <c r="Y152" s="27">
        <v>149</v>
      </c>
      <c r="Z152" s="8"/>
      <c r="AA152" s="8"/>
      <c r="AC152" s="8" t="str">
        <f>IF(Z152="","",VLOOKUP('Reel 4 Symbol'!Z152,'Reel 4 Symbol'!$A$3:$E$25,5,0))</f>
        <v/>
      </c>
      <c r="AD152" s="8" t="str">
        <f>IF(AA152="","",VLOOKUP('Reel 4 Symbol'!AA152,'Reel 4 Symbol'!$A$3:$E$25,5,0))</f>
        <v/>
      </c>
      <c r="AF152" s="8" t="str">
        <f t="shared" si="29"/>
        <v/>
      </c>
      <c r="AG152" s="8" t="str">
        <f t="shared" si="30"/>
        <v/>
      </c>
      <c r="AH152" s="133"/>
      <c r="AI152" s="27">
        <v>149</v>
      </c>
      <c r="AJ152" s="8"/>
      <c r="AK152" s="8"/>
      <c r="AM152" s="8" t="str">
        <f>IF(AJ152="","",VLOOKUP('Reel 4 Symbol'!AJ152,'Reel 4 Symbol'!$A$3:$E$25,5,0))</f>
        <v/>
      </c>
      <c r="AN152" s="8" t="str">
        <f>IF(AK152="","",VLOOKUP('Reel 4 Symbol'!AK152,'Reel 4 Symbol'!$A$3:$E$25,5,0))</f>
        <v/>
      </c>
      <c r="AP152" s="8" t="str">
        <f t="shared" si="31"/>
        <v/>
      </c>
      <c r="AQ152" s="8" t="str">
        <f t="shared" si="32"/>
        <v/>
      </c>
      <c r="AR152" s="133"/>
      <c r="AS152" s="27">
        <v>149</v>
      </c>
      <c r="AT152" s="8"/>
      <c r="AU152" s="8"/>
      <c r="AW152" s="8" t="str">
        <f>IF(AT152="","",VLOOKUP('Reel 4 Symbol'!AT152,'Reel 4 Symbol'!$A$3:$E$25,5,0))</f>
        <v/>
      </c>
      <c r="AX152" s="8" t="str">
        <f>IF(AU152="","",VLOOKUP('Reel 4 Symbol'!AU152,'Reel 4 Symbol'!$A$3:$E$25,5,0))</f>
        <v/>
      </c>
      <c r="AZ152" s="8" t="str">
        <f t="shared" si="33"/>
        <v/>
      </c>
      <c r="BA152" s="8" t="str">
        <f t="shared" si="34"/>
        <v/>
      </c>
      <c r="BC152" s="27">
        <v>149</v>
      </c>
      <c r="BD152" s="8"/>
      <c r="BE152" s="8"/>
      <c r="BG152" s="8" t="str">
        <f>IF(BD152="","",VLOOKUP('Reel 4 Symbol'!BD152,'Reel 4 Symbol'!$A$3:$E$25,5,0))</f>
        <v/>
      </c>
      <c r="BH152" s="8" t="str">
        <f>IF(BE152="","",VLOOKUP('Reel 4 Symbol'!BE152,'Reel 4 Symbol'!$A$3:$E$25,5,0))</f>
        <v/>
      </c>
      <c r="BJ152" s="8" t="str">
        <f t="shared" si="35"/>
        <v/>
      </c>
      <c r="BK152" s="8" t="str">
        <f t="shared" si="36"/>
        <v/>
      </c>
    </row>
    <row r="153" spans="24:63" ht="16.8" customHeight="1">
      <c r="X153" s="133"/>
      <c r="Y153" s="27">
        <v>150</v>
      </c>
      <c r="Z153" s="8"/>
      <c r="AA153" s="8"/>
      <c r="AC153" s="8" t="str">
        <f>IF(Z153="","",VLOOKUP('Reel 4 Symbol'!Z153,'Reel 4 Symbol'!$A$3:$E$25,5,0))</f>
        <v/>
      </c>
      <c r="AD153" s="8" t="str">
        <f>IF(AA153="","",VLOOKUP('Reel 4 Symbol'!AA153,'Reel 4 Symbol'!$A$3:$E$25,5,0))</f>
        <v/>
      </c>
      <c r="AF153" s="8" t="str">
        <f t="shared" si="29"/>
        <v/>
      </c>
      <c r="AG153" s="8" t="str">
        <f t="shared" si="30"/>
        <v/>
      </c>
      <c r="AH153" s="133"/>
      <c r="AI153" s="27">
        <v>150</v>
      </c>
      <c r="AJ153" s="8"/>
      <c r="AK153" s="8"/>
      <c r="AM153" s="8" t="str">
        <f>IF(AJ153="","",VLOOKUP('Reel 4 Symbol'!AJ153,'Reel 4 Symbol'!$A$3:$E$25,5,0))</f>
        <v/>
      </c>
      <c r="AN153" s="8" t="str">
        <f>IF(AK153="","",VLOOKUP('Reel 4 Symbol'!AK153,'Reel 4 Symbol'!$A$3:$E$25,5,0))</f>
        <v/>
      </c>
      <c r="AP153" s="8" t="str">
        <f t="shared" si="31"/>
        <v/>
      </c>
      <c r="AQ153" s="8" t="str">
        <f t="shared" si="32"/>
        <v/>
      </c>
      <c r="AR153" s="133"/>
      <c r="AS153" s="27">
        <v>150</v>
      </c>
      <c r="AT153" s="8"/>
      <c r="AU153" s="8"/>
      <c r="AW153" s="8" t="str">
        <f>IF(AT153="","",VLOOKUP('Reel 4 Symbol'!AT153,'Reel 4 Symbol'!$A$3:$E$25,5,0))</f>
        <v/>
      </c>
      <c r="AX153" s="8" t="str">
        <f>IF(AU153="","",VLOOKUP('Reel 4 Symbol'!AU153,'Reel 4 Symbol'!$A$3:$E$25,5,0))</f>
        <v/>
      </c>
      <c r="AZ153" s="8" t="str">
        <f t="shared" si="33"/>
        <v/>
      </c>
      <c r="BA153" s="8" t="str">
        <f t="shared" si="34"/>
        <v/>
      </c>
      <c r="BC153" s="27">
        <v>150</v>
      </c>
      <c r="BD153" s="8"/>
      <c r="BE153" s="8"/>
      <c r="BG153" s="8" t="str">
        <f>IF(BD153="","",VLOOKUP('Reel 4 Symbol'!BD153,'Reel 4 Symbol'!$A$3:$E$25,5,0))</f>
        <v/>
      </c>
      <c r="BH153" s="8" t="str">
        <f>IF(BE153="","",VLOOKUP('Reel 4 Symbol'!BE153,'Reel 4 Symbol'!$A$3:$E$25,5,0))</f>
        <v/>
      </c>
      <c r="BJ153" s="8" t="str">
        <f t="shared" si="35"/>
        <v/>
      </c>
      <c r="BK153" s="8" t="str">
        <f t="shared" si="36"/>
        <v/>
      </c>
    </row>
    <row r="154" spans="24:63" ht="16.8" customHeight="1">
      <c r="X154" s="133"/>
      <c r="Y154" s="27">
        <v>151</v>
      </c>
      <c r="Z154" s="8"/>
      <c r="AA154" s="8"/>
      <c r="AC154" s="8" t="str">
        <f>IF(Z154="","",VLOOKUP('Reel 4 Symbol'!Z154,'Reel 4 Symbol'!$A$3:$E$25,5,0))</f>
        <v/>
      </c>
      <c r="AD154" s="8" t="str">
        <f>IF(AA154="","",VLOOKUP('Reel 4 Symbol'!AA154,'Reel 4 Symbol'!$A$3:$E$25,5,0))</f>
        <v/>
      </c>
      <c r="AF154" s="8" t="str">
        <f t="shared" si="29"/>
        <v/>
      </c>
      <c r="AG154" s="8" t="str">
        <f t="shared" si="30"/>
        <v/>
      </c>
      <c r="AH154" s="133"/>
      <c r="AI154" s="27">
        <v>151</v>
      </c>
      <c r="AJ154" s="8"/>
      <c r="AK154" s="8"/>
      <c r="AM154" s="8" t="str">
        <f>IF(AJ154="","",VLOOKUP('Reel 4 Symbol'!AJ154,'Reel 4 Symbol'!$A$3:$E$25,5,0))</f>
        <v/>
      </c>
      <c r="AN154" s="8" t="str">
        <f>IF(AK154="","",VLOOKUP('Reel 4 Symbol'!AK154,'Reel 4 Symbol'!$A$3:$E$25,5,0))</f>
        <v/>
      </c>
      <c r="AP154" s="8" t="str">
        <f t="shared" si="31"/>
        <v/>
      </c>
      <c r="AQ154" s="8" t="str">
        <f t="shared" si="32"/>
        <v/>
      </c>
      <c r="AR154" s="133"/>
      <c r="AS154" s="27">
        <v>151</v>
      </c>
      <c r="AT154" s="8"/>
      <c r="AU154" s="8"/>
      <c r="AW154" s="8" t="str">
        <f>IF(AT154="","",VLOOKUP('Reel 4 Symbol'!AT154,'Reel 4 Symbol'!$A$3:$E$25,5,0))</f>
        <v/>
      </c>
      <c r="AX154" s="8" t="str">
        <f>IF(AU154="","",VLOOKUP('Reel 4 Symbol'!AU154,'Reel 4 Symbol'!$A$3:$E$25,5,0))</f>
        <v/>
      </c>
      <c r="AZ154" s="8" t="str">
        <f t="shared" si="33"/>
        <v/>
      </c>
      <c r="BA154" s="8" t="str">
        <f t="shared" si="34"/>
        <v/>
      </c>
      <c r="BC154" s="27">
        <v>151</v>
      </c>
      <c r="BD154" s="8"/>
      <c r="BE154" s="8"/>
      <c r="BG154" s="8" t="str">
        <f>IF(BD154="","",VLOOKUP('Reel 4 Symbol'!BD154,'Reel 4 Symbol'!$A$3:$E$25,5,0))</f>
        <v/>
      </c>
      <c r="BH154" s="8" t="str">
        <f>IF(BE154="","",VLOOKUP('Reel 4 Symbol'!BE154,'Reel 4 Symbol'!$A$3:$E$25,5,0))</f>
        <v/>
      </c>
      <c r="BJ154" s="8" t="str">
        <f t="shared" si="35"/>
        <v/>
      </c>
      <c r="BK154" s="8" t="str">
        <f t="shared" si="36"/>
        <v/>
      </c>
    </row>
    <row r="155" spans="24:63" ht="16.8" customHeight="1">
      <c r="X155" s="133"/>
      <c r="Y155" s="27">
        <v>152</v>
      </c>
      <c r="Z155" s="8"/>
      <c r="AA155" s="8"/>
      <c r="AC155" s="8" t="str">
        <f>IF(Z155="","",VLOOKUP('Reel 4 Symbol'!Z155,'Reel 4 Symbol'!$A$3:$E$25,5,0))</f>
        <v/>
      </c>
      <c r="AD155" s="8" t="str">
        <f>IF(AA155="","",VLOOKUP('Reel 4 Symbol'!AA155,'Reel 4 Symbol'!$A$3:$E$25,5,0))</f>
        <v/>
      </c>
      <c r="AF155" s="8" t="str">
        <f t="shared" si="29"/>
        <v/>
      </c>
      <c r="AG155" s="8" t="str">
        <f t="shared" si="30"/>
        <v/>
      </c>
      <c r="AH155" s="133"/>
      <c r="AI155" s="27">
        <v>152</v>
      </c>
      <c r="AJ155" s="8"/>
      <c r="AK155" s="8"/>
      <c r="AM155" s="8" t="str">
        <f>IF(AJ155="","",VLOOKUP('Reel 4 Symbol'!AJ155,'Reel 4 Symbol'!$A$3:$E$25,5,0))</f>
        <v/>
      </c>
      <c r="AN155" s="8" t="str">
        <f>IF(AK155="","",VLOOKUP('Reel 4 Symbol'!AK155,'Reel 4 Symbol'!$A$3:$E$25,5,0))</f>
        <v/>
      </c>
      <c r="AP155" s="8" t="str">
        <f t="shared" si="31"/>
        <v/>
      </c>
      <c r="AQ155" s="8" t="str">
        <f t="shared" si="32"/>
        <v/>
      </c>
      <c r="AR155" s="133"/>
      <c r="AS155" s="27">
        <v>152</v>
      </c>
      <c r="AT155" s="8"/>
      <c r="AU155" s="8"/>
      <c r="AW155" s="8" t="str">
        <f>IF(AT155="","",VLOOKUP('Reel 4 Symbol'!AT155,'Reel 4 Symbol'!$A$3:$E$25,5,0))</f>
        <v/>
      </c>
      <c r="AX155" s="8" t="str">
        <f>IF(AU155="","",VLOOKUP('Reel 4 Symbol'!AU155,'Reel 4 Symbol'!$A$3:$E$25,5,0))</f>
        <v/>
      </c>
      <c r="AZ155" s="8" t="str">
        <f t="shared" si="33"/>
        <v/>
      </c>
      <c r="BA155" s="8" t="str">
        <f t="shared" si="34"/>
        <v/>
      </c>
      <c r="BC155" s="27">
        <v>152</v>
      </c>
      <c r="BD155" s="8"/>
      <c r="BE155" s="8"/>
      <c r="BG155" s="8" t="str">
        <f>IF(BD155="","",VLOOKUP('Reel 4 Symbol'!BD155,'Reel 4 Symbol'!$A$3:$E$25,5,0))</f>
        <v/>
      </c>
      <c r="BH155" s="8" t="str">
        <f>IF(BE155="","",VLOOKUP('Reel 4 Symbol'!BE155,'Reel 4 Symbol'!$A$3:$E$25,5,0))</f>
        <v/>
      </c>
      <c r="BJ155" s="8" t="str">
        <f t="shared" si="35"/>
        <v/>
      </c>
      <c r="BK155" s="8" t="str">
        <f t="shared" si="36"/>
        <v/>
      </c>
    </row>
    <row r="156" spans="24:63" ht="16.8" customHeight="1">
      <c r="X156" s="133"/>
      <c r="Y156" s="27">
        <v>153</v>
      </c>
      <c r="Z156" s="8"/>
      <c r="AA156" s="8"/>
      <c r="AC156" s="8" t="str">
        <f>IF(Z156="","",VLOOKUP('Reel 4 Symbol'!Z156,'Reel 4 Symbol'!$A$3:$E$25,5,0))</f>
        <v/>
      </c>
      <c r="AD156" s="8" t="str">
        <f>IF(AA156="","",VLOOKUP('Reel 4 Symbol'!AA156,'Reel 4 Symbol'!$A$3:$E$25,5,0))</f>
        <v/>
      </c>
      <c r="AF156" s="8" t="str">
        <f t="shared" si="29"/>
        <v/>
      </c>
      <c r="AG156" s="8" t="str">
        <f t="shared" si="30"/>
        <v/>
      </c>
      <c r="AH156" s="133"/>
      <c r="AI156" s="27">
        <v>153</v>
      </c>
      <c r="AJ156" s="8"/>
      <c r="AK156" s="8"/>
      <c r="AM156" s="8" t="str">
        <f>IF(AJ156="","",VLOOKUP('Reel 4 Symbol'!AJ156,'Reel 4 Symbol'!$A$3:$E$25,5,0))</f>
        <v/>
      </c>
      <c r="AN156" s="8" t="str">
        <f>IF(AK156="","",VLOOKUP('Reel 4 Symbol'!AK156,'Reel 4 Symbol'!$A$3:$E$25,5,0))</f>
        <v/>
      </c>
      <c r="AP156" s="8" t="str">
        <f t="shared" si="31"/>
        <v/>
      </c>
      <c r="AQ156" s="8" t="str">
        <f t="shared" si="32"/>
        <v/>
      </c>
      <c r="AR156" s="133"/>
      <c r="AS156" s="27">
        <v>153</v>
      </c>
      <c r="AT156" s="8"/>
      <c r="AU156" s="8"/>
      <c r="AW156" s="8" t="str">
        <f>IF(AT156="","",VLOOKUP('Reel 4 Symbol'!AT156,'Reel 4 Symbol'!$A$3:$E$25,5,0))</f>
        <v/>
      </c>
      <c r="AX156" s="8" t="str">
        <f>IF(AU156="","",VLOOKUP('Reel 4 Symbol'!AU156,'Reel 4 Symbol'!$A$3:$E$25,5,0))</f>
        <v/>
      </c>
      <c r="AZ156" s="8" t="str">
        <f t="shared" si="33"/>
        <v/>
      </c>
      <c r="BA156" s="8" t="str">
        <f t="shared" si="34"/>
        <v/>
      </c>
      <c r="BC156" s="27">
        <v>153</v>
      </c>
      <c r="BD156" s="8"/>
      <c r="BE156" s="8"/>
      <c r="BG156" s="8" t="str">
        <f>IF(BD156="","",VLOOKUP('Reel 4 Symbol'!BD156,'Reel 4 Symbol'!$A$3:$E$25,5,0))</f>
        <v/>
      </c>
      <c r="BH156" s="8" t="str">
        <f>IF(BE156="","",VLOOKUP('Reel 4 Symbol'!BE156,'Reel 4 Symbol'!$A$3:$E$25,5,0))</f>
        <v/>
      </c>
      <c r="BJ156" s="8" t="str">
        <f t="shared" si="35"/>
        <v/>
      </c>
      <c r="BK156" s="8" t="str">
        <f t="shared" si="36"/>
        <v/>
      </c>
    </row>
    <row r="157" spans="24:63" ht="16.8" customHeight="1">
      <c r="X157" s="133"/>
      <c r="Y157" s="27">
        <v>154</v>
      </c>
      <c r="Z157" s="8"/>
      <c r="AA157" s="8"/>
      <c r="AC157" s="8" t="str">
        <f>IF(Z157="","",VLOOKUP('Reel 4 Symbol'!Z157,'Reel 4 Symbol'!$A$3:$E$25,5,0))</f>
        <v/>
      </c>
      <c r="AD157" s="8" t="str">
        <f>IF(AA157="","",VLOOKUP('Reel 4 Symbol'!AA157,'Reel 4 Symbol'!$A$3:$E$25,5,0))</f>
        <v/>
      </c>
      <c r="AF157" s="8" t="str">
        <f t="shared" si="29"/>
        <v/>
      </c>
      <c r="AG157" s="8" t="str">
        <f t="shared" si="30"/>
        <v/>
      </c>
      <c r="AH157" s="133"/>
      <c r="AI157" s="27">
        <v>154</v>
      </c>
      <c r="AJ157" s="8"/>
      <c r="AK157" s="8"/>
      <c r="AM157" s="8" t="str">
        <f>IF(AJ157="","",VLOOKUP('Reel 4 Symbol'!AJ157,'Reel 4 Symbol'!$A$3:$E$25,5,0))</f>
        <v/>
      </c>
      <c r="AN157" s="8" t="str">
        <f>IF(AK157="","",VLOOKUP('Reel 4 Symbol'!AK157,'Reel 4 Symbol'!$A$3:$E$25,5,0))</f>
        <v/>
      </c>
      <c r="AP157" s="8" t="str">
        <f t="shared" si="31"/>
        <v/>
      </c>
      <c r="AQ157" s="8" t="str">
        <f t="shared" si="32"/>
        <v/>
      </c>
      <c r="AR157" s="133"/>
      <c r="AS157" s="27">
        <v>154</v>
      </c>
      <c r="AT157" s="8"/>
      <c r="AU157" s="8"/>
      <c r="AW157" s="8" t="str">
        <f>IF(AT157="","",VLOOKUP('Reel 4 Symbol'!AT157,'Reel 4 Symbol'!$A$3:$E$25,5,0))</f>
        <v/>
      </c>
      <c r="AX157" s="8" t="str">
        <f>IF(AU157="","",VLOOKUP('Reel 4 Symbol'!AU157,'Reel 4 Symbol'!$A$3:$E$25,5,0))</f>
        <v/>
      </c>
      <c r="AZ157" s="8" t="str">
        <f t="shared" si="33"/>
        <v/>
      </c>
      <c r="BA157" s="8" t="str">
        <f t="shared" si="34"/>
        <v/>
      </c>
      <c r="BC157" s="27">
        <v>154</v>
      </c>
      <c r="BD157" s="8"/>
      <c r="BE157" s="8"/>
      <c r="BG157" s="8" t="str">
        <f>IF(BD157="","",VLOOKUP('Reel 4 Symbol'!BD157,'Reel 4 Symbol'!$A$3:$E$25,5,0))</f>
        <v/>
      </c>
      <c r="BH157" s="8" t="str">
        <f>IF(BE157="","",VLOOKUP('Reel 4 Symbol'!BE157,'Reel 4 Symbol'!$A$3:$E$25,5,0))</f>
        <v/>
      </c>
      <c r="BJ157" s="8" t="str">
        <f t="shared" si="35"/>
        <v/>
      </c>
      <c r="BK157" s="8" t="str">
        <f t="shared" si="36"/>
        <v/>
      </c>
    </row>
    <row r="158" spans="24:63" ht="16.8" customHeight="1">
      <c r="X158" s="133"/>
      <c r="Y158" s="27">
        <v>155</v>
      </c>
      <c r="Z158" s="8"/>
      <c r="AA158" s="8"/>
      <c r="AC158" s="8" t="str">
        <f>IF(Z158="","",VLOOKUP('Reel 4 Symbol'!Z158,'Reel 4 Symbol'!$A$3:$E$25,5,0))</f>
        <v/>
      </c>
      <c r="AD158" s="8" t="str">
        <f>IF(AA158="","",VLOOKUP('Reel 4 Symbol'!AA158,'Reel 4 Symbol'!$A$3:$E$25,5,0))</f>
        <v/>
      </c>
      <c r="AF158" s="8" t="str">
        <f t="shared" si="29"/>
        <v/>
      </c>
      <c r="AG158" s="8" t="str">
        <f t="shared" si="30"/>
        <v/>
      </c>
      <c r="AH158" s="133"/>
      <c r="AI158" s="27">
        <v>155</v>
      </c>
      <c r="AJ158" s="8"/>
      <c r="AK158" s="8"/>
      <c r="AM158" s="8" t="str">
        <f>IF(AJ158="","",VLOOKUP('Reel 4 Symbol'!AJ158,'Reel 4 Symbol'!$A$3:$E$25,5,0))</f>
        <v/>
      </c>
      <c r="AN158" s="8" t="str">
        <f>IF(AK158="","",VLOOKUP('Reel 4 Symbol'!AK158,'Reel 4 Symbol'!$A$3:$E$25,5,0))</f>
        <v/>
      </c>
      <c r="AP158" s="8" t="str">
        <f t="shared" si="31"/>
        <v/>
      </c>
      <c r="AQ158" s="8" t="str">
        <f t="shared" si="32"/>
        <v/>
      </c>
      <c r="AR158" s="133"/>
      <c r="AS158" s="27">
        <v>155</v>
      </c>
      <c r="AT158" s="8"/>
      <c r="AU158" s="8"/>
      <c r="AW158" s="8" t="str">
        <f>IF(AT158="","",VLOOKUP('Reel 4 Symbol'!AT158,'Reel 4 Symbol'!$A$3:$E$25,5,0))</f>
        <v/>
      </c>
      <c r="AX158" s="8" t="str">
        <f>IF(AU158="","",VLOOKUP('Reel 4 Symbol'!AU158,'Reel 4 Symbol'!$A$3:$E$25,5,0))</f>
        <v/>
      </c>
      <c r="AZ158" s="8" t="str">
        <f t="shared" si="33"/>
        <v/>
      </c>
      <c r="BA158" s="8" t="str">
        <f t="shared" si="34"/>
        <v/>
      </c>
      <c r="BC158" s="27">
        <v>155</v>
      </c>
      <c r="BD158" s="8"/>
      <c r="BE158" s="8"/>
      <c r="BG158" s="8" t="str">
        <f>IF(BD158="","",VLOOKUP('Reel 4 Symbol'!BD158,'Reel 4 Symbol'!$A$3:$E$25,5,0))</f>
        <v/>
      </c>
      <c r="BH158" s="8" t="str">
        <f>IF(BE158="","",VLOOKUP('Reel 4 Symbol'!BE158,'Reel 4 Symbol'!$A$3:$E$25,5,0))</f>
        <v/>
      </c>
      <c r="BJ158" s="8" t="str">
        <f t="shared" si="35"/>
        <v/>
      </c>
      <c r="BK158" s="8" t="str">
        <f t="shared" si="36"/>
        <v/>
      </c>
    </row>
    <row r="159" spans="24:63" ht="16.8" customHeight="1">
      <c r="X159" s="133"/>
      <c r="Y159" s="27">
        <v>156</v>
      </c>
      <c r="Z159" s="8"/>
      <c r="AA159" s="8"/>
      <c r="AC159" s="8" t="str">
        <f>IF(Z159="","",VLOOKUP('Reel 4 Symbol'!Z159,'Reel 4 Symbol'!$A$3:$E$25,5,0))</f>
        <v/>
      </c>
      <c r="AD159" s="8" t="str">
        <f>IF(AA159="","",VLOOKUP('Reel 4 Symbol'!AA159,'Reel 4 Symbol'!$A$3:$E$25,5,0))</f>
        <v/>
      </c>
      <c r="AF159" s="8" t="str">
        <f t="shared" si="29"/>
        <v/>
      </c>
      <c r="AG159" s="8" t="str">
        <f t="shared" si="30"/>
        <v/>
      </c>
      <c r="AH159" s="133"/>
      <c r="AI159" s="27">
        <v>156</v>
      </c>
      <c r="AJ159" s="8"/>
      <c r="AK159" s="8"/>
      <c r="AM159" s="8" t="str">
        <f>IF(AJ159="","",VLOOKUP('Reel 4 Symbol'!AJ159,'Reel 4 Symbol'!$A$3:$E$25,5,0))</f>
        <v/>
      </c>
      <c r="AN159" s="8" t="str">
        <f>IF(AK159="","",VLOOKUP('Reel 4 Symbol'!AK159,'Reel 4 Symbol'!$A$3:$E$25,5,0))</f>
        <v/>
      </c>
      <c r="AP159" s="8" t="str">
        <f t="shared" si="31"/>
        <v/>
      </c>
      <c r="AQ159" s="8" t="str">
        <f t="shared" si="32"/>
        <v/>
      </c>
      <c r="AR159" s="133"/>
      <c r="AS159" s="27">
        <v>156</v>
      </c>
      <c r="AT159" s="8"/>
      <c r="AU159" s="8"/>
      <c r="AW159" s="8" t="str">
        <f>IF(AT159="","",VLOOKUP('Reel 4 Symbol'!AT159,'Reel 4 Symbol'!$A$3:$E$25,5,0))</f>
        <v/>
      </c>
      <c r="AX159" s="8" t="str">
        <f>IF(AU159="","",VLOOKUP('Reel 4 Symbol'!AU159,'Reel 4 Symbol'!$A$3:$E$25,5,0))</f>
        <v/>
      </c>
      <c r="AZ159" s="8" t="str">
        <f t="shared" si="33"/>
        <v/>
      </c>
      <c r="BA159" s="8" t="str">
        <f t="shared" si="34"/>
        <v/>
      </c>
      <c r="BC159" s="27">
        <v>156</v>
      </c>
      <c r="BD159" s="8"/>
      <c r="BE159" s="8"/>
      <c r="BG159" s="8" t="str">
        <f>IF(BD159="","",VLOOKUP('Reel 4 Symbol'!BD159,'Reel 4 Symbol'!$A$3:$E$25,5,0))</f>
        <v/>
      </c>
      <c r="BH159" s="8" t="str">
        <f>IF(BE159="","",VLOOKUP('Reel 4 Symbol'!BE159,'Reel 4 Symbol'!$A$3:$E$25,5,0))</f>
        <v/>
      </c>
      <c r="BJ159" s="8" t="str">
        <f t="shared" si="35"/>
        <v/>
      </c>
      <c r="BK159" s="8" t="str">
        <f t="shared" si="36"/>
        <v/>
      </c>
    </row>
    <row r="160" spans="24:63" ht="16.8" customHeight="1">
      <c r="X160" s="133"/>
      <c r="Y160" s="27">
        <v>157</v>
      </c>
      <c r="Z160" s="8"/>
      <c r="AA160" s="8"/>
      <c r="AC160" s="8" t="str">
        <f>IF(Z160="","",VLOOKUP('Reel 4 Symbol'!Z160,'Reel 4 Symbol'!$A$3:$E$25,5,0))</f>
        <v/>
      </c>
      <c r="AD160" s="8" t="str">
        <f>IF(AA160="","",VLOOKUP('Reel 4 Symbol'!AA160,'Reel 4 Symbol'!$A$3:$E$25,5,0))</f>
        <v/>
      </c>
      <c r="AF160" s="8" t="str">
        <f t="shared" si="29"/>
        <v/>
      </c>
      <c r="AG160" s="8" t="str">
        <f t="shared" si="30"/>
        <v/>
      </c>
      <c r="AH160" s="133"/>
      <c r="AI160" s="27">
        <v>157</v>
      </c>
      <c r="AJ160" s="8"/>
      <c r="AK160" s="8"/>
      <c r="AM160" s="8" t="str">
        <f>IF(AJ160="","",VLOOKUP('Reel 4 Symbol'!AJ160,'Reel 4 Symbol'!$A$3:$E$25,5,0))</f>
        <v/>
      </c>
      <c r="AN160" s="8" t="str">
        <f>IF(AK160="","",VLOOKUP('Reel 4 Symbol'!AK160,'Reel 4 Symbol'!$A$3:$E$25,5,0))</f>
        <v/>
      </c>
      <c r="AP160" s="8" t="str">
        <f t="shared" si="31"/>
        <v/>
      </c>
      <c r="AQ160" s="8" t="str">
        <f t="shared" si="32"/>
        <v/>
      </c>
      <c r="AR160" s="133"/>
      <c r="AS160" s="27">
        <v>157</v>
      </c>
      <c r="AT160" s="8"/>
      <c r="AU160" s="8"/>
      <c r="AW160" s="8" t="str">
        <f>IF(AT160="","",VLOOKUP('Reel 4 Symbol'!AT160,'Reel 4 Symbol'!$A$3:$E$25,5,0))</f>
        <v/>
      </c>
      <c r="AX160" s="8" t="str">
        <f>IF(AU160="","",VLOOKUP('Reel 4 Symbol'!AU160,'Reel 4 Symbol'!$A$3:$E$25,5,0))</f>
        <v/>
      </c>
      <c r="AZ160" s="8" t="str">
        <f t="shared" si="33"/>
        <v/>
      </c>
      <c r="BA160" s="8" t="str">
        <f t="shared" si="34"/>
        <v/>
      </c>
      <c r="BC160" s="27">
        <v>157</v>
      </c>
      <c r="BD160" s="8"/>
      <c r="BE160" s="8"/>
      <c r="BG160" s="8" t="str">
        <f>IF(BD160="","",VLOOKUP('Reel 4 Symbol'!BD160,'Reel 4 Symbol'!$A$3:$E$25,5,0))</f>
        <v/>
      </c>
      <c r="BH160" s="8" t="str">
        <f>IF(BE160="","",VLOOKUP('Reel 4 Symbol'!BE160,'Reel 4 Symbol'!$A$3:$E$25,5,0))</f>
        <v/>
      </c>
      <c r="BJ160" s="8" t="str">
        <f t="shared" si="35"/>
        <v/>
      </c>
      <c r="BK160" s="8" t="str">
        <f t="shared" si="36"/>
        <v/>
      </c>
    </row>
    <row r="161" spans="24:63" ht="16.8" customHeight="1">
      <c r="X161" s="133"/>
      <c r="Y161" s="27">
        <v>158</v>
      </c>
      <c r="Z161" s="8"/>
      <c r="AA161" s="8"/>
      <c r="AC161" s="8" t="str">
        <f>IF(Z161="","",VLOOKUP('Reel 4 Symbol'!Z161,'Reel 4 Symbol'!$A$3:$E$25,5,0))</f>
        <v/>
      </c>
      <c r="AD161" s="8" t="str">
        <f>IF(AA161="","",VLOOKUP('Reel 4 Symbol'!AA161,'Reel 4 Symbol'!$A$3:$E$25,5,0))</f>
        <v/>
      </c>
      <c r="AF161" s="8" t="str">
        <f t="shared" si="29"/>
        <v/>
      </c>
      <c r="AG161" s="8" t="str">
        <f t="shared" si="30"/>
        <v/>
      </c>
      <c r="AH161" s="133"/>
      <c r="AI161" s="27">
        <v>158</v>
      </c>
      <c r="AJ161" s="8"/>
      <c r="AK161" s="8"/>
      <c r="AM161" s="8" t="str">
        <f>IF(AJ161="","",VLOOKUP('Reel 4 Symbol'!AJ161,'Reel 4 Symbol'!$A$3:$E$25,5,0))</f>
        <v/>
      </c>
      <c r="AN161" s="8" t="str">
        <f>IF(AK161="","",VLOOKUP('Reel 4 Symbol'!AK161,'Reel 4 Symbol'!$A$3:$E$25,5,0))</f>
        <v/>
      </c>
      <c r="AP161" s="8" t="str">
        <f t="shared" si="31"/>
        <v/>
      </c>
      <c r="AQ161" s="8" t="str">
        <f t="shared" si="32"/>
        <v/>
      </c>
      <c r="AR161" s="133"/>
      <c r="AS161" s="27">
        <v>158</v>
      </c>
      <c r="AT161" s="8"/>
      <c r="AU161" s="8"/>
      <c r="AW161" s="8" t="str">
        <f>IF(AT161="","",VLOOKUP('Reel 4 Symbol'!AT161,'Reel 4 Symbol'!$A$3:$E$25,5,0))</f>
        <v/>
      </c>
      <c r="AX161" s="8" t="str">
        <f>IF(AU161="","",VLOOKUP('Reel 4 Symbol'!AU161,'Reel 4 Symbol'!$A$3:$E$25,5,0))</f>
        <v/>
      </c>
      <c r="AZ161" s="8" t="str">
        <f t="shared" si="33"/>
        <v/>
      </c>
      <c r="BA161" s="8" t="str">
        <f t="shared" si="34"/>
        <v/>
      </c>
      <c r="BC161" s="27">
        <v>158</v>
      </c>
      <c r="BD161" s="8"/>
      <c r="BE161" s="8"/>
      <c r="BG161" s="8" t="str">
        <f>IF(BD161="","",VLOOKUP('Reel 4 Symbol'!BD161,'Reel 4 Symbol'!$A$3:$E$25,5,0))</f>
        <v/>
      </c>
      <c r="BH161" s="8" t="str">
        <f>IF(BE161="","",VLOOKUP('Reel 4 Symbol'!BE161,'Reel 4 Symbol'!$A$3:$E$25,5,0))</f>
        <v/>
      </c>
      <c r="BJ161" s="8" t="str">
        <f t="shared" si="35"/>
        <v/>
      </c>
      <c r="BK161" s="8" t="str">
        <f t="shared" si="36"/>
        <v/>
      </c>
    </row>
    <row r="162" spans="24:63" ht="16.8" customHeight="1">
      <c r="X162" s="133"/>
      <c r="Y162" s="27">
        <v>159</v>
      </c>
      <c r="Z162" s="8"/>
      <c r="AA162" s="8"/>
      <c r="AC162" s="8" t="str">
        <f>IF(Z162="","",VLOOKUP('Reel 4 Symbol'!Z162,'Reel 4 Symbol'!$A$3:$E$25,5,0))</f>
        <v/>
      </c>
      <c r="AD162" s="8" t="str">
        <f>IF(AA162="","",VLOOKUP('Reel 4 Symbol'!AA162,'Reel 4 Symbol'!$A$3:$E$25,5,0))</f>
        <v/>
      </c>
      <c r="AF162" s="8" t="str">
        <f t="shared" si="29"/>
        <v/>
      </c>
      <c r="AG162" s="8" t="str">
        <f t="shared" si="30"/>
        <v/>
      </c>
      <c r="AH162" s="133"/>
      <c r="AI162" s="27">
        <v>159</v>
      </c>
      <c r="AJ162" s="8"/>
      <c r="AK162" s="8"/>
      <c r="AM162" s="8" t="str">
        <f>IF(AJ162="","",VLOOKUP('Reel 4 Symbol'!AJ162,'Reel 4 Symbol'!$A$3:$E$25,5,0))</f>
        <v/>
      </c>
      <c r="AN162" s="8" t="str">
        <f>IF(AK162="","",VLOOKUP('Reel 4 Symbol'!AK162,'Reel 4 Symbol'!$A$3:$E$25,5,0))</f>
        <v/>
      </c>
      <c r="AP162" s="8" t="str">
        <f t="shared" si="31"/>
        <v/>
      </c>
      <c r="AQ162" s="8" t="str">
        <f t="shared" si="32"/>
        <v/>
      </c>
      <c r="AR162" s="133"/>
      <c r="AS162" s="27">
        <v>159</v>
      </c>
      <c r="AT162" s="8"/>
      <c r="AU162" s="8"/>
      <c r="AW162" s="8" t="str">
        <f>IF(AT162="","",VLOOKUP('Reel 4 Symbol'!AT162,'Reel 4 Symbol'!$A$3:$E$25,5,0))</f>
        <v/>
      </c>
      <c r="AX162" s="8" t="str">
        <f>IF(AU162="","",VLOOKUP('Reel 4 Symbol'!AU162,'Reel 4 Symbol'!$A$3:$E$25,5,0))</f>
        <v/>
      </c>
      <c r="AZ162" s="8" t="str">
        <f t="shared" si="33"/>
        <v/>
      </c>
      <c r="BA162" s="8" t="str">
        <f t="shared" si="34"/>
        <v/>
      </c>
      <c r="BC162" s="27">
        <v>159</v>
      </c>
      <c r="BD162" s="8"/>
      <c r="BE162" s="8"/>
      <c r="BG162" s="8" t="str">
        <f>IF(BD162="","",VLOOKUP('Reel 4 Symbol'!BD162,'Reel 4 Symbol'!$A$3:$E$25,5,0))</f>
        <v/>
      </c>
      <c r="BH162" s="8" t="str">
        <f>IF(BE162="","",VLOOKUP('Reel 4 Symbol'!BE162,'Reel 4 Symbol'!$A$3:$E$25,5,0))</f>
        <v/>
      </c>
      <c r="BJ162" s="8" t="str">
        <f t="shared" si="35"/>
        <v/>
      </c>
      <c r="BK162" s="8" t="str">
        <f t="shared" si="36"/>
        <v/>
      </c>
    </row>
    <row r="163" spans="24:63" ht="16.8" customHeight="1">
      <c r="X163" s="133"/>
      <c r="Y163" s="27">
        <v>160</v>
      </c>
      <c r="Z163" s="8"/>
      <c r="AA163" s="8"/>
      <c r="AC163" s="8" t="str">
        <f>IF(Z163="","",VLOOKUP('Reel 4 Symbol'!Z163,'Reel 4 Symbol'!$A$3:$E$25,5,0))</f>
        <v/>
      </c>
      <c r="AD163" s="8" t="str">
        <f>IF(AA163="","",VLOOKUP('Reel 4 Symbol'!AA163,'Reel 4 Symbol'!$A$3:$E$25,5,0))</f>
        <v/>
      </c>
      <c r="AF163" s="8" t="str">
        <f t="shared" si="29"/>
        <v/>
      </c>
      <c r="AG163" s="8" t="str">
        <f t="shared" si="30"/>
        <v/>
      </c>
      <c r="AH163" s="133"/>
      <c r="AI163" s="27">
        <v>160</v>
      </c>
      <c r="AJ163" s="8"/>
      <c r="AK163" s="8"/>
      <c r="AM163" s="8" t="str">
        <f>IF(AJ163="","",VLOOKUP('Reel 4 Symbol'!AJ163,'Reel 4 Symbol'!$A$3:$E$25,5,0))</f>
        <v/>
      </c>
      <c r="AN163" s="8" t="str">
        <f>IF(AK163="","",VLOOKUP('Reel 4 Symbol'!AK163,'Reel 4 Symbol'!$A$3:$E$25,5,0))</f>
        <v/>
      </c>
      <c r="AP163" s="8" t="str">
        <f t="shared" si="31"/>
        <v/>
      </c>
      <c r="AQ163" s="8" t="str">
        <f t="shared" si="32"/>
        <v/>
      </c>
      <c r="AR163" s="133"/>
      <c r="AS163" s="27">
        <v>160</v>
      </c>
      <c r="AT163" s="8"/>
      <c r="AU163" s="8"/>
      <c r="AW163" s="8" t="str">
        <f>IF(AT163="","",VLOOKUP('Reel 4 Symbol'!AT163,'Reel 4 Symbol'!$A$3:$E$25,5,0))</f>
        <v/>
      </c>
      <c r="AX163" s="8" t="str">
        <f>IF(AU163="","",VLOOKUP('Reel 4 Symbol'!AU163,'Reel 4 Symbol'!$A$3:$E$25,5,0))</f>
        <v/>
      </c>
      <c r="AZ163" s="8" t="str">
        <f t="shared" si="33"/>
        <v/>
      </c>
      <c r="BA163" s="8" t="str">
        <f t="shared" si="34"/>
        <v/>
      </c>
      <c r="BC163" s="27">
        <v>160</v>
      </c>
      <c r="BD163" s="8"/>
      <c r="BE163" s="8"/>
      <c r="BG163" s="8" t="str">
        <f>IF(BD163="","",VLOOKUP('Reel 4 Symbol'!BD163,'Reel 4 Symbol'!$A$3:$E$25,5,0))</f>
        <v/>
      </c>
      <c r="BH163" s="8" t="str">
        <f>IF(BE163="","",VLOOKUP('Reel 4 Symbol'!BE163,'Reel 4 Symbol'!$A$3:$E$25,5,0))</f>
        <v/>
      </c>
      <c r="BJ163" s="8" t="str">
        <f t="shared" si="35"/>
        <v/>
      </c>
      <c r="BK163" s="8" t="str">
        <f t="shared" si="36"/>
        <v/>
      </c>
    </row>
    <row r="164" spans="24:63" ht="16.8" customHeight="1">
      <c r="X164" s="133"/>
      <c r="Y164" s="27">
        <v>161</v>
      </c>
      <c r="Z164" s="8"/>
      <c r="AA164" s="8"/>
      <c r="AC164" s="8" t="str">
        <f>IF(Z164="","",VLOOKUP('Reel 4 Symbol'!Z164,'Reel 4 Symbol'!$A$3:$E$25,5,0))</f>
        <v/>
      </c>
      <c r="AD164" s="8" t="str">
        <f>IF(AA164="","",VLOOKUP('Reel 4 Symbol'!AA164,'Reel 4 Symbol'!$A$3:$E$25,5,0))</f>
        <v/>
      </c>
      <c r="AF164" s="8" t="str">
        <f t="shared" si="29"/>
        <v/>
      </c>
      <c r="AG164" s="8" t="str">
        <f t="shared" si="30"/>
        <v/>
      </c>
      <c r="AH164" s="133"/>
      <c r="AI164" s="27">
        <v>161</v>
      </c>
      <c r="AJ164" s="8"/>
      <c r="AK164" s="8"/>
      <c r="AM164" s="8" t="str">
        <f>IF(AJ164="","",VLOOKUP('Reel 4 Symbol'!AJ164,'Reel 4 Symbol'!$A$3:$E$25,5,0))</f>
        <v/>
      </c>
      <c r="AN164" s="8" t="str">
        <f>IF(AK164="","",VLOOKUP('Reel 4 Symbol'!AK164,'Reel 4 Symbol'!$A$3:$E$25,5,0))</f>
        <v/>
      </c>
      <c r="AP164" s="8" t="str">
        <f t="shared" si="31"/>
        <v/>
      </c>
      <c r="AQ164" s="8" t="str">
        <f t="shared" si="32"/>
        <v/>
      </c>
      <c r="AR164" s="133"/>
      <c r="AS164" s="27">
        <v>161</v>
      </c>
      <c r="AT164" s="8"/>
      <c r="AU164" s="8"/>
      <c r="AW164" s="8" t="str">
        <f>IF(AT164="","",VLOOKUP('Reel 4 Symbol'!AT164,'Reel 4 Symbol'!$A$3:$E$25,5,0))</f>
        <v/>
      </c>
      <c r="AX164" s="8" t="str">
        <f>IF(AU164="","",VLOOKUP('Reel 4 Symbol'!AU164,'Reel 4 Symbol'!$A$3:$E$25,5,0))</f>
        <v/>
      </c>
      <c r="AZ164" s="8" t="str">
        <f t="shared" si="33"/>
        <v/>
      </c>
      <c r="BA164" s="8" t="str">
        <f t="shared" si="34"/>
        <v/>
      </c>
      <c r="BC164" s="27">
        <v>161</v>
      </c>
      <c r="BD164" s="8"/>
      <c r="BE164" s="8"/>
      <c r="BG164" s="8" t="str">
        <f>IF(BD164="","",VLOOKUP('Reel 4 Symbol'!BD164,'Reel 4 Symbol'!$A$3:$E$25,5,0))</f>
        <v/>
      </c>
      <c r="BH164" s="8" t="str">
        <f>IF(BE164="","",VLOOKUP('Reel 4 Symbol'!BE164,'Reel 4 Symbol'!$A$3:$E$25,5,0))</f>
        <v/>
      </c>
      <c r="BJ164" s="8" t="str">
        <f t="shared" si="35"/>
        <v/>
      </c>
      <c r="BK164" s="8" t="str">
        <f t="shared" si="36"/>
        <v/>
      </c>
    </row>
    <row r="165" spans="24:63" ht="16.8" customHeight="1">
      <c r="X165" s="133"/>
      <c r="Y165" s="27">
        <v>162</v>
      </c>
      <c r="Z165" s="8"/>
      <c r="AA165" s="8"/>
      <c r="AC165" s="8" t="str">
        <f>IF(Z165="","",VLOOKUP('Reel 4 Symbol'!Z165,'Reel 4 Symbol'!$A$3:$E$25,5,0))</f>
        <v/>
      </c>
      <c r="AD165" s="8" t="str">
        <f>IF(AA165="","",VLOOKUP('Reel 4 Symbol'!AA165,'Reel 4 Symbol'!$A$3:$E$25,5,0))</f>
        <v/>
      </c>
      <c r="AF165" s="8" t="str">
        <f t="shared" si="29"/>
        <v/>
      </c>
      <c r="AG165" s="8" t="str">
        <f t="shared" si="30"/>
        <v/>
      </c>
      <c r="AH165" s="133"/>
      <c r="AI165" s="27">
        <v>162</v>
      </c>
      <c r="AJ165" s="8"/>
      <c r="AK165" s="8"/>
      <c r="AM165" s="8" t="str">
        <f>IF(AJ165="","",VLOOKUP('Reel 4 Symbol'!AJ165,'Reel 4 Symbol'!$A$3:$E$25,5,0))</f>
        <v/>
      </c>
      <c r="AN165" s="8" t="str">
        <f>IF(AK165="","",VLOOKUP('Reel 4 Symbol'!AK165,'Reel 4 Symbol'!$A$3:$E$25,5,0))</f>
        <v/>
      </c>
      <c r="AP165" s="8" t="str">
        <f t="shared" si="31"/>
        <v/>
      </c>
      <c r="AQ165" s="8" t="str">
        <f t="shared" si="32"/>
        <v/>
      </c>
      <c r="AR165" s="133"/>
      <c r="AS165" s="27">
        <v>162</v>
      </c>
      <c r="AT165" s="8"/>
      <c r="AU165" s="8"/>
      <c r="AW165" s="8" t="str">
        <f>IF(AT165="","",VLOOKUP('Reel 4 Symbol'!AT165,'Reel 4 Symbol'!$A$3:$E$25,5,0))</f>
        <v/>
      </c>
      <c r="AX165" s="8" t="str">
        <f>IF(AU165="","",VLOOKUP('Reel 4 Symbol'!AU165,'Reel 4 Symbol'!$A$3:$E$25,5,0))</f>
        <v/>
      </c>
      <c r="AZ165" s="8" t="str">
        <f t="shared" si="33"/>
        <v/>
      </c>
      <c r="BA165" s="8" t="str">
        <f t="shared" si="34"/>
        <v/>
      </c>
      <c r="BC165" s="27">
        <v>162</v>
      </c>
      <c r="BD165" s="8"/>
      <c r="BE165" s="8"/>
      <c r="BG165" s="8" t="str">
        <f>IF(BD165="","",VLOOKUP('Reel 4 Symbol'!BD165,'Reel 4 Symbol'!$A$3:$E$25,5,0))</f>
        <v/>
      </c>
      <c r="BH165" s="8" t="str">
        <f>IF(BE165="","",VLOOKUP('Reel 4 Symbol'!BE165,'Reel 4 Symbol'!$A$3:$E$25,5,0))</f>
        <v/>
      </c>
      <c r="BJ165" s="8" t="str">
        <f t="shared" si="35"/>
        <v/>
      </c>
      <c r="BK165" s="8" t="str">
        <f t="shared" si="36"/>
        <v/>
      </c>
    </row>
    <row r="166" spans="24:63" ht="16.8" customHeight="1">
      <c r="X166" s="133"/>
      <c r="Y166" s="27">
        <v>163</v>
      </c>
      <c r="Z166" s="8"/>
      <c r="AA166" s="8"/>
      <c r="AC166" s="8" t="str">
        <f>IF(Z166="","",VLOOKUP('Reel 4 Symbol'!Z166,'Reel 4 Symbol'!$A$3:$E$25,5,0))</f>
        <v/>
      </c>
      <c r="AD166" s="8" t="str">
        <f>IF(AA166="","",VLOOKUP('Reel 4 Symbol'!AA166,'Reel 4 Symbol'!$A$3:$E$25,5,0))</f>
        <v/>
      </c>
      <c r="AF166" s="8" t="str">
        <f t="shared" si="29"/>
        <v/>
      </c>
      <c r="AG166" s="8" t="str">
        <f t="shared" si="30"/>
        <v/>
      </c>
      <c r="AH166" s="133"/>
      <c r="AI166" s="27">
        <v>163</v>
      </c>
      <c r="AJ166" s="8"/>
      <c r="AK166" s="8"/>
      <c r="AM166" s="8" t="str">
        <f>IF(AJ166="","",VLOOKUP('Reel 4 Symbol'!AJ166,'Reel 4 Symbol'!$A$3:$E$25,5,0))</f>
        <v/>
      </c>
      <c r="AN166" s="8" t="str">
        <f>IF(AK166="","",VLOOKUP('Reel 4 Symbol'!AK166,'Reel 4 Symbol'!$A$3:$E$25,5,0))</f>
        <v/>
      </c>
      <c r="AP166" s="8" t="str">
        <f t="shared" si="31"/>
        <v/>
      </c>
      <c r="AQ166" s="8" t="str">
        <f t="shared" si="32"/>
        <v/>
      </c>
      <c r="AR166" s="133"/>
      <c r="AS166" s="27">
        <v>163</v>
      </c>
      <c r="AT166" s="8"/>
      <c r="AU166" s="8"/>
      <c r="AW166" s="8" t="str">
        <f>IF(AT166="","",VLOOKUP('Reel 4 Symbol'!AT166,'Reel 4 Symbol'!$A$3:$E$25,5,0))</f>
        <v/>
      </c>
      <c r="AX166" s="8" t="str">
        <f>IF(AU166="","",VLOOKUP('Reel 4 Symbol'!AU166,'Reel 4 Symbol'!$A$3:$E$25,5,0))</f>
        <v/>
      </c>
      <c r="AZ166" s="8" t="str">
        <f t="shared" si="33"/>
        <v/>
      </c>
      <c r="BA166" s="8" t="str">
        <f t="shared" si="34"/>
        <v/>
      </c>
      <c r="BC166" s="27">
        <v>163</v>
      </c>
      <c r="BD166" s="8"/>
      <c r="BE166" s="8"/>
      <c r="BG166" s="8" t="str">
        <f>IF(BD166="","",VLOOKUP('Reel 4 Symbol'!BD166,'Reel 4 Symbol'!$A$3:$E$25,5,0))</f>
        <v/>
      </c>
      <c r="BH166" s="8" t="str">
        <f>IF(BE166="","",VLOOKUP('Reel 4 Symbol'!BE166,'Reel 4 Symbol'!$A$3:$E$25,5,0))</f>
        <v/>
      </c>
      <c r="BJ166" s="8" t="str">
        <f t="shared" si="35"/>
        <v/>
      </c>
      <c r="BK166" s="8" t="str">
        <f t="shared" si="36"/>
        <v/>
      </c>
    </row>
    <row r="167" spans="24:63" ht="16.8" customHeight="1">
      <c r="X167" s="133"/>
      <c r="Y167" s="27">
        <v>164</v>
      </c>
      <c r="Z167" s="8"/>
      <c r="AA167" s="8"/>
      <c r="AC167" s="8" t="str">
        <f>IF(Z167="","",VLOOKUP('Reel 4 Symbol'!Z167,'Reel 4 Symbol'!$A$3:$E$25,5,0))</f>
        <v/>
      </c>
      <c r="AD167" s="8" t="str">
        <f>IF(AA167="","",VLOOKUP('Reel 4 Symbol'!AA167,'Reel 4 Symbol'!$A$3:$E$25,5,0))</f>
        <v/>
      </c>
      <c r="AF167" s="8" t="str">
        <f t="shared" si="29"/>
        <v/>
      </c>
      <c r="AG167" s="8" t="str">
        <f t="shared" si="30"/>
        <v/>
      </c>
      <c r="AH167" s="133"/>
      <c r="AI167" s="27">
        <v>164</v>
      </c>
      <c r="AJ167" s="8"/>
      <c r="AK167" s="8"/>
      <c r="AM167" s="8" t="str">
        <f>IF(AJ167="","",VLOOKUP('Reel 4 Symbol'!AJ167,'Reel 4 Symbol'!$A$3:$E$25,5,0))</f>
        <v/>
      </c>
      <c r="AN167" s="8" t="str">
        <f>IF(AK167="","",VLOOKUP('Reel 4 Symbol'!AK167,'Reel 4 Symbol'!$A$3:$E$25,5,0))</f>
        <v/>
      </c>
      <c r="AP167" s="8" t="str">
        <f t="shared" si="31"/>
        <v/>
      </c>
      <c r="AQ167" s="8" t="str">
        <f t="shared" si="32"/>
        <v/>
      </c>
      <c r="AR167" s="133"/>
      <c r="AS167" s="27">
        <v>164</v>
      </c>
      <c r="AT167" s="8"/>
      <c r="AU167" s="8"/>
      <c r="AW167" s="8" t="str">
        <f>IF(AT167="","",VLOOKUP('Reel 4 Symbol'!AT167,'Reel 4 Symbol'!$A$3:$E$25,5,0))</f>
        <v/>
      </c>
      <c r="AX167" s="8" t="str">
        <f>IF(AU167="","",VLOOKUP('Reel 4 Symbol'!AU167,'Reel 4 Symbol'!$A$3:$E$25,5,0))</f>
        <v/>
      </c>
      <c r="AZ167" s="8" t="str">
        <f t="shared" si="33"/>
        <v/>
      </c>
      <c r="BA167" s="8" t="str">
        <f t="shared" si="34"/>
        <v/>
      </c>
      <c r="BC167" s="27">
        <v>164</v>
      </c>
      <c r="BD167" s="8"/>
      <c r="BE167" s="8"/>
      <c r="BG167" s="8" t="str">
        <f>IF(BD167="","",VLOOKUP('Reel 4 Symbol'!BD167,'Reel 4 Symbol'!$A$3:$E$25,5,0))</f>
        <v/>
      </c>
      <c r="BH167" s="8" t="str">
        <f>IF(BE167="","",VLOOKUP('Reel 4 Symbol'!BE167,'Reel 4 Symbol'!$A$3:$E$25,5,0))</f>
        <v/>
      </c>
      <c r="BJ167" s="8" t="str">
        <f t="shared" si="35"/>
        <v/>
      </c>
      <c r="BK167" s="8" t="str">
        <f t="shared" si="36"/>
        <v/>
      </c>
    </row>
    <row r="168" spans="24:63" ht="16.8" customHeight="1">
      <c r="X168" s="133"/>
      <c r="Y168" s="27">
        <v>165</v>
      </c>
      <c r="Z168" s="8"/>
      <c r="AA168" s="8"/>
      <c r="AC168" s="8" t="str">
        <f>IF(Z168="","",VLOOKUP('Reel 4 Symbol'!Z168,'Reel 4 Symbol'!$A$3:$E$25,5,0))</f>
        <v/>
      </c>
      <c r="AD168" s="8" t="str">
        <f>IF(AA168="","",VLOOKUP('Reel 4 Symbol'!AA168,'Reel 4 Symbol'!$A$3:$E$25,5,0))</f>
        <v/>
      </c>
      <c r="AF168" s="8" t="str">
        <f t="shared" si="29"/>
        <v/>
      </c>
      <c r="AG168" s="8" t="str">
        <f t="shared" si="30"/>
        <v/>
      </c>
      <c r="AH168" s="133"/>
      <c r="AI168" s="27">
        <v>165</v>
      </c>
      <c r="AJ168" s="8"/>
      <c r="AK168" s="8"/>
      <c r="AM168" s="8" t="str">
        <f>IF(AJ168="","",VLOOKUP('Reel 4 Symbol'!AJ168,'Reel 4 Symbol'!$A$3:$E$25,5,0))</f>
        <v/>
      </c>
      <c r="AN168" s="8" t="str">
        <f>IF(AK168="","",VLOOKUP('Reel 4 Symbol'!AK168,'Reel 4 Symbol'!$A$3:$E$25,5,0))</f>
        <v/>
      </c>
      <c r="AP168" s="8" t="str">
        <f t="shared" si="31"/>
        <v/>
      </c>
      <c r="AQ168" s="8" t="str">
        <f t="shared" si="32"/>
        <v/>
      </c>
      <c r="AR168" s="133"/>
      <c r="AS168" s="27">
        <v>165</v>
      </c>
      <c r="AT168" s="8"/>
      <c r="AU168" s="8"/>
      <c r="AW168" s="8" t="str">
        <f>IF(AT168="","",VLOOKUP('Reel 4 Symbol'!AT168,'Reel 4 Symbol'!$A$3:$E$25,5,0))</f>
        <v/>
      </c>
      <c r="AX168" s="8" t="str">
        <f>IF(AU168="","",VLOOKUP('Reel 4 Symbol'!AU168,'Reel 4 Symbol'!$A$3:$E$25,5,0))</f>
        <v/>
      </c>
      <c r="AZ168" s="8" t="str">
        <f t="shared" si="33"/>
        <v/>
      </c>
      <c r="BA168" s="8" t="str">
        <f t="shared" si="34"/>
        <v/>
      </c>
      <c r="BC168" s="27">
        <v>165</v>
      </c>
      <c r="BD168" s="8"/>
      <c r="BE168" s="8"/>
      <c r="BG168" s="8" t="str">
        <f>IF(BD168="","",VLOOKUP('Reel 4 Symbol'!BD168,'Reel 4 Symbol'!$A$3:$E$25,5,0))</f>
        <v/>
      </c>
      <c r="BH168" s="8" t="str">
        <f>IF(BE168="","",VLOOKUP('Reel 4 Symbol'!BE168,'Reel 4 Symbol'!$A$3:$E$25,5,0))</f>
        <v/>
      </c>
      <c r="BJ168" s="8" t="str">
        <f t="shared" si="35"/>
        <v/>
      </c>
      <c r="BK168" s="8" t="str">
        <f t="shared" si="36"/>
        <v/>
      </c>
    </row>
    <row r="169" spans="24:63" ht="16.8" customHeight="1">
      <c r="X169" s="133"/>
      <c r="Y169" s="27">
        <v>166</v>
      </c>
      <c r="Z169" s="8"/>
      <c r="AA169" s="8"/>
      <c r="AC169" s="8" t="str">
        <f>IF(Z169="","",VLOOKUP('Reel 4 Symbol'!Z169,'Reel 4 Symbol'!$A$3:$E$25,5,0))</f>
        <v/>
      </c>
      <c r="AD169" s="8" t="str">
        <f>IF(AA169="","",VLOOKUP('Reel 4 Symbol'!AA169,'Reel 4 Symbol'!$A$3:$E$25,5,0))</f>
        <v/>
      </c>
      <c r="AF169" s="8" t="str">
        <f t="shared" si="29"/>
        <v/>
      </c>
      <c r="AG169" s="8" t="str">
        <f t="shared" si="30"/>
        <v/>
      </c>
      <c r="AH169" s="133"/>
      <c r="AI169" s="27">
        <v>166</v>
      </c>
      <c r="AJ169" s="8"/>
      <c r="AK169" s="8"/>
      <c r="AM169" s="8" t="str">
        <f>IF(AJ169="","",VLOOKUP('Reel 4 Symbol'!AJ169,'Reel 4 Symbol'!$A$3:$E$25,5,0))</f>
        <v/>
      </c>
      <c r="AN169" s="8" t="str">
        <f>IF(AK169="","",VLOOKUP('Reel 4 Symbol'!AK169,'Reel 4 Symbol'!$A$3:$E$25,5,0))</f>
        <v/>
      </c>
      <c r="AP169" s="8" t="str">
        <f t="shared" si="31"/>
        <v/>
      </c>
      <c r="AQ169" s="8" t="str">
        <f t="shared" si="32"/>
        <v/>
      </c>
      <c r="AR169" s="133"/>
      <c r="AS169" s="27">
        <v>166</v>
      </c>
      <c r="AT169" s="8"/>
      <c r="AU169" s="8"/>
      <c r="AW169" s="8" t="str">
        <f>IF(AT169="","",VLOOKUP('Reel 4 Symbol'!AT169,'Reel 4 Symbol'!$A$3:$E$25,5,0))</f>
        <v/>
      </c>
      <c r="AX169" s="8" t="str">
        <f>IF(AU169="","",VLOOKUP('Reel 4 Symbol'!AU169,'Reel 4 Symbol'!$A$3:$E$25,5,0))</f>
        <v/>
      </c>
      <c r="AZ169" s="8" t="str">
        <f t="shared" si="33"/>
        <v/>
      </c>
      <c r="BA169" s="8" t="str">
        <f t="shared" si="34"/>
        <v/>
      </c>
      <c r="BC169" s="27">
        <v>166</v>
      </c>
      <c r="BD169" s="8"/>
      <c r="BE169" s="8"/>
      <c r="BG169" s="8" t="str">
        <f>IF(BD169="","",VLOOKUP('Reel 4 Symbol'!BD169,'Reel 4 Symbol'!$A$3:$E$25,5,0))</f>
        <v/>
      </c>
      <c r="BH169" s="8" t="str">
        <f>IF(BE169="","",VLOOKUP('Reel 4 Symbol'!BE169,'Reel 4 Symbol'!$A$3:$E$25,5,0))</f>
        <v/>
      </c>
      <c r="BJ169" s="8" t="str">
        <f t="shared" si="35"/>
        <v/>
      </c>
      <c r="BK169" s="8" t="str">
        <f t="shared" si="36"/>
        <v/>
      </c>
    </row>
    <row r="170" spans="24:63" ht="16.8" customHeight="1">
      <c r="X170" s="133"/>
      <c r="Y170" s="27">
        <v>167</v>
      </c>
      <c r="Z170" s="8"/>
      <c r="AA170" s="8"/>
      <c r="AC170" s="8" t="str">
        <f>IF(Z170="","",VLOOKUP('Reel 4 Symbol'!Z170,'Reel 4 Symbol'!$A$3:$E$25,5,0))</f>
        <v/>
      </c>
      <c r="AD170" s="8" t="str">
        <f>IF(AA170="","",VLOOKUP('Reel 4 Symbol'!AA170,'Reel 4 Symbol'!$A$3:$E$25,5,0))</f>
        <v/>
      </c>
      <c r="AF170" s="8" t="str">
        <f t="shared" si="29"/>
        <v/>
      </c>
      <c r="AG170" s="8" t="str">
        <f t="shared" si="30"/>
        <v/>
      </c>
      <c r="AH170" s="133"/>
      <c r="AI170" s="27">
        <v>167</v>
      </c>
      <c r="AJ170" s="8"/>
      <c r="AK170" s="8"/>
      <c r="AM170" s="8" t="str">
        <f>IF(AJ170="","",VLOOKUP('Reel 4 Symbol'!AJ170,'Reel 4 Symbol'!$A$3:$E$25,5,0))</f>
        <v/>
      </c>
      <c r="AN170" s="8" t="str">
        <f>IF(AK170="","",VLOOKUP('Reel 4 Symbol'!AK170,'Reel 4 Symbol'!$A$3:$E$25,5,0))</f>
        <v/>
      </c>
      <c r="AP170" s="8" t="str">
        <f t="shared" si="31"/>
        <v/>
      </c>
      <c r="AQ170" s="8" t="str">
        <f t="shared" si="32"/>
        <v/>
      </c>
      <c r="AR170" s="133"/>
      <c r="AS170" s="27">
        <v>167</v>
      </c>
      <c r="AT170" s="8"/>
      <c r="AU170" s="8"/>
      <c r="AW170" s="8" t="str">
        <f>IF(AT170="","",VLOOKUP('Reel 4 Symbol'!AT170,'Reel 4 Symbol'!$A$3:$E$25,5,0))</f>
        <v/>
      </c>
      <c r="AX170" s="8" t="str">
        <f>IF(AU170="","",VLOOKUP('Reel 4 Symbol'!AU170,'Reel 4 Symbol'!$A$3:$E$25,5,0))</f>
        <v/>
      </c>
      <c r="AZ170" s="8" t="str">
        <f t="shared" si="33"/>
        <v/>
      </c>
      <c r="BA170" s="8" t="str">
        <f t="shared" si="34"/>
        <v/>
      </c>
      <c r="BC170" s="27">
        <v>167</v>
      </c>
      <c r="BD170" s="8"/>
      <c r="BE170" s="8"/>
      <c r="BG170" s="8" t="str">
        <f>IF(BD170="","",VLOOKUP('Reel 4 Symbol'!BD170,'Reel 4 Symbol'!$A$3:$E$25,5,0))</f>
        <v/>
      </c>
      <c r="BH170" s="8" t="str">
        <f>IF(BE170="","",VLOOKUP('Reel 4 Symbol'!BE170,'Reel 4 Symbol'!$A$3:$E$25,5,0))</f>
        <v/>
      </c>
      <c r="BJ170" s="8" t="str">
        <f t="shared" si="35"/>
        <v/>
      </c>
      <c r="BK170" s="8" t="str">
        <f t="shared" si="36"/>
        <v/>
      </c>
    </row>
    <row r="171" spans="24:63" ht="16.8" customHeight="1">
      <c r="X171" s="133"/>
      <c r="Y171" s="27">
        <v>168</v>
      </c>
      <c r="Z171" s="8"/>
      <c r="AA171" s="8"/>
      <c r="AC171" s="8" t="str">
        <f>IF(Z171="","",VLOOKUP('Reel 4 Symbol'!Z171,'Reel 4 Symbol'!$A$3:$E$25,5,0))</f>
        <v/>
      </c>
      <c r="AD171" s="8" t="str">
        <f>IF(AA171="","",VLOOKUP('Reel 4 Symbol'!AA171,'Reel 4 Symbol'!$A$3:$E$25,5,0))</f>
        <v/>
      </c>
      <c r="AF171" s="8" t="str">
        <f t="shared" si="29"/>
        <v/>
      </c>
      <c r="AG171" s="8" t="str">
        <f t="shared" si="30"/>
        <v/>
      </c>
      <c r="AH171" s="133"/>
      <c r="AI171" s="27">
        <v>168</v>
      </c>
      <c r="AJ171" s="8"/>
      <c r="AK171" s="8"/>
      <c r="AM171" s="8" t="str">
        <f>IF(AJ171="","",VLOOKUP('Reel 4 Symbol'!AJ171,'Reel 4 Symbol'!$A$3:$E$25,5,0))</f>
        <v/>
      </c>
      <c r="AN171" s="8" t="str">
        <f>IF(AK171="","",VLOOKUP('Reel 4 Symbol'!AK171,'Reel 4 Symbol'!$A$3:$E$25,5,0))</f>
        <v/>
      </c>
      <c r="AP171" s="8" t="str">
        <f t="shared" si="31"/>
        <v/>
      </c>
      <c r="AQ171" s="8" t="str">
        <f t="shared" si="32"/>
        <v/>
      </c>
      <c r="AR171" s="133"/>
      <c r="AS171" s="27">
        <v>168</v>
      </c>
      <c r="AT171" s="8"/>
      <c r="AU171" s="8"/>
      <c r="AW171" s="8" t="str">
        <f>IF(AT171="","",VLOOKUP('Reel 4 Symbol'!AT171,'Reel 4 Symbol'!$A$3:$E$25,5,0))</f>
        <v/>
      </c>
      <c r="AX171" s="8" t="str">
        <f>IF(AU171="","",VLOOKUP('Reel 4 Symbol'!AU171,'Reel 4 Symbol'!$A$3:$E$25,5,0))</f>
        <v/>
      </c>
      <c r="AZ171" s="8" t="str">
        <f t="shared" si="33"/>
        <v/>
      </c>
      <c r="BA171" s="8" t="str">
        <f t="shared" si="34"/>
        <v/>
      </c>
      <c r="BC171" s="27">
        <v>168</v>
      </c>
      <c r="BD171" s="8"/>
      <c r="BE171" s="8"/>
      <c r="BG171" s="8" t="str">
        <f>IF(BD171="","",VLOOKUP('Reel 4 Symbol'!BD171,'Reel 4 Symbol'!$A$3:$E$25,5,0))</f>
        <v/>
      </c>
      <c r="BH171" s="8" t="str">
        <f>IF(BE171="","",VLOOKUP('Reel 4 Symbol'!BE171,'Reel 4 Symbol'!$A$3:$E$25,5,0))</f>
        <v/>
      </c>
      <c r="BJ171" s="8" t="str">
        <f t="shared" si="35"/>
        <v/>
      </c>
      <c r="BK171" s="8" t="str">
        <f t="shared" si="36"/>
        <v/>
      </c>
    </row>
    <row r="172" spans="24:63" ht="16.8" customHeight="1">
      <c r="X172" s="133"/>
      <c r="Y172" s="27">
        <v>169</v>
      </c>
      <c r="Z172" s="8"/>
      <c r="AA172" s="8"/>
      <c r="AC172" s="8" t="str">
        <f>IF(Z172="","",VLOOKUP('Reel 4 Symbol'!Z172,'Reel 4 Symbol'!$A$3:$E$25,5,0))</f>
        <v/>
      </c>
      <c r="AD172" s="8" t="str">
        <f>IF(AA172="","",VLOOKUP('Reel 4 Symbol'!AA172,'Reel 4 Symbol'!$A$3:$E$25,5,0))</f>
        <v/>
      </c>
      <c r="AF172" s="8" t="str">
        <f t="shared" si="29"/>
        <v/>
      </c>
      <c r="AG172" s="8" t="str">
        <f t="shared" si="30"/>
        <v/>
      </c>
      <c r="AH172" s="133"/>
      <c r="AI172" s="27">
        <v>169</v>
      </c>
      <c r="AJ172" s="8"/>
      <c r="AK172" s="8"/>
      <c r="AM172" s="8" t="str">
        <f>IF(AJ172="","",VLOOKUP('Reel 4 Symbol'!AJ172,'Reel 4 Symbol'!$A$3:$E$25,5,0))</f>
        <v/>
      </c>
      <c r="AN172" s="8" t="str">
        <f>IF(AK172="","",VLOOKUP('Reel 4 Symbol'!AK172,'Reel 4 Symbol'!$A$3:$E$25,5,0))</f>
        <v/>
      </c>
      <c r="AP172" s="8" t="str">
        <f t="shared" si="31"/>
        <v/>
      </c>
      <c r="AQ172" s="8" t="str">
        <f t="shared" si="32"/>
        <v/>
      </c>
      <c r="AR172" s="133"/>
      <c r="AS172" s="27">
        <v>169</v>
      </c>
      <c r="AT172" s="8"/>
      <c r="AU172" s="8"/>
      <c r="AW172" s="8" t="str">
        <f>IF(AT172="","",VLOOKUP('Reel 4 Symbol'!AT172,'Reel 4 Symbol'!$A$3:$E$25,5,0))</f>
        <v/>
      </c>
      <c r="AX172" s="8" t="str">
        <f>IF(AU172="","",VLOOKUP('Reel 4 Symbol'!AU172,'Reel 4 Symbol'!$A$3:$E$25,5,0))</f>
        <v/>
      </c>
      <c r="AZ172" s="8" t="str">
        <f t="shared" si="33"/>
        <v/>
      </c>
      <c r="BA172" s="8" t="str">
        <f t="shared" si="34"/>
        <v/>
      </c>
      <c r="BC172" s="27">
        <v>169</v>
      </c>
      <c r="BD172" s="8"/>
      <c r="BE172" s="8"/>
      <c r="BG172" s="8" t="str">
        <f>IF(BD172="","",VLOOKUP('Reel 4 Symbol'!BD172,'Reel 4 Symbol'!$A$3:$E$25,5,0))</f>
        <v/>
      </c>
      <c r="BH172" s="8" t="str">
        <f>IF(BE172="","",VLOOKUP('Reel 4 Symbol'!BE172,'Reel 4 Symbol'!$A$3:$E$25,5,0))</f>
        <v/>
      </c>
      <c r="BJ172" s="8" t="str">
        <f t="shared" si="35"/>
        <v/>
      </c>
      <c r="BK172" s="8" t="str">
        <f t="shared" si="36"/>
        <v/>
      </c>
    </row>
    <row r="173" spans="24:63" ht="16.8" customHeight="1">
      <c r="X173" s="133"/>
      <c r="Y173" s="27">
        <v>170</v>
      </c>
      <c r="Z173" s="8"/>
      <c r="AA173" s="8"/>
      <c r="AC173" s="8" t="str">
        <f>IF(Z173="","",VLOOKUP('Reel 4 Symbol'!Z173,'Reel 4 Symbol'!$A$3:$E$25,5,0))</f>
        <v/>
      </c>
      <c r="AD173" s="8" t="str">
        <f>IF(AA173="","",VLOOKUP('Reel 4 Symbol'!AA173,'Reel 4 Symbol'!$A$3:$E$25,5,0))</f>
        <v/>
      </c>
      <c r="AF173" s="8" t="str">
        <f t="shared" si="29"/>
        <v/>
      </c>
      <c r="AG173" s="8" t="str">
        <f t="shared" si="30"/>
        <v/>
      </c>
      <c r="AH173" s="133"/>
      <c r="AI173" s="27">
        <v>170</v>
      </c>
      <c r="AJ173" s="8"/>
      <c r="AK173" s="8"/>
      <c r="AM173" s="8" t="str">
        <f>IF(AJ173="","",VLOOKUP('Reel 4 Symbol'!AJ173,'Reel 4 Symbol'!$A$3:$E$25,5,0))</f>
        <v/>
      </c>
      <c r="AN173" s="8" t="str">
        <f>IF(AK173="","",VLOOKUP('Reel 4 Symbol'!AK173,'Reel 4 Symbol'!$A$3:$E$25,5,0))</f>
        <v/>
      </c>
      <c r="AP173" s="8" t="str">
        <f t="shared" si="31"/>
        <v/>
      </c>
      <c r="AQ173" s="8" t="str">
        <f t="shared" si="32"/>
        <v/>
      </c>
      <c r="AR173" s="133"/>
      <c r="AS173" s="27">
        <v>170</v>
      </c>
      <c r="AT173" s="8"/>
      <c r="AU173" s="8"/>
      <c r="AW173" s="8" t="str">
        <f>IF(AT173="","",VLOOKUP('Reel 4 Symbol'!AT173,'Reel 4 Symbol'!$A$3:$E$25,5,0))</f>
        <v/>
      </c>
      <c r="AX173" s="8" t="str">
        <f>IF(AU173="","",VLOOKUP('Reel 4 Symbol'!AU173,'Reel 4 Symbol'!$A$3:$E$25,5,0))</f>
        <v/>
      </c>
      <c r="AZ173" s="8" t="str">
        <f t="shared" si="33"/>
        <v/>
      </c>
      <c r="BA173" s="8" t="str">
        <f t="shared" si="34"/>
        <v/>
      </c>
      <c r="BC173" s="27">
        <v>170</v>
      </c>
      <c r="BD173" s="8"/>
      <c r="BE173" s="8"/>
      <c r="BG173" s="8" t="str">
        <f>IF(BD173="","",VLOOKUP('Reel 4 Symbol'!BD173,'Reel 4 Symbol'!$A$3:$E$25,5,0))</f>
        <v/>
      </c>
      <c r="BH173" s="8" t="str">
        <f>IF(BE173="","",VLOOKUP('Reel 4 Symbol'!BE173,'Reel 4 Symbol'!$A$3:$E$25,5,0))</f>
        <v/>
      </c>
      <c r="BJ173" s="8" t="str">
        <f t="shared" si="35"/>
        <v/>
      </c>
      <c r="BK173" s="8" t="str">
        <f t="shared" si="36"/>
        <v/>
      </c>
    </row>
    <row r="174" spans="24:63" ht="16.8" customHeight="1">
      <c r="X174" s="133"/>
      <c r="Y174" s="27">
        <v>171</v>
      </c>
      <c r="Z174" s="8"/>
      <c r="AA174" s="8"/>
      <c r="AC174" s="8" t="str">
        <f>IF(Z174="","",VLOOKUP('Reel 4 Symbol'!Z174,'Reel 4 Symbol'!$A$3:$E$25,5,0))</f>
        <v/>
      </c>
      <c r="AD174" s="8" t="str">
        <f>IF(AA174="","",VLOOKUP('Reel 4 Symbol'!AA174,'Reel 4 Symbol'!$A$3:$E$25,5,0))</f>
        <v/>
      </c>
      <c r="AF174" s="8" t="str">
        <f t="shared" si="29"/>
        <v/>
      </c>
      <c r="AG174" s="8" t="str">
        <f t="shared" si="30"/>
        <v/>
      </c>
      <c r="AH174" s="133"/>
      <c r="AI174" s="27">
        <v>171</v>
      </c>
      <c r="AJ174" s="8"/>
      <c r="AK174" s="8"/>
      <c r="AM174" s="8" t="str">
        <f>IF(AJ174="","",VLOOKUP('Reel 4 Symbol'!AJ174,'Reel 4 Symbol'!$A$3:$E$25,5,0))</f>
        <v/>
      </c>
      <c r="AN174" s="8" t="str">
        <f>IF(AK174="","",VLOOKUP('Reel 4 Symbol'!AK174,'Reel 4 Symbol'!$A$3:$E$25,5,0))</f>
        <v/>
      </c>
      <c r="AP174" s="8" t="str">
        <f t="shared" si="31"/>
        <v/>
      </c>
      <c r="AQ174" s="8" t="str">
        <f t="shared" si="32"/>
        <v/>
      </c>
      <c r="AR174" s="133"/>
      <c r="AS174" s="27">
        <v>171</v>
      </c>
      <c r="AT174" s="8"/>
      <c r="AU174" s="8"/>
      <c r="AW174" s="8" t="str">
        <f>IF(AT174="","",VLOOKUP('Reel 4 Symbol'!AT174,'Reel 4 Symbol'!$A$3:$E$25,5,0))</f>
        <v/>
      </c>
      <c r="AX174" s="8" t="str">
        <f>IF(AU174="","",VLOOKUP('Reel 4 Symbol'!AU174,'Reel 4 Symbol'!$A$3:$E$25,5,0))</f>
        <v/>
      </c>
      <c r="AZ174" s="8" t="str">
        <f t="shared" si="33"/>
        <v/>
      </c>
      <c r="BA174" s="8" t="str">
        <f t="shared" si="34"/>
        <v/>
      </c>
      <c r="BC174" s="27">
        <v>171</v>
      </c>
      <c r="BD174" s="8"/>
      <c r="BE174" s="8"/>
      <c r="BG174" s="8" t="str">
        <f>IF(BD174="","",VLOOKUP('Reel 4 Symbol'!BD174,'Reel 4 Symbol'!$A$3:$E$25,5,0))</f>
        <v/>
      </c>
      <c r="BH174" s="8" t="str">
        <f>IF(BE174="","",VLOOKUP('Reel 4 Symbol'!BE174,'Reel 4 Symbol'!$A$3:$E$25,5,0))</f>
        <v/>
      </c>
      <c r="BJ174" s="8" t="str">
        <f t="shared" si="35"/>
        <v/>
      </c>
      <c r="BK174" s="8" t="str">
        <f t="shared" si="36"/>
        <v/>
      </c>
    </row>
    <row r="175" spans="24:63" ht="16.8" customHeight="1">
      <c r="X175" s="133"/>
      <c r="Y175" s="27">
        <v>172</v>
      </c>
      <c r="Z175" s="8"/>
      <c r="AA175" s="8"/>
      <c r="AC175" s="8" t="str">
        <f>IF(Z175="","",VLOOKUP('Reel 4 Symbol'!Z175,'Reel 4 Symbol'!$A$3:$E$25,5,0))</f>
        <v/>
      </c>
      <c r="AD175" s="8" t="str">
        <f>IF(AA175="","",VLOOKUP('Reel 4 Symbol'!AA175,'Reel 4 Symbol'!$A$3:$E$25,5,0))</f>
        <v/>
      </c>
      <c r="AF175" s="8" t="str">
        <f t="shared" si="29"/>
        <v/>
      </c>
      <c r="AG175" s="8" t="str">
        <f t="shared" si="30"/>
        <v/>
      </c>
      <c r="AH175" s="133"/>
      <c r="AI175" s="27">
        <v>172</v>
      </c>
      <c r="AJ175" s="8"/>
      <c r="AK175" s="8"/>
      <c r="AM175" s="8" t="str">
        <f>IF(AJ175="","",VLOOKUP('Reel 4 Symbol'!AJ175,'Reel 4 Symbol'!$A$3:$E$25,5,0))</f>
        <v/>
      </c>
      <c r="AN175" s="8" t="str">
        <f>IF(AK175="","",VLOOKUP('Reel 4 Symbol'!AK175,'Reel 4 Symbol'!$A$3:$E$25,5,0))</f>
        <v/>
      </c>
      <c r="AP175" s="8" t="str">
        <f t="shared" si="31"/>
        <v/>
      </c>
      <c r="AQ175" s="8" t="str">
        <f t="shared" si="32"/>
        <v/>
      </c>
      <c r="AR175" s="133"/>
      <c r="AS175" s="27">
        <v>172</v>
      </c>
      <c r="AT175" s="8"/>
      <c r="AU175" s="8"/>
      <c r="AW175" s="8" t="str">
        <f>IF(AT175="","",VLOOKUP('Reel 4 Symbol'!AT175,'Reel 4 Symbol'!$A$3:$E$25,5,0))</f>
        <v/>
      </c>
      <c r="AX175" s="8" t="str">
        <f>IF(AU175="","",VLOOKUP('Reel 4 Symbol'!AU175,'Reel 4 Symbol'!$A$3:$E$25,5,0))</f>
        <v/>
      </c>
      <c r="AZ175" s="8" t="str">
        <f t="shared" si="33"/>
        <v/>
      </c>
      <c r="BA175" s="8" t="str">
        <f t="shared" si="34"/>
        <v/>
      </c>
      <c r="BC175" s="27">
        <v>172</v>
      </c>
      <c r="BD175" s="8"/>
      <c r="BE175" s="8"/>
      <c r="BG175" s="8" t="str">
        <f>IF(BD175="","",VLOOKUP('Reel 4 Symbol'!BD175,'Reel 4 Symbol'!$A$3:$E$25,5,0))</f>
        <v/>
      </c>
      <c r="BH175" s="8" t="str">
        <f>IF(BE175="","",VLOOKUP('Reel 4 Symbol'!BE175,'Reel 4 Symbol'!$A$3:$E$25,5,0))</f>
        <v/>
      </c>
      <c r="BJ175" s="8" t="str">
        <f t="shared" si="35"/>
        <v/>
      </c>
      <c r="BK175" s="8" t="str">
        <f t="shared" si="36"/>
        <v/>
      </c>
    </row>
    <row r="176" spans="24:63" ht="16.8" customHeight="1">
      <c r="X176" s="133"/>
      <c r="Y176" s="27">
        <v>173</v>
      </c>
      <c r="Z176" s="8"/>
      <c r="AA176" s="8"/>
      <c r="AC176" s="8" t="str">
        <f>IF(Z176="","",VLOOKUP('Reel 4 Symbol'!Z176,'Reel 4 Symbol'!$A$3:$E$25,5,0))</f>
        <v/>
      </c>
      <c r="AD176" s="8" t="str">
        <f>IF(AA176="","",VLOOKUP('Reel 4 Symbol'!AA176,'Reel 4 Symbol'!$A$3:$E$25,5,0))</f>
        <v/>
      </c>
      <c r="AF176" s="8" t="str">
        <f t="shared" si="29"/>
        <v/>
      </c>
      <c r="AG176" s="8" t="str">
        <f t="shared" si="30"/>
        <v/>
      </c>
      <c r="AH176" s="133"/>
      <c r="AI176" s="27">
        <v>173</v>
      </c>
      <c r="AJ176" s="8"/>
      <c r="AK176" s="8"/>
      <c r="AM176" s="8" t="str">
        <f>IF(AJ176="","",VLOOKUP('Reel 4 Symbol'!AJ176,'Reel 4 Symbol'!$A$3:$E$25,5,0))</f>
        <v/>
      </c>
      <c r="AN176" s="8" t="str">
        <f>IF(AK176="","",VLOOKUP('Reel 4 Symbol'!AK176,'Reel 4 Symbol'!$A$3:$E$25,5,0))</f>
        <v/>
      </c>
      <c r="AP176" s="8" t="str">
        <f t="shared" si="31"/>
        <v/>
      </c>
      <c r="AQ176" s="8" t="str">
        <f t="shared" si="32"/>
        <v/>
      </c>
      <c r="AR176" s="133"/>
      <c r="AS176" s="27">
        <v>173</v>
      </c>
      <c r="AT176" s="8"/>
      <c r="AU176" s="8"/>
      <c r="AW176" s="8" t="str">
        <f>IF(AT176="","",VLOOKUP('Reel 4 Symbol'!AT176,'Reel 4 Symbol'!$A$3:$E$25,5,0))</f>
        <v/>
      </c>
      <c r="AX176" s="8" t="str">
        <f>IF(AU176="","",VLOOKUP('Reel 4 Symbol'!AU176,'Reel 4 Symbol'!$A$3:$E$25,5,0))</f>
        <v/>
      </c>
      <c r="AZ176" s="8" t="str">
        <f t="shared" si="33"/>
        <v/>
      </c>
      <c r="BA176" s="8" t="str">
        <f t="shared" si="34"/>
        <v/>
      </c>
      <c r="BC176" s="27">
        <v>173</v>
      </c>
      <c r="BD176" s="8"/>
      <c r="BE176" s="8"/>
      <c r="BG176" s="8" t="str">
        <f>IF(BD176="","",VLOOKUP('Reel 4 Symbol'!BD176,'Reel 4 Symbol'!$A$3:$E$25,5,0))</f>
        <v/>
      </c>
      <c r="BH176" s="8" t="str">
        <f>IF(BE176="","",VLOOKUP('Reel 4 Symbol'!BE176,'Reel 4 Symbol'!$A$3:$E$25,5,0))</f>
        <v/>
      </c>
      <c r="BJ176" s="8" t="str">
        <f t="shared" si="35"/>
        <v/>
      </c>
      <c r="BK176" s="8" t="str">
        <f t="shared" si="36"/>
        <v/>
      </c>
    </row>
    <row r="177" spans="24:63" ht="16.8" customHeight="1">
      <c r="X177" s="133"/>
      <c r="Y177" s="27">
        <v>174</v>
      </c>
      <c r="Z177" s="8"/>
      <c r="AA177" s="8"/>
      <c r="AC177" s="8" t="str">
        <f>IF(Z177="","",VLOOKUP('Reel 4 Symbol'!Z177,'Reel 4 Symbol'!$A$3:$E$25,5,0))</f>
        <v/>
      </c>
      <c r="AD177" s="8" t="str">
        <f>IF(AA177="","",VLOOKUP('Reel 4 Symbol'!AA177,'Reel 4 Symbol'!$A$3:$E$25,5,0))</f>
        <v/>
      </c>
      <c r="AF177" s="8" t="str">
        <f t="shared" si="29"/>
        <v/>
      </c>
      <c r="AG177" s="8" t="str">
        <f t="shared" si="30"/>
        <v/>
      </c>
      <c r="AH177" s="133"/>
      <c r="AI177" s="27">
        <v>174</v>
      </c>
      <c r="AJ177" s="8"/>
      <c r="AK177" s="8"/>
      <c r="AM177" s="8" t="str">
        <f>IF(AJ177="","",VLOOKUP('Reel 4 Symbol'!AJ177,'Reel 4 Symbol'!$A$3:$E$25,5,0))</f>
        <v/>
      </c>
      <c r="AN177" s="8" t="str">
        <f>IF(AK177="","",VLOOKUP('Reel 4 Symbol'!AK177,'Reel 4 Symbol'!$A$3:$E$25,5,0))</f>
        <v/>
      </c>
      <c r="AP177" s="8" t="str">
        <f t="shared" si="31"/>
        <v/>
      </c>
      <c r="AQ177" s="8" t="str">
        <f t="shared" si="32"/>
        <v/>
      </c>
      <c r="AR177" s="133"/>
      <c r="AS177" s="27">
        <v>174</v>
      </c>
      <c r="AT177" s="8"/>
      <c r="AU177" s="8"/>
      <c r="AW177" s="8" t="str">
        <f>IF(AT177="","",VLOOKUP('Reel 4 Symbol'!AT177,'Reel 4 Symbol'!$A$3:$E$25,5,0))</f>
        <v/>
      </c>
      <c r="AX177" s="8" t="str">
        <f>IF(AU177="","",VLOOKUP('Reel 4 Symbol'!AU177,'Reel 4 Symbol'!$A$3:$E$25,5,0))</f>
        <v/>
      </c>
      <c r="AZ177" s="8" t="str">
        <f t="shared" si="33"/>
        <v/>
      </c>
      <c r="BA177" s="8" t="str">
        <f t="shared" si="34"/>
        <v/>
      </c>
      <c r="BC177" s="27">
        <v>174</v>
      </c>
      <c r="BD177" s="8"/>
      <c r="BE177" s="8"/>
      <c r="BG177" s="8" t="str">
        <f>IF(BD177="","",VLOOKUP('Reel 4 Symbol'!BD177,'Reel 4 Symbol'!$A$3:$E$25,5,0))</f>
        <v/>
      </c>
      <c r="BH177" s="8" t="str">
        <f>IF(BE177="","",VLOOKUP('Reel 4 Symbol'!BE177,'Reel 4 Symbol'!$A$3:$E$25,5,0))</f>
        <v/>
      </c>
      <c r="BJ177" s="8" t="str">
        <f t="shared" si="35"/>
        <v/>
      </c>
      <c r="BK177" s="8" t="str">
        <f t="shared" si="36"/>
        <v/>
      </c>
    </row>
    <row r="178" spans="24:63" ht="16.8" customHeight="1">
      <c r="X178" s="133"/>
      <c r="Y178" s="27">
        <v>175</v>
      </c>
      <c r="Z178" s="8"/>
      <c r="AA178" s="8"/>
      <c r="AC178" s="8" t="str">
        <f>IF(Z178="","",VLOOKUP('Reel 4 Symbol'!Z178,'Reel 4 Symbol'!$A$3:$E$25,5,0))</f>
        <v/>
      </c>
      <c r="AD178" s="8" t="str">
        <f>IF(AA178="","",VLOOKUP('Reel 4 Symbol'!AA178,'Reel 4 Symbol'!$A$3:$E$25,5,0))</f>
        <v/>
      </c>
      <c r="AF178" s="8" t="str">
        <f t="shared" si="29"/>
        <v/>
      </c>
      <c r="AG178" s="8" t="str">
        <f t="shared" si="30"/>
        <v/>
      </c>
      <c r="AH178" s="133"/>
      <c r="AI178" s="27">
        <v>175</v>
      </c>
      <c r="AJ178" s="8"/>
      <c r="AK178" s="8"/>
      <c r="AM178" s="8" t="str">
        <f>IF(AJ178="","",VLOOKUP('Reel 4 Symbol'!AJ178,'Reel 4 Symbol'!$A$3:$E$25,5,0))</f>
        <v/>
      </c>
      <c r="AN178" s="8" t="str">
        <f>IF(AK178="","",VLOOKUP('Reel 4 Symbol'!AK178,'Reel 4 Symbol'!$A$3:$E$25,5,0))</f>
        <v/>
      </c>
      <c r="AP178" s="8" t="str">
        <f t="shared" si="31"/>
        <v/>
      </c>
      <c r="AQ178" s="8" t="str">
        <f t="shared" si="32"/>
        <v/>
      </c>
      <c r="AR178" s="133"/>
      <c r="AS178" s="27">
        <v>175</v>
      </c>
      <c r="AT178" s="8"/>
      <c r="AU178" s="8"/>
      <c r="AW178" s="8" t="str">
        <f>IF(AT178="","",VLOOKUP('Reel 4 Symbol'!AT178,'Reel 4 Symbol'!$A$3:$E$25,5,0))</f>
        <v/>
      </c>
      <c r="AX178" s="8" t="str">
        <f>IF(AU178="","",VLOOKUP('Reel 4 Symbol'!AU178,'Reel 4 Symbol'!$A$3:$E$25,5,0))</f>
        <v/>
      </c>
      <c r="AZ178" s="8" t="str">
        <f t="shared" si="33"/>
        <v/>
      </c>
      <c r="BA178" s="8" t="str">
        <f t="shared" si="34"/>
        <v/>
      </c>
      <c r="BC178" s="27">
        <v>175</v>
      </c>
      <c r="BD178" s="8"/>
      <c r="BE178" s="8"/>
      <c r="BG178" s="8" t="str">
        <f>IF(BD178="","",VLOOKUP('Reel 4 Symbol'!BD178,'Reel 4 Symbol'!$A$3:$E$25,5,0))</f>
        <v/>
      </c>
      <c r="BH178" s="8" t="str">
        <f>IF(BE178="","",VLOOKUP('Reel 4 Symbol'!BE178,'Reel 4 Symbol'!$A$3:$E$25,5,0))</f>
        <v/>
      </c>
      <c r="BJ178" s="8" t="str">
        <f t="shared" si="35"/>
        <v/>
      </c>
      <c r="BK178" s="8" t="str">
        <f t="shared" si="36"/>
        <v/>
      </c>
    </row>
    <row r="179" spans="24:63" ht="16.8" customHeight="1">
      <c r="X179" s="133"/>
      <c r="Y179" s="27">
        <v>176</v>
      </c>
      <c r="Z179" s="8"/>
      <c r="AA179" s="8"/>
      <c r="AC179" s="8" t="str">
        <f>IF(Z179="","",VLOOKUP('Reel 4 Symbol'!Z179,'Reel 4 Symbol'!$A$3:$E$25,5,0))</f>
        <v/>
      </c>
      <c r="AD179" s="8" t="str">
        <f>IF(AA179="","",VLOOKUP('Reel 4 Symbol'!AA179,'Reel 4 Symbol'!$A$3:$E$25,5,0))</f>
        <v/>
      </c>
      <c r="AF179" s="8" t="str">
        <f t="shared" si="29"/>
        <v/>
      </c>
      <c r="AG179" s="8" t="str">
        <f t="shared" si="30"/>
        <v/>
      </c>
      <c r="AH179" s="133"/>
      <c r="AI179" s="27">
        <v>176</v>
      </c>
      <c r="AJ179" s="8"/>
      <c r="AK179" s="8"/>
      <c r="AM179" s="8" t="str">
        <f>IF(AJ179="","",VLOOKUP('Reel 4 Symbol'!AJ179,'Reel 4 Symbol'!$A$3:$E$25,5,0))</f>
        <v/>
      </c>
      <c r="AN179" s="8" t="str">
        <f>IF(AK179="","",VLOOKUP('Reel 4 Symbol'!AK179,'Reel 4 Symbol'!$A$3:$E$25,5,0))</f>
        <v/>
      </c>
      <c r="AP179" s="8" t="str">
        <f t="shared" si="31"/>
        <v/>
      </c>
      <c r="AQ179" s="8" t="str">
        <f t="shared" si="32"/>
        <v/>
      </c>
      <c r="AR179" s="133"/>
      <c r="AS179" s="27">
        <v>176</v>
      </c>
      <c r="AT179" s="8"/>
      <c r="AU179" s="8"/>
      <c r="AW179" s="8" t="str">
        <f>IF(AT179="","",VLOOKUP('Reel 4 Symbol'!AT179,'Reel 4 Symbol'!$A$3:$E$25,5,0))</f>
        <v/>
      </c>
      <c r="AX179" s="8" t="str">
        <f>IF(AU179="","",VLOOKUP('Reel 4 Symbol'!AU179,'Reel 4 Symbol'!$A$3:$E$25,5,0))</f>
        <v/>
      </c>
      <c r="AZ179" s="8" t="str">
        <f t="shared" si="33"/>
        <v/>
      </c>
      <c r="BA179" s="8" t="str">
        <f t="shared" si="34"/>
        <v/>
      </c>
      <c r="BC179" s="27">
        <v>176</v>
      </c>
      <c r="BD179" s="8"/>
      <c r="BE179" s="8"/>
      <c r="BG179" s="8" t="str">
        <f>IF(BD179="","",VLOOKUP('Reel 4 Symbol'!BD179,'Reel 4 Symbol'!$A$3:$E$25,5,0))</f>
        <v/>
      </c>
      <c r="BH179" s="8" t="str">
        <f>IF(BE179="","",VLOOKUP('Reel 4 Symbol'!BE179,'Reel 4 Symbol'!$A$3:$E$25,5,0))</f>
        <v/>
      </c>
      <c r="BJ179" s="8" t="str">
        <f t="shared" si="35"/>
        <v/>
      </c>
      <c r="BK179" s="8" t="str">
        <f t="shared" si="36"/>
        <v/>
      </c>
    </row>
    <row r="180" spans="24:63" ht="16.8" customHeight="1">
      <c r="X180" s="133"/>
      <c r="Y180" s="27">
        <v>177</v>
      </c>
      <c r="Z180" s="8"/>
      <c r="AA180" s="8"/>
      <c r="AC180" s="8" t="str">
        <f>IF(Z180="","",VLOOKUP('Reel 4 Symbol'!Z180,'Reel 4 Symbol'!$A$3:$E$25,5,0))</f>
        <v/>
      </c>
      <c r="AD180" s="8" t="str">
        <f>IF(AA180="","",VLOOKUP('Reel 4 Symbol'!AA180,'Reel 4 Symbol'!$A$3:$E$25,5,0))</f>
        <v/>
      </c>
      <c r="AF180" s="8" t="str">
        <f t="shared" si="29"/>
        <v/>
      </c>
      <c r="AG180" s="8" t="str">
        <f t="shared" si="30"/>
        <v/>
      </c>
      <c r="AH180" s="133"/>
      <c r="AI180" s="27">
        <v>177</v>
      </c>
      <c r="AJ180" s="8"/>
      <c r="AK180" s="8"/>
      <c r="AM180" s="8" t="str">
        <f>IF(AJ180="","",VLOOKUP('Reel 4 Symbol'!AJ180,'Reel 4 Symbol'!$A$3:$E$25,5,0))</f>
        <v/>
      </c>
      <c r="AN180" s="8" t="str">
        <f>IF(AK180="","",VLOOKUP('Reel 4 Symbol'!AK180,'Reel 4 Symbol'!$A$3:$E$25,5,0))</f>
        <v/>
      </c>
      <c r="AP180" s="8" t="str">
        <f t="shared" si="31"/>
        <v/>
      </c>
      <c r="AQ180" s="8" t="str">
        <f t="shared" si="32"/>
        <v/>
      </c>
      <c r="AR180" s="133"/>
      <c r="AS180" s="27">
        <v>177</v>
      </c>
      <c r="AT180" s="8"/>
      <c r="AU180" s="8"/>
      <c r="AW180" s="8" t="str">
        <f>IF(AT180="","",VLOOKUP('Reel 4 Symbol'!AT180,'Reel 4 Symbol'!$A$3:$E$25,5,0))</f>
        <v/>
      </c>
      <c r="AX180" s="8" t="str">
        <f>IF(AU180="","",VLOOKUP('Reel 4 Symbol'!AU180,'Reel 4 Symbol'!$A$3:$E$25,5,0))</f>
        <v/>
      </c>
      <c r="AZ180" s="8" t="str">
        <f t="shared" si="33"/>
        <v/>
      </c>
      <c r="BA180" s="8" t="str">
        <f t="shared" si="34"/>
        <v/>
      </c>
      <c r="BC180" s="27">
        <v>177</v>
      </c>
      <c r="BD180" s="8"/>
      <c r="BE180" s="8"/>
      <c r="BG180" s="8" t="str">
        <f>IF(BD180="","",VLOOKUP('Reel 4 Symbol'!BD180,'Reel 4 Symbol'!$A$3:$E$25,5,0))</f>
        <v/>
      </c>
      <c r="BH180" s="8" t="str">
        <f>IF(BE180="","",VLOOKUP('Reel 4 Symbol'!BE180,'Reel 4 Symbol'!$A$3:$E$25,5,0))</f>
        <v/>
      </c>
      <c r="BJ180" s="8" t="str">
        <f t="shared" si="35"/>
        <v/>
      </c>
      <c r="BK180" s="8" t="str">
        <f t="shared" si="36"/>
        <v/>
      </c>
    </row>
    <row r="181" spans="24:63" ht="16.8" customHeight="1">
      <c r="X181" s="133"/>
      <c r="Y181" s="27">
        <v>178</v>
      </c>
      <c r="Z181" s="8"/>
      <c r="AA181" s="8"/>
      <c r="AC181" s="8" t="str">
        <f>IF(Z181="","",VLOOKUP('Reel 4 Symbol'!Z181,'Reel 4 Symbol'!$A$3:$E$25,5,0))</f>
        <v/>
      </c>
      <c r="AD181" s="8" t="str">
        <f>IF(AA181="","",VLOOKUP('Reel 4 Symbol'!AA181,'Reel 4 Symbol'!$A$3:$E$25,5,0))</f>
        <v/>
      </c>
      <c r="AF181" s="8" t="str">
        <f t="shared" si="29"/>
        <v/>
      </c>
      <c r="AG181" s="8" t="str">
        <f t="shared" si="30"/>
        <v/>
      </c>
      <c r="AH181" s="133"/>
      <c r="AI181" s="27">
        <v>178</v>
      </c>
      <c r="AJ181" s="8"/>
      <c r="AK181" s="8"/>
      <c r="AM181" s="8" t="str">
        <f>IF(AJ181="","",VLOOKUP('Reel 4 Symbol'!AJ181,'Reel 4 Symbol'!$A$3:$E$25,5,0))</f>
        <v/>
      </c>
      <c r="AN181" s="8" t="str">
        <f>IF(AK181="","",VLOOKUP('Reel 4 Symbol'!AK181,'Reel 4 Symbol'!$A$3:$E$25,5,0))</f>
        <v/>
      </c>
      <c r="AP181" s="8" t="str">
        <f t="shared" si="31"/>
        <v/>
      </c>
      <c r="AQ181" s="8" t="str">
        <f t="shared" si="32"/>
        <v/>
      </c>
      <c r="AR181" s="133"/>
      <c r="AS181" s="27">
        <v>178</v>
      </c>
      <c r="AT181" s="8"/>
      <c r="AU181" s="8"/>
      <c r="AW181" s="8" t="str">
        <f>IF(AT181="","",VLOOKUP('Reel 4 Symbol'!AT181,'Reel 4 Symbol'!$A$3:$E$25,5,0))</f>
        <v/>
      </c>
      <c r="AX181" s="8" t="str">
        <f>IF(AU181="","",VLOOKUP('Reel 4 Symbol'!AU181,'Reel 4 Symbol'!$A$3:$E$25,5,0))</f>
        <v/>
      </c>
      <c r="AZ181" s="8" t="str">
        <f t="shared" si="33"/>
        <v/>
      </c>
      <c r="BA181" s="8" t="str">
        <f t="shared" si="34"/>
        <v/>
      </c>
      <c r="BC181" s="27">
        <v>178</v>
      </c>
      <c r="BD181" s="8"/>
      <c r="BE181" s="8"/>
      <c r="BG181" s="8" t="str">
        <f>IF(BD181="","",VLOOKUP('Reel 4 Symbol'!BD181,'Reel 4 Symbol'!$A$3:$E$25,5,0))</f>
        <v/>
      </c>
      <c r="BH181" s="8" t="str">
        <f>IF(BE181="","",VLOOKUP('Reel 4 Symbol'!BE181,'Reel 4 Symbol'!$A$3:$E$25,5,0))</f>
        <v/>
      </c>
      <c r="BJ181" s="8" t="str">
        <f t="shared" si="35"/>
        <v/>
      </c>
      <c r="BK181" s="8" t="str">
        <f t="shared" si="36"/>
        <v/>
      </c>
    </row>
    <row r="182" spans="24:63" ht="16.8" customHeight="1">
      <c r="X182" s="133"/>
      <c r="Y182" s="27">
        <v>179</v>
      </c>
      <c r="Z182" s="8"/>
      <c r="AA182" s="8"/>
      <c r="AC182" s="8" t="str">
        <f>IF(Z182="","",VLOOKUP('Reel 4 Symbol'!Z182,'Reel 4 Symbol'!$A$3:$E$25,5,0))</f>
        <v/>
      </c>
      <c r="AD182" s="8" t="str">
        <f>IF(AA182="","",VLOOKUP('Reel 4 Symbol'!AA182,'Reel 4 Symbol'!$A$3:$E$25,5,0))</f>
        <v/>
      </c>
      <c r="AF182" s="8" t="str">
        <f t="shared" si="29"/>
        <v/>
      </c>
      <c r="AG182" s="8" t="str">
        <f t="shared" si="30"/>
        <v/>
      </c>
      <c r="AH182" s="133"/>
      <c r="AI182" s="27">
        <v>179</v>
      </c>
      <c r="AJ182" s="8"/>
      <c r="AK182" s="8"/>
      <c r="AM182" s="8" t="str">
        <f>IF(AJ182="","",VLOOKUP('Reel 4 Symbol'!AJ182,'Reel 4 Symbol'!$A$3:$E$25,5,0))</f>
        <v/>
      </c>
      <c r="AN182" s="8" t="str">
        <f>IF(AK182="","",VLOOKUP('Reel 4 Symbol'!AK182,'Reel 4 Symbol'!$A$3:$E$25,5,0))</f>
        <v/>
      </c>
      <c r="AP182" s="8" t="str">
        <f t="shared" si="31"/>
        <v/>
      </c>
      <c r="AQ182" s="8" t="str">
        <f t="shared" si="32"/>
        <v/>
      </c>
      <c r="AR182" s="133"/>
      <c r="AS182" s="27">
        <v>179</v>
      </c>
      <c r="AT182" s="8"/>
      <c r="AU182" s="8"/>
      <c r="AW182" s="8" t="str">
        <f>IF(AT182="","",VLOOKUP('Reel 4 Symbol'!AT182,'Reel 4 Symbol'!$A$3:$E$25,5,0))</f>
        <v/>
      </c>
      <c r="AX182" s="8" t="str">
        <f>IF(AU182="","",VLOOKUP('Reel 4 Symbol'!AU182,'Reel 4 Symbol'!$A$3:$E$25,5,0))</f>
        <v/>
      </c>
      <c r="AZ182" s="8" t="str">
        <f t="shared" si="33"/>
        <v/>
      </c>
      <c r="BA182" s="8" t="str">
        <f t="shared" si="34"/>
        <v/>
      </c>
      <c r="BC182" s="27">
        <v>179</v>
      </c>
      <c r="BD182" s="8"/>
      <c r="BE182" s="8"/>
      <c r="BG182" s="8" t="str">
        <f>IF(BD182="","",VLOOKUP('Reel 4 Symbol'!BD182,'Reel 4 Symbol'!$A$3:$E$25,5,0))</f>
        <v/>
      </c>
      <c r="BH182" s="8" t="str">
        <f>IF(BE182="","",VLOOKUP('Reel 4 Symbol'!BE182,'Reel 4 Symbol'!$A$3:$E$25,5,0))</f>
        <v/>
      </c>
      <c r="BJ182" s="8" t="str">
        <f t="shared" si="35"/>
        <v/>
      </c>
      <c r="BK182" s="8" t="str">
        <f t="shared" si="36"/>
        <v/>
      </c>
    </row>
    <row r="183" spans="24:63" ht="16.8" customHeight="1">
      <c r="X183" s="133"/>
      <c r="Y183" s="27">
        <v>180</v>
      </c>
      <c r="Z183" s="8"/>
      <c r="AA183" s="8"/>
      <c r="AC183" s="8" t="str">
        <f>IF(Z183="","",VLOOKUP('Reel 4 Symbol'!Z183,'Reel 4 Symbol'!$A$3:$E$25,5,0))</f>
        <v/>
      </c>
      <c r="AD183" s="8" t="str">
        <f>IF(AA183="","",VLOOKUP('Reel 4 Symbol'!AA183,'Reel 4 Symbol'!$A$3:$E$25,5,0))</f>
        <v/>
      </c>
      <c r="AF183" s="8" t="str">
        <f t="shared" si="29"/>
        <v/>
      </c>
      <c r="AG183" s="8" t="str">
        <f t="shared" si="30"/>
        <v/>
      </c>
      <c r="AH183" s="133"/>
      <c r="AI183" s="27">
        <v>180</v>
      </c>
      <c r="AJ183" s="8"/>
      <c r="AK183" s="8"/>
      <c r="AM183" s="8" t="str">
        <f>IF(AJ183="","",VLOOKUP('Reel 4 Symbol'!AJ183,'Reel 4 Symbol'!$A$3:$E$25,5,0))</f>
        <v/>
      </c>
      <c r="AN183" s="8" t="str">
        <f>IF(AK183="","",VLOOKUP('Reel 4 Symbol'!AK183,'Reel 4 Symbol'!$A$3:$E$25,5,0))</f>
        <v/>
      </c>
      <c r="AP183" s="8" t="str">
        <f t="shared" si="31"/>
        <v/>
      </c>
      <c r="AQ183" s="8" t="str">
        <f t="shared" si="32"/>
        <v/>
      </c>
      <c r="AR183" s="133"/>
      <c r="AS183" s="27">
        <v>180</v>
      </c>
      <c r="AT183" s="8"/>
      <c r="AU183" s="8"/>
      <c r="AW183" s="8" t="str">
        <f>IF(AT183="","",VLOOKUP('Reel 4 Symbol'!AT183,'Reel 4 Symbol'!$A$3:$E$25,5,0))</f>
        <v/>
      </c>
      <c r="AX183" s="8" t="str">
        <f>IF(AU183="","",VLOOKUP('Reel 4 Symbol'!AU183,'Reel 4 Symbol'!$A$3:$E$25,5,0))</f>
        <v/>
      </c>
      <c r="AZ183" s="8" t="str">
        <f t="shared" si="33"/>
        <v/>
      </c>
      <c r="BA183" s="8" t="str">
        <f t="shared" si="34"/>
        <v/>
      </c>
      <c r="BC183" s="27">
        <v>180</v>
      </c>
      <c r="BD183" s="8"/>
      <c r="BE183" s="8"/>
      <c r="BG183" s="8" t="str">
        <f>IF(BD183="","",VLOOKUP('Reel 4 Symbol'!BD183,'Reel 4 Symbol'!$A$3:$E$25,5,0))</f>
        <v/>
      </c>
      <c r="BH183" s="8" t="str">
        <f>IF(BE183="","",VLOOKUP('Reel 4 Symbol'!BE183,'Reel 4 Symbol'!$A$3:$E$25,5,0))</f>
        <v/>
      </c>
      <c r="BJ183" s="8" t="str">
        <f t="shared" si="35"/>
        <v/>
      </c>
      <c r="BK183" s="8" t="str">
        <f t="shared" si="36"/>
        <v/>
      </c>
    </row>
    <row r="184" spans="24:63" ht="16.8" customHeight="1">
      <c r="X184" s="133"/>
      <c r="Y184" s="27">
        <v>181</v>
      </c>
      <c r="Z184" s="8"/>
      <c r="AA184" s="8"/>
      <c r="AC184" s="8" t="str">
        <f>IF(Z184="","",VLOOKUP('Reel 4 Symbol'!Z184,'Reel 4 Symbol'!$A$3:$E$25,5,0))</f>
        <v/>
      </c>
      <c r="AD184" s="8" t="str">
        <f>IF(AA184="","",VLOOKUP('Reel 4 Symbol'!AA184,'Reel 4 Symbol'!$A$3:$E$25,5,0))</f>
        <v/>
      </c>
      <c r="AF184" s="8" t="str">
        <f t="shared" si="29"/>
        <v/>
      </c>
      <c r="AG184" s="8" t="str">
        <f t="shared" si="30"/>
        <v/>
      </c>
      <c r="AH184" s="133"/>
      <c r="AI184" s="27">
        <v>181</v>
      </c>
      <c r="AJ184" s="8"/>
      <c r="AK184" s="8"/>
      <c r="AM184" s="8" t="str">
        <f>IF(AJ184="","",VLOOKUP('Reel 4 Symbol'!AJ184,'Reel 4 Symbol'!$A$3:$E$25,5,0))</f>
        <v/>
      </c>
      <c r="AN184" s="8" t="str">
        <f>IF(AK184="","",VLOOKUP('Reel 4 Symbol'!AK184,'Reel 4 Symbol'!$A$3:$E$25,5,0))</f>
        <v/>
      </c>
      <c r="AP184" s="8" t="str">
        <f t="shared" si="31"/>
        <v/>
      </c>
      <c r="AQ184" s="8" t="str">
        <f t="shared" si="32"/>
        <v/>
      </c>
      <c r="AR184" s="133"/>
      <c r="AS184" s="27">
        <v>181</v>
      </c>
      <c r="AT184" s="8"/>
      <c r="AU184" s="8"/>
      <c r="AW184" s="8" t="str">
        <f>IF(AT184="","",VLOOKUP('Reel 4 Symbol'!AT184,'Reel 4 Symbol'!$A$3:$E$25,5,0))</f>
        <v/>
      </c>
      <c r="AX184" s="8" t="str">
        <f>IF(AU184="","",VLOOKUP('Reel 4 Symbol'!AU184,'Reel 4 Symbol'!$A$3:$E$25,5,0))</f>
        <v/>
      </c>
      <c r="AZ184" s="8" t="str">
        <f t="shared" si="33"/>
        <v/>
      </c>
      <c r="BA184" s="8" t="str">
        <f t="shared" si="34"/>
        <v/>
      </c>
      <c r="BC184" s="27">
        <v>181</v>
      </c>
      <c r="BD184" s="8"/>
      <c r="BE184" s="8"/>
      <c r="BG184" s="8" t="str">
        <f>IF(BD184="","",VLOOKUP('Reel 4 Symbol'!BD184,'Reel 4 Symbol'!$A$3:$E$25,5,0))</f>
        <v/>
      </c>
      <c r="BH184" s="8" t="str">
        <f>IF(BE184="","",VLOOKUP('Reel 4 Symbol'!BE184,'Reel 4 Symbol'!$A$3:$E$25,5,0))</f>
        <v/>
      </c>
      <c r="BJ184" s="8" t="str">
        <f t="shared" si="35"/>
        <v/>
      </c>
      <c r="BK184" s="8" t="str">
        <f t="shared" si="36"/>
        <v/>
      </c>
    </row>
    <row r="185" spans="24:63" ht="16.8" customHeight="1">
      <c r="X185" s="133"/>
      <c r="Y185" s="27">
        <v>182</v>
      </c>
      <c r="Z185" s="8"/>
      <c r="AA185" s="8"/>
      <c r="AC185" s="8" t="str">
        <f>IF(Z185="","",VLOOKUP('Reel 4 Symbol'!Z185,'Reel 4 Symbol'!$A$3:$E$25,5,0))</f>
        <v/>
      </c>
      <c r="AD185" s="8" t="str">
        <f>IF(AA185="","",VLOOKUP('Reel 4 Symbol'!AA185,'Reel 4 Symbol'!$A$3:$E$25,5,0))</f>
        <v/>
      </c>
      <c r="AF185" s="8" t="str">
        <f t="shared" si="29"/>
        <v/>
      </c>
      <c r="AG185" s="8" t="str">
        <f t="shared" si="30"/>
        <v/>
      </c>
      <c r="AH185" s="133"/>
      <c r="AI185" s="27">
        <v>182</v>
      </c>
      <c r="AJ185" s="8"/>
      <c r="AK185" s="8"/>
      <c r="AM185" s="8" t="str">
        <f>IF(AJ185="","",VLOOKUP('Reel 4 Symbol'!AJ185,'Reel 4 Symbol'!$A$3:$E$25,5,0))</f>
        <v/>
      </c>
      <c r="AN185" s="8" t="str">
        <f>IF(AK185="","",VLOOKUP('Reel 4 Symbol'!AK185,'Reel 4 Symbol'!$A$3:$E$25,5,0))</f>
        <v/>
      </c>
      <c r="AP185" s="8" t="str">
        <f t="shared" si="31"/>
        <v/>
      </c>
      <c r="AQ185" s="8" t="str">
        <f t="shared" si="32"/>
        <v/>
      </c>
      <c r="AR185" s="133"/>
      <c r="AS185" s="27">
        <v>182</v>
      </c>
      <c r="AT185" s="8"/>
      <c r="AU185" s="8"/>
      <c r="AW185" s="8" t="str">
        <f>IF(AT185="","",VLOOKUP('Reel 4 Symbol'!AT185,'Reel 4 Symbol'!$A$3:$E$25,5,0))</f>
        <v/>
      </c>
      <c r="AX185" s="8" t="str">
        <f>IF(AU185="","",VLOOKUP('Reel 4 Symbol'!AU185,'Reel 4 Symbol'!$A$3:$E$25,5,0))</f>
        <v/>
      </c>
      <c r="AZ185" s="8" t="str">
        <f t="shared" si="33"/>
        <v/>
      </c>
      <c r="BA185" s="8" t="str">
        <f t="shared" si="34"/>
        <v/>
      </c>
      <c r="BC185" s="27">
        <v>182</v>
      </c>
      <c r="BD185" s="8"/>
      <c r="BE185" s="8"/>
      <c r="BG185" s="8" t="str">
        <f>IF(BD185="","",VLOOKUP('Reel 4 Symbol'!BD185,'Reel 4 Symbol'!$A$3:$E$25,5,0))</f>
        <v/>
      </c>
      <c r="BH185" s="8" t="str">
        <f>IF(BE185="","",VLOOKUP('Reel 4 Symbol'!BE185,'Reel 4 Symbol'!$A$3:$E$25,5,0))</f>
        <v/>
      </c>
      <c r="BJ185" s="8" t="str">
        <f t="shared" si="35"/>
        <v/>
      </c>
      <c r="BK185" s="8" t="str">
        <f t="shared" si="36"/>
        <v/>
      </c>
    </row>
    <row r="186" spans="24:63" ht="16.8" customHeight="1">
      <c r="X186" s="133"/>
      <c r="Y186" s="27">
        <v>183</v>
      </c>
      <c r="Z186" s="8"/>
      <c r="AA186" s="8"/>
      <c r="AC186" s="8" t="str">
        <f>IF(Z186="","",VLOOKUP('Reel 4 Symbol'!Z186,'Reel 4 Symbol'!$A$3:$E$25,5,0))</f>
        <v/>
      </c>
      <c r="AD186" s="8" t="str">
        <f>IF(AA186="","",VLOOKUP('Reel 4 Symbol'!AA186,'Reel 4 Symbol'!$A$3:$E$25,5,0))</f>
        <v/>
      </c>
      <c r="AF186" s="8" t="str">
        <f t="shared" si="29"/>
        <v/>
      </c>
      <c r="AG186" s="8" t="str">
        <f t="shared" si="30"/>
        <v/>
      </c>
      <c r="AH186" s="133"/>
      <c r="AI186" s="27">
        <v>183</v>
      </c>
      <c r="AJ186" s="8"/>
      <c r="AK186" s="8"/>
      <c r="AM186" s="8" t="str">
        <f>IF(AJ186="","",VLOOKUP('Reel 4 Symbol'!AJ186,'Reel 4 Symbol'!$A$3:$E$25,5,0))</f>
        <v/>
      </c>
      <c r="AN186" s="8" t="str">
        <f>IF(AK186="","",VLOOKUP('Reel 4 Symbol'!AK186,'Reel 4 Symbol'!$A$3:$E$25,5,0))</f>
        <v/>
      </c>
      <c r="AP186" s="8" t="str">
        <f t="shared" si="31"/>
        <v/>
      </c>
      <c r="AQ186" s="8" t="str">
        <f t="shared" si="32"/>
        <v/>
      </c>
      <c r="AR186" s="133"/>
      <c r="AS186" s="27">
        <v>183</v>
      </c>
      <c r="AT186" s="8"/>
      <c r="AU186" s="8"/>
      <c r="AW186" s="8" t="str">
        <f>IF(AT186="","",VLOOKUP('Reel 4 Symbol'!AT186,'Reel 4 Symbol'!$A$3:$E$25,5,0))</f>
        <v/>
      </c>
      <c r="AX186" s="8" t="str">
        <f>IF(AU186="","",VLOOKUP('Reel 4 Symbol'!AU186,'Reel 4 Symbol'!$A$3:$E$25,5,0))</f>
        <v/>
      </c>
      <c r="AZ186" s="8" t="str">
        <f t="shared" si="33"/>
        <v/>
      </c>
      <c r="BA186" s="8" t="str">
        <f t="shared" si="34"/>
        <v/>
      </c>
      <c r="BC186" s="27">
        <v>183</v>
      </c>
      <c r="BD186" s="8"/>
      <c r="BE186" s="8"/>
      <c r="BG186" s="8" t="str">
        <f>IF(BD186="","",VLOOKUP('Reel 4 Symbol'!BD186,'Reel 4 Symbol'!$A$3:$E$25,5,0))</f>
        <v/>
      </c>
      <c r="BH186" s="8" t="str">
        <f>IF(BE186="","",VLOOKUP('Reel 4 Symbol'!BE186,'Reel 4 Symbol'!$A$3:$E$25,5,0))</f>
        <v/>
      </c>
      <c r="BJ186" s="8" t="str">
        <f t="shared" si="35"/>
        <v/>
      </c>
      <c r="BK186" s="8" t="str">
        <f t="shared" si="36"/>
        <v/>
      </c>
    </row>
    <row r="187" spans="24:63" ht="16.8" customHeight="1">
      <c r="X187" s="133"/>
      <c r="Y187" s="27">
        <v>184</v>
      </c>
      <c r="Z187" s="8"/>
      <c r="AA187" s="8"/>
      <c r="AC187" s="8" t="str">
        <f>IF(Z187="","",VLOOKUP('Reel 4 Symbol'!Z187,'Reel 4 Symbol'!$A$3:$E$25,5,0))</f>
        <v/>
      </c>
      <c r="AD187" s="8" t="str">
        <f>IF(AA187="","",VLOOKUP('Reel 4 Symbol'!AA187,'Reel 4 Symbol'!$A$3:$E$25,5,0))</f>
        <v/>
      </c>
      <c r="AF187" s="8" t="str">
        <f t="shared" si="29"/>
        <v/>
      </c>
      <c r="AG187" s="8" t="str">
        <f t="shared" si="30"/>
        <v/>
      </c>
      <c r="AH187" s="133"/>
      <c r="AI187" s="27">
        <v>184</v>
      </c>
      <c r="AJ187" s="8"/>
      <c r="AK187" s="8"/>
      <c r="AM187" s="8" t="str">
        <f>IF(AJ187="","",VLOOKUP('Reel 4 Symbol'!AJ187,'Reel 4 Symbol'!$A$3:$E$25,5,0))</f>
        <v/>
      </c>
      <c r="AN187" s="8" t="str">
        <f>IF(AK187="","",VLOOKUP('Reel 4 Symbol'!AK187,'Reel 4 Symbol'!$A$3:$E$25,5,0))</f>
        <v/>
      </c>
      <c r="AP187" s="8" t="str">
        <f t="shared" si="31"/>
        <v/>
      </c>
      <c r="AQ187" s="8" t="str">
        <f t="shared" si="32"/>
        <v/>
      </c>
      <c r="AR187" s="133"/>
      <c r="AS187" s="27">
        <v>184</v>
      </c>
      <c r="AT187" s="8"/>
      <c r="AU187" s="8"/>
      <c r="AW187" s="8" t="str">
        <f>IF(AT187="","",VLOOKUP('Reel 4 Symbol'!AT187,'Reel 4 Symbol'!$A$3:$E$25,5,0))</f>
        <v/>
      </c>
      <c r="AX187" s="8" t="str">
        <f>IF(AU187="","",VLOOKUP('Reel 4 Symbol'!AU187,'Reel 4 Symbol'!$A$3:$E$25,5,0))</f>
        <v/>
      </c>
      <c r="AZ187" s="8" t="str">
        <f t="shared" si="33"/>
        <v/>
      </c>
      <c r="BA187" s="8" t="str">
        <f t="shared" si="34"/>
        <v/>
      </c>
      <c r="BC187" s="27">
        <v>184</v>
      </c>
      <c r="BD187" s="8"/>
      <c r="BE187" s="8"/>
      <c r="BG187" s="8" t="str">
        <f>IF(BD187="","",VLOOKUP('Reel 4 Symbol'!BD187,'Reel 4 Symbol'!$A$3:$E$25,5,0))</f>
        <v/>
      </c>
      <c r="BH187" s="8" t="str">
        <f>IF(BE187="","",VLOOKUP('Reel 4 Symbol'!BE187,'Reel 4 Symbol'!$A$3:$E$25,5,0))</f>
        <v/>
      </c>
      <c r="BJ187" s="8" t="str">
        <f t="shared" si="35"/>
        <v/>
      </c>
      <c r="BK187" s="8" t="str">
        <f t="shared" si="36"/>
        <v/>
      </c>
    </row>
    <row r="188" spans="24:63" ht="16.8" customHeight="1">
      <c r="X188" s="133"/>
      <c r="Y188" s="27">
        <v>185</v>
      </c>
      <c r="Z188" s="8"/>
      <c r="AA188" s="8"/>
      <c r="AC188" s="8" t="str">
        <f>IF(Z188="","",VLOOKUP('Reel 4 Symbol'!Z188,'Reel 4 Symbol'!$A$3:$E$25,5,0))</f>
        <v/>
      </c>
      <c r="AD188" s="8" t="str">
        <f>IF(AA188="","",VLOOKUP('Reel 4 Symbol'!AA188,'Reel 4 Symbol'!$A$3:$E$25,5,0))</f>
        <v/>
      </c>
      <c r="AF188" s="8" t="str">
        <f t="shared" si="29"/>
        <v/>
      </c>
      <c r="AG188" s="8" t="str">
        <f t="shared" si="30"/>
        <v/>
      </c>
      <c r="AH188" s="133"/>
      <c r="AI188" s="27">
        <v>185</v>
      </c>
      <c r="AJ188" s="8"/>
      <c r="AK188" s="8"/>
      <c r="AM188" s="8" t="str">
        <f>IF(AJ188="","",VLOOKUP('Reel 4 Symbol'!AJ188,'Reel 4 Symbol'!$A$3:$E$25,5,0))</f>
        <v/>
      </c>
      <c r="AN188" s="8" t="str">
        <f>IF(AK188="","",VLOOKUP('Reel 4 Symbol'!AK188,'Reel 4 Symbol'!$A$3:$E$25,5,0))</f>
        <v/>
      </c>
      <c r="AP188" s="8" t="str">
        <f t="shared" si="31"/>
        <v/>
      </c>
      <c r="AQ188" s="8" t="str">
        <f t="shared" si="32"/>
        <v/>
      </c>
      <c r="AR188" s="133"/>
      <c r="AS188" s="27">
        <v>185</v>
      </c>
      <c r="AT188" s="8"/>
      <c r="AU188" s="8"/>
      <c r="AW188" s="8" t="str">
        <f>IF(AT188="","",VLOOKUP('Reel 4 Symbol'!AT188,'Reel 4 Symbol'!$A$3:$E$25,5,0))</f>
        <v/>
      </c>
      <c r="AX188" s="8" t="str">
        <f>IF(AU188="","",VLOOKUP('Reel 4 Symbol'!AU188,'Reel 4 Symbol'!$A$3:$E$25,5,0))</f>
        <v/>
      </c>
      <c r="AZ188" s="8" t="str">
        <f t="shared" si="33"/>
        <v/>
      </c>
      <c r="BA188" s="8" t="str">
        <f t="shared" si="34"/>
        <v/>
      </c>
      <c r="BC188" s="27">
        <v>185</v>
      </c>
      <c r="BD188" s="8"/>
      <c r="BE188" s="8"/>
      <c r="BG188" s="8" t="str">
        <f>IF(BD188="","",VLOOKUP('Reel 4 Symbol'!BD188,'Reel 4 Symbol'!$A$3:$E$25,5,0))</f>
        <v/>
      </c>
      <c r="BH188" s="8" t="str">
        <f>IF(BE188="","",VLOOKUP('Reel 4 Symbol'!BE188,'Reel 4 Symbol'!$A$3:$E$25,5,0))</f>
        <v/>
      </c>
      <c r="BJ188" s="8" t="str">
        <f t="shared" si="35"/>
        <v/>
      </c>
      <c r="BK188" s="8" t="str">
        <f t="shared" si="36"/>
        <v/>
      </c>
    </row>
    <row r="189" spans="24:63" ht="16.8" customHeight="1">
      <c r="X189" s="133"/>
      <c r="Y189" s="27">
        <v>186</v>
      </c>
      <c r="Z189" s="8"/>
      <c r="AA189" s="8"/>
      <c r="AC189" s="8" t="str">
        <f>IF(Z189="","",VLOOKUP('Reel 4 Symbol'!Z189,'Reel 4 Symbol'!$A$3:$E$25,5,0))</f>
        <v/>
      </c>
      <c r="AD189" s="8" t="str">
        <f>IF(AA189="","",VLOOKUP('Reel 4 Symbol'!AA189,'Reel 4 Symbol'!$A$3:$E$25,5,0))</f>
        <v/>
      </c>
      <c r="AF189" s="8" t="str">
        <f t="shared" si="29"/>
        <v/>
      </c>
      <c r="AG189" s="8" t="str">
        <f t="shared" si="30"/>
        <v/>
      </c>
      <c r="AH189" s="133"/>
      <c r="AI189" s="27">
        <v>186</v>
      </c>
      <c r="AJ189" s="8"/>
      <c r="AK189" s="8"/>
      <c r="AM189" s="8" t="str">
        <f>IF(AJ189="","",VLOOKUP('Reel 4 Symbol'!AJ189,'Reel 4 Symbol'!$A$3:$E$25,5,0))</f>
        <v/>
      </c>
      <c r="AN189" s="8" t="str">
        <f>IF(AK189="","",VLOOKUP('Reel 4 Symbol'!AK189,'Reel 4 Symbol'!$A$3:$E$25,5,0))</f>
        <v/>
      </c>
      <c r="AP189" s="8" t="str">
        <f t="shared" si="31"/>
        <v/>
      </c>
      <c r="AQ189" s="8" t="str">
        <f t="shared" si="32"/>
        <v/>
      </c>
      <c r="AR189" s="133"/>
      <c r="AS189" s="27">
        <v>186</v>
      </c>
      <c r="AT189" s="8"/>
      <c r="AU189" s="8"/>
      <c r="AW189" s="8" t="str">
        <f>IF(AT189="","",VLOOKUP('Reel 4 Symbol'!AT189,'Reel 4 Symbol'!$A$3:$E$25,5,0))</f>
        <v/>
      </c>
      <c r="AX189" s="8" t="str">
        <f>IF(AU189="","",VLOOKUP('Reel 4 Symbol'!AU189,'Reel 4 Symbol'!$A$3:$E$25,5,0))</f>
        <v/>
      </c>
      <c r="AZ189" s="8" t="str">
        <f t="shared" si="33"/>
        <v/>
      </c>
      <c r="BA189" s="8" t="str">
        <f t="shared" si="34"/>
        <v/>
      </c>
      <c r="BC189" s="27">
        <v>186</v>
      </c>
      <c r="BD189" s="8"/>
      <c r="BE189" s="8"/>
      <c r="BG189" s="8" t="str">
        <f>IF(BD189="","",VLOOKUP('Reel 4 Symbol'!BD189,'Reel 4 Symbol'!$A$3:$E$25,5,0))</f>
        <v/>
      </c>
      <c r="BH189" s="8" t="str">
        <f>IF(BE189="","",VLOOKUP('Reel 4 Symbol'!BE189,'Reel 4 Symbol'!$A$3:$E$25,5,0))</f>
        <v/>
      </c>
      <c r="BJ189" s="8" t="str">
        <f t="shared" si="35"/>
        <v/>
      </c>
      <c r="BK189" s="8" t="str">
        <f t="shared" si="36"/>
        <v/>
      </c>
    </row>
    <row r="190" spans="24:63" ht="16.8" customHeight="1">
      <c r="X190" s="133"/>
      <c r="Y190" s="27">
        <v>187</v>
      </c>
      <c r="Z190" s="8"/>
      <c r="AA190" s="8"/>
      <c r="AC190" s="8" t="str">
        <f>IF(Z190="","",VLOOKUP('Reel 4 Symbol'!Z190,'Reel 4 Symbol'!$A$3:$E$25,5,0))</f>
        <v/>
      </c>
      <c r="AD190" s="8" t="str">
        <f>IF(AA190="","",VLOOKUP('Reel 4 Symbol'!AA190,'Reel 4 Symbol'!$A$3:$E$25,5,0))</f>
        <v/>
      </c>
      <c r="AF190" s="8" t="str">
        <f t="shared" si="29"/>
        <v/>
      </c>
      <c r="AG190" s="8" t="str">
        <f t="shared" si="30"/>
        <v/>
      </c>
      <c r="AH190" s="133"/>
      <c r="AI190" s="27">
        <v>187</v>
      </c>
      <c r="AJ190" s="8"/>
      <c r="AK190" s="8"/>
      <c r="AM190" s="8" t="str">
        <f>IF(AJ190="","",VLOOKUP('Reel 4 Symbol'!AJ190,'Reel 4 Symbol'!$A$3:$E$25,5,0))</f>
        <v/>
      </c>
      <c r="AN190" s="8" t="str">
        <f>IF(AK190="","",VLOOKUP('Reel 4 Symbol'!AK190,'Reel 4 Symbol'!$A$3:$E$25,5,0))</f>
        <v/>
      </c>
      <c r="AP190" s="8" t="str">
        <f t="shared" si="31"/>
        <v/>
      </c>
      <c r="AQ190" s="8" t="str">
        <f t="shared" si="32"/>
        <v/>
      </c>
      <c r="AR190" s="133"/>
      <c r="AS190" s="27">
        <v>187</v>
      </c>
      <c r="AT190" s="8"/>
      <c r="AU190" s="8"/>
      <c r="AW190" s="8" t="str">
        <f>IF(AT190="","",VLOOKUP('Reel 4 Symbol'!AT190,'Reel 4 Symbol'!$A$3:$E$25,5,0))</f>
        <v/>
      </c>
      <c r="AX190" s="8" t="str">
        <f>IF(AU190="","",VLOOKUP('Reel 4 Symbol'!AU190,'Reel 4 Symbol'!$A$3:$E$25,5,0))</f>
        <v/>
      </c>
      <c r="AZ190" s="8" t="str">
        <f t="shared" si="33"/>
        <v/>
      </c>
      <c r="BA190" s="8" t="str">
        <f t="shared" si="34"/>
        <v/>
      </c>
      <c r="BC190" s="27">
        <v>187</v>
      </c>
      <c r="BD190" s="8"/>
      <c r="BE190" s="8"/>
      <c r="BG190" s="8" t="str">
        <f>IF(BD190="","",VLOOKUP('Reel 4 Symbol'!BD190,'Reel 4 Symbol'!$A$3:$E$25,5,0))</f>
        <v/>
      </c>
      <c r="BH190" s="8" t="str">
        <f>IF(BE190="","",VLOOKUP('Reel 4 Symbol'!BE190,'Reel 4 Symbol'!$A$3:$E$25,5,0))</f>
        <v/>
      </c>
      <c r="BJ190" s="8" t="str">
        <f t="shared" si="35"/>
        <v/>
      </c>
      <c r="BK190" s="8" t="str">
        <f t="shared" si="36"/>
        <v/>
      </c>
    </row>
    <row r="191" spans="24:63" ht="16.8" customHeight="1">
      <c r="X191" s="133"/>
      <c r="Y191" s="27">
        <v>188</v>
      </c>
      <c r="Z191" s="8"/>
      <c r="AA191" s="8"/>
      <c r="AC191" s="8" t="str">
        <f>IF(Z191="","",VLOOKUP('Reel 4 Symbol'!Z191,'Reel 4 Symbol'!$A$3:$E$25,5,0))</f>
        <v/>
      </c>
      <c r="AD191" s="8" t="str">
        <f>IF(AA191="","",VLOOKUP('Reel 4 Symbol'!AA191,'Reel 4 Symbol'!$A$3:$E$25,5,0))</f>
        <v/>
      </c>
      <c r="AF191" s="8" t="str">
        <f t="shared" si="29"/>
        <v/>
      </c>
      <c r="AG191" s="8" t="str">
        <f t="shared" si="30"/>
        <v/>
      </c>
      <c r="AH191" s="133"/>
      <c r="AI191" s="27">
        <v>188</v>
      </c>
      <c r="AJ191" s="8"/>
      <c r="AK191" s="8"/>
      <c r="AM191" s="8" t="str">
        <f>IF(AJ191="","",VLOOKUP('Reel 4 Symbol'!AJ191,'Reel 4 Symbol'!$A$3:$E$25,5,0))</f>
        <v/>
      </c>
      <c r="AN191" s="8" t="str">
        <f>IF(AK191="","",VLOOKUP('Reel 4 Symbol'!AK191,'Reel 4 Symbol'!$A$3:$E$25,5,0))</f>
        <v/>
      </c>
      <c r="AP191" s="8" t="str">
        <f t="shared" si="31"/>
        <v/>
      </c>
      <c r="AQ191" s="8" t="str">
        <f t="shared" si="32"/>
        <v/>
      </c>
      <c r="AR191" s="133"/>
      <c r="AS191" s="27">
        <v>188</v>
      </c>
      <c r="AT191" s="8"/>
      <c r="AU191" s="8"/>
      <c r="AW191" s="8" t="str">
        <f>IF(AT191="","",VLOOKUP('Reel 4 Symbol'!AT191,'Reel 4 Symbol'!$A$3:$E$25,5,0))</f>
        <v/>
      </c>
      <c r="AX191" s="8" t="str">
        <f>IF(AU191="","",VLOOKUP('Reel 4 Symbol'!AU191,'Reel 4 Symbol'!$A$3:$E$25,5,0))</f>
        <v/>
      </c>
      <c r="AZ191" s="8" t="str">
        <f t="shared" si="33"/>
        <v/>
      </c>
      <c r="BA191" s="8" t="str">
        <f t="shared" si="34"/>
        <v/>
      </c>
      <c r="BC191" s="27">
        <v>188</v>
      </c>
      <c r="BD191" s="8"/>
      <c r="BE191" s="8"/>
      <c r="BG191" s="8" t="str">
        <f>IF(BD191="","",VLOOKUP('Reel 4 Symbol'!BD191,'Reel 4 Symbol'!$A$3:$E$25,5,0))</f>
        <v/>
      </c>
      <c r="BH191" s="8" t="str">
        <f>IF(BE191="","",VLOOKUP('Reel 4 Symbol'!BE191,'Reel 4 Symbol'!$A$3:$E$25,5,0))</f>
        <v/>
      </c>
      <c r="BJ191" s="8" t="str">
        <f t="shared" si="35"/>
        <v/>
      </c>
      <c r="BK191" s="8" t="str">
        <f t="shared" si="36"/>
        <v/>
      </c>
    </row>
    <row r="192" spans="24:63" ht="16.8" customHeight="1">
      <c r="X192" s="133"/>
      <c r="Y192" s="27">
        <v>189</v>
      </c>
      <c r="Z192" s="8"/>
      <c r="AA192" s="8"/>
      <c r="AC192" s="8" t="str">
        <f>IF(Z192="","",VLOOKUP('Reel 4 Symbol'!Z192,'Reel 4 Symbol'!$A$3:$E$25,5,0))</f>
        <v/>
      </c>
      <c r="AD192" s="8" t="str">
        <f>IF(AA192="","",VLOOKUP('Reel 4 Symbol'!AA192,'Reel 4 Symbol'!$A$3:$E$25,5,0))</f>
        <v/>
      </c>
      <c r="AF192" s="8" t="str">
        <f t="shared" si="29"/>
        <v/>
      </c>
      <c r="AG192" s="8" t="str">
        <f t="shared" si="30"/>
        <v/>
      </c>
      <c r="AH192" s="133"/>
      <c r="AI192" s="27">
        <v>189</v>
      </c>
      <c r="AJ192" s="8"/>
      <c r="AK192" s="8"/>
      <c r="AM192" s="8" t="str">
        <f>IF(AJ192="","",VLOOKUP('Reel 4 Symbol'!AJ192,'Reel 4 Symbol'!$A$3:$E$25,5,0))</f>
        <v/>
      </c>
      <c r="AN192" s="8" t="str">
        <f>IF(AK192="","",VLOOKUP('Reel 4 Symbol'!AK192,'Reel 4 Symbol'!$A$3:$E$25,5,0))</f>
        <v/>
      </c>
      <c r="AP192" s="8" t="str">
        <f t="shared" si="31"/>
        <v/>
      </c>
      <c r="AQ192" s="8" t="str">
        <f t="shared" si="32"/>
        <v/>
      </c>
      <c r="AR192" s="133"/>
      <c r="AS192" s="27">
        <v>189</v>
      </c>
      <c r="AT192" s="8"/>
      <c r="AU192" s="8"/>
      <c r="AW192" s="8" t="str">
        <f>IF(AT192="","",VLOOKUP('Reel 4 Symbol'!AT192,'Reel 4 Symbol'!$A$3:$E$25,5,0))</f>
        <v/>
      </c>
      <c r="AX192" s="8" t="str">
        <f>IF(AU192="","",VLOOKUP('Reel 4 Symbol'!AU192,'Reel 4 Symbol'!$A$3:$E$25,5,0))</f>
        <v/>
      </c>
      <c r="AZ192" s="8" t="str">
        <f t="shared" si="33"/>
        <v/>
      </c>
      <c r="BA192" s="8" t="str">
        <f t="shared" si="34"/>
        <v/>
      </c>
      <c r="BC192" s="27">
        <v>189</v>
      </c>
      <c r="BD192" s="8"/>
      <c r="BE192" s="8"/>
      <c r="BG192" s="8" t="str">
        <f>IF(BD192="","",VLOOKUP('Reel 4 Symbol'!BD192,'Reel 4 Symbol'!$A$3:$E$25,5,0))</f>
        <v/>
      </c>
      <c r="BH192" s="8" t="str">
        <f>IF(BE192="","",VLOOKUP('Reel 4 Symbol'!BE192,'Reel 4 Symbol'!$A$3:$E$25,5,0))</f>
        <v/>
      </c>
      <c r="BJ192" s="8" t="str">
        <f t="shared" si="35"/>
        <v/>
      </c>
      <c r="BK192" s="8" t="str">
        <f t="shared" si="36"/>
        <v/>
      </c>
    </row>
    <row r="193" spans="24:63" ht="16.8" customHeight="1">
      <c r="X193" s="133"/>
      <c r="Y193" s="27">
        <v>190</v>
      </c>
      <c r="Z193" s="8"/>
      <c r="AA193" s="8"/>
      <c r="AC193" s="8" t="str">
        <f>IF(Z193="","",VLOOKUP('Reel 4 Symbol'!Z193,'Reel 4 Symbol'!$A$3:$E$25,5,0))</f>
        <v/>
      </c>
      <c r="AD193" s="8" t="str">
        <f>IF(AA193="","",VLOOKUP('Reel 4 Symbol'!AA193,'Reel 4 Symbol'!$A$3:$E$25,5,0))</f>
        <v/>
      </c>
      <c r="AF193" s="8" t="str">
        <f t="shared" si="29"/>
        <v/>
      </c>
      <c r="AG193" s="8" t="str">
        <f t="shared" si="30"/>
        <v/>
      </c>
      <c r="AH193" s="133"/>
      <c r="AI193" s="27">
        <v>190</v>
      </c>
      <c r="AJ193" s="8"/>
      <c r="AK193" s="8"/>
      <c r="AM193" s="8" t="str">
        <f>IF(AJ193="","",VLOOKUP('Reel 4 Symbol'!AJ193,'Reel 4 Symbol'!$A$3:$E$25,5,0))</f>
        <v/>
      </c>
      <c r="AN193" s="8" t="str">
        <f>IF(AK193="","",VLOOKUP('Reel 4 Symbol'!AK193,'Reel 4 Symbol'!$A$3:$E$25,5,0))</f>
        <v/>
      </c>
      <c r="AP193" s="8" t="str">
        <f t="shared" si="31"/>
        <v/>
      </c>
      <c r="AQ193" s="8" t="str">
        <f t="shared" si="32"/>
        <v/>
      </c>
      <c r="AR193" s="133"/>
      <c r="AS193" s="27">
        <v>190</v>
      </c>
      <c r="AT193" s="8"/>
      <c r="AU193" s="8"/>
      <c r="AW193" s="8" t="str">
        <f>IF(AT193="","",VLOOKUP('Reel 4 Symbol'!AT193,'Reel 4 Symbol'!$A$3:$E$25,5,0))</f>
        <v/>
      </c>
      <c r="AX193" s="8" t="str">
        <f>IF(AU193="","",VLOOKUP('Reel 4 Symbol'!AU193,'Reel 4 Symbol'!$A$3:$E$25,5,0))</f>
        <v/>
      </c>
      <c r="AZ193" s="8" t="str">
        <f t="shared" si="33"/>
        <v/>
      </c>
      <c r="BA193" s="8" t="str">
        <f t="shared" si="34"/>
        <v/>
      </c>
      <c r="BC193" s="27">
        <v>190</v>
      </c>
      <c r="BD193" s="8"/>
      <c r="BE193" s="8"/>
      <c r="BG193" s="8" t="str">
        <f>IF(BD193="","",VLOOKUP('Reel 4 Symbol'!BD193,'Reel 4 Symbol'!$A$3:$E$25,5,0))</f>
        <v/>
      </c>
      <c r="BH193" s="8" t="str">
        <f>IF(BE193="","",VLOOKUP('Reel 4 Symbol'!BE193,'Reel 4 Symbol'!$A$3:$E$25,5,0))</f>
        <v/>
      </c>
      <c r="BJ193" s="8" t="str">
        <f t="shared" si="35"/>
        <v/>
      </c>
      <c r="BK193" s="8" t="str">
        <f t="shared" si="36"/>
        <v/>
      </c>
    </row>
    <row r="194" spans="24:63" ht="16.8" customHeight="1">
      <c r="X194" s="133"/>
      <c r="Y194" s="27">
        <v>191</v>
      </c>
      <c r="Z194" s="8"/>
      <c r="AA194" s="8"/>
      <c r="AC194" s="8" t="str">
        <f>IF(Z194="","",VLOOKUP('Reel 4 Symbol'!Z194,'Reel 4 Symbol'!$A$3:$E$25,5,0))</f>
        <v/>
      </c>
      <c r="AD194" s="8" t="str">
        <f>IF(AA194="","",VLOOKUP('Reel 4 Symbol'!AA194,'Reel 4 Symbol'!$A$3:$E$25,5,0))</f>
        <v/>
      </c>
      <c r="AF194" s="8" t="str">
        <f t="shared" si="29"/>
        <v/>
      </c>
      <c r="AG194" s="8" t="str">
        <f t="shared" si="30"/>
        <v/>
      </c>
      <c r="AH194" s="133"/>
      <c r="AI194" s="27">
        <v>191</v>
      </c>
      <c r="AJ194" s="8"/>
      <c r="AK194" s="8"/>
      <c r="AM194" s="8" t="str">
        <f>IF(AJ194="","",VLOOKUP('Reel 4 Symbol'!AJ194,'Reel 4 Symbol'!$A$3:$E$25,5,0))</f>
        <v/>
      </c>
      <c r="AN194" s="8" t="str">
        <f>IF(AK194="","",VLOOKUP('Reel 4 Symbol'!AK194,'Reel 4 Symbol'!$A$3:$E$25,5,0))</f>
        <v/>
      </c>
      <c r="AP194" s="8" t="str">
        <f t="shared" si="31"/>
        <v/>
      </c>
      <c r="AQ194" s="8" t="str">
        <f t="shared" si="32"/>
        <v/>
      </c>
      <c r="AR194" s="133"/>
      <c r="AS194" s="27">
        <v>191</v>
      </c>
      <c r="AT194" s="8"/>
      <c r="AU194" s="8"/>
      <c r="AW194" s="8" t="str">
        <f>IF(AT194="","",VLOOKUP('Reel 4 Symbol'!AT194,'Reel 4 Symbol'!$A$3:$E$25,5,0))</f>
        <v/>
      </c>
      <c r="AX194" s="8" t="str">
        <f>IF(AU194="","",VLOOKUP('Reel 4 Symbol'!AU194,'Reel 4 Symbol'!$A$3:$E$25,5,0))</f>
        <v/>
      </c>
      <c r="AZ194" s="8" t="str">
        <f t="shared" si="33"/>
        <v/>
      </c>
      <c r="BA194" s="8" t="str">
        <f t="shared" si="34"/>
        <v/>
      </c>
      <c r="BC194" s="27">
        <v>191</v>
      </c>
      <c r="BD194" s="8"/>
      <c r="BE194" s="8"/>
      <c r="BG194" s="8" t="str">
        <f>IF(BD194="","",VLOOKUP('Reel 4 Symbol'!BD194,'Reel 4 Symbol'!$A$3:$E$25,5,0))</f>
        <v/>
      </c>
      <c r="BH194" s="8" t="str">
        <f>IF(BE194="","",VLOOKUP('Reel 4 Symbol'!BE194,'Reel 4 Symbol'!$A$3:$E$25,5,0))</f>
        <v/>
      </c>
      <c r="BJ194" s="8" t="str">
        <f t="shared" si="35"/>
        <v/>
      </c>
      <c r="BK194" s="8" t="str">
        <f t="shared" si="36"/>
        <v/>
      </c>
    </row>
    <row r="195" spans="24:63" ht="16.8" customHeight="1">
      <c r="X195" s="133"/>
      <c r="Y195" s="27">
        <v>192</v>
      </c>
      <c r="Z195" s="8"/>
      <c r="AA195" s="8"/>
      <c r="AC195" s="8" t="str">
        <f>IF(Z195="","",VLOOKUP('Reel 4 Symbol'!Z195,'Reel 4 Symbol'!$A$3:$E$25,5,0))</f>
        <v/>
      </c>
      <c r="AD195" s="8" t="str">
        <f>IF(AA195="","",VLOOKUP('Reel 4 Symbol'!AA195,'Reel 4 Symbol'!$A$3:$E$25,5,0))</f>
        <v/>
      </c>
      <c r="AF195" s="8" t="str">
        <f t="shared" si="29"/>
        <v/>
      </c>
      <c r="AG195" s="8" t="str">
        <f t="shared" si="30"/>
        <v/>
      </c>
      <c r="AH195" s="133"/>
      <c r="AI195" s="27">
        <v>192</v>
      </c>
      <c r="AJ195" s="8"/>
      <c r="AK195" s="8"/>
      <c r="AM195" s="8" t="str">
        <f>IF(AJ195="","",VLOOKUP('Reel 4 Symbol'!AJ195,'Reel 4 Symbol'!$A$3:$E$25,5,0))</f>
        <v/>
      </c>
      <c r="AN195" s="8" t="str">
        <f>IF(AK195="","",VLOOKUP('Reel 4 Symbol'!AK195,'Reel 4 Symbol'!$A$3:$E$25,5,0))</f>
        <v/>
      </c>
      <c r="AP195" s="8" t="str">
        <f t="shared" si="31"/>
        <v/>
      </c>
      <c r="AQ195" s="8" t="str">
        <f t="shared" si="32"/>
        <v/>
      </c>
      <c r="AR195" s="133"/>
      <c r="AS195" s="27">
        <v>192</v>
      </c>
      <c r="AT195" s="8"/>
      <c r="AU195" s="8"/>
      <c r="AW195" s="8" t="str">
        <f>IF(AT195="","",VLOOKUP('Reel 4 Symbol'!AT195,'Reel 4 Symbol'!$A$3:$E$25,5,0))</f>
        <v/>
      </c>
      <c r="AX195" s="8" t="str">
        <f>IF(AU195="","",VLOOKUP('Reel 4 Symbol'!AU195,'Reel 4 Symbol'!$A$3:$E$25,5,0))</f>
        <v/>
      </c>
      <c r="AZ195" s="8" t="str">
        <f t="shared" si="33"/>
        <v/>
      </c>
      <c r="BA195" s="8" t="str">
        <f t="shared" si="34"/>
        <v/>
      </c>
      <c r="BC195" s="27">
        <v>192</v>
      </c>
      <c r="BD195" s="8"/>
      <c r="BE195" s="8"/>
      <c r="BG195" s="8" t="str">
        <f>IF(BD195="","",VLOOKUP('Reel 4 Symbol'!BD195,'Reel 4 Symbol'!$A$3:$E$25,5,0))</f>
        <v/>
      </c>
      <c r="BH195" s="8" t="str">
        <f>IF(BE195="","",VLOOKUP('Reel 4 Symbol'!BE195,'Reel 4 Symbol'!$A$3:$E$25,5,0))</f>
        <v/>
      </c>
      <c r="BJ195" s="8" t="str">
        <f t="shared" si="35"/>
        <v/>
      </c>
      <c r="BK195" s="8" t="str">
        <f t="shared" si="36"/>
        <v/>
      </c>
    </row>
    <row r="196" spans="24:63" ht="16.8" customHeight="1">
      <c r="X196" s="133"/>
      <c r="Y196" s="27">
        <v>193</v>
      </c>
      <c r="Z196" s="8"/>
      <c r="AA196" s="8"/>
      <c r="AC196" s="8" t="str">
        <f>IF(Z196="","",VLOOKUP('Reel 4 Symbol'!Z196,'Reel 4 Symbol'!$A$3:$E$25,5,0))</f>
        <v/>
      </c>
      <c r="AD196" s="8" t="str">
        <f>IF(AA196="","",VLOOKUP('Reel 4 Symbol'!AA196,'Reel 4 Symbol'!$A$3:$E$25,5,0))</f>
        <v/>
      </c>
      <c r="AF196" s="8" t="str">
        <f t="shared" ref="AF196:AF211" si="37">IF(Z196&lt;&gt;"", VLOOKUP(Z196,$A$3:$B$25,2,0), "")</f>
        <v/>
      </c>
      <c r="AG196" s="8" t="str">
        <f t="shared" ref="AG196:AG211" si="38">IF(AA196&lt;&gt;"", VLOOKUP(AA196,$A$3:$B$25,2,0), "")</f>
        <v/>
      </c>
      <c r="AH196" s="133"/>
      <c r="AI196" s="27">
        <v>193</v>
      </c>
      <c r="AJ196" s="8"/>
      <c r="AK196" s="8"/>
      <c r="AM196" s="8" t="str">
        <f>IF(AJ196="","",VLOOKUP('Reel 4 Symbol'!AJ196,'Reel 4 Symbol'!$A$3:$E$25,5,0))</f>
        <v/>
      </c>
      <c r="AN196" s="8" t="str">
        <f>IF(AK196="","",VLOOKUP('Reel 4 Symbol'!AK196,'Reel 4 Symbol'!$A$3:$E$25,5,0))</f>
        <v/>
      </c>
      <c r="AP196" s="8" t="str">
        <f t="shared" ref="AP196:AP211" si="39">IF(AJ196&lt;&gt;"", VLOOKUP(AJ196,$A$3:$B$25,2,0), "")</f>
        <v/>
      </c>
      <c r="AQ196" s="8" t="str">
        <f t="shared" ref="AQ196:AQ211" si="40">IF(AK196&lt;&gt;"", VLOOKUP(AK196,$A$3:$B$25,2,0), "")</f>
        <v/>
      </c>
      <c r="AR196" s="133"/>
      <c r="AS196" s="27">
        <v>193</v>
      </c>
      <c r="AT196" s="8"/>
      <c r="AU196" s="8"/>
      <c r="AW196" s="8" t="str">
        <f>IF(AT196="","",VLOOKUP('Reel 4 Symbol'!AT196,'Reel 4 Symbol'!$A$3:$E$25,5,0))</f>
        <v/>
      </c>
      <c r="AX196" s="8" t="str">
        <f>IF(AU196="","",VLOOKUP('Reel 4 Symbol'!AU196,'Reel 4 Symbol'!$A$3:$E$25,5,0))</f>
        <v/>
      </c>
      <c r="AZ196" s="8" t="str">
        <f t="shared" ref="AZ196:AZ211" si="41">IF(AT196&lt;&gt;"", VLOOKUP(AT196,$A$3:$B$25,2,0), "")</f>
        <v/>
      </c>
      <c r="BA196" s="8" t="str">
        <f t="shared" ref="BA196:BA211" si="42">IF(AU196&lt;&gt;"", VLOOKUP(AU196,$A$3:$B$25,2,0), "")</f>
        <v/>
      </c>
      <c r="BC196" s="27">
        <v>193</v>
      </c>
      <c r="BD196" s="8"/>
      <c r="BE196" s="8"/>
      <c r="BG196" s="8" t="str">
        <f>IF(BD196="","",VLOOKUP('Reel 4 Symbol'!BD196,'Reel 4 Symbol'!$A$3:$E$25,5,0))</f>
        <v/>
      </c>
      <c r="BH196" s="8" t="str">
        <f>IF(BE196="","",VLOOKUP('Reel 4 Symbol'!BE196,'Reel 4 Symbol'!$A$3:$E$25,5,0))</f>
        <v/>
      </c>
      <c r="BJ196" s="8" t="str">
        <f t="shared" ref="BJ196:BJ211" si="43">IF(BD196&lt;&gt;"", VLOOKUP(BD196,$A$3:$B$25,2,0), "")</f>
        <v/>
      </c>
      <c r="BK196" s="8" t="str">
        <f t="shared" ref="BK196:BK211" si="44">IF(BE196&lt;&gt;"", VLOOKUP(BE196,$A$3:$B$25,2,0), "")</f>
        <v/>
      </c>
    </row>
    <row r="197" spans="24:63" ht="16.8" customHeight="1">
      <c r="X197" s="133"/>
      <c r="Y197" s="27">
        <v>194</v>
      </c>
      <c r="Z197" s="8"/>
      <c r="AA197" s="8"/>
      <c r="AC197" s="8" t="str">
        <f>IF(Z197="","",VLOOKUP('Reel 4 Symbol'!Z197,'Reel 4 Symbol'!$A$3:$E$25,5,0))</f>
        <v/>
      </c>
      <c r="AD197" s="8" t="str">
        <f>IF(AA197="","",VLOOKUP('Reel 4 Symbol'!AA197,'Reel 4 Symbol'!$A$3:$E$25,5,0))</f>
        <v/>
      </c>
      <c r="AF197" s="8" t="str">
        <f t="shared" si="37"/>
        <v/>
      </c>
      <c r="AG197" s="8" t="str">
        <f t="shared" si="38"/>
        <v/>
      </c>
      <c r="AH197" s="133"/>
      <c r="AI197" s="27">
        <v>194</v>
      </c>
      <c r="AJ197" s="8"/>
      <c r="AK197" s="8"/>
      <c r="AM197" s="8" t="str">
        <f>IF(AJ197="","",VLOOKUP('Reel 4 Symbol'!AJ197,'Reel 4 Symbol'!$A$3:$E$25,5,0))</f>
        <v/>
      </c>
      <c r="AN197" s="8" t="str">
        <f>IF(AK197="","",VLOOKUP('Reel 4 Symbol'!AK197,'Reel 4 Symbol'!$A$3:$E$25,5,0))</f>
        <v/>
      </c>
      <c r="AP197" s="8" t="str">
        <f t="shared" si="39"/>
        <v/>
      </c>
      <c r="AQ197" s="8" t="str">
        <f t="shared" si="40"/>
        <v/>
      </c>
      <c r="AR197" s="133"/>
      <c r="AS197" s="27">
        <v>194</v>
      </c>
      <c r="AT197" s="8"/>
      <c r="AU197" s="8"/>
      <c r="AW197" s="8" t="str">
        <f>IF(AT197="","",VLOOKUP('Reel 4 Symbol'!AT197,'Reel 4 Symbol'!$A$3:$E$25,5,0))</f>
        <v/>
      </c>
      <c r="AX197" s="8" t="str">
        <f>IF(AU197="","",VLOOKUP('Reel 4 Symbol'!AU197,'Reel 4 Symbol'!$A$3:$E$25,5,0))</f>
        <v/>
      </c>
      <c r="AZ197" s="8" t="str">
        <f t="shared" si="41"/>
        <v/>
      </c>
      <c r="BA197" s="8" t="str">
        <f t="shared" si="42"/>
        <v/>
      </c>
      <c r="BC197" s="27">
        <v>194</v>
      </c>
      <c r="BD197" s="8"/>
      <c r="BE197" s="8"/>
      <c r="BG197" s="8" t="str">
        <f>IF(BD197="","",VLOOKUP('Reel 4 Symbol'!BD197,'Reel 4 Symbol'!$A$3:$E$25,5,0))</f>
        <v/>
      </c>
      <c r="BH197" s="8" t="str">
        <f>IF(BE197="","",VLOOKUP('Reel 4 Symbol'!BE197,'Reel 4 Symbol'!$A$3:$E$25,5,0))</f>
        <v/>
      </c>
      <c r="BJ197" s="8" t="str">
        <f t="shared" si="43"/>
        <v/>
      </c>
      <c r="BK197" s="8" t="str">
        <f t="shared" si="44"/>
        <v/>
      </c>
    </row>
    <row r="198" spans="24:63" ht="16.8" customHeight="1">
      <c r="X198" s="133"/>
      <c r="Y198" s="27">
        <v>195</v>
      </c>
      <c r="Z198" s="8"/>
      <c r="AA198" s="8"/>
      <c r="AC198" s="8" t="str">
        <f>IF(Z198="","",VLOOKUP('Reel 4 Symbol'!Z198,'Reel 4 Symbol'!$A$3:$E$25,5,0))</f>
        <v/>
      </c>
      <c r="AD198" s="8" t="str">
        <f>IF(AA198="","",VLOOKUP('Reel 4 Symbol'!AA198,'Reel 4 Symbol'!$A$3:$E$25,5,0))</f>
        <v/>
      </c>
      <c r="AF198" s="8" t="str">
        <f t="shared" si="37"/>
        <v/>
      </c>
      <c r="AG198" s="8" t="str">
        <f t="shared" si="38"/>
        <v/>
      </c>
      <c r="AH198" s="133"/>
      <c r="AI198" s="27">
        <v>195</v>
      </c>
      <c r="AJ198" s="8"/>
      <c r="AK198" s="8"/>
      <c r="AM198" s="8" t="str">
        <f>IF(AJ198="","",VLOOKUP('Reel 4 Symbol'!AJ198,'Reel 4 Symbol'!$A$3:$E$25,5,0))</f>
        <v/>
      </c>
      <c r="AN198" s="8" t="str">
        <f>IF(AK198="","",VLOOKUP('Reel 4 Symbol'!AK198,'Reel 4 Symbol'!$A$3:$E$25,5,0))</f>
        <v/>
      </c>
      <c r="AP198" s="8" t="str">
        <f t="shared" si="39"/>
        <v/>
      </c>
      <c r="AQ198" s="8" t="str">
        <f t="shared" si="40"/>
        <v/>
      </c>
      <c r="AR198" s="133"/>
      <c r="AS198" s="27">
        <v>195</v>
      </c>
      <c r="AT198" s="8"/>
      <c r="AU198" s="8"/>
      <c r="AW198" s="8" t="str">
        <f>IF(AT198="","",VLOOKUP('Reel 4 Symbol'!AT198,'Reel 4 Symbol'!$A$3:$E$25,5,0))</f>
        <v/>
      </c>
      <c r="AX198" s="8" t="str">
        <f>IF(AU198="","",VLOOKUP('Reel 4 Symbol'!AU198,'Reel 4 Symbol'!$A$3:$E$25,5,0))</f>
        <v/>
      </c>
      <c r="AZ198" s="8" t="str">
        <f t="shared" si="41"/>
        <v/>
      </c>
      <c r="BA198" s="8" t="str">
        <f t="shared" si="42"/>
        <v/>
      </c>
      <c r="BC198" s="27">
        <v>195</v>
      </c>
      <c r="BD198" s="8"/>
      <c r="BE198" s="8"/>
      <c r="BG198" s="8" t="str">
        <f>IF(BD198="","",VLOOKUP('Reel 4 Symbol'!BD198,'Reel 4 Symbol'!$A$3:$E$25,5,0))</f>
        <v/>
      </c>
      <c r="BH198" s="8" t="str">
        <f>IF(BE198="","",VLOOKUP('Reel 4 Symbol'!BE198,'Reel 4 Symbol'!$A$3:$E$25,5,0))</f>
        <v/>
      </c>
      <c r="BJ198" s="8" t="str">
        <f t="shared" si="43"/>
        <v/>
      </c>
      <c r="BK198" s="8" t="str">
        <f t="shared" si="44"/>
        <v/>
      </c>
    </row>
    <row r="199" spans="24:63" ht="16.8" customHeight="1">
      <c r="X199" s="133"/>
      <c r="Y199" s="27">
        <v>196</v>
      </c>
      <c r="Z199" s="8"/>
      <c r="AA199" s="8"/>
      <c r="AC199" s="8" t="str">
        <f>IF(Z199="","",VLOOKUP('Reel 4 Symbol'!Z199,'Reel 4 Symbol'!$A$3:$E$25,5,0))</f>
        <v/>
      </c>
      <c r="AD199" s="8" t="str">
        <f>IF(AA199="","",VLOOKUP('Reel 4 Symbol'!AA199,'Reel 4 Symbol'!$A$3:$E$25,5,0))</f>
        <v/>
      </c>
      <c r="AF199" s="8" t="str">
        <f t="shared" si="37"/>
        <v/>
      </c>
      <c r="AG199" s="8" t="str">
        <f t="shared" si="38"/>
        <v/>
      </c>
      <c r="AH199" s="133"/>
      <c r="AI199" s="27">
        <v>196</v>
      </c>
      <c r="AJ199" s="8"/>
      <c r="AK199" s="8"/>
      <c r="AM199" s="8" t="str">
        <f>IF(AJ199="","",VLOOKUP('Reel 4 Symbol'!AJ199,'Reel 4 Symbol'!$A$3:$E$25,5,0))</f>
        <v/>
      </c>
      <c r="AN199" s="8" t="str">
        <f>IF(AK199="","",VLOOKUP('Reel 4 Symbol'!AK199,'Reel 4 Symbol'!$A$3:$E$25,5,0))</f>
        <v/>
      </c>
      <c r="AP199" s="8" t="str">
        <f t="shared" si="39"/>
        <v/>
      </c>
      <c r="AQ199" s="8" t="str">
        <f t="shared" si="40"/>
        <v/>
      </c>
      <c r="AR199" s="133"/>
      <c r="AS199" s="27">
        <v>196</v>
      </c>
      <c r="AT199" s="8"/>
      <c r="AU199" s="8"/>
      <c r="AW199" s="8" t="str">
        <f>IF(AT199="","",VLOOKUP('Reel 4 Symbol'!AT199,'Reel 4 Symbol'!$A$3:$E$25,5,0))</f>
        <v/>
      </c>
      <c r="AX199" s="8" t="str">
        <f>IF(AU199="","",VLOOKUP('Reel 4 Symbol'!AU199,'Reel 4 Symbol'!$A$3:$E$25,5,0))</f>
        <v/>
      </c>
      <c r="AZ199" s="8" t="str">
        <f t="shared" si="41"/>
        <v/>
      </c>
      <c r="BA199" s="8" t="str">
        <f t="shared" si="42"/>
        <v/>
      </c>
      <c r="BC199" s="27">
        <v>196</v>
      </c>
      <c r="BD199" s="8"/>
      <c r="BE199" s="8"/>
      <c r="BG199" s="8" t="str">
        <f>IF(BD199="","",VLOOKUP('Reel 4 Symbol'!BD199,'Reel 4 Symbol'!$A$3:$E$25,5,0))</f>
        <v/>
      </c>
      <c r="BH199" s="8" t="str">
        <f>IF(BE199="","",VLOOKUP('Reel 4 Symbol'!BE199,'Reel 4 Symbol'!$A$3:$E$25,5,0))</f>
        <v/>
      </c>
      <c r="BJ199" s="8" t="str">
        <f t="shared" si="43"/>
        <v/>
      </c>
      <c r="BK199" s="8" t="str">
        <f t="shared" si="44"/>
        <v/>
      </c>
    </row>
    <row r="200" spans="24:63" ht="16.8" customHeight="1">
      <c r="X200" s="133"/>
      <c r="Y200" s="27">
        <v>197</v>
      </c>
      <c r="Z200" s="8"/>
      <c r="AA200" s="8"/>
      <c r="AC200" s="8" t="str">
        <f>IF(Z200="","",VLOOKUP('Reel 4 Symbol'!Z200,'Reel 4 Symbol'!$A$3:$E$25,5,0))</f>
        <v/>
      </c>
      <c r="AD200" s="8" t="str">
        <f>IF(AA200="","",VLOOKUP('Reel 4 Symbol'!AA200,'Reel 4 Symbol'!$A$3:$E$25,5,0))</f>
        <v/>
      </c>
      <c r="AF200" s="8" t="str">
        <f t="shared" si="37"/>
        <v/>
      </c>
      <c r="AG200" s="8" t="str">
        <f t="shared" si="38"/>
        <v/>
      </c>
      <c r="AH200" s="133"/>
      <c r="AI200" s="27">
        <v>197</v>
      </c>
      <c r="AJ200" s="8"/>
      <c r="AK200" s="8"/>
      <c r="AM200" s="8" t="str">
        <f>IF(AJ200="","",VLOOKUP('Reel 4 Symbol'!AJ200,'Reel 4 Symbol'!$A$3:$E$25,5,0))</f>
        <v/>
      </c>
      <c r="AN200" s="8" t="str">
        <f>IF(AK200="","",VLOOKUP('Reel 4 Symbol'!AK200,'Reel 4 Symbol'!$A$3:$E$25,5,0))</f>
        <v/>
      </c>
      <c r="AP200" s="8" t="str">
        <f t="shared" si="39"/>
        <v/>
      </c>
      <c r="AQ200" s="8" t="str">
        <f t="shared" si="40"/>
        <v/>
      </c>
      <c r="AR200" s="133"/>
      <c r="AS200" s="27">
        <v>197</v>
      </c>
      <c r="AT200" s="8"/>
      <c r="AU200" s="8"/>
      <c r="AW200" s="8" t="str">
        <f>IF(AT200="","",VLOOKUP('Reel 4 Symbol'!AT200,'Reel 4 Symbol'!$A$3:$E$25,5,0))</f>
        <v/>
      </c>
      <c r="AX200" s="8" t="str">
        <f>IF(AU200="","",VLOOKUP('Reel 4 Symbol'!AU200,'Reel 4 Symbol'!$A$3:$E$25,5,0))</f>
        <v/>
      </c>
      <c r="AZ200" s="8" t="str">
        <f t="shared" si="41"/>
        <v/>
      </c>
      <c r="BA200" s="8" t="str">
        <f t="shared" si="42"/>
        <v/>
      </c>
      <c r="BC200" s="27">
        <v>197</v>
      </c>
      <c r="BD200" s="8"/>
      <c r="BE200" s="8"/>
      <c r="BG200" s="8" t="str">
        <f>IF(BD200="","",VLOOKUP('Reel 4 Symbol'!BD200,'Reel 4 Symbol'!$A$3:$E$25,5,0))</f>
        <v/>
      </c>
      <c r="BH200" s="8" t="str">
        <f>IF(BE200="","",VLOOKUP('Reel 4 Symbol'!BE200,'Reel 4 Symbol'!$A$3:$E$25,5,0))</f>
        <v/>
      </c>
      <c r="BJ200" s="8" t="str">
        <f t="shared" si="43"/>
        <v/>
      </c>
      <c r="BK200" s="8" t="str">
        <f t="shared" si="44"/>
        <v/>
      </c>
    </row>
    <row r="201" spans="24:63" ht="16.8" customHeight="1">
      <c r="X201" s="133"/>
      <c r="Y201" s="27">
        <v>198</v>
      </c>
      <c r="Z201" s="8"/>
      <c r="AA201" s="8"/>
      <c r="AC201" s="8" t="str">
        <f>IF(Z201="","",VLOOKUP('Reel 4 Symbol'!Z201,'Reel 4 Symbol'!$A$3:$E$25,5,0))</f>
        <v/>
      </c>
      <c r="AD201" s="8" t="str">
        <f>IF(AA201="","",VLOOKUP('Reel 4 Symbol'!AA201,'Reel 4 Symbol'!$A$3:$E$25,5,0))</f>
        <v/>
      </c>
      <c r="AF201" s="8" t="str">
        <f t="shared" si="37"/>
        <v/>
      </c>
      <c r="AG201" s="8" t="str">
        <f t="shared" si="38"/>
        <v/>
      </c>
      <c r="AH201" s="133"/>
      <c r="AI201" s="27">
        <v>198</v>
      </c>
      <c r="AJ201" s="8"/>
      <c r="AK201" s="8"/>
      <c r="AM201" s="8" t="str">
        <f>IF(AJ201="","",VLOOKUP('Reel 4 Symbol'!AJ201,'Reel 4 Symbol'!$A$3:$E$25,5,0))</f>
        <v/>
      </c>
      <c r="AN201" s="8" t="str">
        <f>IF(AK201="","",VLOOKUP('Reel 4 Symbol'!AK201,'Reel 4 Symbol'!$A$3:$E$25,5,0))</f>
        <v/>
      </c>
      <c r="AP201" s="8" t="str">
        <f t="shared" si="39"/>
        <v/>
      </c>
      <c r="AQ201" s="8" t="str">
        <f t="shared" si="40"/>
        <v/>
      </c>
      <c r="AR201" s="133"/>
      <c r="AS201" s="27">
        <v>198</v>
      </c>
      <c r="AT201" s="8"/>
      <c r="AU201" s="8"/>
      <c r="AW201" s="8" t="str">
        <f>IF(AT201="","",VLOOKUP('Reel 4 Symbol'!AT201,'Reel 4 Symbol'!$A$3:$E$25,5,0))</f>
        <v/>
      </c>
      <c r="AX201" s="8" t="str">
        <f>IF(AU201="","",VLOOKUP('Reel 4 Symbol'!AU201,'Reel 4 Symbol'!$A$3:$E$25,5,0))</f>
        <v/>
      </c>
      <c r="AZ201" s="8" t="str">
        <f t="shared" si="41"/>
        <v/>
      </c>
      <c r="BA201" s="8" t="str">
        <f t="shared" si="42"/>
        <v/>
      </c>
      <c r="BC201" s="27">
        <v>198</v>
      </c>
      <c r="BD201" s="8"/>
      <c r="BE201" s="8"/>
      <c r="BG201" s="8" t="str">
        <f>IF(BD201="","",VLOOKUP('Reel 4 Symbol'!BD201,'Reel 4 Symbol'!$A$3:$E$25,5,0))</f>
        <v/>
      </c>
      <c r="BH201" s="8" t="str">
        <f>IF(BE201="","",VLOOKUP('Reel 4 Symbol'!BE201,'Reel 4 Symbol'!$A$3:$E$25,5,0))</f>
        <v/>
      </c>
      <c r="BJ201" s="8" t="str">
        <f t="shared" si="43"/>
        <v/>
      </c>
      <c r="BK201" s="8" t="str">
        <f t="shared" si="44"/>
        <v/>
      </c>
    </row>
    <row r="202" spans="24:63" ht="16.8" customHeight="1">
      <c r="X202" s="133"/>
      <c r="Y202" s="27">
        <v>199</v>
      </c>
      <c r="Z202" s="8"/>
      <c r="AA202" s="8"/>
      <c r="AC202" s="8" t="str">
        <f>IF(Z202="","",VLOOKUP('Reel 4 Symbol'!Z202,'Reel 4 Symbol'!$A$3:$E$25,5,0))</f>
        <v/>
      </c>
      <c r="AD202" s="8" t="str">
        <f>IF(AA202="","",VLOOKUP('Reel 4 Symbol'!AA202,'Reel 4 Symbol'!$A$3:$E$25,5,0))</f>
        <v/>
      </c>
      <c r="AF202" s="8" t="str">
        <f t="shared" si="37"/>
        <v/>
      </c>
      <c r="AG202" s="8" t="str">
        <f t="shared" si="38"/>
        <v/>
      </c>
      <c r="AH202" s="133"/>
      <c r="AI202" s="27">
        <v>199</v>
      </c>
      <c r="AJ202" s="8"/>
      <c r="AK202" s="8"/>
      <c r="AM202" s="8" t="str">
        <f>IF(AJ202="","",VLOOKUP('Reel 4 Symbol'!AJ202,'Reel 4 Symbol'!$A$3:$E$25,5,0))</f>
        <v/>
      </c>
      <c r="AN202" s="8" t="str">
        <f>IF(AK202="","",VLOOKUP('Reel 4 Symbol'!AK202,'Reel 4 Symbol'!$A$3:$E$25,5,0))</f>
        <v/>
      </c>
      <c r="AP202" s="8" t="str">
        <f t="shared" si="39"/>
        <v/>
      </c>
      <c r="AQ202" s="8" t="str">
        <f t="shared" si="40"/>
        <v/>
      </c>
      <c r="AR202" s="133"/>
      <c r="AS202" s="27">
        <v>199</v>
      </c>
      <c r="AT202" s="8"/>
      <c r="AU202" s="8"/>
      <c r="AW202" s="8" t="str">
        <f>IF(AT202="","",VLOOKUP('Reel 4 Symbol'!AT202,'Reel 4 Symbol'!$A$3:$E$25,5,0))</f>
        <v/>
      </c>
      <c r="AX202" s="8" t="str">
        <f>IF(AU202="","",VLOOKUP('Reel 4 Symbol'!AU202,'Reel 4 Symbol'!$A$3:$E$25,5,0))</f>
        <v/>
      </c>
      <c r="AZ202" s="8" t="str">
        <f t="shared" si="41"/>
        <v/>
      </c>
      <c r="BA202" s="8" t="str">
        <f t="shared" si="42"/>
        <v/>
      </c>
      <c r="BC202" s="27">
        <v>199</v>
      </c>
      <c r="BD202" s="8"/>
      <c r="BE202" s="8"/>
      <c r="BG202" s="8" t="str">
        <f>IF(BD202="","",VLOOKUP('Reel 4 Symbol'!BD202,'Reel 4 Symbol'!$A$3:$E$25,5,0))</f>
        <v/>
      </c>
      <c r="BH202" s="8" t="str">
        <f>IF(BE202="","",VLOOKUP('Reel 4 Symbol'!BE202,'Reel 4 Symbol'!$A$3:$E$25,5,0))</f>
        <v/>
      </c>
      <c r="BJ202" s="8" t="str">
        <f t="shared" si="43"/>
        <v/>
      </c>
      <c r="BK202" s="8" t="str">
        <f t="shared" si="44"/>
        <v/>
      </c>
    </row>
    <row r="203" spans="24:63" ht="16.8" customHeight="1">
      <c r="X203" s="133"/>
      <c r="Y203" s="27">
        <v>200</v>
      </c>
      <c r="Z203" s="8"/>
      <c r="AA203" s="8"/>
      <c r="AC203" s="8" t="str">
        <f>IF(Z203="","",VLOOKUP('Reel 4 Symbol'!Z203,'Reel 4 Symbol'!$A$3:$E$25,5,0))</f>
        <v/>
      </c>
      <c r="AD203" s="8" t="str">
        <f>IF(AA203="","",VLOOKUP('Reel 4 Symbol'!AA203,'Reel 4 Symbol'!$A$3:$E$25,5,0))</f>
        <v/>
      </c>
      <c r="AF203" s="8" t="str">
        <f t="shared" si="37"/>
        <v/>
      </c>
      <c r="AG203" s="8" t="str">
        <f t="shared" si="38"/>
        <v/>
      </c>
      <c r="AH203" s="133"/>
      <c r="AI203" s="27">
        <v>200</v>
      </c>
      <c r="AJ203" s="8"/>
      <c r="AK203" s="8"/>
      <c r="AM203" s="8" t="str">
        <f>IF(AJ203="","",VLOOKUP('Reel 4 Symbol'!AJ203,'Reel 4 Symbol'!$A$3:$E$25,5,0))</f>
        <v/>
      </c>
      <c r="AN203" s="8" t="str">
        <f>IF(AK203="","",VLOOKUP('Reel 4 Symbol'!AK203,'Reel 4 Symbol'!$A$3:$E$25,5,0))</f>
        <v/>
      </c>
      <c r="AP203" s="8" t="str">
        <f t="shared" si="39"/>
        <v/>
      </c>
      <c r="AQ203" s="8" t="str">
        <f t="shared" si="40"/>
        <v/>
      </c>
      <c r="AR203" s="133"/>
      <c r="AS203" s="27">
        <v>200</v>
      </c>
      <c r="AT203" s="8"/>
      <c r="AU203" s="8"/>
      <c r="AW203" s="8" t="str">
        <f>IF(AT203="","",VLOOKUP('Reel 4 Symbol'!AT203,'Reel 4 Symbol'!$A$3:$E$25,5,0))</f>
        <v/>
      </c>
      <c r="AX203" s="8" t="str">
        <f>IF(AU203="","",VLOOKUP('Reel 4 Symbol'!AU203,'Reel 4 Symbol'!$A$3:$E$25,5,0))</f>
        <v/>
      </c>
      <c r="AZ203" s="8" t="str">
        <f t="shared" si="41"/>
        <v/>
      </c>
      <c r="BA203" s="8" t="str">
        <f t="shared" si="42"/>
        <v/>
      </c>
      <c r="BC203" s="27">
        <v>200</v>
      </c>
      <c r="BD203" s="8"/>
      <c r="BE203" s="8"/>
      <c r="BG203" s="8" t="str">
        <f>IF(BD203="","",VLOOKUP('Reel 4 Symbol'!BD203,'Reel 4 Symbol'!$A$3:$E$25,5,0))</f>
        <v/>
      </c>
      <c r="BH203" s="8" t="str">
        <f>IF(BE203="","",VLOOKUP('Reel 4 Symbol'!BE203,'Reel 4 Symbol'!$A$3:$E$25,5,0))</f>
        <v/>
      </c>
      <c r="BJ203" s="8" t="str">
        <f t="shared" si="43"/>
        <v/>
      </c>
      <c r="BK203" s="8" t="str">
        <f t="shared" si="44"/>
        <v/>
      </c>
    </row>
    <row r="204" spans="24:63" ht="16.8" customHeight="1">
      <c r="X204" s="133"/>
      <c r="Y204" s="27">
        <v>201</v>
      </c>
      <c r="Z204" s="8"/>
      <c r="AA204" s="8"/>
      <c r="AC204" s="8" t="str">
        <f>IF(Z204="","",VLOOKUP('Reel 4 Symbol'!Z204,'Reel 4 Symbol'!$A$3:$E$25,5,0))</f>
        <v/>
      </c>
      <c r="AD204" s="8" t="str">
        <f>IF(AA204="","",VLOOKUP('Reel 4 Symbol'!AA204,'Reel 4 Symbol'!$A$3:$E$25,5,0))</f>
        <v/>
      </c>
      <c r="AF204" s="8" t="str">
        <f t="shared" si="37"/>
        <v/>
      </c>
      <c r="AG204" s="8" t="str">
        <f t="shared" si="38"/>
        <v/>
      </c>
      <c r="AH204" s="133"/>
      <c r="AI204" s="27">
        <v>201</v>
      </c>
      <c r="AJ204" s="8"/>
      <c r="AK204" s="8"/>
      <c r="AM204" s="8" t="str">
        <f>IF(AJ204="","",VLOOKUP('Reel 4 Symbol'!AJ204,'Reel 4 Symbol'!$A$3:$E$25,5,0))</f>
        <v/>
      </c>
      <c r="AN204" s="8" t="str">
        <f>IF(AK204="","",VLOOKUP('Reel 4 Symbol'!AK204,'Reel 4 Symbol'!$A$3:$E$25,5,0))</f>
        <v/>
      </c>
      <c r="AP204" s="8" t="str">
        <f t="shared" si="39"/>
        <v/>
      </c>
      <c r="AQ204" s="8" t="str">
        <f t="shared" si="40"/>
        <v/>
      </c>
      <c r="AR204" s="133"/>
      <c r="AS204" s="27">
        <v>201</v>
      </c>
      <c r="AT204" s="8"/>
      <c r="AU204" s="8"/>
      <c r="AW204" s="8" t="str">
        <f>IF(AT204="","",VLOOKUP('Reel 4 Symbol'!AT204,'Reel 4 Symbol'!$A$3:$E$25,5,0))</f>
        <v/>
      </c>
      <c r="AX204" s="8" t="str">
        <f>IF(AU204="","",VLOOKUP('Reel 4 Symbol'!AU204,'Reel 4 Symbol'!$A$3:$E$25,5,0))</f>
        <v/>
      </c>
      <c r="AZ204" s="8" t="str">
        <f t="shared" si="41"/>
        <v/>
      </c>
      <c r="BA204" s="8" t="str">
        <f t="shared" si="42"/>
        <v/>
      </c>
      <c r="BC204" s="27">
        <v>201</v>
      </c>
      <c r="BD204" s="8"/>
      <c r="BE204" s="8"/>
      <c r="BG204" s="8" t="str">
        <f>IF(BD204="","",VLOOKUP('Reel 4 Symbol'!BD204,'Reel 4 Symbol'!$A$3:$E$25,5,0))</f>
        <v/>
      </c>
      <c r="BH204" s="8" t="str">
        <f>IF(BE204="","",VLOOKUP('Reel 4 Symbol'!BE204,'Reel 4 Symbol'!$A$3:$E$25,5,0))</f>
        <v/>
      </c>
      <c r="BJ204" s="8" t="str">
        <f t="shared" si="43"/>
        <v/>
      </c>
      <c r="BK204" s="8" t="str">
        <f t="shared" si="44"/>
        <v/>
      </c>
    </row>
    <row r="205" spans="24:63" ht="16.8" customHeight="1">
      <c r="X205" s="133"/>
      <c r="Y205" s="27">
        <v>202</v>
      </c>
      <c r="Z205" s="8"/>
      <c r="AA205" s="8"/>
      <c r="AC205" s="8" t="str">
        <f>IF(Z205="","",VLOOKUP('Reel 4 Symbol'!Z205,'Reel 4 Symbol'!$A$3:$E$25,5,0))</f>
        <v/>
      </c>
      <c r="AD205" s="8" t="str">
        <f>IF(AA205="","",VLOOKUP('Reel 4 Symbol'!AA205,'Reel 4 Symbol'!$A$3:$E$25,5,0))</f>
        <v/>
      </c>
      <c r="AF205" s="8" t="str">
        <f t="shared" si="37"/>
        <v/>
      </c>
      <c r="AG205" s="8" t="str">
        <f t="shared" si="38"/>
        <v/>
      </c>
      <c r="AH205" s="133"/>
      <c r="AI205" s="27">
        <v>202</v>
      </c>
      <c r="AJ205" s="8"/>
      <c r="AK205" s="8"/>
      <c r="AM205" s="8" t="str">
        <f>IF(AJ205="","",VLOOKUP('Reel 4 Symbol'!AJ205,'Reel 4 Symbol'!$A$3:$E$25,5,0))</f>
        <v/>
      </c>
      <c r="AN205" s="8" t="str">
        <f>IF(AK205="","",VLOOKUP('Reel 4 Symbol'!AK205,'Reel 4 Symbol'!$A$3:$E$25,5,0))</f>
        <v/>
      </c>
      <c r="AP205" s="8" t="str">
        <f t="shared" si="39"/>
        <v/>
      </c>
      <c r="AQ205" s="8" t="str">
        <f t="shared" si="40"/>
        <v/>
      </c>
      <c r="AR205" s="133"/>
      <c r="AS205" s="27">
        <v>202</v>
      </c>
      <c r="AT205" s="8"/>
      <c r="AU205" s="8"/>
      <c r="AW205" s="8" t="str">
        <f>IF(AT205="","",VLOOKUP('Reel 4 Symbol'!AT205,'Reel 4 Symbol'!$A$3:$E$25,5,0))</f>
        <v/>
      </c>
      <c r="AX205" s="8" t="str">
        <f>IF(AU205="","",VLOOKUP('Reel 4 Symbol'!AU205,'Reel 4 Symbol'!$A$3:$E$25,5,0))</f>
        <v/>
      </c>
      <c r="AZ205" s="8" t="str">
        <f t="shared" si="41"/>
        <v/>
      </c>
      <c r="BA205" s="8" t="str">
        <f t="shared" si="42"/>
        <v/>
      </c>
      <c r="BC205" s="27">
        <v>202</v>
      </c>
      <c r="BD205" s="8"/>
      <c r="BE205" s="8"/>
      <c r="BG205" s="8" t="str">
        <f>IF(BD205="","",VLOOKUP('Reel 4 Symbol'!BD205,'Reel 4 Symbol'!$A$3:$E$25,5,0))</f>
        <v/>
      </c>
      <c r="BH205" s="8" t="str">
        <f>IF(BE205="","",VLOOKUP('Reel 4 Symbol'!BE205,'Reel 4 Symbol'!$A$3:$E$25,5,0))</f>
        <v/>
      </c>
      <c r="BJ205" s="8" t="str">
        <f t="shared" si="43"/>
        <v/>
      </c>
      <c r="BK205" s="8" t="str">
        <f t="shared" si="44"/>
        <v/>
      </c>
    </row>
    <row r="206" spans="24:63" ht="16.8" customHeight="1">
      <c r="X206" s="133"/>
      <c r="Y206" s="27">
        <v>203</v>
      </c>
      <c r="Z206" s="8"/>
      <c r="AA206" s="8"/>
      <c r="AC206" s="8" t="str">
        <f>IF(Z206="","",VLOOKUP('Reel 4 Symbol'!Z206,'Reel 4 Symbol'!$A$3:$E$25,5,0))</f>
        <v/>
      </c>
      <c r="AD206" s="8" t="str">
        <f>IF(AA206="","",VLOOKUP('Reel 4 Symbol'!AA206,'Reel 4 Symbol'!$A$3:$E$25,5,0))</f>
        <v/>
      </c>
      <c r="AF206" s="8" t="str">
        <f t="shared" si="37"/>
        <v/>
      </c>
      <c r="AG206" s="8" t="str">
        <f t="shared" si="38"/>
        <v/>
      </c>
      <c r="AH206" s="133"/>
      <c r="AI206" s="27">
        <v>203</v>
      </c>
      <c r="AJ206" s="8"/>
      <c r="AK206" s="8"/>
      <c r="AM206" s="8" t="str">
        <f>IF(AJ206="","",VLOOKUP('Reel 4 Symbol'!AJ206,'Reel 4 Symbol'!$A$3:$E$25,5,0))</f>
        <v/>
      </c>
      <c r="AN206" s="8" t="str">
        <f>IF(AK206="","",VLOOKUP('Reel 4 Symbol'!AK206,'Reel 4 Symbol'!$A$3:$E$25,5,0))</f>
        <v/>
      </c>
      <c r="AP206" s="8" t="str">
        <f t="shared" si="39"/>
        <v/>
      </c>
      <c r="AQ206" s="8" t="str">
        <f t="shared" si="40"/>
        <v/>
      </c>
      <c r="AR206" s="133"/>
      <c r="AS206" s="27">
        <v>203</v>
      </c>
      <c r="AT206" s="8"/>
      <c r="AU206" s="8"/>
      <c r="AW206" s="8" t="str">
        <f>IF(AT206="","",VLOOKUP('Reel 4 Symbol'!AT206,'Reel 4 Symbol'!$A$3:$E$25,5,0))</f>
        <v/>
      </c>
      <c r="AX206" s="8" t="str">
        <f>IF(AU206="","",VLOOKUP('Reel 4 Symbol'!AU206,'Reel 4 Symbol'!$A$3:$E$25,5,0))</f>
        <v/>
      </c>
      <c r="AZ206" s="8" t="str">
        <f t="shared" si="41"/>
        <v/>
      </c>
      <c r="BA206" s="8" t="str">
        <f t="shared" si="42"/>
        <v/>
      </c>
      <c r="BC206" s="27">
        <v>203</v>
      </c>
      <c r="BD206" s="8"/>
      <c r="BE206" s="8"/>
      <c r="BG206" s="8" t="str">
        <f>IF(BD206="","",VLOOKUP('Reel 4 Symbol'!BD206,'Reel 4 Symbol'!$A$3:$E$25,5,0))</f>
        <v/>
      </c>
      <c r="BH206" s="8" t="str">
        <f>IF(BE206="","",VLOOKUP('Reel 4 Symbol'!BE206,'Reel 4 Symbol'!$A$3:$E$25,5,0))</f>
        <v/>
      </c>
      <c r="BJ206" s="8" t="str">
        <f t="shared" si="43"/>
        <v/>
      </c>
      <c r="BK206" s="8" t="str">
        <f t="shared" si="44"/>
        <v/>
      </c>
    </row>
    <row r="207" spans="24:63" ht="16.8" customHeight="1">
      <c r="X207" s="133"/>
      <c r="Y207" s="27">
        <v>204</v>
      </c>
      <c r="Z207" s="8"/>
      <c r="AA207" s="8"/>
      <c r="AC207" s="8" t="str">
        <f>IF(Z207="","",VLOOKUP('Reel 4 Symbol'!Z207,'Reel 4 Symbol'!$A$3:$E$25,5,0))</f>
        <v/>
      </c>
      <c r="AD207" s="8" t="str">
        <f>IF(AA207="","",VLOOKUP('Reel 4 Symbol'!AA207,'Reel 4 Symbol'!$A$3:$E$25,5,0))</f>
        <v/>
      </c>
      <c r="AF207" s="8" t="str">
        <f t="shared" si="37"/>
        <v/>
      </c>
      <c r="AG207" s="8" t="str">
        <f t="shared" si="38"/>
        <v/>
      </c>
      <c r="AH207" s="133"/>
      <c r="AI207" s="27">
        <v>204</v>
      </c>
      <c r="AJ207" s="8"/>
      <c r="AK207" s="8"/>
      <c r="AM207" s="8" t="str">
        <f>IF(AJ207="","",VLOOKUP('Reel 4 Symbol'!AJ207,'Reel 4 Symbol'!$A$3:$E$25,5,0))</f>
        <v/>
      </c>
      <c r="AN207" s="8" t="str">
        <f>IF(AK207="","",VLOOKUP('Reel 4 Symbol'!AK207,'Reel 4 Symbol'!$A$3:$E$25,5,0))</f>
        <v/>
      </c>
      <c r="AP207" s="8" t="str">
        <f t="shared" si="39"/>
        <v/>
      </c>
      <c r="AQ207" s="8" t="str">
        <f t="shared" si="40"/>
        <v/>
      </c>
      <c r="AR207" s="133"/>
      <c r="AS207" s="27">
        <v>204</v>
      </c>
      <c r="AT207" s="8"/>
      <c r="AU207" s="8"/>
      <c r="AW207" s="8" t="str">
        <f>IF(AT207="","",VLOOKUP('Reel 4 Symbol'!AT207,'Reel 4 Symbol'!$A$3:$E$25,5,0))</f>
        <v/>
      </c>
      <c r="AX207" s="8" t="str">
        <f>IF(AU207="","",VLOOKUP('Reel 4 Symbol'!AU207,'Reel 4 Symbol'!$A$3:$E$25,5,0))</f>
        <v/>
      </c>
      <c r="AZ207" s="8" t="str">
        <f t="shared" si="41"/>
        <v/>
      </c>
      <c r="BA207" s="8" t="str">
        <f t="shared" si="42"/>
        <v/>
      </c>
      <c r="BC207" s="27">
        <v>204</v>
      </c>
      <c r="BD207" s="8"/>
      <c r="BE207" s="8"/>
      <c r="BG207" s="8" t="str">
        <f>IF(BD207="","",VLOOKUP('Reel 4 Symbol'!BD207,'Reel 4 Symbol'!$A$3:$E$25,5,0))</f>
        <v/>
      </c>
      <c r="BH207" s="8" t="str">
        <f>IF(BE207="","",VLOOKUP('Reel 4 Symbol'!BE207,'Reel 4 Symbol'!$A$3:$E$25,5,0))</f>
        <v/>
      </c>
      <c r="BJ207" s="8" t="str">
        <f t="shared" si="43"/>
        <v/>
      </c>
      <c r="BK207" s="8" t="str">
        <f t="shared" si="44"/>
        <v/>
      </c>
    </row>
    <row r="208" spans="24:63" ht="16.8" customHeight="1">
      <c r="X208" s="133"/>
      <c r="Y208" s="27">
        <v>205</v>
      </c>
      <c r="Z208" s="8"/>
      <c r="AA208" s="8"/>
      <c r="AC208" s="8" t="str">
        <f>IF(Z208="","",VLOOKUP('Reel 4 Symbol'!Z208,'Reel 4 Symbol'!$A$3:$E$25,5,0))</f>
        <v/>
      </c>
      <c r="AD208" s="8" t="str">
        <f>IF(AA208="","",VLOOKUP('Reel 4 Symbol'!AA208,'Reel 4 Symbol'!$A$3:$E$25,5,0))</f>
        <v/>
      </c>
      <c r="AF208" s="8" t="str">
        <f t="shared" si="37"/>
        <v/>
      </c>
      <c r="AG208" s="8" t="str">
        <f t="shared" si="38"/>
        <v/>
      </c>
      <c r="AH208" s="133"/>
      <c r="AI208" s="27">
        <v>205</v>
      </c>
      <c r="AJ208" s="8"/>
      <c r="AK208" s="8"/>
      <c r="AM208" s="8" t="str">
        <f>IF(AJ208="","",VLOOKUP('Reel 4 Symbol'!AJ208,'Reel 4 Symbol'!$A$3:$E$25,5,0))</f>
        <v/>
      </c>
      <c r="AN208" s="8" t="str">
        <f>IF(AK208="","",VLOOKUP('Reel 4 Symbol'!AK208,'Reel 4 Symbol'!$A$3:$E$25,5,0))</f>
        <v/>
      </c>
      <c r="AP208" s="8" t="str">
        <f t="shared" si="39"/>
        <v/>
      </c>
      <c r="AQ208" s="8" t="str">
        <f t="shared" si="40"/>
        <v/>
      </c>
      <c r="AR208" s="133"/>
      <c r="AS208" s="27">
        <v>205</v>
      </c>
      <c r="AT208" s="8"/>
      <c r="AU208" s="8"/>
      <c r="AW208" s="8" t="str">
        <f>IF(AT208="","",VLOOKUP('Reel 4 Symbol'!AT208,'Reel 4 Symbol'!$A$3:$E$25,5,0))</f>
        <v/>
      </c>
      <c r="AX208" s="8" t="str">
        <f>IF(AU208="","",VLOOKUP('Reel 4 Symbol'!AU208,'Reel 4 Symbol'!$A$3:$E$25,5,0))</f>
        <v/>
      </c>
      <c r="AZ208" s="8" t="str">
        <f t="shared" si="41"/>
        <v/>
      </c>
      <c r="BA208" s="8" t="str">
        <f t="shared" si="42"/>
        <v/>
      </c>
      <c r="BC208" s="27">
        <v>205</v>
      </c>
      <c r="BD208" s="8"/>
      <c r="BE208" s="8"/>
      <c r="BG208" s="8" t="str">
        <f>IF(BD208="","",VLOOKUP('Reel 4 Symbol'!BD208,'Reel 4 Symbol'!$A$3:$E$25,5,0))</f>
        <v/>
      </c>
      <c r="BH208" s="8" t="str">
        <f>IF(BE208="","",VLOOKUP('Reel 4 Symbol'!BE208,'Reel 4 Symbol'!$A$3:$E$25,5,0))</f>
        <v/>
      </c>
      <c r="BJ208" s="8" t="str">
        <f t="shared" si="43"/>
        <v/>
      </c>
      <c r="BK208" s="8" t="str">
        <f t="shared" si="44"/>
        <v/>
      </c>
    </row>
    <row r="209" spans="24:63" ht="16.8" customHeight="1">
      <c r="X209" s="133"/>
      <c r="Y209" s="27">
        <v>206</v>
      </c>
      <c r="Z209" s="8"/>
      <c r="AA209" s="8"/>
      <c r="AC209" s="8" t="str">
        <f>IF(Z209="","",VLOOKUP('Reel 4 Symbol'!Z209,'Reel 4 Symbol'!$A$3:$E$25,5,0))</f>
        <v/>
      </c>
      <c r="AD209" s="8" t="str">
        <f>IF(AA209="","",VLOOKUP('Reel 4 Symbol'!AA209,'Reel 4 Symbol'!$A$3:$E$25,5,0))</f>
        <v/>
      </c>
      <c r="AF209" s="8" t="str">
        <f t="shared" si="37"/>
        <v/>
      </c>
      <c r="AG209" s="8" t="str">
        <f t="shared" si="38"/>
        <v/>
      </c>
      <c r="AH209" s="133"/>
      <c r="AI209" s="27">
        <v>206</v>
      </c>
      <c r="AJ209" s="8"/>
      <c r="AK209" s="8"/>
      <c r="AM209" s="8" t="str">
        <f>IF(AJ209="","",VLOOKUP('Reel 4 Symbol'!AJ209,'Reel 4 Symbol'!$A$3:$E$25,5,0))</f>
        <v/>
      </c>
      <c r="AN209" s="8" t="str">
        <f>IF(AK209="","",VLOOKUP('Reel 4 Symbol'!AK209,'Reel 4 Symbol'!$A$3:$E$25,5,0))</f>
        <v/>
      </c>
      <c r="AP209" s="8" t="str">
        <f t="shared" si="39"/>
        <v/>
      </c>
      <c r="AQ209" s="8" t="str">
        <f t="shared" si="40"/>
        <v/>
      </c>
      <c r="AR209" s="133"/>
      <c r="AS209" s="27">
        <v>206</v>
      </c>
      <c r="AT209" s="8"/>
      <c r="AU209" s="8"/>
      <c r="AW209" s="8" t="str">
        <f>IF(AT209="","",VLOOKUP('Reel 4 Symbol'!AT209,'Reel 4 Symbol'!$A$3:$E$25,5,0))</f>
        <v/>
      </c>
      <c r="AX209" s="8" t="str">
        <f>IF(AU209="","",VLOOKUP('Reel 4 Symbol'!AU209,'Reel 4 Symbol'!$A$3:$E$25,5,0))</f>
        <v/>
      </c>
      <c r="AZ209" s="8" t="str">
        <f t="shared" si="41"/>
        <v/>
      </c>
      <c r="BA209" s="8" t="str">
        <f t="shared" si="42"/>
        <v/>
      </c>
      <c r="BC209" s="27">
        <v>206</v>
      </c>
      <c r="BD209" s="8"/>
      <c r="BE209" s="8"/>
      <c r="BG209" s="8" t="str">
        <f>IF(BD209="","",VLOOKUP('Reel 4 Symbol'!BD209,'Reel 4 Symbol'!$A$3:$E$25,5,0))</f>
        <v/>
      </c>
      <c r="BH209" s="8" t="str">
        <f>IF(BE209="","",VLOOKUP('Reel 4 Symbol'!BE209,'Reel 4 Symbol'!$A$3:$E$25,5,0))</f>
        <v/>
      </c>
      <c r="BJ209" s="8" t="str">
        <f t="shared" si="43"/>
        <v/>
      </c>
      <c r="BK209" s="8" t="str">
        <f t="shared" si="44"/>
        <v/>
      </c>
    </row>
    <row r="210" spans="24:63" ht="16.8" customHeight="1">
      <c r="X210" s="133"/>
      <c r="Y210" s="27">
        <v>207</v>
      </c>
      <c r="Z210" s="8"/>
      <c r="AA210" s="8"/>
      <c r="AC210" s="8" t="str">
        <f>IF(Z210="","",VLOOKUP('Reel 4 Symbol'!Z210,'Reel 4 Symbol'!$A$3:$E$25,5,0))</f>
        <v/>
      </c>
      <c r="AD210" s="8" t="str">
        <f>IF(AA210="","",VLOOKUP('Reel 4 Symbol'!AA210,'Reel 4 Symbol'!$A$3:$E$25,5,0))</f>
        <v/>
      </c>
      <c r="AF210" s="8" t="str">
        <f t="shared" si="37"/>
        <v/>
      </c>
      <c r="AG210" s="8" t="str">
        <f t="shared" si="38"/>
        <v/>
      </c>
      <c r="AH210" s="133"/>
      <c r="AI210" s="27">
        <v>207</v>
      </c>
      <c r="AJ210" s="8"/>
      <c r="AK210" s="8"/>
      <c r="AM210" s="8" t="str">
        <f>IF(AJ210="","",VLOOKUP('Reel 4 Symbol'!AJ210,'Reel 4 Symbol'!$A$3:$E$25,5,0))</f>
        <v/>
      </c>
      <c r="AN210" s="8" t="str">
        <f>IF(AK210="","",VLOOKUP('Reel 4 Symbol'!AK210,'Reel 4 Symbol'!$A$3:$E$25,5,0))</f>
        <v/>
      </c>
      <c r="AP210" s="8" t="str">
        <f t="shared" si="39"/>
        <v/>
      </c>
      <c r="AQ210" s="8" t="str">
        <f t="shared" si="40"/>
        <v/>
      </c>
      <c r="AR210" s="133"/>
      <c r="AS210" s="27">
        <v>207</v>
      </c>
      <c r="AT210" s="8"/>
      <c r="AU210" s="8"/>
      <c r="AW210" s="8" t="str">
        <f>IF(AT210="","",VLOOKUP('Reel 4 Symbol'!AT210,'Reel 4 Symbol'!$A$3:$E$25,5,0))</f>
        <v/>
      </c>
      <c r="AX210" s="8" t="str">
        <f>IF(AU210="","",VLOOKUP('Reel 4 Symbol'!AU210,'Reel 4 Symbol'!$A$3:$E$25,5,0))</f>
        <v/>
      </c>
      <c r="AZ210" s="8" t="str">
        <f t="shared" si="41"/>
        <v/>
      </c>
      <c r="BA210" s="8" t="str">
        <f t="shared" si="42"/>
        <v/>
      </c>
      <c r="BC210" s="27">
        <v>207</v>
      </c>
      <c r="BD210" s="8"/>
      <c r="BE210" s="8"/>
      <c r="BG210" s="8" t="str">
        <f>IF(BD210="","",VLOOKUP('Reel 4 Symbol'!BD210,'Reel 4 Symbol'!$A$3:$E$25,5,0))</f>
        <v/>
      </c>
      <c r="BH210" s="8" t="str">
        <f>IF(BE210="","",VLOOKUP('Reel 4 Symbol'!BE210,'Reel 4 Symbol'!$A$3:$E$25,5,0))</f>
        <v/>
      </c>
      <c r="BJ210" s="8" t="str">
        <f t="shared" si="43"/>
        <v/>
      </c>
      <c r="BK210" s="8" t="str">
        <f t="shared" si="44"/>
        <v/>
      </c>
    </row>
    <row r="211" spans="24:63" ht="16.8" customHeight="1">
      <c r="X211" s="133"/>
      <c r="Y211" s="27">
        <v>208</v>
      </c>
      <c r="Z211" s="8"/>
      <c r="AA211" s="8"/>
      <c r="AC211" s="8" t="str">
        <f>IF(Z211="","",VLOOKUP('Reel 4 Symbol'!Z211,'Reel 4 Symbol'!$A$3:$E$25,5,0))</f>
        <v/>
      </c>
      <c r="AD211" s="8" t="str">
        <f>IF(AA211="","",VLOOKUP('Reel 4 Symbol'!AA211,'Reel 4 Symbol'!$A$3:$E$25,5,0))</f>
        <v/>
      </c>
      <c r="AF211" s="8" t="str">
        <f t="shared" si="37"/>
        <v/>
      </c>
      <c r="AG211" s="8" t="str">
        <f t="shared" si="38"/>
        <v/>
      </c>
      <c r="AH211" s="133"/>
      <c r="AI211" s="27">
        <v>208</v>
      </c>
      <c r="AJ211" s="8"/>
      <c r="AK211" s="8"/>
      <c r="AM211" s="8" t="str">
        <f>IF(AJ211="","",VLOOKUP('Reel 4 Symbol'!AJ211,'Reel 4 Symbol'!$A$3:$E$25,5,0))</f>
        <v/>
      </c>
      <c r="AN211" s="8" t="str">
        <f>IF(AK211="","",VLOOKUP('Reel 4 Symbol'!AK211,'Reel 4 Symbol'!$A$3:$E$25,5,0))</f>
        <v/>
      </c>
      <c r="AP211" s="8" t="str">
        <f t="shared" si="39"/>
        <v/>
      </c>
      <c r="AQ211" s="8" t="str">
        <f t="shared" si="40"/>
        <v/>
      </c>
      <c r="AR211" s="133"/>
      <c r="AS211" s="27">
        <v>208</v>
      </c>
      <c r="AT211" s="8"/>
      <c r="AU211" s="8"/>
      <c r="AW211" s="8" t="str">
        <f>IF(AT211="","",VLOOKUP('Reel 4 Symbol'!AT211,'Reel 4 Symbol'!$A$3:$E$25,5,0))</f>
        <v/>
      </c>
      <c r="AX211" s="8" t="str">
        <f>IF(AU211="","",VLOOKUP('Reel 4 Symbol'!AU211,'Reel 4 Symbol'!$A$3:$E$25,5,0))</f>
        <v/>
      </c>
      <c r="AZ211" s="8" t="str">
        <f t="shared" si="41"/>
        <v/>
      </c>
      <c r="BA211" s="8" t="str">
        <f t="shared" si="42"/>
        <v/>
      </c>
      <c r="BC211" s="27">
        <v>208</v>
      </c>
      <c r="BD211" s="8"/>
      <c r="BE211" s="8"/>
      <c r="BG211" s="8" t="str">
        <f>IF(BD211="","",VLOOKUP('Reel 4 Symbol'!BD211,'Reel 4 Symbol'!$A$3:$E$25,5,0))</f>
        <v/>
      </c>
      <c r="BH211" s="8" t="str">
        <f>IF(BE211="","",VLOOKUP('Reel 4 Symbol'!BE211,'Reel 4 Symbol'!$A$3:$E$25,5,0))</f>
        <v/>
      </c>
      <c r="BJ211" s="8" t="str">
        <f t="shared" si="43"/>
        <v/>
      </c>
      <c r="BK211" s="8" t="str">
        <f t="shared" si="44"/>
        <v/>
      </c>
    </row>
  </sheetData>
  <mergeCells count="4">
    <mergeCell ref="A1:E1"/>
    <mergeCell ref="G1:K1"/>
    <mergeCell ref="M1:Q1"/>
    <mergeCell ref="S1:W1"/>
  </mergeCells>
  <phoneticPr fontId="2" type="noConversion"/>
  <conditionalFormatting sqref="Z3:Z142">
    <cfRule type="cellIs" dxfId="32" priority="29" operator="between">
      <formula>20</formula>
      <formula>50</formula>
    </cfRule>
    <cfRule type="cellIs" dxfId="31" priority="30" stopIfTrue="1" operator="equal">
      <formula>"r"</formula>
    </cfRule>
    <cfRule type="cellIs" dxfId="30" priority="31" stopIfTrue="1" operator="equal">
      <formula>500</formula>
    </cfRule>
    <cfRule type="cellIs" dxfId="29" priority="32" stopIfTrue="1" operator="equal">
      <formula>100</formula>
    </cfRule>
  </conditionalFormatting>
  <conditionalFormatting sqref="AA3:AA102 AF3:AG211">
    <cfRule type="expression" dxfId="28" priority="28">
      <formula>LEFT(AA3,1)="G"</formula>
    </cfRule>
  </conditionalFormatting>
  <conditionalFormatting sqref="AJ3:AJ142">
    <cfRule type="cellIs" dxfId="27" priority="24" operator="between">
      <formula>20</formula>
      <formula>50</formula>
    </cfRule>
    <cfRule type="cellIs" dxfId="26" priority="25" stopIfTrue="1" operator="equal">
      <formula>"r"</formula>
    </cfRule>
    <cfRule type="cellIs" dxfId="25" priority="26" stopIfTrue="1" operator="equal">
      <formula>500</formula>
    </cfRule>
    <cfRule type="cellIs" dxfId="24" priority="27" stopIfTrue="1" operator="equal">
      <formula>100</formula>
    </cfRule>
  </conditionalFormatting>
  <conditionalFormatting sqref="AK3:AK102 AP3:AQ211">
    <cfRule type="expression" dxfId="23" priority="23">
      <formula>LEFT(AK3,1)="G"</formula>
    </cfRule>
  </conditionalFormatting>
  <conditionalFormatting sqref="AT3:AT142">
    <cfRule type="cellIs" dxfId="22" priority="19" operator="between">
      <formula>20</formula>
      <formula>50</formula>
    </cfRule>
    <cfRule type="cellIs" dxfId="21" priority="20" stopIfTrue="1" operator="equal">
      <formula>"r"</formula>
    </cfRule>
    <cfRule type="cellIs" dxfId="20" priority="21" stopIfTrue="1" operator="equal">
      <formula>500</formula>
    </cfRule>
    <cfRule type="cellIs" dxfId="19" priority="22" stopIfTrue="1" operator="equal">
      <formula>100</formula>
    </cfRule>
  </conditionalFormatting>
  <conditionalFormatting sqref="AU3:AU102 AZ3:BA211">
    <cfRule type="expression" dxfId="18" priority="18">
      <formula>LEFT(AU3,1)="G"</formula>
    </cfRule>
  </conditionalFormatting>
  <conditionalFormatting sqref="C3:D25 I3:J25 O3:P25">
    <cfRule type="cellIs" dxfId="17" priority="17" operator="equal">
      <formula>0</formula>
    </cfRule>
  </conditionalFormatting>
  <conditionalFormatting sqref="BD3:BD142">
    <cfRule type="cellIs" dxfId="16" priority="11" operator="between">
      <formula>20</formula>
      <formula>50</formula>
    </cfRule>
    <cfRule type="cellIs" dxfId="15" priority="12" stopIfTrue="1" operator="equal">
      <formula>"r"</formula>
    </cfRule>
    <cfRule type="cellIs" dxfId="14" priority="13" stopIfTrue="1" operator="equal">
      <formula>500</formula>
    </cfRule>
    <cfRule type="cellIs" dxfId="13" priority="14" stopIfTrue="1" operator="equal">
      <formula>100</formula>
    </cfRule>
  </conditionalFormatting>
  <conditionalFormatting sqref="BE3:BE102 BJ3:BK211">
    <cfRule type="expression" dxfId="12" priority="10">
      <formula>LEFT(BE3,1)="G"</formula>
    </cfRule>
  </conditionalFormatting>
  <conditionalFormatting sqref="C3:C2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{3BA3C507-D733-4DC9-8837-E0093623FE25}</x14:id>
        </ext>
      </extLst>
    </cfRule>
  </conditionalFormatting>
  <conditionalFormatting sqref="D3:D25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{93BDBC5A-3FF5-44CC-8B4C-AF855EC336F8}</x14:id>
        </ext>
      </extLst>
    </cfRule>
  </conditionalFormatting>
  <conditionalFormatting sqref="I3:I2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{0950F15D-C0D5-4C8E-84AB-288EF2AA434C}</x14:id>
        </ext>
      </extLst>
    </cfRule>
  </conditionalFormatting>
  <conditionalFormatting sqref="J3:J2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{D83769B9-1340-48A5-8D33-AD4EE87878A9}</x14:id>
        </ext>
      </extLst>
    </cfRule>
  </conditionalFormatting>
  <conditionalFormatting sqref="O3:O2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{0938DEBB-D5CF-4C62-A90D-610A88281A2B}</x14:id>
        </ext>
      </extLst>
    </cfRule>
  </conditionalFormatting>
  <conditionalFormatting sqref="P3:P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{DBD217A1-9F18-4B1D-AB9A-21628CD3C131}</x14:id>
        </ext>
      </extLst>
    </cfRule>
  </conditionalFormatting>
  <conditionalFormatting sqref="U3:V25">
    <cfRule type="cellIs" dxfId="11" priority="3" operator="equal">
      <formula>0</formula>
    </cfRule>
  </conditionalFormatting>
  <conditionalFormatting sqref="U3:U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{D71D0AD5-6F59-4D43-872F-05716AE13E02}</x14:id>
        </ext>
      </extLst>
    </cfRule>
  </conditionalFormatting>
  <conditionalFormatting sqref="V3:V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{D4B73A2F-BF1A-4C40-A432-70F00ED79395}</x14:id>
        </ext>
      </extLst>
    </cfRule>
  </conditionalFormatting>
  <pageMargins left="0.75" right="0.75" top="1" bottom="1" header="0.5" footer="0.5"/>
  <pageSetup paperSize="9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A3C507-D733-4DC9-8837-E0093623FE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C3:C25</xm:sqref>
        </x14:conditionalFormatting>
        <x14:conditionalFormatting xmlns:xm="http://schemas.microsoft.com/office/excel/2006/main">
          <x14:cfRule type="dataBar" id="{93BDBC5A-3FF5-44CC-8B4C-AF855EC336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D3:D25</xm:sqref>
        </x14:conditionalFormatting>
        <x14:conditionalFormatting xmlns:xm="http://schemas.microsoft.com/office/excel/2006/main">
          <x14:cfRule type="dataBar" id="{0950F15D-C0D5-4C8E-84AB-288EF2AA43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I3:I25</xm:sqref>
        </x14:conditionalFormatting>
        <x14:conditionalFormatting xmlns:xm="http://schemas.microsoft.com/office/excel/2006/main">
          <x14:cfRule type="dataBar" id="{D83769B9-1340-48A5-8D33-AD4EE87878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J3:J25</xm:sqref>
        </x14:conditionalFormatting>
        <x14:conditionalFormatting xmlns:xm="http://schemas.microsoft.com/office/excel/2006/main">
          <x14:cfRule type="dataBar" id="{0938DEBB-D5CF-4C62-A90D-610A88281A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O3:O25</xm:sqref>
        </x14:conditionalFormatting>
        <x14:conditionalFormatting xmlns:xm="http://schemas.microsoft.com/office/excel/2006/main">
          <x14:cfRule type="dataBar" id="{DBD217A1-9F18-4B1D-AB9A-21628CD3C1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P3:P25</xm:sqref>
        </x14:conditionalFormatting>
        <x14:conditionalFormatting xmlns:xm="http://schemas.microsoft.com/office/excel/2006/main">
          <x14:cfRule type="dataBar" id="{D71D0AD5-6F59-4D43-872F-05716AE13E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U3:U25</xm:sqref>
        </x14:conditionalFormatting>
        <x14:conditionalFormatting xmlns:xm="http://schemas.microsoft.com/office/excel/2006/main">
          <x14:cfRule type="dataBar" id="{D4B73A2F-BF1A-4C40-A432-70F00ED793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V3:V25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6" tint="0.39997558519241921"/>
  </sheetPr>
  <dimension ref="A1:AR68"/>
  <sheetViews>
    <sheetView zoomScale="70" zoomScaleNormal="70" workbookViewId="0">
      <selection sqref="A1:XFD1048576"/>
    </sheetView>
  </sheetViews>
  <sheetFormatPr defaultColWidth="15.33203125" defaultRowHeight="15.6" outlineLevelCol="1"/>
  <cols>
    <col min="1" max="1" width="15.33203125" style="1"/>
    <col min="2" max="2" width="19.77734375" style="1" bestFit="1" customWidth="1"/>
    <col min="3" max="5" width="5.44140625" style="1" customWidth="1"/>
    <col min="6" max="6" width="8.77734375" style="1" bestFit="1" customWidth="1"/>
    <col min="7" max="7" width="13.88671875" style="1" customWidth="1"/>
    <col min="8" max="8" width="19.33203125" style="1" bestFit="1" customWidth="1"/>
    <col min="9" max="9" width="21.21875" style="18" bestFit="1" customWidth="1"/>
    <col min="10" max="10" width="11" style="33" bestFit="1" customWidth="1"/>
    <col min="11" max="11" width="19.21875" style="34" bestFit="1" customWidth="1"/>
    <col min="12" max="12" width="31" style="35" bestFit="1" customWidth="1"/>
    <col min="13" max="14" width="17.5546875" style="35" customWidth="1"/>
    <col min="15" max="15" width="11.77734375" style="1" customWidth="1"/>
    <col min="16" max="16" width="16.77734375" style="1" bestFit="1" customWidth="1"/>
    <col min="17" max="21" width="15.33203125" style="1"/>
    <col min="22" max="22" width="19.109375" style="1" customWidth="1"/>
    <col min="23" max="33" width="12.21875" style="1" customWidth="1"/>
    <col min="34" max="44" width="15.33203125" style="1" customWidth="1" outlineLevel="1"/>
    <col min="45" max="45" width="15.33203125" style="1" customWidth="1"/>
    <col min="46" max="16384" width="15.33203125" style="1"/>
  </cols>
  <sheetData>
    <row r="1" spans="1:44" ht="16.8" thickBot="1">
      <c r="B1" s="137" t="s">
        <v>122</v>
      </c>
      <c r="C1" s="138">
        <f>Bet_1</f>
        <v>1</v>
      </c>
      <c r="H1" s="2" t="s">
        <v>79</v>
      </c>
      <c r="I1" s="20">
        <f ca="1">SUM(I12:I68)</f>
        <v>0.70171318655228188</v>
      </c>
      <c r="L1" s="23"/>
      <c r="M1" s="23"/>
      <c r="N1" s="23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I1*O15</f>
        <v>20.935095634548151</v>
      </c>
      <c r="J2" s="33"/>
      <c r="K2" s="106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B3" s="114" t="s">
        <v>144</v>
      </c>
      <c r="C3" s="166" t="s">
        <v>1</v>
      </c>
      <c r="D3" s="166" t="s">
        <v>2</v>
      </c>
      <c r="E3" s="159" t="s">
        <v>3</v>
      </c>
      <c r="H3" s="2"/>
      <c r="I3" s="20"/>
      <c r="K3" s="69"/>
      <c r="L3" s="128">
        <v>1</v>
      </c>
      <c r="M3" s="108" cm="1">
        <f t="array" ref="M3:M14">N3:N14/SUM(N3:N14)</f>
        <v>0.2247191011235955</v>
      </c>
      <c r="N3" s="169">
        <v>220000000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0.1111111111111111</v>
      </c>
      <c r="S3" s="172">
        <v>120000000</v>
      </c>
      <c r="T3" s="115" cm="1">
        <f t="array" ref="T3:T13">_xlfn.XLOOKUP(Q3:Q13,W2:AG2,W15:AG15)</f>
        <v>26.1875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0.26368159203980102</v>
      </c>
      <c r="AF3" s="121" cm="1">
        <f t="array" ref="AF3:AF13">AQ3:AQ13/SUM(AQ3:AQ13)</f>
        <v>0.26368159203980102</v>
      </c>
      <c r="AG3" s="121" cm="1">
        <f t="array" ref="AG3:AG13">AR3:AR13/SUM(AR3:AR13)</f>
        <v>0.26368159203980102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265000000</v>
      </c>
      <c r="AQ3" s="277">
        <v>265000000</v>
      </c>
      <c r="AR3" s="277">
        <v>265000000</v>
      </c>
    </row>
    <row r="4" spans="1:44" ht="16.2">
      <c r="B4" s="128">
        <v>1</v>
      </c>
      <c r="C4" s="158">
        <v>0</v>
      </c>
      <c r="D4" s="166">
        <v>0</v>
      </c>
      <c r="E4" s="159">
        <v>0</v>
      </c>
      <c r="H4" s="2"/>
      <c r="I4" s="20"/>
      <c r="K4" s="33"/>
      <c r="L4" s="124">
        <v>2</v>
      </c>
      <c r="M4" s="108">
        <v>0.2247191011235955</v>
      </c>
      <c r="N4" s="170">
        <v>220000000</v>
      </c>
      <c r="O4" s="124">
        <v>2</v>
      </c>
      <c r="P4" s="26"/>
      <c r="Q4" s="116">
        <v>3</v>
      </c>
      <c r="R4" s="108">
        <v>0.1111111111111111</v>
      </c>
      <c r="S4" s="173">
        <v>120000000</v>
      </c>
      <c r="T4" s="116">
        <v>17.26923076923077</v>
      </c>
      <c r="V4" s="116">
        <v>2</v>
      </c>
      <c r="W4" s="122">
        <v>0</v>
      </c>
      <c r="X4" s="92">
        <v>0</v>
      </c>
      <c r="Y4" s="92">
        <v>0</v>
      </c>
      <c r="Z4" s="92">
        <v>0.30864197530864196</v>
      </c>
      <c r="AA4" s="92">
        <v>0.30864197530864196</v>
      </c>
      <c r="AB4" s="92">
        <v>0.30864197530864196</v>
      </c>
      <c r="AC4" s="92">
        <v>0.32432432432432434</v>
      </c>
      <c r="AD4" s="92">
        <v>0.32432432432432434</v>
      </c>
      <c r="AE4" s="92">
        <v>0.23880597014925373</v>
      </c>
      <c r="AF4" s="110">
        <v>0.23880597014925373</v>
      </c>
      <c r="AG4" s="110">
        <v>0.23880597014925373</v>
      </c>
      <c r="AH4" s="174">
        <v>0</v>
      </c>
      <c r="AI4" s="278">
        <v>0</v>
      </c>
      <c r="AJ4" s="278">
        <v>0</v>
      </c>
      <c r="AK4" s="278">
        <v>250000000</v>
      </c>
      <c r="AL4" s="278">
        <v>250000000</v>
      </c>
      <c r="AM4" s="278">
        <v>250000000</v>
      </c>
      <c r="AN4" s="278">
        <v>240000000</v>
      </c>
      <c r="AO4" s="278">
        <v>240000000</v>
      </c>
      <c r="AP4" s="278">
        <v>240000000</v>
      </c>
      <c r="AQ4" s="281">
        <v>240000000</v>
      </c>
      <c r="AR4" s="281">
        <v>240000000</v>
      </c>
    </row>
    <row r="5" spans="1:44" ht="16.2">
      <c r="B5" s="124">
        <v>2</v>
      </c>
      <c r="C5" s="160">
        <v>1</v>
      </c>
      <c r="D5" s="30">
        <v>1</v>
      </c>
      <c r="E5" s="161">
        <v>1</v>
      </c>
      <c r="H5" s="2"/>
      <c r="I5" s="20"/>
      <c r="K5" s="33"/>
      <c r="L5" s="124">
        <v>3</v>
      </c>
      <c r="M5" s="108">
        <v>0.2247191011235955</v>
      </c>
      <c r="N5" s="170">
        <v>220000000</v>
      </c>
      <c r="O5" s="124">
        <v>3</v>
      </c>
      <c r="P5" s="26"/>
      <c r="Q5" s="116">
        <v>4</v>
      </c>
      <c r="R5" s="108">
        <v>0.1111111111111111</v>
      </c>
      <c r="S5" s="173">
        <v>120000000</v>
      </c>
      <c r="T5" s="116">
        <v>17.26923076923077</v>
      </c>
      <c r="V5" s="116">
        <v>3</v>
      </c>
      <c r="W5" s="122">
        <v>0</v>
      </c>
      <c r="X5" s="92">
        <v>0.38461538461538464</v>
      </c>
      <c r="Y5" s="92">
        <v>0.38461538461538464</v>
      </c>
      <c r="Z5" s="92">
        <v>0.24691358024691357</v>
      </c>
      <c r="AA5" s="92">
        <v>0.24691358024691357</v>
      </c>
      <c r="AB5" s="92">
        <v>0.24691358024691357</v>
      </c>
      <c r="AC5" s="92">
        <v>0.22972972972972974</v>
      </c>
      <c r="AD5" s="92">
        <v>0.22972972972972974</v>
      </c>
      <c r="AE5" s="92">
        <v>0.1691542288557214</v>
      </c>
      <c r="AF5" s="110">
        <v>0.1691542288557214</v>
      </c>
      <c r="AG5" s="110">
        <v>0.1691542288557214</v>
      </c>
      <c r="AH5" s="174">
        <v>0</v>
      </c>
      <c r="AI5" s="278">
        <v>250000000</v>
      </c>
      <c r="AJ5" s="278">
        <v>250000000</v>
      </c>
      <c r="AK5" s="278">
        <v>200000000</v>
      </c>
      <c r="AL5" s="278">
        <v>200000000</v>
      </c>
      <c r="AM5" s="278">
        <v>200000000</v>
      </c>
      <c r="AN5" s="278">
        <v>170000000</v>
      </c>
      <c r="AO5" s="278">
        <v>170000000</v>
      </c>
      <c r="AP5" s="278">
        <v>170000000</v>
      </c>
      <c r="AQ5" s="281">
        <v>170000000</v>
      </c>
      <c r="AR5" s="281">
        <v>170000000</v>
      </c>
    </row>
    <row r="6" spans="1:44" ht="16.2">
      <c r="B6" s="124">
        <v>3</v>
      </c>
      <c r="C6" s="160">
        <v>2</v>
      </c>
      <c r="D6" s="30">
        <v>2</v>
      </c>
      <c r="E6" s="161">
        <v>2</v>
      </c>
      <c r="H6" s="2"/>
      <c r="I6" s="20"/>
      <c r="K6" s="33"/>
      <c r="L6" s="124">
        <v>5</v>
      </c>
      <c r="M6" s="108">
        <v>6.6394279877425938E-2</v>
      </c>
      <c r="N6" s="170">
        <v>65000000</v>
      </c>
      <c r="O6" s="124">
        <v>5</v>
      </c>
      <c r="P6" s="26"/>
      <c r="Q6" s="116">
        <v>5</v>
      </c>
      <c r="R6" s="108">
        <v>0.1111111111111111</v>
      </c>
      <c r="S6" s="173">
        <v>120000000</v>
      </c>
      <c r="T6" s="116">
        <v>13.549382716049381</v>
      </c>
      <c r="U6" s="26"/>
      <c r="V6" s="116">
        <v>5</v>
      </c>
      <c r="W6" s="122">
        <v>0.375</v>
      </c>
      <c r="X6" s="92">
        <v>0.23076923076923078</v>
      </c>
      <c r="Y6" s="92">
        <v>0.23076923076923078</v>
      </c>
      <c r="Z6" s="92">
        <v>0.19753086419753085</v>
      </c>
      <c r="AA6" s="92">
        <v>0.19753086419753085</v>
      </c>
      <c r="AB6" s="92">
        <v>0.19753086419753085</v>
      </c>
      <c r="AC6" s="92">
        <v>0.17567567567567569</v>
      </c>
      <c r="AD6" s="92">
        <v>0.17567567567567569</v>
      </c>
      <c r="AE6" s="92">
        <v>0.12935323383084577</v>
      </c>
      <c r="AF6" s="110">
        <v>0.12935323383084577</v>
      </c>
      <c r="AG6" s="110">
        <v>0.12935323383084577</v>
      </c>
      <c r="AH6" s="174">
        <v>150000000</v>
      </c>
      <c r="AI6" s="278">
        <v>150000000</v>
      </c>
      <c r="AJ6" s="278">
        <v>150000000</v>
      </c>
      <c r="AK6" s="278">
        <v>160000000</v>
      </c>
      <c r="AL6" s="278">
        <v>160000000</v>
      </c>
      <c r="AM6" s="278">
        <v>160000000</v>
      </c>
      <c r="AN6" s="278">
        <v>130000000</v>
      </c>
      <c r="AO6" s="278">
        <v>130000000</v>
      </c>
      <c r="AP6" s="278">
        <v>130000000</v>
      </c>
      <c r="AQ6" s="281">
        <v>130000000</v>
      </c>
      <c r="AR6" s="281">
        <v>130000000</v>
      </c>
    </row>
    <row r="7" spans="1:44" ht="16.2">
      <c r="B7" s="124">
        <v>4</v>
      </c>
      <c r="C7" s="160">
        <v>0</v>
      </c>
      <c r="D7" s="30">
        <v>1</v>
      </c>
      <c r="E7" s="161">
        <v>2</v>
      </c>
      <c r="H7" s="2"/>
      <c r="I7" s="20"/>
      <c r="K7" s="33"/>
      <c r="L7" s="124">
        <v>10</v>
      </c>
      <c r="M7" s="108">
        <v>3.0643513789581207E-2</v>
      </c>
      <c r="N7" s="170">
        <v>30000000</v>
      </c>
      <c r="O7" s="124">
        <v>10</v>
      </c>
      <c r="P7" s="26"/>
      <c r="Q7" s="116">
        <v>6</v>
      </c>
      <c r="R7" s="108">
        <v>0.1111111111111111</v>
      </c>
      <c r="S7" s="173">
        <v>120000000</v>
      </c>
      <c r="T7" s="116">
        <v>13.549382716049381</v>
      </c>
      <c r="V7" s="116">
        <v>10</v>
      </c>
      <c r="W7" s="122">
        <v>0.25</v>
      </c>
      <c r="X7" s="92">
        <v>0.15384615384615385</v>
      </c>
      <c r="Y7" s="92">
        <v>0.15384615384615385</v>
      </c>
      <c r="Z7" s="92">
        <v>9.8765432098765427E-2</v>
      </c>
      <c r="AA7" s="92">
        <v>9.8765432098765427E-2</v>
      </c>
      <c r="AB7" s="92">
        <v>9.8765432098765427E-2</v>
      </c>
      <c r="AC7" s="92">
        <v>0.10810810810810811</v>
      </c>
      <c r="AD7" s="92">
        <v>0.10810810810810811</v>
      </c>
      <c r="AE7" s="92">
        <v>7.9601990049751242E-2</v>
      </c>
      <c r="AF7" s="110">
        <v>7.9601990049751242E-2</v>
      </c>
      <c r="AG7" s="110">
        <v>7.9601990049751242E-2</v>
      </c>
      <c r="AH7" s="174">
        <v>100000000</v>
      </c>
      <c r="AI7" s="278">
        <v>100000000</v>
      </c>
      <c r="AJ7" s="278">
        <v>100000000</v>
      </c>
      <c r="AK7" s="278">
        <v>80000000</v>
      </c>
      <c r="AL7" s="278">
        <v>80000000</v>
      </c>
      <c r="AM7" s="278">
        <v>80000000</v>
      </c>
      <c r="AN7" s="278">
        <v>80000000</v>
      </c>
      <c r="AO7" s="278">
        <v>80000000</v>
      </c>
      <c r="AP7" s="278">
        <v>80000000</v>
      </c>
      <c r="AQ7" s="281">
        <v>80000000</v>
      </c>
      <c r="AR7" s="281">
        <v>80000000</v>
      </c>
    </row>
    <row r="8" spans="1:44" ht="16.8" thickBot="1">
      <c r="B8" s="125">
        <v>5</v>
      </c>
      <c r="C8" s="162">
        <v>2</v>
      </c>
      <c r="D8" s="167">
        <v>1</v>
      </c>
      <c r="E8" s="163">
        <v>0</v>
      </c>
      <c r="H8" s="2"/>
      <c r="I8" s="20"/>
      <c r="K8" s="33"/>
      <c r="L8" s="124">
        <v>15</v>
      </c>
      <c r="M8" s="108">
        <v>1.0214504596527068E-2</v>
      </c>
      <c r="N8" s="170">
        <v>10000000</v>
      </c>
      <c r="O8" s="124">
        <v>15</v>
      </c>
      <c r="P8" s="26"/>
      <c r="Q8" s="116">
        <v>7</v>
      </c>
      <c r="R8" s="108">
        <v>7.407407407407407E-2</v>
      </c>
      <c r="S8" s="173">
        <v>80000000</v>
      </c>
      <c r="T8" s="116">
        <v>13.549382716049381</v>
      </c>
      <c r="V8" s="116">
        <v>15</v>
      </c>
      <c r="W8" s="122">
        <v>0.2</v>
      </c>
      <c r="X8" s="92">
        <v>0.12307692307692308</v>
      </c>
      <c r="Y8" s="92">
        <v>0.12307692307692308</v>
      </c>
      <c r="Z8" s="92">
        <v>6.1728395061728392E-2</v>
      </c>
      <c r="AA8" s="92">
        <v>6.1728395061728392E-2</v>
      </c>
      <c r="AB8" s="92">
        <v>6.1728395061728392E-2</v>
      </c>
      <c r="AC8" s="92">
        <v>6.7567567567567571E-2</v>
      </c>
      <c r="AD8" s="92">
        <v>6.7567567567567571E-2</v>
      </c>
      <c r="AE8" s="92">
        <v>4.975124378109453E-2</v>
      </c>
      <c r="AF8" s="110">
        <v>4.975124378109453E-2</v>
      </c>
      <c r="AG8" s="110">
        <v>4.975124378109453E-2</v>
      </c>
      <c r="AH8" s="174">
        <v>80000000</v>
      </c>
      <c r="AI8" s="278">
        <v>80000000</v>
      </c>
      <c r="AJ8" s="278">
        <v>80000000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 ht="16.2">
      <c r="C9" s="168">
        <v>1</v>
      </c>
      <c r="D9" s="168">
        <v>4</v>
      </c>
      <c r="E9" s="168">
        <v>7</v>
      </c>
      <c r="H9" s="2"/>
      <c r="I9" s="20"/>
      <c r="K9" s="33"/>
      <c r="L9" s="124">
        <v>20</v>
      </c>
      <c r="M9" s="108">
        <v>5.1072522982635342E-3</v>
      </c>
      <c r="N9" s="170">
        <v>5000000</v>
      </c>
      <c r="O9" s="124">
        <v>20</v>
      </c>
      <c r="P9" s="26"/>
      <c r="Q9" s="116">
        <v>8</v>
      </c>
      <c r="R9" s="108">
        <v>7.407407407407407E-2</v>
      </c>
      <c r="S9" s="173">
        <v>80000000</v>
      </c>
      <c r="T9" s="116">
        <v>14.47972972972973</v>
      </c>
      <c r="V9" s="116">
        <v>20</v>
      </c>
      <c r="W9" s="122">
        <v>0.05</v>
      </c>
      <c r="X9" s="92">
        <v>3.0769230769230771E-2</v>
      </c>
      <c r="Y9" s="92">
        <v>3.0769230769230771E-2</v>
      </c>
      <c r="Z9" s="92">
        <v>2.4691358024691357E-2</v>
      </c>
      <c r="AA9" s="92">
        <v>2.4691358024691357E-2</v>
      </c>
      <c r="AB9" s="92">
        <v>2.4691358024691357E-2</v>
      </c>
      <c r="AC9" s="92">
        <v>2.7027027027027029E-2</v>
      </c>
      <c r="AD9" s="92">
        <v>2.7027027027027029E-2</v>
      </c>
      <c r="AE9" s="92">
        <v>1.9900497512437811E-2</v>
      </c>
      <c r="AF9" s="110">
        <v>1.9900497512437811E-2</v>
      </c>
      <c r="AG9" s="110">
        <v>1.9900497512437811E-2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2" thickBot="1">
      <c r="I10" s="94"/>
      <c r="K10" s="33"/>
      <c r="L10" s="124">
        <v>25</v>
      </c>
      <c r="M10" s="108">
        <v>2.0429009193054137E-3</v>
      </c>
      <c r="N10" s="170">
        <v>2000000</v>
      </c>
      <c r="O10" s="124">
        <v>25</v>
      </c>
      <c r="P10" s="26"/>
      <c r="Q10" s="116">
        <v>9</v>
      </c>
      <c r="R10" s="108">
        <v>7.407407407407407E-2</v>
      </c>
      <c r="S10" s="173">
        <v>80000000</v>
      </c>
      <c r="T10" s="116">
        <v>14.47972972972973</v>
      </c>
      <c r="V10" s="116">
        <v>25</v>
      </c>
      <c r="W10" s="122">
        <v>3.7499999999999999E-2</v>
      </c>
      <c r="X10" s="92">
        <v>2.3076923076923078E-2</v>
      </c>
      <c r="Y10" s="92">
        <v>2.3076923076923078E-2</v>
      </c>
      <c r="Z10" s="92">
        <v>1.8518518518518517E-2</v>
      </c>
      <c r="AA10" s="92">
        <v>1.8518518518518517E-2</v>
      </c>
      <c r="AB10" s="92">
        <v>1.8518518518518517E-2</v>
      </c>
      <c r="AC10" s="92">
        <v>2.0270270270270271E-2</v>
      </c>
      <c r="AD10" s="92">
        <v>2.0270270270270271E-2</v>
      </c>
      <c r="AE10" s="92">
        <v>1.4925373134328358E-2</v>
      </c>
      <c r="AF10" s="110">
        <v>1.4925373134328358E-2</v>
      </c>
      <c r="AG10" s="110">
        <v>1.4925373134328358E-2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B11" s="61" t="s">
        <v>53</v>
      </c>
      <c r="C11" s="332">
        <f>PRODUCT('Regular Symbol'!C18:E18)</f>
        <v>5218521</v>
      </c>
      <c r="D11" s="332"/>
      <c r="E11" s="332"/>
      <c r="F11" s="332"/>
      <c r="G11" s="332"/>
      <c r="I11" s="33"/>
      <c r="K11" s="33"/>
      <c r="L11" s="124">
        <v>50</v>
      </c>
      <c r="M11" s="108">
        <v>2.0429009193054137E-3</v>
      </c>
      <c r="N11" s="170">
        <v>2000000</v>
      </c>
      <c r="O11" s="124">
        <v>50</v>
      </c>
      <c r="P11" s="26"/>
      <c r="Q11" s="116">
        <v>10</v>
      </c>
      <c r="R11" s="108">
        <v>7.407407407407407E-2</v>
      </c>
      <c r="S11" s="173">
        <v>80000000</v>
      </c>
      <c r="T11" s="116">
        <v>10.925373134328357</v>
      </c>
      <c r="V11" s="116">
        <v>50</v>
      </c>
      <c r="W11" s="122">
        <v>3.7499999999999999E-2</v>
      </c>
      <c r="X11" s="92">
        <v>2.3076923076923078E-2</v>
      </c>
      <c r="Y11" s="92">
        <v>2.3076923076923078E-2</v>
      </c>
      <c r="Z11" s="92">
        <v>1.8518518518518517E-2</v>
      </c>
      <c r="AA11" s="92">
        <v>1.8518518518518517E-2</v>
      </c>
      <c r="AB11" s="92">
        <v>1.8518518518518517E-2</v>
      </c>
      <c r="AC11" s="92">
        <v>2.0270270270270271E-2</v>
      </c>
      <c r="AD11" s="92">
        <v>2.0270270270270271E-2</v>
      </c>
      <c r="AE11" s="92">
        <v>1.4925373134328358E-2</v>
      </c>
      <c r="AF11" s="110">
        <v>1.4925373134328358E-2</v>
      </c>
      <c r="AG11" s="110">
        <v>1.4925373134328358E-2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2.0429009193054137E-3</v>
      </c>
      <c r="N12" s="170">
        <v>2000000</v>
      </c>
      <c r="O12" s="124">
        <v>100</v>
      </c>
      <c r="P12" s="26"/>
      <c r="Q12" s="124">
        <v>20</v>
      </c>
      <c r="R12" s="108">
        <v>7.407407407407407E-2</v>
      </c>
      <c r="S12" s="170">
        <v>80000000</v>
      </c>
      <c r="T12" s="124">
        <v>10.925373134328357</v>
      </c>
      <c r="V12" s="116">
        <v>100</v>
      </c>
      <c r="W12" s="122">
        <v>2.5000000000000001E-2</v>
      </c>
      <c r="X12" s="92">
        <v>1.5384615384615385E-2</v>
      </c>
      <c r="Y12" s="92">
        <v>1.5384615384615385E-2</v>
      </c>
      <c r="Z12" s="92">
        <v>1.2345679012345678E-2</v>
      </c>
      <c r="AA12" s="92">
        <v>1.2345679012345678E-2</v>
      </c>
      <c r="AB12" s="92">
        <v>1.2345679012345678E-2</v>
      </c>
      <c r="AC12" s="92">
        <v>1.3513513513513514E-2</v>
      </c>
      <c r="AD12" s="92">
        <v>1.3513513513513514E-2</v>
      </c>
      <c r="AE12" s="92">
        <v>9.9502487562189053E-3</v>
      </c>
      <c r="AF12" s="110">
        <v>9.9502487562189053E-3</v>
      </c>
      <c r="AG12" s="110">
        <v>9.9502487562189053E-3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3.8028015983839099E-3</v>
      </c>
      <c r="J13" s="66">
        <f t="shared" ref="J13:J20" si="2">F13/C$11</f>
        <v>7.6056031967678198E-4</v>
      </c>
      <c r="K13" s="67"/>
      <c r="L13" s="124">
        <v>500</v>
      </c>
      <c r="M13" s="108">
        <v>3.0643513789581204E-3</v>
      </c>
      <c r="N13" s="170">
        <v>3000000</v>
      </c>
      <c r="O13" s="124">
        <v>500</v>
      </c>
      <c r="P13" s="26"/>
      <c r="Q13" s="125">
        <v>50</v>
      </c>
      <c r="R13" s="109">
        <v>7.407407407407407E-2</v>
      </c>
      <c r="S13" s="171">
        <v>80000000</v>
      </c>
      <c r="T13" s="125">
        <v>10.925373134328357</v>
      </c>
      <c r="V13" s="117">
        <v>500</v>
      </c>
      <c r="W13" s="123">
        <v>2.5000000000000001E-2</v>
      </c>
      <c r="X13" s="112">
        <v>1.5384615384615385E-2</v>
      </c>
      <c r="Y13" s="112">
        <v>1.5384615384615385E-2</v>
      </c>
      <c r="Z13" s="112">
        <v>1.2345679012345678E-2</v>
      </c>
      <c r="AA13" s="112">
        <v>1.2345679012345678E-2</v>
      </c>
      <c r="AB13" s="112">
        <v>1.2345679012345678E-2</v>
      </c>
      <c r="AC13" s="112">
        <v>1.3513513513513514E-2</v>
      </c>
      <c r="AD13" s="112">
        <v>1.3513513513513514E-2</v>
      </c>
      <c r="AE13" s="112">
        <v>9.9502487562189053E-3</v>
      </c>
      <c r="AF13" s="113">
        <v>9.9502487562189053E-3</v>
      </c>
      <c r="AG13" s="113">
        <v>9.9502487562189053E-3</v>
      </c>
      <c r="AH13" s="175">
        <v>10000000</v>
      </c>
      <c r="AI13" s="279">
        <v>10000000</v>
      </c>
      <c r="AJ13" s="279">
        <v>10000000</v>
      </c>
      <c r="AK13" s="279">
        <v>10000000</v>
      </c>
      <c r="AL13" s="279">
        <v>10000000</v>
      </c>
      <c r="AM13" s="279">
        <v>10000000</v>
      </c>
      <c r="AN13" s="279">
        <v>10000000</v>
      </c>
      <c r="AO13" s="279">
        <v>10000000</v>
      </c>
      <c r="AP13" s="279">
        <v>10000000</v>
      </c>
      <c r="AQ13" s="282">
        <v>10000000</v>
      </c>
      <c r="AR13" s="282">
        <v>10000000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3.1864200603964228E-2</v>
      </c>
      <c r="J14" s="51">
        <f t="shared" si="2"/>
        <v>7.966050150991057E-3</v>
      </c>
      <c r="L14" s="129" t="s">
        <v>112</v>
      </c>
      <c r="M14" s="109">
        <v>0.20429009193054137</v>
      </c>
      <c r="N14" s="171">
        <v>200000000</v>
      </c>
      <c r="O14" s="130">
        <f>T16</f>
        <v>125.81371652264869</v>
      </c>
      <c r="T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</row>
    <row r="15" spans="1:44" ht="16.2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2.6250541101587976E-2</v>
      </c>
      <c r="J15" s="51">
        <f t="shared" si="2"/>
        <v>8.7501803671959921E-3</v>
      </c>
      <c r="N15" s="111" t="s">
        <v>92</v>
      </c>
      <c r="O15" s="98">
        <f>SUMPRODUCT(M3:M14, O3:O14)</f>
        <v>29.834262823830173</v>
      </c>
      <c r="S15" s="1" t="s">
        <v>89</v>
      </c>
      <c r="T15" s="1">
        <f>SUMPRODUCT(Q3:Q13, R3:R13)</f>
        <v>9.9259259259259238</v>
      </c>
      <c r="V15" s="1" t="s">
        <v>90</v>
      </c>
      <c r="W15" s="93">
        <f t="shared" ref="W15:AG15" si="3">SUMPRODUCT($V$3:$V$13,_xlfn.ANCHORARRAY(W3))</f>
        <v>26.1875</v>
      </c>
      <c r="X15" s="93">
        <f t="shared" si="3"/>
        <v>17.26923076923077</v>
      </c>
      <c r="Y15" s="93">
        <f t="shared" si="3"/>
        <v>17.26923076923077</v>
      </c>
      <c r="Z15" s="93">
        <f t="shared" si="3"/>
        <v>13.549382716049381</v>
      </c>
      <c r="AA15" s="93">
        <f t="shared" si="3"/>
        <v>13.549382716049381</v>
      </c>
      <c r="AB15" s="93">
        <f t="shared" si="3"/>
        <v>13.549382716049381</v>
      </c>
      <c r="AC15" s="93">
        <f t="shared" si="3"/>
        <v>14.47972972972973</v>
      </c>
      <c r="AD15" s="93">
        <f t="shared" si="3"/>
        <v>14.47972972972973</v>
      </c>
      <c r="AE15" s="93">
        <f t="shared" si="3"/>
        <v>10.925373134328357</v>
      </c>
      <c r="AF15" s="93">
        <f t="shared" si="3"/>
        <v>10.925373134328357</v>
      </c>
      <c r="AG15" s="93">
        <f t="shared" si="3"/>
        <v>10.925373134328357</v>
      </c>
    </row>
    <row r="16" spans="1:44" ht="16.2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2.2016812809606399E-2</v>
      </c>
      <c r="J16" s="51">
        <f t="shared" si="2"/>
        <v>9.173672004002667E-3</v>
      </c>
      <c r="S16" s="85" t="s">
        <v>92</v>
      </c>
      <c r="T16" s="1" cm="1">
        <f t="array" ref="T16">SUMPRODUCT(Q3:Q13*_xlfn.ANCHORARRAY(T3),_xlfn.ANCHORARRAY(R3))</f>
        <v>125.81371652264869</v>
      </c>
    </row>
    <row r="17" spans="1:19" ht="16.2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2.1699251569553903E-2</v>
      </c>
      <c r="J17" s="51">
        <f t="shared" si="2"/>
        <v>1.0849625784776952E-2</v>
      </c>
      <c r="M17" s="35" t="s">
        <v>8</v>
      </c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1.8974571530899275E-2</v>
      </c>
      <c r="J18" s="51">
        <f t="shared" si="2"/>
        <v>1.1859107206812046E-2</v>
      </c>
      <c r="L18" s="35" t="s">
        <v>262</v>
      </c>
      <c r="M18" s="181">
        <v>0.11403547</v>
      </c>
      <c r="N18" s="178">
        <f>1/M18</f>
        <v>8.7692013721695545</v>
      </c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1.1196850601923419E-2</v>
      </c>
      <c r="J19" s="51">
        <f t="shared" si="2"/>
        <v>1.1196850601923419E-2</v>
      </c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4.5376074945372461E-3</v>
      </c>
      <c r="J20" s="68">
        <f t="shared" si="2"/>
        <v>1.1344018736343114E-2</v>
      </c>
      <c r="L20" s="128">
        <v>1</v>
      </c>
      <c r="M20" s="108">
        <v>3.6316689999999999E-2</v>
      </c>
      <c r="N20" s="263" cm="1">
        <f t="array" ref="N20:N31">IFERROR(1/M20:M31,0)</f>
        <v>27.535549082253919</v>
      </c>
    </row>
    <row r="21" spans="1:19" ht="16.2">
      <c r="B21" s="12"/>
      <c r="C21" s="70"/>
      <c r="D21" s="70"/>
      <c r="E21" s="70"/>
      <c r="F21" s="70"/>
      <c r="G21" s="70"/>
      <c r="H21" s="70"/>
      <c r="I21" s="71"/>
      <c r="J21" s="72"/>
      <c r="L21" s="124">
        <v>2</v>
      </c>
      <c r="M21" s="108">
        <v>3.1994740000000001E-2</v>
      </c>
      <c r="N21" s="264">
        <v>31.255137563236957</v>
      </c>
    </row>
    <row r="22" spans="1:19" ht="16.2" thickBot="1">
      <c r="L22" s="124">
        <v>3</v>
      </c>
      <c r="M22" s="108">
        <v>2.9292209999999999E-2</v>
      </c>
      <c r="N22" s="264">
        <v>34.138769317849352</v>
      </c>
    </row>
    <row r="23" spans="1:19" ht="16.8" thickBot="1">
      <c r="B23" s="61" t="s">
        <v>53</v>
      </c>
      <c r="C23" s="332">
        <f>PRODUCT('Regular Symbol'!C18:E18)</f>
        <v>5218521</v>
      </c>
      <c r="D23" s="332"/>
      <c r="E23" s="332"/>
      <c r="F23" s="332"/>
      <c r="G23" s="332"/>
      <c r="I23" s="33"/>
      <c r="L23" s="124">
        <v>5</v>
      </c>
      <c r="M23" s="108">
        <v>7.8928999999999996E-3</v>
      </c>
      <c r="N23" s="264">
        <v>126.69614463631872</v>
      </c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L24" s="124">
        <v>10</v>
      </c>
      <c r="M24" s="108">
        <v>2.6477800000000002E-3</v>
      </c>
      <c r="N24" s="264">
        <v>377.67488235427413</v>
      </c>
    </row>
    <row r="25" spans="1:19" ht="16.2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3.8028015983839099E-3</v>
      </c>
      <c r="J25" s="66">
        <f t="shared" ref="J25:J32" ca="1" si="6">F25/C$11</f>
        <v>7.6056031967678198E-4</v>
      </c>
      <c r="L25" s="124">
        <v>15</v>
      </c>
      <c r="M25" s="108">
        <v>6.0773999999999995E-4</v>
      </c>
      <c r="N25" s="264">
        <v>1645.4404844176788</v>
      </c>
    </row>
    <row r="26" spans="1:19" ht="16.2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3.1864200603964228E-2</v>
      </c>
      <c r="J26" s="51">
        <f t="shared" ca="1" si="6"/>
        <v>7.966050150991057E-3</v>
      </c>
      <c r="L26" s="124">
        <v>20</v>
      </c>
      <c r="M26" s="108">
        <v>2.4389999999999999E-4</v>
      </c>
      <c r="N26" s="264">
        <v>4100.041000410004</v>
      </c>
    </row>
    <row r="27" spans="1:19" ht="16.2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2.6250541101587976E-2</v>
      </c>
      <c r="J27" s="51">
        <f t="shared" ca="1" si="6"/>
        <v>8.7501803671959921E-3</v>
      </c>
      <c r="L27" s="124">
        <v>25</v>
      </c>
      <c r="M27" s="108">
        <v>1.0081000000000001E-4</v>
      </c>
      <c r="N27" s="264">
        <v>9919.6508282908435</v>
      </c>
    </row>
    <row r="28" spans="1:19" ht="16.2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2.2016812809606399E-2</v>
      </c>
      <c r="J28" s="51">
        <f t="shared" ca="1" si="6"/>
        <v>9.173672004002667E-3</v>
      </c>
      <c r="L28" s="124">
        <v>50</v>
      </c>
      <c r="M28" s="108">
        <v>4.7450000000000001E-5</v>
      </c>
      <c r="N28" s="264">
        <v>21074.81559536354</v>
      </c>
    </row>
    <row r="29" spans="1:19" ht="16.2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2.1699251569553903E-2</v>
      </c>
      <c r="J29" s="51">
        <f t="shared" ca="1" si="6"/>
        <v>1.0849625784776952E-2</v>
      </c>
      <c r="L29" s="124">
        <v>100</v>
      </c>
      <c r="M29" s="108">
        <v>1.2449999999999999E-5</v>
      </c>
      <c r="N29" s="264">
        <v>80321.28514056225</v>
      </c>
    </row>
    <row r="30" spans="1:19" ht="16.2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1.8974571530899275E-2</v>
      </c>
      <c r="J30" s="51">
        <f t="shared" ca="1" si="6"/>
        <v>1.1859107206812046E-2</v>
      </c>
      <c r="L30" s="124">
        <v>500</v>
      </c>
      <c r="M30" s="108">
        <v>1.9999999999999999E-7</v>
      </c>
      <c r="N30" s="264">
        <v>5000000</v>
      </c>
    </row>
    <row r="31" spans="1:19" ht="16.8" thickBot="1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1.1196850601923419E-2</v>
      </c>
      <c r="J31" s="51">
        <f t="shared" ca="1" si="6"/>
        <v>1.1196850601923419E-2</v>
      </c>
      <c r="L31" s="129" t="str">
        <v>Re-spin</v>
      </c>
      <c r="M31" s="109">
        <v>4.8786000000000003E-3</v>
      </c>
      <c r="N31" s="265">
        <v>204.97683761734922</v>
      </c>
      <c r="O31" s="1">
        <v>4.8899999999999997</v>
      </c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4.5376074945372461E-3</v>
      </c>
      <c r="J32" s="68">
        <f t="shared" ca="1" si="6"/>
        <v>1.1344018736343114E-2</v>
      </c>
    </row>
    <row r="34" spans="1:10" ht="16.2" thickBot="1"/>
    <row r="35" spans="1:10" ht="16.8" thickBot="1">
      <c r="B35" s="61" t="s">
        <v>53</v>
      </c>
      <c r="C35" s="332">
        <f>PRODUCT('Regular Symbol'!C18:E18)</f>
        <v>5218521</v>
      </c>
      <c r="D35" s="332"/>
      <c r="E35" s="332"/>
      <c r="F35" s="332"/>
      <c r="G35" s="332"/>
      <c r="I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 ht="16.2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3.8028015983839099E-3</v>
      </c>
      <c r="J37" s="66">
        <f t="shared" ref="J37:J44" ca="1" si="9">F37/C$11</f>
        <v>7.6056031967678198E-4</v>
      </c>
    </row>
    <row r="38" spans="1:10" ht="16.2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3.1864200603964228E-2</v>
      </c>
      <c r="J38" s="51">
        <f t="shared" ca="1" si="9"/>
        <v>7.966050150991057E-3</v>
      </c>
    </row>
    <row r="39" spans="1:10" ht="16.2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2.6250541101587976E-2</v>
      </c>
      <c r="J39" s="51">
        <f t="shared" ca="1" si="9"/>
        <v>8.7501803671959921E-3</v>
      </c>
    </row>
    <row r="40" spans="1:10" ht="16.2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2.2016812809606399E-2</v>
      </c>
      <c r="J40" s="51">
        <f t="shared" ca="1" si="9"/>
        <v>9.173672004002667E-3</v>
      </c>
    </row>
    <row r="41" spans="1:10" ht="16.2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2.1699251569553903E-2</v>
      </c>
      <c r="J41" s="51">
        <f t="shared" ca="1" si="9"/>
        <v>1.0849625784776952E-2</v>
      </c>
    </row>
    <row r="42" spans="1:10" ht="16.2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1.8974571530899275E-2</v>
      </c>
      <c r="J42" s="51">
        <f t="shared" ca="1" si="9"/>
        <v>1.1859107206812046E-2</v>
      </c>
    </row>
    <row r="43" spans="1:10" ht="16.2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1.1196850601923419E-2</v>
      </c>
      <c r="J43" s="51">
        <f t="shared" ca="1" si="9"/>
        <v>1.1196850601923419E-2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4.5376074945372461E-3</v>
      </c>
      <c r="J44" s="68">
        <f t="shared" ca="1" si="9"/>
        <v>1.1344018736343114E-2</v>
      </c>
    </row>
    <row r="46" spans="1:10" ht="16.2" thickBot="1"/>
    <row r="47" spans="1:10" ht="16.8" thickBot="1">
      <c r="B47" s="61" t="s">
        <v>53</v>
      </c>
      <c r="C47" s="332">
        <f>PRODUCT('Regular Symbol'!C18:E18)</f>
        <v>5218521</v>
      </c>
      <c r="D47" s="332"/>
      <c r="E47" s="332"/>
      <c r="F47" s="332"/>
      <c r="G47" s="332"/>
      <c r="I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 ht="16.2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3.8028015983839099E-3</v>
      </c>
      <c r="J49" s="66">
        <f t="shared" ref="J49:J56" ca="1" si="12">F49/C$11</f>
        <v>7.6056031967678198E-4</v>
      </c>
    </row>
    <row r="50" spans="1:10" ht="16.2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3.1864200603964228E-2</v>
      </c>
      <c r="J50" s="51">
        <f t="shared" ca="1" si="12"/>
        <v>7.966050150991057E-3</v>
      </c>
    </row>
    <row r="51" spans="1:10" ht="16.2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2.6250541101587976E-2</v>
      </c>
      <c r="J51" s="51">
        <f t="shared" ca="1" si="12"/>
        <v>8.7501803671959921E-3</v>
      </c>
    </row>
    <row r="52" spans="1:10" ht="16.2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2.2016812809606399E-2</v>
      </c>
      <c r="J52" s="51">
        <f t="shared" ca="1" si="12"/>
        <v>9.173672004002667E-3</v>
      </c>
    </row>
    <row r="53" spans="1:10" ht="16.2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2.1699251569553903E-2</v>
      </c>
      <c r="J53" s="51">
        <f t="shared" ca="1" si="12"/>
        <v>1.0849625784776952E-2</v>
      </c>
    </row>
    <row r="54" spans="1:10" ht="16.2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1.8974571530899275E-2</v>
      </c>
      <c r="J54" s="51">
        <f t="shared" ca="1" si="12"/>
        <v>1.1859107206812046E-2</v>
      </c>
    </row>
    <row r="55" spans="1:10" ht="16.2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1.1196850601923419E-2</v>
      </c>
      <c r="J55" s="51">
        <f t="shared" ca="1" si="12"/>
        <v>1.1196850601923419E-2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4.5376074945372461E-3</v>
      </c>
      <c r="J56" s="68">
        <f t="shared" ca="1" si="12"/>
        <v>1.1344018736343114E-2</v>
      </c>
    </row>
    <row r="58" spans="1:10" ht="16.2" thickBot="1"/>
    <row r="59" spans="1:10" ht="16.8" thickBot="1">
      <c r="B59" s="61" t="s">
        <v>53</v>
      </c>
      <c r="C59" s="332">
        <f>PRODUCT('Regular Symbol'!C18:E18)</f>
        <v>5218521</v>
      </c>
      <c r="D59" s="332"/>
      <c r="E59" s="332"/>
      <c r="F59" s="332"/>
      <c r="G59" s="332"/>
      <c r="I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 ht="16.2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3.8028015983839099E-3</v>
      </c>
      <c r="J61" s="66">
        <f t="shared" ref="J61:J68" ca="1" si="15">F61/C$11</f>
        <v>7.6056031967678198E-4</v>
      </c>
    </row>
    <row r="62" spans="1:10" ht="16.2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3.1864200603964228E-2</v>
      </c>
      <c r="J62" s="51">
        <f t="shared" ca="1" si="15"/>
        <v>7.966050150991057E-3</v>
      </c>
    </row>
    <row r="63" spans="1:10" ht="16.2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2.6250541101587976E-2</v>
      </c>
      <c r="J63" s="51">
        <f t="shared" ca="1" si="15"/>
        <v>8.7501803671959921E-3</v>
      </c>
    </row>
    <row r="64" spans="1:10" ht="16.2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2.2016812809606399E-2</v>
      </c>
      <c r="J64" s="51">
        <f t="shared" ca="1" si="15"/>
        <v>9.173672004002667E-3</v>
      </c>
    </row>
    <row r="65" spans="1:10" ht="16.2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2.1699251569553903E-2</v>
      </c>
      <c r="J65" s="51">
        <f t="shared" ca="1" si="15"/>
        <v>1.0849625784776952E-2</v>
      </c>
    </row>
    <row r="66" spans="1:10" ht="16.2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1.8974571530899275E-2</v>
      </c>
      <c r="J66" s="51">
        <f t="shared" ca="1" si="15"/>
        <v>1.1859107206812046E-2</v>
      </c>
    </row>
    <row r="67" spans="1:10" ht="16.2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1.1196850601923419E-2</v>
      </c>
      <c r="J67" s="51">
        <f t="shared" ca="1" si="15"/>
        <v>1.1196850601923419E-2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4.5376074945372461E-3</v>
      </c>
      <c r="J68" s="68">
        <f t="shared" ca="1" si="15"/>
        <v>1.1344018736343114E-2</v>
      </c>
    </row>
  </sheetData>
  <mergeCells count="5">
    <mergeCell ref="C59:G59"/>
    <mergeCell ref="C11:G11"/>
    <mergeCell ref="C23:G23"/>
    <mergeCell ref="C35:G35"/>
    <mergeCell ref="C47:G47"/>
  </mergeCells>
  <phoneticPr fontId="2" type="noConversion"/>
  <conditionalFormatting sqref="I13:I20">
    <cfRule type="colorScale" priority="31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19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18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17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16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10" priority="2" operator="equal">
      <formula>0</formula>
    </cfRule>
  </conditionalFormatting>
  <conditionalFormatting sqref="M20:N31">
    <cfRule type="cellIs" dxfId="9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68619-BEA1-43EC-A0DF-99124634B92A}">
  <sheetPr>
    <tabColor theme="5" tint="0.39997558519241921"/>
  </sheetPr>
  <dimension ref="A1:AR69"/>
  <sheetViews>
    <sheetView zoomScale="70" zoomScaleNormal="70" workbookViewId="0">
      <selection activeCell="C14" sqref="C14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38">
        <f>Bet_2</f>
        <v>1.5</v>
      </c>
      <c r="D1" s="1"/>
      <c r="E1" s="1"/>
      <c r="F1" s="1"/>
      <c r="G1" s="1"/>
      <c r="H1" s="2" t="s">
        <v>79</v>
      </c>
      <c r="I1" s="20">
        <f ca="1">SUM(I12:I68)</f>
        <v>0.46780879103485473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I1*O15</f>
        <v>20.462976012829156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/>
      <c r="I3" s="20"/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0.1111111111111111</v>
      </c>
      <c r="S3" s="172">
        <v>120000000</v>
      </c>
      <c r="T3" s="115" cm="1">
        <f t="array" ref="T3:T13">_xlfn.XLOOKUP(Q3:Q13,W2:AG2,W15:AG15)</f>
        <v>26.1875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0.28985507246376813</v>
      </c>
      <c r="N4" s="170">
        <v>220000000</v>
      </c>
      <c r="O4" s="124">
        <v>2</v>
      </c>
      <c r="P4" s="26"/>
      <c r="Q4" s="116">
        <v>3</v>
      </c>
      <c r="R4" s="108">
        <v>0.1111111111111111</v>
      </c>
      <c r="S4" s="173">
        <v>120000000</v>
      </c>
      <c r="T4" s="116">
        <v>17.26923076923077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0.30864197530864196</v>
      </c>
      <c r="AA4" s="92">
        <v>0.30864197530864196</v>
      </c>
      <c r="AB4" s="92">
        <v>0.30864197530864196</v>
      </c>
      <c r="AC4" s="92">
        <v>0.32432432432432434</v>
      </c>
      <c r="AD4" s="92">
        <v>0.32432432432432434</v>
      </c>
      <c r="AE4" s="92">
        <v>0.32432432432432434</v>
      </c>
      <c r="AF4" s="110">
        <v>0.32432432432432434</v>
      </c>
      <c r="AG4" s="110">
        <v>0.32432432432432434</v>
      </c>
      <c r="AH4" s="174">
        <v>0</v>
      </c>
      <c r="AI4" s="278">
        <v>0</v>
      </c>
      <c r="AJ4" s="278">
        <v>0</v>
      </c>
      <c r="AK4" s="278">
        <v>250000000</v>
      </c>
      <c r="AL4" s="278">
        <v>250000000</v>
      </c>
      <c r="AM4" s="278">
        <v>250000000</v>
      </c>
      <c r="AN4" s="278">
        <v>240000000</v>
      </c>
      <c r="AO4" s="278">
        <v>240000000</v>
      </c>
      <c r="AP4" s="278">
        <v>240000000</v>
      </c>
      <c r="AQ4" s="281">
        <v>240000000</v>
      </c>
      <c r="AR4" s="281">
        <v>240000000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0.28985507246376813</v>
      </c>
      <c r="N5" s="170">
        <v>220000000</v>
      </c>
      <c r="O5" s="124">
        <v>3</v>
      </c>
      <c r="P5" s="26"/>
      <c r="Q5" s="116">
        <v>4</v>
      </c>
      <c r="R5" s="108">
        <v>0.1111111111111111</v>
      </c>
      <c r="S5" s="173">
        <v>120000000</v>
      </c>
      <c r="T5" s="116">
        <v>17.26923076923077</v>
      </c>
      <c r="U5" s="1"/>
      <c r="V5" s="116">
        <v>3</v>
      </c>
      <c r="W5" s="122">
        <v>0</v>
      </c>
      <c r="X5" s="92">
        <v>0.38461538461538464</v>
      </c>
      <c r="Y5" s="92">
        <v>0.38461538461538464</v>
      </c>
      <c r="Z5" s="92">
        <v>0.24691358024691357</v>
      </c>
      <c r="AA5" s="92">
        <v>0.24691358024691357</v>
      </c>
      <c r="AB5" s="92">
        <v>0.24691358024691357</v>
      </c>
      <c r="AC5" s="92">
        <v>0.22972972972972974</v>
      </c>
      <c r="AD5" s="92">
        <v>0.22972972972972974</v>
      </c>
      <c r="AE5" s="92">
        <v>0.22972972972972974</v>
      </c>
      <c r="AF5" s="110">
        <v>0.22972972972972974</v>
      </c>
      <c r="AG5" s="110">
        <v>0.22972972972972974</v>
      </c>
      <c r="AH5" s="174">
        <v>0</v>
      </c>
      <c r="AI5" s="278">
        <v>250000000</v>
      </c>
      <c r="AJ5" s="278">
        <v>250000000</v>
      </c>
      <c r="AK5" s="278">
        <v>200000000</v>
      </c>
      <c r="AL5" s="278">
        <v>200000000</v>
      </c>
      <c r="AM5" s="278">
        <v>200000000</v>
      </c>
      <c r="AN5" s="278">
        <v>170000000</v>
      </c>
      <c r="AO5" s="278">
        <v>170000000</v>
      </c>
      <c r="AP5" s="278">
        <v>170000000</v>
      </c>
      <c r="AQ5" s="281">
        <v>170000000</v>
      </c>
      <c r="AR5" s="281">
        <v>170000000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8.5638998682476944E-2</v>
      </c>
      <c r="N6" s="170">
        <v>65000000</v>
      </c>
      <c r="O6" s="124">
        <v>5</v>
      </c>
      <c r="P6" s="26"/>
      <c r="Q6" s="116">
        <v>5</v>
      </c>
      <c r="R6" s="108">
        <v>0.1111111111111111</v>
      </c>
      <c r="S6" s="173">
        <v>120000000</v>
      </c>
      <c r="T6" s="116">
        <v>13.549382716049381</v>
      </c>
      <c r="U6" s="26"/>
      <c r="V6" s="116">
        <v>5</v>
      </c>
      <c r="W6" s="122">
        <v>0.375</v>
      </c>
      <c r="X6" s="92">
        <v>0.23076923076923078</v>
      </c>
      <c r="Y6" s="92">
        <v>0.23076923076923078</v>
      </c>
      <c r="Z6" s="92">
        <v>0.19753086419753085</v>
      </c>
      <c r="AA6" s="92">
        <v>0.19753086419753085</v>
      </c>
      <c r="AB6" s="92">
        <v>0.19753086419753085</v>
      </c>
      <c r="AC6" s="92">
        <v>0.17567567567567569</v>
      </c>
      <c r="AD6" s="92">
        <v>0.17567567567567569</v>
      </c>
      <c r="AE6" s="92">
        <v>0.17567567567567569</v>
      </c>
      <c r="AF6" s="110">
        <v>0.17567567567567569</v>
      </c>
      <c r="AG6" s="110">
        <v>0.17567567567567569</v>
      </c>
      <c r="AH6" s="174">
        <v>150000000</v>
      </c>
      <c r="AI6" s="278">
        <v>150000000</v>
      </c>
      <c r="AJ6" s="278">
        <v>150000000</v>
      </c>
      <c r="AK6" s="278">
        <v>160000000</v>
      </c>
      <c r="AL6" s="278">
        <v>160000000</v>
      </c>
      <c r="AM6" s="278">
        <v>160000000</v>
      </c>
      <c r="AN6" s="278">
        <v>130000000</v>
      </c>
      <c r="AO6" s="278">
        <v>130000000</v>
      </c>
      <c r="AP6" s="278">
        <v>130000000</v>
      </c>
      <c r="AQ6" s="281">
        <v>130000000</v>
      </c>
      <c r="AR6" s="281">
        <v>130000000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3.9525691699604744E-2</v>
      </c>
      <c r="N7" s="170">
        <v>30000000</v>
      </c>
      <c r="O7" s="124">
        <v>10</v>
      </c>
      <c r="P7" s="26"/>
      <c r="Q7" s="116">
        <v>6</v>
      </c>
      <c r="R7" s="108">
        <v>0.1111111111111111</v>
      </c>
      <c r="S7" s="173">
        <v>120000000</v>
      </c>
      <c r="T7" s="116">
        <v>13.549382716049381</v>
      </c>
      <c r="U7" s="1"/>
      <c r="V7" s="116">
        <v>10</v>
      </c>
      <c r="W7" s="122">
        <v>0.25</v>
      </c>
      <c r="X7" s="92">
        <v>0.15384615384615385</v>
      </c>
      <c r="Y7" s="92">
        <v>0.15384615384615385</v>
      </c>
      <c r="Z7" s="92">
        <v>9.8765432098765427E-2</v>
      </c>
      <c r="AA7" s="92">
        <v>9.8765432098765427E-2</v>
      </c>
      <c r="AB7" s="92">
        <v>9.8765432098765427E-2</v>
      </c>
      <c r="AC7" s="92">
        <v>0.10810810810810811</v>
      </c>
      <c r="AD7" s="92">
        <v>0.10810810810810811</v>
      </c>
      <c r="AE7" s="92">
        <v>0.10810810810810811</v>
      </c>
      <c r="AF7" s="110">
        <v>0.10810810810810811</v>
      </c>
      <c r="AG7" s="110">
        <v>0.10810810810810811</v>
      </c>
      <c r="AH7" s="174">
        <v>100000000</v>
      </c>
      <c r="AI7" s="278">
        <v>100000000</v>
      </c>
      <c r="AJ7" s="278">
        <v>100000000</v>
      </c>
      <c r="AK7" s="278">
        <v>80000000</v>
      </c>
      <c r="AL7" s="278">
        <v>80000000</v>
      </c>
      <c r="AM7" s="278">
        <v>80000000</v>
      </c>
      <c r="AN7" s="278">
        <v>80000000</v>
      </c>
      <c r="AO7" s="278">
        <v>80000000</v>
      </c>
      <c r="AP7" s="278">
        <v>80000000</v>
      </c>
      <c r="AQ7" s="281">
        <v>80000000</v>
      </c>
      <c r="AR7" s="281">
        <v>80000000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1.3175230566534914E-2</v>
      </c>
      <c r="N8" s="170">
        <v>10000000</v>
      </c>
      <c r="O8" s="124">
        <v>15</v>
      </c>
      <c r="P8" s="26"/>
      <c r="Q8" s="116">
        <v>7</v>
      </c>
      <c r="R8" s="108">
        <v>7.407407407407407E-2</v>
      </c>
      <c r="S8" s="173">
        <v>80000000</v>
      </c>
      <c r="T8" s="116">
        <v>13.549382716049381</v>
      </c>
      <c r="U8" s="1"/>
      <c r="V8" s="116">
        <v>15</v>
      </c>
      <c r="W8" s="122">
        <v>0.2</v>
      </c>
      <c r="X8" s="92">
        <v>0.12307692307692308</v>
      </c>
      <c r="Y8" s="92">
        <v>0.12307692307692308</v>
      </c>
      <c r="Z8" s="92">
        <v>6.1728395061728392E-2</v>
      </c>
      <c r="AA8" s="92">
        <v>6.1728395061728392E-2</v>
      </c>
      <c r="AB8" s="92">
        <v>6.1728395061728392E-2</v>
      </c>
      <c r="AC8" s="92">
        <v>6.7567567567567571E-2</v>
      </c>
      <c r="AD8" s="92">
        <v>6.7567567567567571E-2</v>
      </c>
      <c r="AE8" s="92">
        <v>6.7567567567567571E-2</v>
      </c>
      <c r="AF8" s="110">
        <v>6.7567567567567571E-2</v>
      </c>
      <c r="AG8" s="110">
        <v>6.7567567567567571E-2</v>
      </c>
      <c r="AH8" s="174">
        <v>80000000</v>
      </c>
      <c r="AI8" s="278">
        <v>80000000</v>
      </c>
      <c r="AJ8" s="278">
        <v>80000000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6.587615283267457E-3</v>
      </c>
      <c r="N9" s="170">
        <v>5000000</v>
      </c>
      <c r="O9" s="124">
        <v>20</v>
      </c>
      <c r="P9" s="26"/>
      <c r="Q9" s="116">
        <v>8</v>
      </c>
      <c r="R9" s="108">
        <v>7.407407407407407E-2</v>
      </c>
      <c r="S9" s="173">
        <v>80000000</v>
      </c>
      <c r="T9" s="116">
        <v>14.47972972972973</v>
      </c>
      <c r="U9" s="1"/>
      <c r="V9" s="116">
        <v>20</v>
      </c>
      <c r="W9" s="122">
        <v>0.05</v>
      </c>
      <c r="X9" s="92">
        <v>3.0769230769230771E-2</v>
      </c>
      <c r="Y9" s="92">
        <v>3.0769230769230771E-2</v>
      </c>
      <c r="Z9" s="92">
        <v>2.4691358024691357E-2</v>
      </c>
      <c r="AA9" s="92">
        <v>2.4691358024691357E-2</v>
      </c>
      <c r="AB9" s="92">
        <v>2.4691358024691357E-2</v>
      </c>
      <c r="AC9" s="92">
        <v>2.7027027027027029E-2</v>
      </c>
      <c r="AD9" s="92">
        <v>2.7027027027027029E-2</v>
      </c>
      <c r="AE9" s="92">
        <v>2.7027027027027029E-2</v>
      </c>
      <c r="AF9" s="110">
        <v>2.7027027027027029E-2</v>
      </c>
      <c r="AG9" s="110">
        <v>2.7027027027027029E-2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2.635046113306983E-3</v>
      </c>
      <c r="N10" s="170">
        <v>2000000</v>
      </c>
      <c r="O10" s="124">
        <v>25</v>
      </c>
      <c r="P10" s="26"/>
      <c r="Q10" s="116">
        <v>9</v>
      </c>
      <c r="R10" s="108">
        <v>7.407407407407407E-2</v>
      </c>
      <c r="S10" s="173">
        <v>80000000</v>
      </c>
      <c r="T10" s="116">
        <v>14.47972972972973</v>
      </c>
      <c r="U10" s="1"/>
      <c r="V10" s="116">
        <v>25</v>
      </c>
      <c r="W10" s="122">
        <v>3.7499999999999999E-2</v>
      </c>
      <c r="X10" s="92">
        <v>2.3076923076923078E-2</v>
      </c>
      <c r="Y10" s="92">
        <v>2.3076923076923078E-2</v>
      </c>
      <c r="Z10" s="92">
        <v>1.8518518518518517E-2</v>
      </c>
      <c r="AA10" s="92">
        <v>1.8518518518518517E-2</v>
      </c>
      <c r="AB10" s="92">
        <v>1.8518518518518517E-2</v>
      </c>
      <c r="AC10" s="92">
        <v>2.0270270270270271E-2</v>
      </c>
      <c r="AD10" s="92">
        <v>2.0270270270270271E-2</v>
      </c>
      <c r="AE10" s="92">
        <v>2.0270270270270271E-2</v>
      </c>
      <c r="AF10" s="110">
        <v>2.0270270270270271E-2</v>
      </c>
      <c r="AG10" s="110">
        <v>2.0270270270270271E-2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A11" s="1"/>
      <c r="B11" s="61" t="s">
        <v>53</v>
      </c>
      <c r="C11" s="332">
        <f>PRODUCT('Regular Symbol'!C44:E44)</f>
        <v>5218521</v>
      </c>
      <c r="D11" s="332"/>
      <c r="E11" s="332"/>
      <c r="F11" s="332"/>
      <c r="G11" s="332"/>
      <c r="H11" s="1"/>
      <c r="I11" s="33"/>
      <c r="J11" s="33"/>
      <c r="K11" s="33"/>
      <c r="L11" s="124">
        <v>50</v>
      </c>
      <c r="M11" s="108">
        <v>2.635046113306983E-3</v>
      </c>
      <c r="N11" s="170">
        <v>2000000</v>
      </c>
      <c r="O11" s="124">
        <v>50</v>
      </c>
      <c r="P11" s="26"/>
      <c r="Q11" s="116">
        <v>10</v>
      </c>
      <c r="R11" s="108">
        <v>7.407407407407407E-2</v>
      </c>
      <c r="S11" s="173">
        <v>80000000</v>
      </c>
      <c r="T11" s="116">
        <v>14.47972972972973</v>
      </c>
      <c r="U11" s="1"/>
      <c r="V11" s="116">
        <v>50</v>
      </c>
      <c r="W11" s="122">
        <v>3.7499999999999999E-2</v>
      </c>
      <c r="X11" s="92">
        <v>2.3076923076923078E-2</v>
      </c>
      <c r="Y11" s="92">
        <v>2.3076923076923078E-2</v>
      </c>
      <c r="Z11" s="92">
        <v>1.8518518518518517E-2</v>
      </c>
      <c r="AA11" s="92">
        <v>1.8518518518518517E-2</v>
      </c>
      <c r="AB11" s="92">
        <v>1.8518518518518517E-2</v>
      </c>
      <c r="AC11" s="92">
        <v>2.0270270270270271E-2</v>
      </c>
      <c r="AD11" s="92">
        <v>2.0270270270270271E-2</v>
      </c>
      <c r="AE11" s="92">
        <v>2.0270270270270271E-2</v>
      </c>
      <c r="AF11" s="110">
        <v>2.0270270270270271E-2</v>
      </c>
      <c r="AG11" s="110">
        <v>2.0270270270270271E-2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2.635046113306983E-3</v>
      </c>
      <c r="N12" s="170">
        <v>2000000</v>
      </c>
      <c r="O12" s="124">
        <v>100</v>
      </c>
      <c r="P12" s="26"/>
      <c r="Q12" s="124">
        <v>20</v>
      </c>
      <c r="R12" s="108">
        <v>7.407407407407407E-2</v>
      </c>
      <c r="S12" s="170">
        <v>80000000</v>
      </c>
      <c r="T12" s="124">
        <v>14.47972972972973</v>
      </c>
      <c r="U12" s="1"/>
      <c r="V12" s="116">
        <v>100</v>
      </c>
      <c r="W12" s="122">
        <v>2.5000000000000001E-2</v>
      </c>
      <c r="X12" s="92">
        <v>1.5384615384615385E-2</v>
      </c>
      <c r="Y12" s="92">
        <v>1.5384615384615385E-2</v>
      </c>
      <c r="Z12" s="92">
        <v>1.2345679012345678E-2</v>
      </c>
      <c r="AA12" s="92">
        <v>1.2345679012345678E-2</v>
      </c>
      <c r="AB12" s="92">
        <v>1.2345679012345678E-2</v>
      </c>
      <c r="AC12" s="92">
        <v>1.3513513513513514E-2</v>
      </c>
      <c r="AD12" s="92">
        <v>1.3513513513513514E-2</v>
      </c>
      <c r="AE12" s="92">
        <v>1.3513513513513514E-2</v>
      </c>
      <c r="AF12" s="110">
        <v>1.3513513513513514E-2</v>
      </c>
      <c r="AG12" s="110">
        <v>1.3513513513513514E-2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2.5352010655892731E-3</v>
      </c>
      <c r="J13" s="66">
        <f t="shared" ref="J13:J20" si="2">F13/C$11</f>
        <v>7.6056031967678198E-4</v>
      </c>
      <c r="K13" s="67"/>
      <c r="L13" s="124">
        <v>500</v>
      </c>
      <c r="M13" s="108">
        <v>3.952569169960474E-3</v>
      </c>
      <c r="N13" s="170">
        <v>3000000</v>
      </c>
      <c r="O13" s="124">
        <v>500</v>
      </c>
      <c r="P13" s="26"/>
      <c r="Q13" s="125">
        <v>50</v>
      </c>
      <c r="R13" s="109">
        <v>7.407407407407407E-2</v>
      </c>
      <c r="S13" s="171">
        <v>80000000</v>
      </c>
      <c r="T13" s="125">
        <v>14.47972972972973</v>
      </c>
      <c r="U13" s="1"/>
      <c r="V13" s="117">
        <v>500</v>
      </c>
      <c r="W13" s="123">
        <v>2.5000000000000001E-2</v>
      </c>
      <c r="X13" s="112">
        <v>1.5384615384615385E-2</v>
      </c>
      <c r="Y13" s="112">
        <v>1.5384615384615385E-2</v>
      </c>
      <c r="Z13" s="112">
        <v>1.2345679012345678E-2</v>
      </c>
      <c r="AA13" s="112">
        <v>1.2345679012345678E-2</v>
      </c>
      <c r="AB13" s="112">
        <v>1.2345679012345678E-2</v>
      </c>
      <c r="AC13" s="112">
        <v>1.3513513513513514E-2</v>
      </c>
      <c r="AD13" s="112">
        <v>1.3513513513513514E-2</v>
      </c>
      <c r="AE13" s="112">
        <v>1.3513513513513514E-2</v>
      </c>
      <c r="AF13" s="113">
        <v>1.3513513513513514E-2</v>
      </c>
      <c r="AG13" s="113">
        <v>1.3513513513513514E-2</v>
      </c>
      <c r="AH13" s="175">
        <v>10000000</v>
      </c>
      <c r="AI13" s="279">
        <v>10000000</v>
      </c>
      <c r="AJ13" s="279">
        <v>10000000</v>
      </c>
      <c r="AK13" s="279">
        <v>10000000</v>
      </c>
      <c r="AL13" s="279">
        <v>10000000</v>
      </c>
      <c r="AM13" s="279">
        <v>10000000</v>
      </c>
      <c r="AN13" s="279">
        <v>10000000</v>
      </c>
      <c r="AO13" s="279">
        <v>10000000</v>
      </c>
      <c r="AP13" s="279">
        <v>10000000</v>
      </c>
      <c r="AQ13" s="282">
        <v>10000000</v>
      </c>
      <c r="AR13" s="282">
        <v>10000000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2.1242800402642818E-2</v>
      </c>
      <c r="J14" s="51">
        <f t="shared" si="2"/>
        <v>7.966050150991057E-3</v>
      </c>
      <c r="K14" s="34"/>
      <c r="L14" s="129" t="s">
        <v>112</v>
      </c>
      <c r="M14" s="109">
        <v>0.2635046113306983</v>
      </c>
      <c r="N14" s="171">
        <v>200000000</v>
      </c>
      <c r="O14" s="130">
        <f>T16</f>
        <v>146.87657042132349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1.7500360734391984E-2</v>
      </c>
      <c r="J15" s="51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43.742179294156387</v>
      </c>
      <c r="P15" s="1"/>
      <c r="Q15" s="1"/>
      <c r="R15" s="1"/>
      <c r="S15" s="1" t="s">
        <v>89</v>
      </c>
      <c r="T15" s="1">
        <f>SUMPRODUCT(Q3:Q13, R3:R13)</f>
        <v>9.9259259259259238</v>
      </c>
      <c r="U15" s="1"/>
      <c r="V15" s="1" t="s">
        <v>90</v>
      </c>
      <c r="W15" s="93">
        <f t="shared" ref="W15:AG15" si="3">SUMPRODUCT($V$3:$V$13,_xlfn.ANCHORARRAY(W3))</f>
        <v>26.1875</v>
      </c>
      <c r="X15" s="93">
        <f t="shared" si="3"/>
        <v>17.26923076923077</v>
      </c>
      <c r="Y15" s="93">
        <f t="shared" si="3"/>
        <v>17.26923076923077</v>
      </c>
      <c r="Z15" s="93">
        <f t="shared" si="3"/>
        <v>13.549382716049381</v>
      </c>
      <c r="AA15" s="93">
        <f t="shared" si="3"/>
        <v>13.549382716049381</v>
      </c>
      <c r="AB15" s="93">
        <f t="shared" si="3"/>
        <v>13.549382716049381</v>
      </c>
      <c r="AC15" s="93">
        <f t="shared" si="3"/>
        <v>14.47972972972973</v>
      </c>
      <c r="AD15" s="93">
        <f t="shared" si="3"/>
        <v>14.47972972972973</v>
      </c>
      <c r="AE15" s="93">
        <f t="shared" si="3"/>
        <v>14.47972972972973</v>
      </c>
      <c r="AF15" s="93">
        <f t="shared" si="3"/>
        <v>14.47972972972973</v>
      </c>
      <c r="AG15" s="93">
        <f t="shared" si="3"/>
        <v>14.47972972972973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1.4677875206404267E-2</v>
      </c>
      <c r="J16" s="51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146.87657042132349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1.4466167713035936E-2</v>
      </c>
      <c r="J17" s="51">
        <f t="shared" si="2"/>
        <v>1.0849625784776952E-2</v>
      </c>
      <c r="K17" s="34"/>
      <c r="L17" s="35"/>
      <c r="M17" s="35" t="s">
        <v>8</v>
      </c>
      <c r="N17" s="35"/>
      <c r="O17" s="1"/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1.2649714353932849E-2</v>
      </c>
      <c r="J18" s="51">
        <f t="shared" si="2"/>
        <v>1.1859107206812046E-2</v>
      </c>
      <c r="K18" s="34"/>
      <c r="L18" s="35" t="s">
        <v>263</v>
      </c>
      <c r="M18" s="181">
        <v>0.14568610000000001</v>
      </c>
      <c r="N18" s="178">
        <f>1/M18</f>
        <v>6.8640728250670442</v>
      </c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7.464567067948946E-3</v>
      </c>
      <c r="J19" s="51">
        <f t="shared" si="2"/>
        <v>1.1196850601923419E-2</v>
      </c>
      <c r="K19" s="34"/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3.0250716630248306E-3</v>
      </c>
      <c r="J20" s="68">
        <f t="shared" si="2"/>
        <v>1.1344018736343114E-2</v>
      </c>
      <c r="K20" s="34"/>
      <c r="L20" s="128">
        <v>1</v>
      </c>
      <c r="M20" s="108">
        <v>0</v>
      </c>
      <c r="N20" s="263" cm="1">
        <f t="array" ref="N20:N31">IFERROR(1/M20:M31,0)</f>
        <v>0</v>
      </c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124">
        <v>2</v>
      </c>
      <c r="M21" s="108">
        <v>4.6105699999999999E-2</v>
      </c>
      <c r="N21" s="264">
        <v>21.689292213327203</v>
      </c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124">
        <v>3</v>
      </c>
      <c r="M22" s="108">
        <v>4.2582450000000001E-2</v>
      </c>
      <c r="N22" s="264">
        <v>23.48385308971184</v>
      </c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32">
        <f>PRODUCT('Regular Symbol'!C44:E44)</f>
        <v>5218521</v>
      </c>
      <c r="D23" s="332"/>
      <c r="E23" s="332"/>
      <c r="F23" s="332"/>
      <c r="G23" s="332"/>
      <c r="H23" s="1"/>
      <c r="I23" s="33"/>
      <c r="J23" s="33"/>
      <c r="K23" s="34"/>
      <c r="L23" s="124">
        <v>5</v>
      </c>
      <c r="M23" s="108">
        <v>1.211164E-2</v>
      </c>
      <c r="N23" s="264">
        <v>82.565201739813929</v>
      </c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124">
        <v>10</v>
      </c>
      <c r="M24" s="108">
        <v>4.2834500000000003E-3</v>
      </c>
      <c r="N24" s="264">
        <v>233.45667627729983</v>
      </c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2.5352010655892731E-3</v>
      </c>
      <c r="J25" s="66">
        <f t="shared" ref="J25:J32" ca="1" si="6">F25/C$11</f>
        <v>7.6056031967678198E-4</v>
      </c>
      <c r="K25" s="34"/>
      <c r="L25" s="124">
        <v>15</v>
      </c>
      <c r="M25" s="108">
        <v>1.08366E-3</v>
      </c>
      <c r="N25" s="264">
        <v>922.79866378753491</v>
      </c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2.1242800402642818E-2</v>
      </c>
      <c r="J26" s="51">
        <f t="shared" ca="1" si="6"/>
        <v>7.966050150991057E-3</v>
      </c>
      <c r="K26" s="34"/>
      <c r="L26" s="124">
        <v>20</v>
      </c>
      <c r="M26" s="108">
        <v>3.9250999999999999E-4</v>
      </c>
      <c r="N26" s="264">
        <v>2547.7057909352629</v>
      </c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1.7500360734391984E-2</v>
      </c>
      <c r="J27" s="51">
        <f t="shared" ca="1" si="6"/>
        <v>8.7501803671959921E-3</v>
      </c>
      <c r="K27" s="34"/>
      <c r="L27" s="124">
        <v>25</v>
      </c>
      <c r="M27" s="108">
        <v>1.6449999999999999E-4</v>
      </c>
      <c r="N27" s="264">
        <v>6079.0273556231004</v>
      </c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1.4677875206404267E-2</v>
      </c>
      <c r="J28" s="51">
        <f t="shared" ca="1" si="6"/>
        <v>9.173672004002667E-3</v>
      </c>
      <c r="K28" s="34"/>
      <c r="L28" s="124">
        <v>50</v>
      </c>
      <c r="M28" s="108">
        <v>7.9510000000000003E-5</v>
      </c>
      <c r="N28" s="264">
        <v>12577.034335303735</v>
      </c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1.4466167713035936E-2</v>
      </c>
      <c r="J29" s="51">
        <f t="shared" ca="1" si="6"/>
        <v>1.0849625784776952E-2</v>
      </c>
      <c r="K29" s="34"/>
      <c r="L29" s="124">
        <v>100</v>
      </c>
      <c r="M29" s="108">
        <v>3.5500000000000002E-5</v>
      </c>
      <c r="N29" s="264">
        <v>28169.014084507042</v>
      </c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1.2649714353932849E-2</v>
      </c>
      <c r="J30" s="51">
        <f t="shared" ca="1" si="6"/>
        <v>1.1859107206812046E-2</v>
      </c>
      <c r="K30" s="34"/>
      <c r="L30" s="124">
        <v>500</v>
      </c>
      <c r="M30" s="108">
        <v>2.88E-6</v>
      </c>
      <c r="N30" s="264">
        <v>347222.22222222225</v>
      </c>
      <c r="O30" s="1"/>
      <c r="P30" s="1"/>
      <c r="Q30" s="1"/>
      <c r="R30" s="1"/>
      <c r="S30" s="1"/>
    </row>
    <row r="31" spans="1:19" ht="16.8" thickBot="1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7.464567067948946E-3</v>
      </c>
      <c r="J31" s="51">
        <f t="shared" ca="1" si="6"/>
        <v>1.1196850601923419E-2</v>
      </c>
      <c r="K31" s="34"/>
      <c r="L31" s="129" t="str">
        <v>Re-spin</v>
      </c>
      <c r="M31" s="109">
        <v>8.5256599999999991E-3</v>
      </c>
      <c r="N31" s="265">
        <v>117.29297203970134</v>
      </c>
      <c r="O31" s="1">
        <v>4.84</v>
      </c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3.0250716630248306E-3</v>
      </c>
      <c r="J32" s="68">
        <f t="shared" ca="1" si="6"/>
        <v>1.1344018736343114E-2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32">
        <f>PRODUCT('Regular Symbol'!C44:E44)</f>
        <v>5218521</v>
      </c>
      <c r="D35" s="332"/>
      <c r="E35" s="332"/>
      <c r="F35" s="332"/>
      <c r="G35" s="332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2.5352010655892731E-3</v>
      </c>
      <c r="J37" s="66">
        <f t="shared" ref="J37:J44" ca="1" si="9">F37/C$11</f>
        <v>7.6056031967678198E-4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2.1242800402642818E-2</v>
      </c>
      <c r="J38" s="51">
        <f t="shared" ca="1" si="9"/>
        <v>7.966050150991057E-3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1.7500360734391984E-2</v>
      </c>
      <c r="J39" s="51">
        <f t="shared" ca="1" si="9"/>
        <v>8.7501803671959921E-3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1.4677875206404267E-2</v>
      </c>
      <c r="J40" s="51">
        <f t="shared" ca="1" si="9"/>
        <v>9.173672004002667E-3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1.4466167713035936E-2</v>
      </c>
      <c r="J41" s="51">
        <f t="shared" ca="1" si="9"/>
        <v>1.0849625784776952E-2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1.2649714353932849E-2</v>
      </c>
      <c r="J42" s="51">
        <f t="shared" ca="1" si="9"/>
        <v>1.1859107206812046E-2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7.464567067948946E-3</v>
      </c>
      <c r="J43" s="51">
        <f t="shared" ca="1" si="9"/>
        <v>1.1196850601923419E-2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3.0250716630248306E-3</v>
      </c>
      <c r="J44" s="68">
        <f t="shared" ca="1" si="9"/>
        <v>1.1344018736343114E-2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32">
        <f>PRODUCT('Regular Symbol'!C44:E44)</f>
        <v>5218521</v>
      </c>
      <c r="D47" s="332"/>
      <c r="E47" s="332"/>
      <c r="F47" s="332"/>
      <c r="G47" s="332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2.5352010655892731E-3</v>
      </c>
      <c r="J49" s="66">
        <f t="shared" ref="J49:J56" ca="1" si="12">F49/C$11</f>
        <v>7.6056031967678198E-4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2.1242800402642818E-2</v>
      </c>
      <c r="J50" s="51">
        <f t="shared" ca="1" si="12"/>
        <v>7.966050150991057E-3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1.7500360734391984E-2</v>
      </c>
      <c r="J51" s="51">
        <f t="shared" ca="1" si="12"/>
        <v>8.7501803671959921E-3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1.4677875206404267E-2</v>
      </c>
      <c r="J52" s="51">
        <f t="shared" ca="1" si="12"/>
        <v>9.173672004002667E-3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1.4466167713035936E-2</v>
      </c>
      <c r="J53" s="51">
        <f t="shared" ca="1" si="12"/>
        <v>1.0849625784776952E-2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1.2649714353932849E-2</v>
      </c>
      <c r="J54" s="51">
        <f t="shared" ca="1" si="12"/>
        <v>1.1859107206812046E-2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7.464567067948946E-3</v>
      </c>
      <c r="J55" s="51">
        <f t="shared" ca="1" si="12"/>
        <v>1.1196850601923419E-2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3.0250716630248306E-3</v>
      </c>
      <c r="J56" s="68">
        <f t="shared" ca="1" si="12"/>
        <v>1.1344018736343114E-2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2">
        <f>PRODUCT('Regular Symbol'!C44:E44)</f>
        <v>5218521</v>
      </c>
      <c r="D59" s="332"/>
      <c r="E59" s="332"/>
      <c r="F59" s="332"/>
      <c r="G59" s="332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2.5352010655892731E-3</v>
      </c>
      <c r="J61" s="66">
        <f t="shared" ref="J61:J68" ca="1" si="15">F61/C$11</f>
        <v>7.6056031967678198E-4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2.1242800402642818E-2</v>
      </c>
      <c r="J62" s="51">
        <f t="shared" ca="1" si="15"/>
        <v>7.966050150991057E-3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1.7500360734391984E-2</v>
      </c>
      <c r="J63" s="51">
        <f t="shared" ca="1" si="15"/>
        <v>8.7501803671959921E-3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1.4677875206404267E-2</v>
      </c>
      <c r="J64" s="51">
        <f t="shared" ca="1" si="15"/>
        <v>9.173672004002667E-3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1.4466167713035936E-2</v>
      </c>
      <c r="J65" s="51">
        <f t="shared" ca="1" si="15"/>
        <v>1.0849625784776952E-2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1.2649714353932849E-2</v>
      </c>
      <c r="J66" s="51">
        <f t="shared" ca="1" si="15"/>
        <v>1.1859107206812046E-2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7.464567067948946E-3</v>
      </c>
      <c r="J67" s="51">
        <f t="shared" ca="1" si="15"/>
        <v>1.1196850601923419E-2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3.0250716630248306E-3</v>
      </c>
      <c r="J68" s="68">
        <f t="shared" ca="1" si="15"/>
        <v>1.1344018736343114E-2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7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6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5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4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3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8" priority="2" operator="equal">
      <formula>0</formula>
    </cfRule>
  </conditionalFormatting>
  <conditionalFormatting sqref="M20:N31">
    <cfRule type="cellIs" dxfId="7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41EC0-1647-481D-A6CE-589BB2809B32}">
  <sheetPr>
    <tabColor theme="9" tint="0.39997558519241921"/>
  </sheetPr>
  <dimension ref="A1:AR69"/>
  <sheetViews>
    <sheetView zoomScale="70" zoomScaleNormal="70" workbookViewId="0">
      <selection activeCell="C13" sqref="C13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38">
        <f>Bet_3</f>
        <v>8</v>
      </c>
      <c r="D1" s="1"/>
      <c r="E1" s="1"/>
      <c r="F1" s="1"/>
      <c r="G1" s="1"/>
      <c r="H1" s="2" t="s">
        <v>79</v>
      </c>
      <c r="I1" s="20">
        <f ca="1">SUM(I12:I68)</f>
        <v>8.7714148319035234E-2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I1*O15</f>
        <v>22.081394189070298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/>
      <c r="I3" s="20"/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1.0869565193761815E-9</v>
      </c>
      <c r="S3" s="172">
        <v>1</v>
      </c>
      <c r="T3" s="115" cm="1">
        <f t="array" ref="T3:T13">_xlfn.XLOOKUP(Q3:Q13,W2:AG2,W15:AG15)</f>
        <v>57.10526315789474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</v>
      </c>
      <c r="N4" s="170">
        <v>0</v>
      </c>
      <c r="O4" s="124">
        <v>2</v>
      </c>
      <c r="P4" s="26"/>
      <c r="Q4" s="116">
        <v>3</v>
      </c>
      <c r="R4" s="108">
        <v>1.0869565193761815E-9</v>
      </c>
      <c r="S4" s="173">
        <v>1</v>
      </c>
      <c r="T4" s="116">
        <v>57.10526315789474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</v>
      </c>
      <c r="N5" s="170">
        <v>0</v>
      </c>
      <c r="O5" s="124">
        <v>3</v>
      </c>
      <c r="P5" s="26"/>
      <c r="Q5" s="116">
        <v>4</v>
      </c>
      <c r="R5" s="108">
        <v>0.13043478232514177</v>
      </c>
      <c r="S5" s="173">
        <v>120000000</v>
      </c>
      <c r="T5" s="116">
        <v>57.10526315789474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0</v>
      </c>
      <c r="AA5" s="92">
        <v>0</v>
      </c>
      <c r="AB5" s="92">
        <v>0</v>
      </c>
      <c r="AC5" s="92">
        <v>0</v>
      </c>
      <c r="AD5" s="92">
        <v>0</v>
      </c>
      <c r="AE5" s="92">
        <v>0</v>
      </c>
      <c r="AF5" s="110">
        <v>0</v>
      </c>
      <c r="AG5" s="110">
        <v>0</v>
      </c>
      <c r="AH5" s="174">
        <v>0</v>
      </c>
      <c r="AI5" s="278">
        <v>0</v>
      </c>
      <c r="AJ5" s="278">
        <v>0</v>
      </c>
      <c r="AK5" s="278">
        <v>0</v>
      </c>
      <c r="AL5" s="278">
        <v>0</v>
      </c>
      <c r="AM5" s="278">
        <v>0</v>
      </c>
      <c r="AN5" s="278">
        <v>0</v>
      </c>
      <c r="AO5" s="278">
        <v>0</v>
      </c>
      <c r="AP5" s="278">
        <v>0</v>
      </c>
      <c r="AQ5" s="281">
        <v>0</v>
      </c>
      <c r="AR5" s="281">
        <v>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</v>
      </c>
      <c r="N6" s="170">
        <v>0</v>
      </c>
      <c r="O6" s="124">
        <v>5</v>
      </c>
      <c r="P6" s="26"/>
      <c r="Q6" s="116">
        <v>5</v>
      </c>
      <c r="R6" s="108">
        <v>0.13043478232514177</v>
      </c>
      <c r="S6" s="173">
        <v>120000000</v>
      </c>
      <c r="T6" s="116">
        <v>57.10526315789474</v>
      </c>
      <c r="U6" s="26"/>
      <c r="V6" s="116">
        <v>5</v>
      </c>
      <c r="W6" s="122">
        <v>0</v>
      </c>
      <c r="X6" s="92">
        <v>0</v>
      </c>
      <c r="Y6" s="92">
        <v>0</v>
      </c>
      <c r="Z6" s="92">
        <v>0</v>
      </c>
      <c r="AA6" s="92">
        <v>0</v>
      </c>
      <c r="AB6" s="92">
        <v>0</v>
      </c>
      <c r="AC6" s="92">
        <v>0</v>
      </c>
      <c r="AD6" s="92">
        <v>0</v>
      </c>
      <c r="AE6" s="92">
        <v>0</v>
      </c>
      <c r="AF6" s="110">
        <v>0</v>
      </c>
      <c r="AG6" s="110">
        <v>0</v>
      </c>
      <c r="AH6" s="174">
        <v>0</v>
      </c>
      <c r="AI6" s="278">
        <v>0</v>
      </c>
      <c r="AJ6" s="278">
        <v>0</v>
      </c>
      <c r="AK6" s="278">
        <v>0</v>
      </c>
      <c r="AL6" s="278">
        <v>0</v>
      </c>
      <c r="AM6" s="278">
        <v>0</v>
      </c>
      <c r="AN6" s="278">
        <v>0</v>
      </c>
      <c r="AO6" s="278">
        <v>0</v>
      </c>
      <c r="AP6" s="278">
        <v>0</v>
      </c>
      <c r="AQ6" s="281">
        <v>0</v>
      </c>
      <c r="AR6" s="281">
        <v>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0.1</v>
      </c>
      <c r="N7" s="170">
        <v>10000000</v>
      </c>
      <c r="O7" s="124">
        <v>10</v>
      </c>
      <c r="P7" s="26"/>
      <c r="Q7" s="116">
        <v>6</v>
      </c>
      <c r="R7" s="108">
        <v>0.13043478232514177</v>
      </c>
      <c r="S7" s="173">
        <v>120000000</v>
      </c>
      <c r="T7" s="116">
        <v>57.10526315789474</v>
      </c>
      <c r="U7" s="1"/>
      <c r="V7" s="116">
        <v>10</v>
      </c>
      <c r="W7" s="122">
        <v>0.10526315789473684</v>
      </c>
      <c r="X7" s="92">
        <v>0.10526315789473684</v>
      </c>
      <c r="Y7" s="92">
        <v>0.10526315789473684</v>
      </c>
      <c r="Z7" s="92">
        <v>0.10526315789473684</v>
      </c>
      <c r="AA7" s="92">
        <v>0.10526315789473684</v>
      </c>
      <c r="AB7" s="92">
        <v>0.10526315789473684</v>
      </c>
      <c r="AC7" s="92">
        <v>0.10526315789473684</v>
      </c>
      <c r="AD7" s="92">
        <v>0.10526315789473684</v>
      </c>
      <c r="AE7" s="92">
        <v>0.10752688172043011</v>
      </c>
      <c r="AF7" s="110">
        <v>0.10752688172043011</v>
      </c>
      <c r="AG7" s="110">
        <v>0.10752688172043011</v>
      </c>
      <c r="AH7" s="174">
        <v>10000000</v>
      </c>
      <c r="AI7" s="278">
        <v>10000000</v>
      </c>
      <c r="AJ7" s="278">
        <v>10000000</v>
      </c>
      <c r="AK7" s="278">
        <v>10000000</v>
      </c>
      <c r="AL7" s="278">
        <v>10000000</v>
      </c>
      <c r="AM7" s="278">
        <v>10000000</v>
      </c>
      <c r="AN7" s="278">
        <v>10000000</v>
      </c>
      <c r="AO7" s="278">
        <v>10000000</v>
      </c>
      <c r="AP7" s="278">
        <v>10000000</v>
      </c>
      <c r="AQ7" s="281">
        <v>10000000</v>
      </c>
      <c r="AR7" s="281">
        <v>10000000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0.1</v>
      </c>
      <c r="N8" s="170">
        <v>10000000</v>
      </c>
      <c r="O8" s="124">
        <v>15</v>
      </c>
      <c r="P8" s="26"/>
      <c r="Q8" s="116">
        <v>7</v>
      </c>
      <c r="R8" s="108">
        <v>0.13043478232514177</v>
      </c>
      <c r="S8" s="173">
        <v>120000000</v>
      </c>
      <c r="T8" s="116">
        <v>57.10526315789474</v>
      </c>
      <c r="U8" s="1"/>
      <c r="V8" s="116">
        <v>15</v>
      </c>
      <c r="W8" s="122">
        <v>0.21052631578947367</v>
      </c>
      <c r="X8" s="92">
        <v>0.21052631578947367</v>
      </c>
      <c r="Y8" s="92">
        <v>0.21052631578947367</v>
      </c>
      <c r="Z8" s="92">
        <v>0.21052631578947367</v>
      </c>
      <c r="AA8" s="92">
        <v>0.21052631578947367</v>
      </c>
      <c r="AB8" s="92">
        <v>0.21052631578947367</v>
      </c>
      <c r="AC8" s="92">
        <v>0.21052631578947367</v>
      </c>
      <c r="AD8" s="92">
        <v>0.21052631578947367</v>
      </c>
      <c r="AE8" s="92">
        <v>0.21505376344086022</v>
      </c>
      <c r="AF8" s="110">
        <v>0.21505376344086022</v>
      </c>
      <c r="AG8" s="110">
        <v>0.21505376344086022</v>
      </c>
      <c r="AH8" s="174">
        <v>20000000</v>
      </c>
      <c r="AI8" s="278">
        <v>20000000</v>
      </c>
      <c r="AJ8" s="278">
        <v>20000000</v>
      </c>
      <c r="AK8" s="278">
        <v>20000000</v>
      </c>
      <c r="AL8" s="278">
        <v>20000000</v>
      </c>
      <c r="AM8" s="278">
        <v>20000000</v>
      </c>
      <c r="AN8" s="278">
        <v>20000000</v>
      </c>
      <c r="AO8" s="278">
        <v>20000000</v>
      </c>
      <c r="AP8" s="278">
        <v>20000000</v>
      </c>
      <c r="AQ8" s="281">
        <v>20000000</v>
      </c>
      <c r="AR8" s="281">
        <v>20000000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0.1</v>
      </c>
      <c r="N9" s="170">
        <v>10000000</v>
      </c>
      <c r="O9" s="124">
        <v>20</v>
      </c>
      <c r="P9" s="26"/>
      <c r="Q9" s="116">
        <v>8</v>
      </c>
      <c r="R9" s="108">
        <v>0.13043478232514177</v>
      </c>
      <c r="S9" s="173">
        <v>120000000</v>
      </c>
      <c r="T9" s="116">
        <v>57.10526315789474</v>
      </c>
      <c r="U9" s="1"/>
      <c r="V9" s="116">
        <v>20</v>
      </c>
      <c r="W9" s="122">
        <v>0.21052631578947367</v>
      </c>
      <c r="X9" s="92">
        <v>0.21052631578947367</v>
      </c>
      <c r="Y9" s="92">
        <v>0.21052631578947367</v>
      </c>
      <c r="Z9" s="92">
        <v>0.21052631578947367</v>
      </c>
      <c r="AA9" s="92">
        <v>0.21052631578947367</v>
      </c>
      <c r="AB9" s="92">
        <v>0.21052631578947367</v>
      </c>
      <c r="AC9" s="92">
        <v>0.21052631578947367</v>
      </c>
      <c r="AD9" s="92">
        <v>0.21052631578947367</v>
      </c>
      <c r="AE9" s="92">
        <v>0.21505376344086022</v>
      </c>
      <c r="AF9" s="110">
        <v>0.21505376344086022</v>
      </c>
      <c r="AG9" s="110">
        <v>0.21505376344086022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0.1</v>
      </c>
      <c r="N10" s="170">
        <v>10000000</v>
      </c>
      <c r="O10" s="124">
        <v>25</v>
      </c>
      <c r="P10" s="26"/>
      <c r="Q10" s="116">
        <v>9</v>
      </c>
      <c r="R10" s="108">
        <v>8.695652155009452E-2</v>
      </c>
      <c r="S10" s="173">
        <v>80000000</v>
      </c>
      <c r="T10" s="116">
        <v>57.10526315789474</v>
      </c>
      <c r="U10" s="1"/>
      <c r="V10" s="116">
        <v>25</v>
      </c>
      <c r="W10" s="122">
        <v>0.15789473684210525</v>
      </c>
      <c r="X10" s="92">
        <v>0.15789473684210525</v>
      </c>
      <c r="Y10" s="92">
        <v>0.15789473684210525</v>
      </c>
      <c r="Z10" s="92">
        <v>0.15789473684210525</v>
      </c>
      <c r="AA10" s="92">
        <v>0.15789473684210525</v>
      </c>
      <c r="AB10" s="92">
        <v>0.15789473684210525</v>
      </c>
      <c r="AC10" s="92">
        <v>0.15789473684210525</v>
      </c>
      <c r="AD10" s="92">
        <v>0.15789473684210525</v>
      </c>
      <c r="AE10" s="92">
        <v>0.16129032258064516</v>
      </c>
      <c r="AF10" s="110">
        <v>0.16129032258064516</v>
      </c>
      <c r="AG10" s="110">
        <v>0.16129032258064516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A11" s="1"/>
      <c r="B11" s="61" t="s">
        <v>53</v>
      </c>
      <c r="C11" s="332">
        <f>PRODUCT('Regular Symbol'!C70:E70)</f>
        <v>5218521</v>
      </c>
      <c r="D11" s="332"/>
      <c r="E11" s="332"/>
      <c r="F11" s="332"/>
      <c r="G11" s="332"/>
      <c r="H11" s="1"/>
      <c r="I11" s="33"/>
      <c r="J11" s="33"/>
      <c r="K11" s="33"/>
      <c r="L11" s="124">
        <v>50</v>
      </c>
      <c r="M11" s="108">
        <v>0.1</v>
      </c>
      <c r="N11" s="170">
        <v>10000000</v>
      </c>
      <c r="O11" s="124">
        <v>50</v>
      </c>
      <c r="P11" s="26"/>
      <c r="Q11" s="116">
        <v>10</v>
      </c>
      <c r="R11" s="108">
        <v>8.695652155009452E-2</v>
      </c>
      <c r="S11" s="173">
        <v>80000000</v>
      </c>
      <c r="T11" s="116">
        <v>47.58064516129032</v>
      </c>
      <c r="U11" s="1"/>
      <c r="V11" s="116">
        <v>50</v>
      </c>
      <c r="W11" s="122">
        <v>0.15789473684210525</v>
      </c>
      <c r="X11" s="92">
        <v>0.15789473684210525</v>
      </c>
      <c r="Y11" s="92">
        <v>0.15789473684210525</v>
      </c>
      <c r="Z11" s="92">
        <v>0.15789473684210525</v>
      </c>
      <c r="AA11" s="92">
        <v>0.15789473684210525</v>
      </c>
      <c r="AB11" s="92">
        <v>0.15789473684210525</v>
      </c>
      <c r="AC11" s="92">
        <v>0.15789473684210525</v>
      </c>
      <c r="AD11" s="92">
        <v>0.15789473684210525</v>
      </c>
      <c r="AE11" s="92">
        <v>0.16129032258064516</v>
      </c>
      <c r="AF11" s="110">
        <v>0.16129032258064516</v>
      </c>
      <c r="AG11" s="110">
        <v>0.16129032258064516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0.1</v>
      </c>
      <c r="N12" s="170">
        <v>10000000</v>
      </c>
      <c r="O12" s="124">
        <v>100</v>
      </c>
      <c r="P12" s="26"/>
      <c r="Q12" s="124">
        <v>20</v>
      </c>
      <c r="R12" s="108">
        <v>8.695652155009452E-2</v>
      </c>
      <c r="S12" s="170">
        <v>80000000</v>
      </c>
      <c r="T12" s="124">
        <v>47.58064516129032</v>
      </c>
      <c r="U12" s="1"/>
      <c r="V12" s="116">
        <v>100</v>
      </c>
      <c r="W12" s="122">
        <v>0.10526315789473684</v>
      </c>
      <c r="X12" s="92">
        <v>0.10526315789473684</v>
      </c>
      <c r="Y12" s="92">
        <v>0.10526315789473684</v>
      </c>
      <c r="Z12" s="92">
        <v>0.10526315789473684</v>
      </c>
      <c r="AA12" s="92">
        <v>0.10526315789473684</v>
      </c>
      <c r="AB12" s="92">
        <v>0.10526315789473684</v>
      </c>
      <c r="AC12" s="92">
        <v>0.10526315789473684</v>
      </c>
      <c r="AD12" s="92">
        <v>0.10526315789473684</v>
      </c>
      <c r="AE12" s="92">
        <v>0.10752688172043011</v>
      </c>
      <c r="AF12" s="110">
        <v>0.10752688172043011</v>
      </c>
      <c r="AG12" s="110">
        <v>0.10752688172043011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4.7535019979798874E-4</v>
      </c>
      <c r="J13" s="66">
        <f t="shared" ref="J13:J20" si="2">F13/C$11</f>
        <v>7.6056031967678198E-4</v>
      </c>
      <c r="K13" s="67"/>
      <c r="L13" s="124">
        <v>500</v>
      </c>
      <c r="M13" s="108">
        <v>0.1</v>
      </c>
      <c r="N13" s="170">
        <v>10000000</v>
      </c>
      <c r="O13" s="124">
        <v>500</v>
      </c>
      <c r="P13" s="26"/>
      <c r="Q13" s="125">
        <v>50</v>
      </c>
      <c r="R13" s="109">
        <v>8.695652155009452E-2</v>
      </c>
      <c r="S13" s="171">
        <v>80000000</v>
      </c>
      <c r="T13" s="125">
        <v>47.58064516129032</v>
      </c>
      <c r="U13" s="1"/>
      <c r="V13" s="117">
        <v>500</v>
      </c>
      <c r="W13" s="123">
        <v>5.2631578947368418E-2</v>
      </c>
      <c r="X13" s="112">
        <v>5.2631578947368418E-2</v>
      </c>
      <c r="Y13" s="112">
        <v>5.2631578947368418E-2</v>
      </c>
      <c r="Z13" s="112">
        <v>5.2631578947368418E-2</v>
      </c>
      <c r="AA13" s="112">
        <v>5.2631578947368418E-2</v>
      </c>
      <c r="AB13" s="112">
        <v>5.2631578947368418E-2</v>
      </c>
      <c r="AC13" s="112">
        <v>5.2631578947368418E-2</v>
      </c>
      <c r="AD13" s="112">
        <v>5.2631578947368418E-2</v>
      </c>
      <c r="AE13" s="112">
        <v>3.2258064516129031E-2</v>
      </c>
      <c r="AF13" s="113">
        <v>3.2258064516129031E-2</v>
      </c>
      <c r="AG13" s="113">
        <v>3.2258064516129031E-2</v>
      </c>
      <c r="AH13" s="175">
        <v>5000000</v>
      </c>
      <c r="AI13" s="279">
        <v>5000000</v>
      </c>
      <c r="AJ13" s="279">
        <v>5000000</v>
      </c>
      <c r="AK13" s="279">
        <v>5000000</v>
      </c>
      <c r="AL13" s="279">
        <v>5000000</v>
      </c>
      <c r="AM13" s="279">
        <v>5000000</v>
      </c>
      <c r="AN13" s="279">
        <v>5000000</v>
      </c>
      <c r="AO13" s="279">
        <v>5000000</v>
      </c>
      <c r="AP13" s="279">
        <v>3000000</v>
      </c>
      <c r="AQ13" s="282">
        <v>3000000</v>
      </c>
      <c r="AR13" s="282">
        <v>3000000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3.9830250754955285E-3</v>
      </c>
      <c r="J14" s="51">
        <f t="shared" si="2"/>
        <v>7.966050150991057E-3</v>
      </c>
      <c r="K14" s="34"/>
      <c r="L14" s="129" t="s">
        <v>112</v>
      </c>
      <c r="M14" s="109">
        <v>0.3</v>
      </c>
      <c r="N14" s="171">
        <v>30000000</v>
      </c>
      <c r="O14" s="130">
        <f>T16</f>
        <v>599.1422445234839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3.281317637698497E-3</v>
      </c>
      <c r="J15" s="51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251.74267335704516</v>
      </c>
      <c r="P15" s="1"/>
      <c r="Q15" s="1"/>
      <c r="R15" s="1"/>
      <c r="S15" s="1" t="s">
        <v>89</v>
      </c>
      <c r="T15" s="1">
        <f>SUMPRODUCT(Q3:Q13, R3:R13)</f>
        <v>11.652173893147449</v>
      </c>
      <c r="U15" s="1"/>
      <c r="V15" s="1" t="s">
        <v>90</v>
      </c>
      <c r="W15" s="93">
        <f t="shared" ref="W15:AG15" si="3">SUMPRODUCT($V$3:$V$13,_xlfn.ANCHORARRAY(W3))</f>
        <v>57.10526315789474</v>
      </c>
      <c r="X15" s="93">
        <f t="shared" si="3"/>
        <v>57.10526315789474</v>
      </c>
      <c r="Y15" s="93">
        <f t="shared" si="3"/>
        <v>57.10526315789474</v>
      </c>
      <c r="Z15" s="93">
        <f t="shared" si="3"/>
        <v>57.10526315789474</v>
      </c>
      <c r="AA15" s="93">
        <f t="shared" si="3"/>
        <v>57.10526315789474</v>
      </c>
      <c r="AB15" s="93">
        <f t="shared" si="3"/>
        <v>57.10526315789474</v>
      </c>
      <c r="AC15" s="93">
        <f t="shared" si="3"/>
        <v>57.10526315789474</v>
      </c>
      <c r="AD15" s="93">
        <f t="shared" si="3"/>
        <v>57.10526315789474</v>
      </c>
      <c r="AE15" s="93">
        <f t="shared" si="3"/>
        <v>47.58064516129032</v>
      </c>
      <c r="AF15" s="93">
        <f t="shared" si="3"/>
        <v>47.58064516129032</v>
      </c>
      <c r="AG15" s="93">
        <f t="shared" si="3"/>
        <v>47.58064516129032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2.7521016012007999E-3</v>
      </c>
      <c r="J16" s="51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599.1422445234839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2.7124064461942379E-3</v>
      </c>
      <c r="J17" s="51">
        <f t="shared" si="2"/>
        <v>1.0849625784776952E-2</v>
      </c>
      <c r="K17" s="34"/>
      <c r="L17" s="35"/>
      <c r="M17" s="35" t="s">
        <v>8</v>
      </c>
      <c r="N17" s="35"/>
      <c r="O17" s="1"/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2.3718214413624094E-3</v>
      </c>
      <c r="J18" s="51">
        <f t="shared" si="2"/>
        <v>1.1859107206812046E-2</v>
      </c>
      <c r="K18" s="34"/>
      <c r="L18" s="35" t="s">
        <v>264</v>
      </c>
      <c r="M18" s="181">
        <v>0.14568610000000001</v>
      </c>
      <c r="N18" s="178">
        <f>1/M18</f>
        <v>6.8640728250670442</v>
      </c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1.3996063252404273E-3</v>
      </c>
      <c r="J19" s="51">
        <f t="shared" si="2"/>
        <v>1.1196850601923419E-2</v>
      </c>
      <c r="K19" s="34"/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5.6720093681715577E-4</v>
      </c>
      <c r="J20" s="68">
        <f t="shared" si="2"/>
        <v>1.1344018736343114E-2</v>
      </c>
      <c r="K20" s="34"/>
      <c r="L20" s="128">
        <v>1</v>
      </c>
      <c r="M20" s="108">
        <v>0</v>
      </c>
      <c r="N20" s="263" cm="1">
        <f t="array" ref="N20:N31">IFERROR(1/M20:M31,0)</f>
        <v>0</v>
      </c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124">
        <v>2</v>
      </c>
      <c r="M21" s="108">
        <v>0</v>
      </c>
      <c r="N21" s="264">
        <v>0</v>
      </c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124">
        <v>3</v>
      </c>
      <c r="M22" s="108">
        <v>0</v>
      </c>
      <c r="N22" s="264">
        <v>0</v>
      </c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32">
        <f>PRODUCT('Regular Symbol'!C70:E70)</f>
        <v>5218521</v>
      </c>
      <c r="D23" s="332"/>
      <c r="E23" s="332"/>
      <c r="F23" s="332"/>
      <c r="G23" s="332"/>
      <c r="H23" s="1"/>
      <c r="I23" s="33"/>
      <c r="J23" s="33"/>
      <c r="K23" s="34"/>
      <c r="L23" s="124">
        <v>5</v>
      </c>
      <c r="M23" s="108">
        <v>0</v>
      </c>
      <c r="N23" s="264">
        <v>0</v>
      </c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124">
        <v>10</v>
      </c>
      <c r="M24" s="108">
        <v>4.259723E-2</v>
      </c>
      <c r="N24" s="264">
        <v>23.475704875645668</v>
      </c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4.7535019979798874E-4</v>
      </c>
      <c r="J25" s="66">
        <f t="shared" ref="J25:J32" ca="1" si="6">F25/C$11</f>
        <v>7.6056031967678198E-4</v>
      </c>
      <c r="K25" s="34"/>
      <c r="L25" s="124">
        <v>15</v>
      </c>
      <c r="M25" s="108">
        <v>2.802112E-2</v>
      </c>
      <c r="N25" s="264">
        <v>35.687367242993858</v>
      </c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3.9830250754955285E-3</v>
      </c>
      <c r="J26" s="51">
        <f t="shared" ca="1" si="6"/>
        <v>7.966050150991057E-3</v>
      </c>
      <c r="K26" s="34"/>
      <c r="L26" s="124">
        <v>20</v>
      </c>
      <c r="M26" s="108">
        <v>3.6643179999999997E-2</v>
      </c>
      <c r="N26" s="264">
        <v>27.290207891345677</v>
      </c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3.281317637698497E-3</v>
      </c>
      <c r="J27" s="51">
        <f t="shared" ca="1" si="6"/>
        <v>8.7501803671959921E-3</v>
      </c>
      <c r="K27" s="34"/>
      <c r="L27" s="124">
        <v>25</v>
      </c>
      <c r="M27" s="108">
        <v>2.239128E-2</v>
      </c>
      <c r="N27" s="264">
        <v>44.660242737351325</v>
      </c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2.7521016012007999E-3</v>
      </c>
      <c r="J28" s="51">
        <f t="shared" ca="1" si="6"/>
        <v>9.173672004002667E-3</v>
      </c>
      <c r="K28" s="34"/>
      <c r="L28" s="124">
        <v>50</v>
      </c>
      <c r="M28" s="108">
        <v>5.8166600000000004E-3</v>
      </c>
      <c r="N28" s="264">
        <v>171.91996781658202</v>
      </c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2.7124064461942379E-3</v>
      </c>
      <c r="J29" s="51">
        <f t="shared" ca="1" si="6"/>
        <v>1.0849625784776952E-2</v>
      </c>
      <c r="K29" s="34"/>
      <c r="L29" s="124">
        <v>100</v>
      </c>
      <c r="M29" s="108">
        <v>2.20609E-3</v>
      </c>
      <c r="N29" s="264">
        <v>453.29066357220239</v>
      </c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2.3718214413624094E-3</v>
      </c>
      <c r="J30" s="51">
        <f t="shared" ca="1" si="6"/>
        <v>1.1859107206812046E-2</v>
      </c>
      <c r="K30" s="34"/>
      <c r="L30" s="124">
        <v>500</v>
      </c>
      <c r="M30" s="108">
        <v>6.2189999999999999E-5</v>
      </c>
      <c r="N30" s="264">
        <v>16079.755587715066</v>
      </c>
      <c r="O30" s="1"/>
      <c r="P30" s="1"/>
      <c r="Q30" s="1"/>
      <c r="R30" s="1"/>
      <c r="S30" s="1"/>
    </row>
    <row r="31" spans="1:19" ht="16.8" thickBot="1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1.3996063252404273E-3</v>
      </c>
      <c r="J31" s="51">
        <f t="shared" ca="1" si="6"/>
        <v>1.1196850601923419E-2</v>
      </c>
      <c r="K31" s="34"/>
      <c r="L31" s="129" t="str">
        <v>Re-spin</v>
      </c>
      <c r="M31" s="109">
        <v>7.9484937604323985E-3</v>
      </c>
      <c r="N31" s="265">
        <v>125.80999999999999</v>
      </c>
      <c r="O31" s="1">
        <v>6.44</v>
      </c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5.6720093681715577E-4</v>
      </c>
      <c r="J32" s="68">
        <f t="shared" ca="1" si="6"/>
        <v>1.1344018736343114E-2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32">
        <f>PRODUCT('Regular Symbol'!C70:E70)</f>
        <v>5218521</v>
      </c>
      <c r="D35" s="332"/>
      <c r="E35" s="332"/>
      <c r="F35" s="332"/>
      <c r="G35" s="332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4.7535019979798874E-4</v>
      </c>
      <c r="J37" s="66">
        <f t="shared" ref="J37:J44" ca="1" si="9">F37/C$11</f>
        <v>7.6056031967678198E-4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3.9830250754955285E-3</v>
      </c>
      <c r="J38" s="51">
        <f t="shared" ca="1" si="9"/>
        <v>7.966050150991057E-3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3.281317637698497E-3</v>
      </c>
      <c r="J39" s="51">
        <f t="shared" ca="1" si="9"/>
        <v>8.7501803671959921E-3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2.7521016012007999E-3</v>
      </c>
      <c r="J40" s="51">
        <f t="shared" ca="1" si="9"/>
        <v>9.173672004002667E-3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2.7124064461942379E-3</v>
      </c>
      <c r="J41" s="51">
        <f t="shared" ca="1" si="9"/>
        <v>1.0849625784776952E-2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2.3718214413624094E-3</v>
      </c>
      <c r="J42" s="51">
        <f t="shared" ca="1" si="9"/>
        <v>1.1859107206812046E-2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1.3996063252404273E-3</v>
      </c>
      <c r="J43" s="51">
        <f t="shared" ca="1" si="9"/>
        <v>1.1196850601923419E-2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5.6720093681715577E-4</v>
      </c>
      <c r="J44" s="68">
        <f t="shared" ca="1" si="9"/>
        <v>1.1344018736343114E-2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32">
        <f>PRODUCT('Regular Symbol'!C70:E70)</f>
        <v>5218521</v>
      </c>
      <c r="D47" s="332"/>
      <c r="E47" s="332"/>
      <c r="F47" s="332"/>
      <c r="G47" s="332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4.7535019979798874E-4</v>
      </c>
      <c r="J49" s="66">
        <f t="shared" ref="J49:J56" ca="1" si="12">F49/C$11</f>
        <v>7.6056031967678198E-4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3.9830250754955285E-3</v>
      </c>
      <c r="J50" s="51">
        <f t="shared" ca="1" si="12"/>
        <v>7.966050150991057E-3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3.281317637698497E-3</v>
      </c>
      <c r="J51" s="51">
        <f t="shared" ca="1" si="12"/>
        <v>8.7501803671959921E-3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2.7521016012007999E-3</v>
      </c>
      <c r="J52" s="51">
        <f t="shared" ca="1" si="12"/>
        <v>9.173672004002667E-3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2.7124064461942379E-3</v>
      </c>
      <c r="J53" s="51">
        <f t="shared" ca="1" si="12"/>
        <v>1.0849625784776952E-2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2.3718214413624094E-3</v>
      </c>
      <c r="J54" s="51">
        <f t="shared" ca="1" si="12"/>
        <v>1.1859107206812046E-2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1.3996063252404273E-3</v>
      </c>
      <c r="J55" s="51">
        <f t="shared" ca="1" si="12"/>
        <v>1.1196850601923419E-2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5.6720093681715577E-4</v>
      </c>
      <c r="J56" s="68">
        <f t="shared" ca="1" si="12"/>
        <v>1.1344018736343114E-2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2">
        <f>PRODUCT('Regular Symbol'!C70:E70)</f>
        <v>5218521</v>
      </c>
      <c r="D59" s="332"/>
      <c r="E59" s="332"/>
      <c r="F59" s="332"/>
      <c r="G59" s="332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4.7535019979798874E-4</v>
      </c>
      <c r="J61" s="66">
        <f t="shared" ref="J61:J68" ca="1" si="15">F61/C$11</f>
        <v>7.6056031967678198E-4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3.9830250754955285E-3</v>
      </c>
      <c r="J62" s="51">
        <f t="shared" ca="1" si="15"/>
        <v>7.966050150991057E-3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3.281317637698497E-3</v>
      </c>
      <c r="J63" s="51">
        <f t="shared" ca="1" si="15"/>
        <v>8.7501803671959921E-3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2.7521016012007999E-3</v>
      </c>
      <c r="J64" s="51">
        <f t="shared" ca="1" si="15"/>
        <v>9.173672004002667E-3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2.7124064461942379E-3</v>
      </c>
      <c r="J65" s="51">
        <f t="shared" ca="1" si="15"/>
        <v>1.0849625784776952E-2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2.3718214413624094E-3</v>
      </c>
      <c r="J66" s="51">
        <f t="shared" ca="1" si="15"/>
        <v>1.1859107206812046E-2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1.3996063252404273E-3</v>
      </c>
      <c r="J67" s="51">
        <f t="shared" ca="1" si="15"/>
        <v>1.1196850601923419E-2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5.6720093681715577E-4</v>
      </c>
      <c r="J68" s="68">
        <f t="shared" ca="1" si="15"/>
        <v>1.1344018736343114E-2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8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7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6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5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4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6" priority="3" operator="equal">
      <formula>0</formula>
    </cfRule>
  </conditionalFormatting>
  <conditionalFormatting sqref="M20:N31">
    <cfRule type="cellIs" dxfId="5" priority="2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4FF37-2C51-48E1-BA82-B0CB359A546E}">
  <sheetPr>
    <tabColor theme="8" tint="0.39997558519241921"/>
  </sheetPr>
  <dimension ref="A1:AR69"/>
  <sheetViews>
    <sheetView zoomScale="70" zoomScaleNormal="70" workbookViewId="0">
      <selection activeCell="L29" sqref="L29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250</v>
      </c>
      <c r="D1" s="1"/>
      <c r="E1" s="1"/>
      <c r="F1" s="1"/>
      <c r="G1" s="1"/>
      <c r="H1" s="2" t="s">
        <v>79</v>
      </c>
      <c r="I1" s="20">
        <f ca="1">SUM(I12:I68)</f>
        <v>1.0396634201786966E-2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3.7430545754079523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14.242592592592594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276</v>
      </c>
      <c r="I4" s="180">
        <v>0.5675</v>
      </c>
      <c r="K4" s="33"/>
      <c r="L4" s="124">
        <v>2</v>
      </c>
      <c r="M4" s="108">
        <v>7.8235294117647056E-2</v>
      </c>
      <c r="N4" s="170">
        <v>13300000</v>
      </c>
      <c r="O4" s="124">
        <v>2</v>
      </c>
      <c r="P4" s="26"/>
      <c r="Q4" s="116">
        <v>3</v>
      </c>
      <c r="R4" s="108">
        <v>0.11503067484662577</v>
      </c>
      <c r="S4" s="173">
        <v>150000000</v>
      </c>
      <c r="T4" s="116">
        <v>8.026136363636363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285</v>
      </c>
      <c r="I5" s="20"/>
      <c r="J5" s="33"/>
      <c r="K5" s="33"/>
      <c r="L5" s="124">
        <v>3</v>
      </c>
      <c r="M5" s="108">
        <v>9.4705882352941181E-2</v>
      </c>
      <c r="N5" s="170">
        <v>16100000</v>
      </c>
      <c r="O5" s="124">
        <v>3</v>
      </c>
      <c r="P5" s="26"/>
      <c r="Q5" s="116">
        <v>4</v>
      </c>
      <c r="R5" s="108">
        <v>0.11503067484662577</v>
      </c>
      <c r="S5" s="173">
        <v>150000000</v>
      </c>
      <c r="T5" s="116">
        <v>8.026136363636363</v>
      </c>
      <c r="U5" s="1"/>
      <c r="V5" s="116">
        <v>3</v>
      </c>
      <c r="W5" s="122">
        <v>0</v>
      </c>
      <c r="X5" s="92">
        <v>0.23863636363636365</v>
      </c>
      <c r="Y5" s="92">
        <v>0.23863636363636365</v>
      </c>
      <c r="Z5" s="92">
        <v>0.26464379947229549</v>
      </c>
      <c r="AA5" s="92">
        <v>0.26464379947229549</v>
      </c>
      <c r="AB5" s="92">
        <v>0.26464379947229549</v>
      </c>
      <c r="AC5" s="92">
        <v>0.26464379947229549</v>
      </c>
      <c r="AD5" s="92">
        <v>0.26464379947229549</v>
      </c>
      <c r="AE5" s="92">
        <v>0.26464379947229549</v>
      </c>
      <c r="AF5" s="110">
        <v>0.26464379947229549</v>
      </c>
      <c r="AG5" s="110">
        <v>0.26464379947229549</v>
      </c>
      <c r="AH5" s="174">
        <v>0</v>
      </c>
      <c r="AI5" s="278">
        <v>105000000</v>
      </c>
      <c r="AJ5" s="278">
        <v>105000000</v>
      </c>
      <c r="AK5" s="278">
        <v>100300000</v>
      </c>
      <c r="AL5" s="278">
        <v>100300000</v>
      </c>
      <c r="AM5" s="278">
        <v>100300000</v>
      </c>
      <c r="AN5" s="278">
        <v>100300000</v>
      </c>
      <c r="AO5" s="278">
        <v>100300000</v>
      </c>
      <c r="AP5" s="278">
        <v>100300000</v>
      </c>
      <c r="AQ5" s="278">
        <v>100300000</v>
      </c>
      <c r="AR5" s="278">
        <v>100300000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0.11529411764705882</v>
      </c>
      <c r="N6" s="170">
        <v>19600000</v>
      </c>
      <c r="O6" s="124">
        <v>5</v>
      </c>
      <c r="P6" s="26"/>
      <c r="Q6" s="116">
        <v>5</v>
      </c>
      <c r="R6" s="108">
        <v>0.11503067484662577</v>
      </c>
      <c r="S6" s="173">
        <v>150000000</v>
      </c>
      <c r="T6" s="116">
        <v>7.6224274406332464</v>
      </c>
      <c r="U6" s="26"/>
      <c r="V6" s="116">
        <v>5</v>
      </c>
      <c r="W6" s="122">
        <v>0</v>
      </c>
      <c r="X6" s="92">
        <v>0.38068181818181818</v>
      </c>
      <c r="Y6" s="92">
        <v>0.38068181818181818</v>
      </c>
      <c r="Z6" s="92">
        <v>0.42189973614775728</v>
      </c>
      <c r="AA6" s="92">
        <v>0.42189973614775728</v>
      </c>
      <c r="AB6" s="92">
        <v>0.42189973614775728</v>
      </c>
      <c r="AC6" s="92">
        <v>0.42189973614775728</v>
      </c>
      <c r="AD6" s="92">
        <v>0.42189973614775728</v>
      </c>
      <c r="AE6" s="92">
        <v>0.42189973614775728</v>
      </c>
      <c r="AF6" s="110">
        <v>0.42189973614775728</v>
      </c>
      <c r="AG6" s="110">
        <v>0.42189973614775728</v>
      </c>
      <c r="AH6" s="174">
        <v>0</v>
      </c>
      <c r="AI6" s="278">
        <v>167500000</v>
      </c>
      <c r="AJ6" s="278">
        <v>167500000</v>
      </c>
      <c r="AK6" s="278">
        <v>159900000</v>
      </c>
      <c r="AL6" s="278">
        <v>159900000</v>
      </c>
      <c r="AM6" s="278">
        <v>159900000</v>
      </c>
      <c r="AN6" s="278">
        <v>159900000</v>
      </c>
      <c r="AO6" s="278">
        <v>159900000</v>
      </c>
      <c r="AP6" s="278">
        <v>159900000</v>
      </c>
      <c r="AQ6" s="281">
        <v>159900000</v>
      </c>
      <c r="AR6" s="281">
        <v>159900000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8.7647058823529411E-2</v>
      </c>
      <c r="N7" s="170">
        <v>14900000</v>
      </c>
      <c r="O7" s="124">
        <v>10</v>
      </c>
      <c r="P7" s="26"/>
      <c r="Q7" s="116">
        <v>6</v>
      </c>
      <c r="R7" s="108">
        <v>0.11503067484662577</v>
      </c>
      <c r="S7" s="173">
        <v>150000000</v>
      </c>
      <c r="T7" s="116">
        <v>7.6224274406332464</v>
      </c>
      <c r="U7" s="1"/>
      <c r="V7" s="116">
        <v>10</v>
      </c>
      <c r="W7" s="122">
        <v>0.57481481481481478</v>
      </c>
      <c r="X7" s="92">
        <v>0.21863636363636363</v>
      </c>
      <c r="Y7" s="92">
        <v>0.21863636363636363</v>
      </c>
      <c r="Z7" s="92">
        <v>0.18179419525065962</v>
      </c>
      <c r="AA7" s="92">
        <v>0.18179419525065962</v>
      </c>
      <c r="AB7" s="92">
        <v>0.18179419525065962</v>
      </c>
      <c r="AC7" s="92">
        <v>0.18179419525065962</v>
      </c>
      <c r="AD7" s="92">
        <v>0.18179419525065962</v>
      </c>
      <c r="AE7" s="92">
        <v>0.18179419525065962</v>
      </c>
      <c r="AF7" s="110">
        <v>0.18179419525065962</v>
      </c>
      <c r="AG7" s="110">
        <v>0.18179419525065962</v>
      </c>
      <c r="AH7" s="174">
        <v>155200000</v>
      </c>
      <c r="AI7" s="278">
        <v>96200000</v>
      </c>
      <c r="AJ7" s="278">
        <v>96200000</v>
      </c>
      <c r="AK7" s="278">
        <v>68900000</v>
      </c>
      <c r="AL7" s="278">
        <v>68900000</v>
      </c>
      <c r="AM7" s="278">
        <v>68900000</v>
      </c>
      <c r="AN7" s="278">
        <v>68900000</v>
      </c>
      <c r="AO7" s="278">
        <v>68900000</v>
      </c>
      <c r="AP7" s="278">
        <v>68900000</v>
      </c>
      <c r="AQ7" s="281">
        <v>68900000</v>
      </c>
      <c r="AR7" s="281">
        <v>68900000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7.4705882352941178E-2</v>
      </c>
      <c r="N8" s="170">
        <v>12700000</v>
      </c>
      <c r="O8" s="124">
        <v>15</v>
      </c>
      <c r="P8" s="26"/>
      <c r="Q8" s="116">
        <v>7</v>
      </c>
      <c r="R8" s="108">
        <v>0.11503067484662577</v>
      </c>
      <c r="S8" s="173">
        <v>150000000</v>
      </c>
      <c r="T8" s="116">
        <v>7.6224274406332464</v>
      </c>
      <c r="U8" s="1"/>
      <c r="V8" s="116">
        <v>15</v>
      </c>
      <c r="W8" s="122">
        <v>0.31148148148148147</v>
      </c>
      <c r="X8" s="92">
        <v>0.11863636363636364</v>
      </c>
      <c r="Y8" s="92">
        <v>0.11863636363636364</v>
      </c>
      <c r="Z8" s="92">
        <v>7.3087071240105536E-2</v>
      </c>
      <c r="AA8" s="92">
        <v>7.3087071240105536E-2</v>
      </c>
      <c r="AB8" s="92">
        <v>7.3087071240105536E-2</v>
      </c>
      <c r="AC8" s="92">
        <v>7.3087071240105536E-2</v>
      </c>
      <c r="AD8" s="92">
        <v>7.3087071240105536E-2</v>
      </c>
      <c r="AE8" s="92">
        <v>7.3087071240105536E-2</v>
      </c>
      <c r="AF8" s="110">
        <v>7.3087071240105536E-2</v>
      </c>
      <c r="AG8" s="110">
        <v>7.3087071240105536E-2</v>
      </c>
      <c r="AH8" s="174">
        <v>84100000</v>
      </c>
      <c r="AI8" s="278">
        <v>52200000</v>
      </c>
      <c r="AJ8" s="278">
        <v>52200000</v>
      </c>
      <c r="AK8" s="278">
        <v>27700000</v>
      </c>
      <c r="AL8" s="278">
        <v>27700000</v>
      </c>
      <c r="AM8" s="278">
        <v>27700000</v>
      </c>
      <c r="AN8" s="278">
        <v>27700000</v>
      </c>
      <c r="AO8" s="278">
        <v>27700000</v>
      </c>
      <c r="AP8" s="278">
        <v>27700000</v>
      </c>
      <c r="AQ8" s="281">
        <v>27700000</v>
      </c>
      <c r="AR8" s="281">
        <v>27700000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6.6470588235294115E-2</v>
      </c>
      <c r="N9" s="170">
        <v>11300000</v>
      </c>
      <c r="O9" s="124">
        <v>20</v>
      </c>
      <c r="P9" s="26"/>
      <c r="Q9" s="116">
        <v>8</v>
      </c>
      <c r="R9" s="108">
        <v>0.11503067484662577</v>
      </c>
      <c r="S9" s="173">
        <v>150000000</v>
      </c>
      <c r="T9" s="116">
        <v>7.6224274406332464</v>
      </c>
      <c r="U9" s="1"/>
      <c r="V9" s="116">
        <v>20</v>
      </c>
      <c r="W9" s="122">
        <v>5.7777777777777775E-2</v>
      </c>
      <c r="X9" s="92">
        <v>2.2045454545454545E-2</v>
      </c>
      <c r="Y9" s="92">
        <v>2.2045454545454545E-2</v>
      </c>
      <c r="Z9" s="92">
        <v>3.4828496042216356E-2</v>
      </c>
      <c r="AA9" s="92">
        <v>3.4828496042216356E-2</v>
      </c>
      <c r="AB9" s="92">
        <v>3.4828496042216356E-2</v>
      </c>
      <c r="AC9" s="92">
        <v>3.4828496042216356E-2</v>
      </c>
      <c r="AD9" s="92">
        <v>3.4828496042216356E-2</v>
      </c>
      <c r="AE9" s="92">
        <v>3.4828496042216356E-2</v>
      </c>
      <c r="AF9" s="110">
        <v>3.4828496042216356E-2</v>
      </c>
      <c r="AG9" s="110">
        <v>3.4828496042216356E-2</v>
      </c>
      <c r="AH9" s="174">
        <v>15600000</v>
      </c>
      <c r="AI9" s="278">
        <v>9700000</v>
      </c>
      <c r="AJ9" s="278">
        <v>9700000</v>
      </c>
      <c r="AK9" s="278">
        <v>13200000</v>
      </c>
      <c r="AL9" s="278">
        <v>13200000</v>
      </c>
      <c r="AM9" s="278">
        <v>13200000</v>
      </c>
      <c r="AN9" s="278">
        <v>13200000</v>
      </c>
      <c r="AO9" s="278">
        <v>13200000</v>
      </c>
      <c r="AP9" s="278">
        <v>13200000</v>
      </c>
      <c r="AQ9" s="281">
        <v>13200000</v>
      </c>
      <c r="AR9" s="281">
        <v>13200000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2.0588235294117647E-2</v>
      </c>
      <c r="N10" s="170">
        <v>3500000</v>
      </c>
      <c r="O10" s="124">
        <v>25</v>
      </c>
      <c r="P10" s="26"/>
      <c r="Q10" s="116">
        <v>9</v>
      </c>
      <c r="R10" s="108">
        <v>0.11503067484662577</v>
      </c>
      <c r="S10" s="173">
        <v>150000000</v>
      </c>
      <c r="T10" s="116">
        <v>7.6224274406332464</v>
      </c>
      <c r="U10" s="1"/>
      <c r="V10" s="116">
        <v>25</v>
      </c>
      <c r="W10" s="122">
        <v>3.111111111111111E-2</v>
      </c>
      <c r="X10" s="92">
        <v>1.1818181818181818E-2</v>
      </c>
      <c r="Y10" s="92">
        <v>1.1818181818181818E-2</v>
      </c>
      <c r="Z10" s="92">
        <v>1.3192612137203167E-2</v>
      </c>
      <c r="AA10" s="92">
        <v>1.3192612137203167E-2</v>
      </c>
      <c r="AB10" s="92">
        <v>1.3192612137203167E-2</v>
      </c>
      <c r="AC10" s="92">
        <v>1.3192612137203167E-2</v>
      </c>
      <c r="AD10" s="92">
        <v>1.3192612137203167E-2</v>
      </c>
      <c r="AE10" s="92">
        <v>1.3192612137203167E-2</v>
      </c>
      <c r="AF10" s="110">
        <v>1.3192612137203167E-2</v>
      </c>
      <c r="AG10" s="110">
        <v>1.3192612137203167E-2</v>
      </c>
      <c r="AH10" s="174">
        <v>8400000</v>
      </c>
      <c r="AI10" s="278">
        <v>5200000</v>
      </c>
      <c r="AJ10" s="278">
        <v>5200000</v>
      </c>
      <c r="AK10" s="278">
        <v>5000000</v>
      </c>
      <c r="AL10" s="278">
        <v>5000000</v>
      </c>
      <c r="AM10" s="278">
        <v>5000000</v>
      </c>
      <c r="AN10" s="278">
        <v>5000000</v>
      </c>
      <c r="AO10" s="278">
        <v>5000000</v>
      </c>
      <c r="AP10" s="278">
        <v>5000000</v>
      </c>
      <c r="AQ10" s="281">
        <v>5000000</v>
      </c>
      <c r="AR10" s="281">
        <v>5000000</v>
      </c>
    </row>
    <row r="11" spans="1:44" ht="16.8" thickBot="1">
      <c r="A11" s="1"/>
      <c r="B11" s="61" t="s">
        <v>53</v>
      </c>
      <c r="C11" s="332">
        <f>PRODUCT('Regular Symbol'!C96:E96)</f>
        <v>23976978049206</v>
      </c>
      <c r="D11" s="332"/>
      <c r="E11" s="332"/>
      <c r="F11" s="332"/>
      <c r="G11" s="332"/>
      <c r="H11" s="1"/>
      <c r="I11" s="33"/>
      <c r="J11" s="285"/>
      <c r="K11" s="33"/>
      <c r="L11" s="124">
        <v>50</v>
      </c>
      <c r="M11" s="108">
        <v>1.5294117647058824E-2</v>
      </c>
      <c r="N11" s="170">
        <v>2600000</v>
      </c>
      <c r="O11" s="124">
        <v>50</v>
      </c>
      <c r="P11" s="26"/>
      <c r="Q11" s="116">
        <v>10</v>
      </c>
      <c r="R11" s="108">
        <v>0.15337423312883436</v>
      </c>
      <c r="S11" s="173">
        <v>200000000</v>
      </c>
      <c r="T11" s="116">
        <v>7.6224274406332464</v>
      </c>
      <c r="U11" s="1"/>
      <c r="V11" s="116">
        <v>50</v>
      </c>
      <c r="W11" s="122">
        <v>1.7777777777777778E-2</v>
      </c>
      <c r="X11" s="92">
        <v>6.8181818181818179E-3</v>
      </c>
      <c r="Y11" s="92">
        <v>6.8181818181818179E-3</v>
      </c>
      <c r="Z11" s="92">
        <v>7.6517150395778366E-3</v>
      </c>
      <c r="AA11" s="92">
        <v>7.6517150395778366E-3</v>
      </c>
      <c r="AB11" s="92">
        <v>7.6517150395778366E-3</v>
      </c>
      <c r="AC11" s="92">
        <v>7.6517150395778366E-3</v>
      </c>
      <c r="AD11" s="92">
        <v>7.6517150395778366E-3</v>
      </c>
      <c r="AE11" s="92">
        <v>7.6517150395778366E-3</v>
      </c>
      <c r="AF11" s="110">
        <v>7.6517150395778366E-3</v>
      </c>
      <c r="AG11" s="110">
        <v>7.6517150395778366E-3</v>
      </c>
      <c r="AH11" s="174">
        <v>4800000</v>
      </c>
      <c r="AI11" s="278">
        <v>3000000</v>
      </c>
      <c r="AJ11" s="278">
        <v>3000000</v>
      </c>
      <c r="AK11" s="278">
        <v>2900000</v>
      </c>
      <c r="AL11" s="278">
        <v>2900000</v>
      </c>
      <c r="AM11" s="278">
        <v>2900000</v>
      </c>
      <c r="AN11" s="278">
        <v>2900000</v>
      </c>
      <c r="AO11" s="278">
        <v>2900000</v>
      </c>
      <c r="AP11" s="278">
        <v>2900000</v>
      </c>
      <c r="AQ11" s="281">
        <v>2900000</v>
      </c>
      <c r="AR11" s="281">
        <v>2900000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1.1764705882352941E-2</v>
      </c>
      <c r="N12" s="170">
        <v>2000000</v>
      </c>
      <c r="O12" s="124">
        <v>100</v>
      </c>
      <c r="P12" s="26"/>
      <c r="Q12" s="124">
        <v>20</v>
      </c>
      <c r="R12" s="108">
        <v>3.834355828220859E-2</v>
      </c>
      <c r="S12" s="170">
        <v>50000000</v>
      </c>
      <c r="T12" s="124">
        <v>7.6224274406332464</v>
      </c>
      <c r="U12" s="1"/>
      <c r="V12" s="116">
        <v>100</v>
      </c>
      <c r="W12" s="122">
        <v>6.2962962962962964E-3</v>
      </c>
      <c r="X12" s="92">
        <v>2.5000000000000001E-3</v>
      </c>
      <c r="Y12" s="92">
        <v>2.5000000000000001E-3</v>
      </c>
      <c r="Z12" s="92">
        <v>2.6385224274406332E-3</v>
      </c>
      <c r="AA12" s="92">
        <v>2.6385224274406332E-3</v>
      </c>
      <c r="AB12" s="92">
        <v>2.6385224274406332E-3</v>
      </c>
      <c r="AC12" s="92">
        <v>2.6385224274406332E-3</v>
      </c>
      <c r="AD12" s="92">
        <v>2.6385224274406332E-3</v>
      </c>
      <c r="AE12" s="92">
        <v>2.6385224274406332E-3</v>
      </c>
      <c r="AF12" s="110">
        <v>2.6385224274406332E-3</v>
      </c>
      <c r="AG12" s="110">
        <v>2.6385224274406332E-3</v>
      </c>
      <c r="AH12" s="174">
        <v>1700000</v>
      </c>
      <c r="AI12" s="278">
        <v>1100000</v>
      </c>
      <c r="AJ12" s="278">
        <v>1100000</v>
      </c>
      <c r="AK12" s="278">
        <v>1000000</v>
      </c>
      <c r="AL12" s="278">
        <v>1000000</v>
      </c>
      <c r="AM12" s="278">
        <v>1000000</v>
      </c>
      <c r="AN12" s="278">
        <v>1000000</v>
      </c>
      <c r="AO12" s="278">
        <v>1000000</v>
      </c>
      <c r="AP12" s="278">
        <v>1000000</v>
      </c>
      <c r="AQ12" s="281">
        <v>1000000</v>
      </c>
      <c r="AR12" s="281">
        <v>1000000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4.0637702705002328E-4</v>
      </c>
      <c r="J13" s="45">
        <f t="shared" ref="J13:J20" si="2">F13/C$11</f>
        <v>2.0318851352501163E-2</v>
      </c>
      <c r="K13" s="67"/>
      <c r="L13" s="124">
        <v>500</v>
      </c>
      <c r="M13" s="108">
        <v>5.8823529411764705E-3</v>
      </c>
      <c r="N13" s="170">
        <v>1000000</v>
      </c>
      <c r="O13" s="124">
        <v>500</v>
      </c>
      <c r="P13" s="26"/>
      <c r="Q13" s="125">
        <v>50</v>
      </c>
      <c r="R13" s="109">
        <v>3.0674846625766872E-3</v>
      </c>
      <c r="S13" s="171">
        <v>4000000</v>
      </c>
      <c r="T13" s="125">
        <v>7.6224274406332464</v>
      </c>
      <c r="U13" s="1"/>
      <c r="V13" s="117">
        <v>500</v>
      </c>
      <c r="W13" s="123">
        <v>7.407407407407407E-4</v>
      </c>
      <c r="X13" s="112">
        <v>2.2727272727272727E-4</v>
      </c>
      <c r="Y13" s="112">
        <v>2.2727272727272727E-4</v>
      </c>
      <c r="Z13" s="112">
        <v>2.6385224274406332E-4</v>
      </c>
      <c r="AA13" s="112">
        <v>2.6385224274406332E-4</v>
      </c>
      <c r="AB13" s="112">
        <v>2.6385224274406332E-4</v>
      </c>
      <c r="AC13" s="112">
        <v>2.6385224274406332E-4</v>
      </c>
      <c r="AD13" s="112">
        <v>2.6385224274406332E-4</v>
      </c>
      <c r="AE13" s="112">
        <v>2.6385224274406332E-4</v>
      </c>
      <c r="AF13" s="113">
        <v>2.6385224274406332E-4</v>
      </c>
      <c r="AG13" s="113">
        <v>2.6385224274406332E-4</v>
      </c>
      <c r="AH13" s="175">
        <v>200000</v>
      </c>
      <c r="AI13" s="279">
        <v>100000</v>
      </c>
      <c r="AJ13" s="279">
        <v>100000</v>
      </c>
      <c r="AK13" s="279">
        <v>100000</v>
      </c>
      <c r="AL13" s="279">
        <v>100000</v>
      </c>
      <c r="AM13" s="279">
        <v>100000</v>
      </c>
      <c r="AN13" s="279">
        <v>100000</v>
      </c>
      <c r="AO13" s="279">
        <v>100000</v>
      </c>
      <c r="AP13" s="279">
        <v>100000</v>
      </c>
      <c r="AQ13" s="282">
        <v>100000</v>
      </c>
      <c r="AR13" s="282">
        <v>100000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3.8130044733634619E-4</v>
      </c>
      <c r="J14" s="50">
        <f t="shared" si="2"/>
        <v>2.3831277958521635E-2</v>
      </c>
      <c r="K14" s="34"/>
      <c r="L14" s="129" t="s">
        <v>112</v>
      </c>
      <c r="M14" s="109">
        <v>0.42941176470588233</v>
      </c>
      <c r="N14" s="171">
        <v>73000000</v>
      </c>
      <c r="O14" s="130">
        <f>T16</f>
        <v>55.856560625129688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2.957535834665715E-4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33.726052503732156</v>
      </c>
      <c r="P15" s="1"/>
      <c r="Q15" s="1"/>
      <c r="R15" s="1"/>
      <c r="S15" s="1" t="s">
        <v>89</v>
      </c>
      <c r="T15" s="1">
        <f>SUMPRODUCT(Q3:Q13, R3:R13)</f>
        <v>7.2852760736196327</v>
      </c>
      <c r="U15" s="1"/>
      <c r="V15" s="1" t="s">
        <v>90</v>
      </c>
      <c r="W15" s="93">
        <f t="shared" ref="W15:AG15" si="3">SUMPRODUCT($V$3:$V$13,_xlfn.ANCHORARRAY(W3))</f>
        <v>14.242592592592594</v>
      </c>
      <c r="X15" s="93">
        <f t="shared" si="3"/>
        <v>8.026136363636363</v>
      </c>
      <c r="Y15" s="93">
        <f t="shared" si="3"/>
        <v>8.026136363636363</v>
      </c>
      <c r="Z15" s="93">
        <f t="shared" si="3"/>
        <v>7.6224274406332464</v>
      </c>
      <c r="AA15" s="93">
        <f t="shared" si="3"/>
        <v>7.6224274406332464</v>
      </c>
      <c r="AB15" s="93">
        <f t="shared" si="3"/>
        <v>7.6224274406332464</v>
      </c>
      <c r="AC15" s="93">
        <f t="shared" si="3"/>
        <v>7.6224274406332464</v>
      </c>
      <c r="AD15" s="93">
        <f t="shared" si="3"/>
        <v>7.6224274406332464</v>
      </c>
      <c r="AE15" s="93">
        <f t="shared" si="3"/>
        <v>7.6224274406332464</v>
      </c>
      <c r="AF15" s="93">
        <f t="shared" si="3"/>
        <v>7.6224274406332464</v>
      </c>
      <c r="AG15" s="93">
        <f t="shared" si="3"/>
        <v>7.6224274406332464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9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2.4671038009028366E-4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55.856560625129688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3.4936606371232826E-4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3.1921478163201037E-4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1.27487108867801E-4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6.4358421969123037E-5</v>
      </c>
      <c r="J20" s="55">
        <f t="shared" si="2"/>
        <v>4.0224013730701891E-2</v>
      </c>
      <c r="K20" s="34"/>
      <c r="L20" s="295" t="s">
        <v>284</v>
      </c>
      <c r="M20" s="293" t="s">
        <v>282</v>
      </c>
      <c r="N20" s="294" t="s">
        <v>281</v>
      </c>
      <c r="O20" s="165" t="s">
        <v>283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275</v>
      </c>
      <c r="M21" s="287">
        <f ca="1">$I$1</f>
        <v>1.0396634201786966E-2</v>
      </c>
      <c r="N21" s="288">
        <f>$O$15</f>
        <v>33.726052503732156</v>
      </c>
      <c r="O21" s="186" cm="1">
        <f t="array" aca="1" ref="O21:O25" ca="1">M21:M25*N21:N25</f>
        <v>0.35063743095156463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277</v>
      </c>
      <c r="M22" s="289">
        <f t="shared" ref="M22:M25" ca="1" si="4">$I$1</f>
        <v>1.0396634201786966E-2</v>
      </c>
      <c r="N22" s="290">
        <f>$O$15+1*$O$15*_xlfn.BINOM.DIST(1,1,$I$4,FALSE)</f>
        <v>52.865587299600151</v>
      </c>
      <c r="O22" s="189">
        <f ca="1"/>
        <v>0.54962417301657751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32">
        <f>PRODUCT('Regular Symbol'!C96:E96)</f>
        <v>23976978049206</v>
      </c>
      <c r="D23" s="332"/>
      <c r="E23" s="332"/>
      <c r="F23" s="332"/>
      <c r="G23" s="332"/>
      <c r="H23" s="1"/>
      <c r="I23" s="33"/>
      <c r="J23" s="285"/>
      <c r="K23" s="34"/>
      <c r="L23" s="51" t="s">
        <v>278</v>
      </c>
      <c r="M23" s="289">
        <f t="shared" ca="1" si="4"/>
        <v>1.0396634201786966E-2</v>
      </c>
      <c r="N23" s="290">
        <f>$O$15+1*$O$15*_xlfn.BINOM.DIST(1,2,$I$4,FALSE)+2*$O$15*_xlfn.BINOM.DIST(2,2,$I$4,FALSE)</f>
        <v>72.005122095468153</v>
      </c>
      <c r="O23" s="189">
        <f ca="1"/>
        <v>0.7486109150815905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279</v>
      </c>
      <c r="M24" s="289">
        <f t="shared" ca="1" si="4"/>
        <v>1.0396634201786966E-2</v>
      </c>
      <c r="N24" s="290">
        <f>$O$15+1*$O$15*_xlfn.BINOM.DIST(1,3,$I$4,FALSE)+2*$O$15*_xlfn.BINOM.DIST(2,3,$I$4,FALSE)+3*$O$15*_xlfn.BINOM.DIST(3,3,$I$4,FALSE)</f>
        <v>91.144656891336155</v>
      </c>
      <c r="O24" s="189">
        <f ca="1"/>
        <v>0.94759765714660349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11445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11053</v>
      </c>
      <c r="F25" s="43">
        <f ca="1">C25*D25*E25</f>
        <v>396202964220</v>
      </c>
      <c r="G25" s="44">
        <f t="shared" ref="G25:G32" ca="1" si="5">C$11/F25</f>
        <v>60.516907278594417</v>
      </c>
      <c r="H25" s="43" cm="1">
        <f t="array" ref="H25:H32">_xlfn.ANCHORARRAY(H13)</f>
        <v>5</v>
      </c>
      <c r="I25" s="45">
        <f t="shared" ref="I25:I32" ca="1" si="6">J25*H25/$C$1</f>
        <v>3.3048615501662048E-4</v>
      </c>
      <c r="J25" s="45">
        <f t="shared" ref="J25:J32" ca="1" si="7">F25/C$11</f>
        <v>1.6524307750831024E-2</v>
      </c>
      <c r="K25" s="34"/>
      <c r="L25" s="68" t="s">
        <v>280</v>
      </c>
      <c r="M25" s="291">
        <f t="shared" ca="1" si="4"/>
        <v>1.0396634201786966E-2</v>
      </c>
      <c r="N25" s="292">
        <f>$O$15+1*$O$15*_xlfn.BINOM.DIST(1,4,$I$4,FALSE)+2*$O$15*_xlfn.BINOM.DIST(2,4,$I$4,FALSE)+3*$O$15*_xlfn.BINOM.DIST(3,4,$I$4,FALSE)+4*$O$15*_xlfn.BINOM.DIST(4,4,$I$4,FALSE)</f>
        <v>110.28419168720414</v>
      </c>
      <c r="O25" s="192">
        <f ca="1"/>
        <v>1.1465843992116163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13845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13930</v>
      </c>
      <c r="F26" s="48">
        <f ca="1">C26*D26*E26-F25</f>
        <v>477842407980</v>
      </c>
      <c r="G26" s="49">
        <f t="shared" ca="1" si="5"/>
        <v>50.177585012943332</v>
      </c>
      <c r="H26" s="48">
        <v>4</v>
      </c>
      <c r="I26" s="50">
        <f t="shared" ca="1" si="6"/>
        <v>3.1886747829479621E-4</v>
      </c>
      <c r="J26" s="50">
        <f t="shared" ca="1" si="7"/>
        <v>1.9929217393424764E-2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15247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14330</v>
      </c>
      <c r="F27" s="48">
        <f ca="1">C27*D27*E27-F25</f>
        <v>572142544100</v>
      </c>
      <c r="G27" s="49">
        <f t="shared" ca="1" si="5"/>
        <v>41.907350356059631</v>
      </c>
      <c r="H27" s="48">
        <v>3</v>
      </c>
      <c r="I27" s="50">
        <f t="shared" ca="1" si="6"/>
        <v>2.8634594881431935E-4</v>
      </c>
      <c r="J27" s="50">
        <f t="shared" ca="1" si="7"/>
        <v>2.3862162401193279E-2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14546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14430</v>
      </c>
      <c r="F28" s="48">
        <f ca="1">C28*D28*E28-F25</f>
        <v>555058306740</v>
      </c>
      <c r="G28" s="49">
        <f t="shared" ca="1" si="5"/>
        <v>43.197224071879852</v>
      </c>
      <c r="H28" s="48">
        <v>2.4</v>
      </c>
      <c r="I28" s="50">
        <f t="shared" ca="1" si="6"/>
        <v>2.222365026054839E-4</v>
      </c>
      <c r="J28" s="50">
        <f t="shared" ca="1" si="7"/>
        <v>2.3149635688071241E-2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17450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14507</v>
      </c>
      <c r="F29" s="48">
        <f ca="1">C29*D29*E29-F25</f>
        <v>1028002901680</v>
      </c>
      <c r="G29" s="49">
        <f t="shared" ca="1" si="5"/>
        <v>23.323842773227533</v>
      </c>
      <c r="H29" s="48">
        <v>2</v>
      </c>
      <c r="I29" s="50">
        <f t="shared" ca="1" si="6"/>
        <v>3.4299665272923495E-4</v>
      </c>
      <c r="J29" s="50">
        <f t="shared" ca="1" si="7"/>
        <v>4.287458159115437E-2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15447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14907</v>
      </c>
      <c r="F30" s="48">
        <f ca="1">C30*D30*E30-F25</f>
        <v>842410915371</v>
      </c>
      <c r="G30" s="49">
        <f t="shared" ca="1" si="5"/>
        <v>28.462330688873465</v>
      </c>
      <c r="H30" s="48">
        <v>1.6</v>
      </c>
      <c r="I30" s="50">
        <f t="shared" ca="1" si="6"/>
        <v>2.2485860592231466E-4</v>
      </c>
      <c r="J30" s="50">
        <f t="shared" ca="1" si="7"/>
        <v>3.5134157175361662E-2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16148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14907</v>
      </c>
      <c r="F31" s="48">
        <f ca="1">C31*D31*E31-F25</f>
        <v>850476780024</v>
      </c>
      <c r="G31" s="49">
        <f t="shared" ca="1" si="5"/>
        <v>28.192395856509314</v>
      </c>
      <c r="H31" s="48">
        <v>1</v>
      </c>
      <c r="I31" s="50">
        <f t="shared" ca="1" si="6"/>
        <v>1.4188223024246604E-4</v>
      </c>
      <c r="J31" s="50">
        <f t="shared" ca="1" si="7"/>
        <v>3.5470557560616511E-2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14646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16638</v>
      </c>
      <c r="F32" s="53">
        <f ca="1">C32*D32*E32-F25</f>
        <v>999109563228</v>
      </c>
      <c r="G32" s="54">
        <f t="shared" ca="1" si="5"/>
        <v>23.998347059895348</v>
      </c>
      <c r="H32" s="53">
        <v>0.4</v>
      </c>
      <c r="I32" s="55">
        <f t="shared" ca="1" si="6"/>
        <v>6.6671258483207277E-5</v>
      </c>
      <c r="J32" s="55">
        <f t="shared" ca="1" si="7"/>
        <v>4.1669536552004546E-2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32">
        <f>PRODUCT('Regular Symbol'!C96:E96)</f>
        <v>23976978049206</v>
      </c>
      <c r="D35" s="332"/>
      <c r="E35" s="332"/>
      <c r="F35" s="332"/>
      <c r="G35" s="332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11844</v>
      </c>
      <c r="F37" s="43">
        <f ca="1">C37*D37*E37</f>
        <v>487184652864</v>
      </c>
      <c r="G37" s="44">
        <f t="shared" ref="G37:G44" ca="1" si="8">C$11/F37</f>
        <v>49.215380468685026</v>
      </c>
      <c r="H37" s="43" cm="1">
        <f t="array" ref="H37:H44">_xlfn.ANCHORARRAY(H25)</f>
        <v>5</v>
      </c>
      <c r="I37" s="45">
        <f t="shared" ref="I37:I44" ca="1" si="9">J37*H37/$C$1</f>
        <v>4.0637702705002328E-4</v>
      </c>
      <c r="J37" s="45">
        <f t="shared" ref="J37:J44" ca="1" si="10">F37/C$11</f>
        <v>2.0318851352501163E-2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14144</v>
      </c>
      <c r="F38" s="48">
        <f ca="1">C38*D38*E38-F37</f>
        <v>498831153600</v>
      </c>
      <c r="G38" s="49">
        <f t="shared" ca="1" si="8"/>
        <v>48.066320389509052</v>
      </c>
      <c r="H38" s="48">
        <v>4</v>
      </c>
      <c r="I38" s="50">
        <f t="shared" ca="1" si="9"/>
        <v>3.3287341053658348E-4</v>
      </c>
      <c r="J38" s="50">
        <f t="shared" ca="1" si="10"/>
        <v>2.0804588158536468E-2</v>
      </c>
    </row>
    <row r="39" spans="1:14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14544</v>
      </c>
      <c r="F39" s="48">
        <f ca="1">C39*D39*E39-F37</f>
        <v>665808923520</v>
      </c>
      <c r="G39" s="49">
        <f t="shared" ca="1" si="8"/>
        <v>36.011800386279688</v>
      </c>
      <c r="H39" s="48">
        <v>3</v>
      </c>
      <c r="I39" s="50">
        <f t="shared" ca="1" si="9"/>
        <v>3.3322410630077631E-4</v>
      </c>
      <c r="J39" s="50">
        <f t="shared" ca="1" si="10"/>
        <v>2.7768675525064693E-2</v>
      </c>
    </row>
    <row r="40" spans="1:14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15685</v>
      </c>
      <c r="F40" s="48">
        <f ca="1">C40*D40*E40-F37</f>
        <v>613715005496</v>
      </c>
      <c r="G40" s="49">
        <f t="shared" ca="1" si="8"/>
        <v>39.068586940982456</v>
      </c>
      <c r="H40" s="48">
        <v>2.4</v>
      </c>
      <c r="I40" s="50">
        <f t="shared" ca="1" si="9"/>
        <v>2.4572171024516174E-4</v>
      </c>
      <c r="J40" s="50">
        <f t="shared" ca="1" si="10"/>
        <v>2.5596011483871015E-2</v>
      </c>
    </row>
    <row r="41" spans="1:14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15185</v>
      </c>
      <c r="F41" s="48">
        <f ca="1">C41*D41*E41-F37</f>
        <v>1100187005746</v>
      </c>
      <c r="G41" s="49">
        <f t="shared" ca="1" si="8"/>
        <v>21.793547755045527</v>
      </c>
      <c r="H41" s="48">
        <v>2</v>
      </c>
      <c r="I41" s="50">
        <f t="shared" ca="1" si="9"/>
        <v>3.6708112373066385E-4</v>
      </c>
      <c r="J41" s="50">
        <f t="shared" ca="1" si="10"/>
        <v>4.5885140466332984E-2</v>
      </c>
    </row>
    <row r="42" spans="1:14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14544</v>
      </c>
      <c r="F42" s="48">
        <f ca="1">C42*D42*E42-F37</f>
        <v>663918494400</v>
      </c>
      <c r="G42" s="49">
        <f t="shared" ca="1" si="8"/>
        <v>36.114339714055717</v>
      </c>
      <c r="H42" s="48">
        <v>1.6</v>
      </c>
      <c r="I42" s="50">
        <f t="shared" ca="1" si="9"/>
        <v>1.7721492489336909E-4</v>
      </c>
      <c r="J42" s="50">
        <f t="shared" ca="1" si="10"/>
        <v>2.7689832014588918E-2</v>
      </c>
    </row>
    <row r="43" spans="1:14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16626</v>
      </c>
      <c r="F43" s="48">
        <f ca="1">C43*D43*E43-F37</f>
        <v>1060523469012</v>
      </c>
      <c r="G43" s="49">
        <f t="shared" ca="1" si="8"/>
        <v>22.608625598397481</v>
      </c>
      <c r="H43" s="48">
        <v>1</v>
      </c>
      <c r="I43" s="50">
        <f t="shared" ca="1" si="9"/>
        <v>1.7692362512666509E-4</v>
      </c>
      <c r="J43" s="50">
        <f t="shared" ca="1" si="10"/>
        <v>4.4230906281666274E-2</v>
      </c>
    </row>
    <row r="44" spans="1:14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17667</v>
      </c>
      <c r="F44" s="53">
        <f ca="1">C44*D44*E44-F37</f>
        <v>1167938101278</v>
      </c>
      <c r="G44" s="54">
        <f t="shared" ca="1" si="8"/>
        <v>20.529322592498289</v>
      </c>
      <c r="H44" s="53">
        <v>0.4</v>
      </c>
      <c r="I44" s="55">
        <f t="shared" ca="1" si="9"/>
        <v>7.7937301281663486E-5</v>
      </c>
      <c r="J44" s="55">
        <f t="shared" ca="1" si="10"/>
        <v>4.8710813301039678E-2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32">
        <f>PRODUCT('Regular Symbol'!C96:E96)</f>
        <v>23976978049206</v>
      </c>
      <c r="D47" s="332"/>
      <c r="E47" s="332"/>
      <c r="F47" s="332"/>
      <c r="G47" s="332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11445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11844</v>
      </c>
      <c r="F49" s="43">
        <f ca="1">C49*D49*E49</f>
        <v>454650061320</v>
      </c>
      <c r="G49" s="44">
        <f t="shared" ref="G49:G56" ca="1" si="11">C$11/F49</f>
        <v>52.737215034334049</v>
      </c>
      <c r="H49" s="43" cm="1">
        <f t="array" ref="H49:H56">_xlfn.ANCHORARRAY(H37)</f>
        <v>5</v>
      </c>
      <c r="I49" s="45">
        <f t="shared" ref="I49:I56" ca="1" si="12">J49*H49/$C$1</f>
        <v>3.7923883517510724E-4</v>
      </c>
      <c r="J49" s="45">
        <f t="shared" ref="J49:J56" ca="1" si="13">F49/C$11</f>
        <v>1.8961941758755364E-2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13845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14144</v>
      </c>
      <c r="F50" s="48">
        <f ca="1">C50*D50*E50-F49</f>
        <v>476295713400</v>
      </c>
      <c r="G50" s="49">
        <f t="shared" ca="1" si="11"/>
        <v>50.340528740114415</v>
      </c>
      <c r="H50" s="48">
        <v>4</v>
      </c>
      <c r="I50" s="50">
        <f t="shared" ca="1" si="12"/>
        <v>3.1783535851601455E-4</v>
      </c>
      <c r="J50" s="50">
        <f t="shared" ca="1" si="13"/>
        <v>1.9864709907250908E-2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15247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14544</v>
      </c>
      <c r="F51" s="48">
        <f ca="1">C51*D51*E51-F49</f>
        <v>577385459352</v>
      </c>
      <c r="G51" s="49">
        <f t="shared" ca="1" si="11"/>
        <v>41.526813086209991</v>
      </c>
      <c r="H51" s="48">
        <v>3</v>
      </c>
      <c r="I51" s="50">
        <f t="shared" ca="1" si="12"/>
        <v>2.8896992348264011E-4</v>
      </c>
      <c r="J51" s="50">
        <f t="shared" ca="1" si="13"/>
        <v>2.4080826956886677E-2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14546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15685</v>
      </c>
      <c r="F52" s="48">
        <f ca="1">C52*D52*E52-F49</f>
        <v>629994102220</v>
      </c>
      <c r="G52" s="49">
        <f t="shared" ca="1" si="11"/>
        <v>38.059051608126019</v>
      </c>
      <c r="H52" s="48">
        <v>2.4</v>
      </c>
      <c r="I52" s="50">
        <f t="shared" ca="1" si="12"/>
        <v>2.5223960120830479E-4</v>
      </c>
      <c r="J52" s="50">
        <f t="shared" ca="1" si="13"/>
        <v>2.627495845919842E-2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17450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15185</v>
      </c>
      <c r="F53" s="48">
        <f ca="1">C53*D53*E53-F49</f>
        <v>911047839180</v>
      </c>
      <c r="G53" s="49">
        <f t="shared" ca="1" si="11"/>
        <v>26.318023069772909</v>
      </c>
      <c r="H53" s="48">
        <v>2</v>
      </c>
      <c r="I53" s="50">
        <f t="shared" ca="1" si="12"/>
        <v>3.0397419968782746E-4</v>
      </c>
      <c r="J53" s="50">
        <f t="shared" ca="1" si="13"/>
        <v>3.7996774960978433E-2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15447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14544</v>
      </c>
      <c r="F54" s="48">
        <f ca="1">C54*D54*E54-F49</f>
        <v>865009639512</v>
      </c>
      <c r="G54" s="49">
        <f t="shared" ca="1" si="11"/>
        <v>27.718740871758083</v>
      </c>
      <c r="H54" s="48">
        <v>1.6</v>
      </c>
      <c r="I54" s="50">
        <f t="shared" ca="1" si="12"/>
        <v>2.3089071865168293E-4</v>
      </c>
      <c r="J54" s="50">
        <f t="shared" ca="1" si="13"/>
        <v>3.6076674789325455E-2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16148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16626</v>
      </c>
      <c r="F55" s="48">
        <f ca="1">C55*D55*E55-F49</f>
        <v>1068686439432</v>
      </c>
      <c r="G55" s="49">
        <f t="shared" ca="1" si="11"/>
        <v>22.435933651361395</v>
      </c>
      <c r="H55" s="48">
        <v>1</v>
      </c>
      <c r="I55" s="50">
        <f t="shared" ca="1" si="12"/>
        <v>1.782854265018422E-4</v>
      </c>
      <c r="J55" s="50">
        <f t="shared" ca="1" si="13"/>
        <v>4.4571356625460551E-2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14646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17667</v>
      </c>
      <c r="F56" s="53">
        <f ca="1">C56*D56*E56-F49</f>
        <v>1065252619548</v>
      </c>
      <c r="G56" s="54">
        <f t="shared" ca="1" si="11"/>
        <v>22.508255421497797</v>
      </c>
      <c r="H56" s="53">
        <v>0.4</v>
      </c>
      <c r="I56" s="55">
        <f t="shared" ca="1" si="12"/>
        <v>7.1085029471978909E-5</v>
      </c>
      <c r="J56" s="55">
        <f t="shared" ca="1" si="13"/>
        <v>4.4428143419986819E-2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2">
        <f>PRODUCT('Regular Symbol'!C96:E96)</f>
        <v>23976978049206</v>
      </c>
      <c r="D59" s="332"/>
      <c r="E59" s="332"/>
      <c r="F59" s="332"/>
      <c r="G59" s="332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11445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11844</v>
      </c>
      <c r="F61" s="43">
        <f ca="1">C61*D61*E61</f>
        <v>454650061320</v>
      </c>
      <c r="G61" s="44">
        <f t="shared" ref="G61:G68" ca="1" si="14">C$11/F61</f>
        <v>52.737215034334049</v>
      </c>
      <c r="H61" s="43" cm="1">
        <f t="array" ref="H61:H68">_xlfn.ANCHORARRAY(H49)</f>
        <v>5</v>
      </c>
      <c r="I61" s="45">
        <f t="shared" ref="I61:I68" ca="1" si="15">J61*H61/$C$1</f>
        <v>3.7923883517510724E-4</v>
      </c>
      <c r="J61" s="45">
        <f t="shared" ref="J61:J68" ca="1" si="16">F61/C$11</f>
        <v>1.8961941758755364E-2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13845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15185</v>
      </c>
      <c r="F62" s="48">
        <f ca="1">C62*D62*E62-F61</f>
        <v>544813427730</v>
      </c>
      <c r="G62" s="49">
        <f t="shared" ca="1" si="14"/>
        <v>44.009521110938131</v>
      </c>
      <c r="H62" s="48">
        <v>4</v>
      </c>
      <c r="I62" s="50">
        <f t="shared" ca="1" si="15"/>
        <v>3.6355769379238615E-4</v>
      </c>
      <c r="J62" s="50">
        <f t="shared" ca="1" si="16"/>
        <v>2.2722355862024136E-2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15247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15585</v>
      </c>
      <c r="F63" s="48">
        <f ca="1">C63*D63*E63-F61</f>
        <v>651254338410</v>
      </c>
      <c r="G63" s="49">
        <f t="shared" ca="1" si="14"/>
        <v>36.816611629404896</v>
      </c>
      <c r="H63" s="48">
        <v>3</v>
      </c>
      <c r="I63" s="50">
        <f t="shared" ca="1" si="15"/>
        <v>3.2593982631513467E-4</v>
      </c>
      <c r="J63" s="50">
        <f t="shared" ca="1" si="16"/>
        <v>2.716165219292789E-2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14546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14644</v>
      </c>
      <c r="F64" s="48">
        <f ca="1">C64*D64*E64-F61</f>
        <v>558007199176</v>
      </c>
      <c r="G64" s="49">
        <f t="shared" ca="1" si="14"/>
        <v>42.968940337351214</v>
      </c>
      <c r="H64" s="48">
        <v>2.4</v>
      </c>
      <c r="I64" s="50">
        <f t="shared" ca="1" si="15"/>
        <v>2.2341719215391252E-4</v>
      </c>
      <c r="J64" s="50">
        <f t="shared" ca="1" si="16"/>
        <v>2.3272624182699223E-2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17450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15185</v>
      </c>
      <c r="F65" s="48">
        <f ca="1">C65*D65*E65-F61</f>
        <v>1239620869180</v>
      </c>
      <c r="G65" s="49">
        <f t="shared" ca="1" si="14"/>
        <v>19.342186506642626</v>
      </c>
      <c r="H65" s="48">
        <v>2</v>
      </c>
      <c r="I65" s="50">
        <f t="shared" ca="1" si="15"/>
        <v>4.1360370489926696E-4</v>
      </c>
      <c r="J65" s="50">
        <f t="shared" ca="1" si="16"/>
        <v>5.1700463112408369E-2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15447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16626</v>
      </c>
      <c r="F66" s="48">
        <f ca="1">C66*D66*E66-F61</f>
        <v>894691791468</v>
      </c>
      <c r="G66" s="49">
        <f t="shared" ca="1" si="14"/>
        <v>26.799148352378253</v>
      </c>
      <c r="H66" s="48">
        <v>1.6</v>
      </c>
      <c r="I66" s="50">
        <f t="shared" ca="1" si="15"/>
        <v>2.3881355914177926E-4</v>
      </c>
      <c r="J66" s="50">
        <f t="shared" ca="1" si="16"/>
        <v>3.731461861590301E-2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16148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14544</v>
      </c>
      <c r="F67" s="48">
        <f ca="1">C67*D67*E67-F61</f>
        <v>732314750328</v>
      </c>
      <c r="G67" s="49">
        <f t="shared" ca="1" si="14"/>
        <v>32.741356142924658</v>
      </c>
      <c r="H67" s="48">
        <v>1</v>
      </c>
      <c r="I67" s="50">
        <f t="shared" ca="1" si="15"/>
        <v>1.2216964937368337E-4</v>
      </c>
      <c r="J67" s="50">
        <f t="shared" ca="1" si="16"/>
        <v>3.0542412343420845E-2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14646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16626</v>
      </c>
      <c r="F68" s="53">
        <f ca="1">C68*D68*E68-F61</f>
        <v>975694760784</v>
      </c>
      <c r="G68" s="54">
        <f t="shared" ca="1" si="14"/>
        <v>24.574261349871122</v>
      </c>
      <c r="H68" s="53">
        <v>0.4</v>
      </c>
      <c r="I68" s="55">
        <f t="shared" ca="1" si="15"/>
        <v>6.510877284245987E-5</v>
      </c>
      <c r="J68" s="55">
        <f t="shared" ca="1" si="16"/>
        <v>4.069298302653742E-2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4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47F80-CE24-460C-BEC7-48BEB2BB5609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100</v>
      </c>
      <c r="D1" s="1"/>
      <c r="E1" s="1"/>
      <c r="F1" s="1"/>
      <c r="G1" s="1"/>
      <c r="H1" s="2" t="s">
        <v>79</v>
      </c>
      <c r="I1" s="20">
        <f ca="1">SUM(I12:I68)</f>
        <v>2.599158550446741E-2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19.888755997703353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24.37962962962963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276</v>
      </c>
      <c r="I4" s="180">
        <v>0.20476417</v>
      </c>
      <c r="K4" s="33"/>
      <c r="L4" s="124">
        <v>2</v>
      </c>
      <c r="M4" s="108">
        <v>2.7559055118110236E-2</v>
      </c>
      <c r="N4" s="170">
        <v>7000000</v>
      </c>
      <c r="O4" s="124">
        <v>2</v>
      </c>
      <c r="P4" s="26"/>
      <c r="Q4" s="116">
        <v>3</v>
      </c>
      <c r="R4" s="108">
        <v>3.4542314335060447E-3</v>
      </c>
      <c r="S4" s="173">
        <v>4000000</v>
      </c>
      <c r="T4" s="116">
        <v>16.66477272727273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285</v>
      </c>
      <c r="I5" s="20"/>
      <c r="J5" s="33"/>
      <c r="K5" s="33"/>
      <c r="L5" s="124">
        <v>3</v>
      </c>
      <c r="M5" s="108">
        <v>2.7559055118110236E-2</v>
      </c>
      <c r="N5" s="170">
        <v>7000000</v>
      </c>
      <c r="O5" s="124">
        <v>3</v>
      </c>
      <c r="P5" s="26"/>
      <c r="Q5" s="116">
        <v>4</v>
      </c>
      <c r="R5" s="108">
        <v>0.12953367875647667</v>
      </c>
      <c r="S5" s="173">
        <v>150000000</v>
      </c>
      <c r="T5" s="116">
        <v>16.66477272727273</v>
      </c>
      <c r="U5" s="1"/>
      <c r="V5" s="116">
        <v>3</v>
      </c>
      <c r="W5" s="122">
        <v>0</v>
      </c>
      <c r="X5" s="92">
        <v>0.11363636363636363</v>
      </c>
      <c r="Y5" s="92">
        <v>0.11363636363636363</v>
      </c>
      <c r="Z5" s="92">
        <v>0.13192612137203166</v>
      </c>
      <c r="AA5" s="92">
        <v>0.13192612137203166</v>
      </c>
      <c r="AB5" s="92">
        <v>0.13192612137203166</v>
      </c>
      <c r="AC5" s="92">
        <v>0.13192612137203166</v>
      </c>
      <c r="AD5" s="92">
        <v>0.13192612137203166</v>
      </c>
      <c r="AE5" s="92">
        <v>0.13192612137203166</v>
      </c>
      <c r="AF5" s="110">
        <v>0.13192612137203166</v>
      </c>
      <c r="AG5" s="110">
        <v>0.13192612137203166</v>
      </c>
      <c r="AH5" s="174">
        <v>0</v>
      </c>
      <c r="AI5" s="278">
        <v>50000000</v>
      </c>
      <c r="AJ5" s="278">
        <v>50000000</v>
      </c>
      <c r="AK5" s="278">
        <v>50000000</v>
      </c>
      <c r="AL5" s="278">
        <v>50000000</v>
      </c>
      <c r="AM5" s="278">
        <v>50000000</v>
      </c>
      <c r="AN5" s="278">
        <v>50000000</v>
      </c>
      <c r="AO5" s="278">
        <v>50000000</v>
      </c>
      <c r="AP5" s="278">
        <v>50000000</v>
      </c>
      <c r="AQ5" s="278">
        <v>50000000</v>
      </c>
      <c r="AR5" s="278">
        <v>50000000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5.905511811023622E-2</v>
      </c>
      <c r="N6" s="170">
        <v>15000000</v>
      </c>
      <c r="O6" s="124">
        <v>5</v>
      </c>
      <c r="P6" s="26"/>
      <c r="Q6" s="116">
        <v>5</v>
      </c>
      <c r="R6" s="108">
        <v>0.12953367875647667</v>
      </c>
      <c r="S6" s="173">
        <v>150000000</v>
      </c>
      <c r="T6" s="116">
        <v>17.447229551451187</v>
      </c>
      <c r="U6" s="26"/>
      <c r="V6" s="116">
        <v>5</v>
      </c>
      <c r="W6" s="122">
        <v>0</v>
      </c>
      <c r="X6" s="92">
        <v>0.27272727272727271</v>
      </c>
      <c r="Y6" s="92">
        <v>0.27272727272727271</v>
      </c>
      <c r="Z6" s="92">
        <v>0.31662269129287601</v>
      </c>
      <c r="AA6" s="92">
        <v>0.31662269129287601</v>
      </c>
      <c r="AB6" s="92">
        <v>0.31662269129287601</v>
      </c>
      <c r="AC6" s="92">
        <v>0.31662269129287601</v>
      </c>
      <c r="AD6" s="92">
        <v>0.31662269129287601</v>
      </c>
      <c r="AE6" s="92">
        <v>0.31662269129287601</v>
      </c>
      <c r="AF6" s="110">
        <v>0.31662269129287601</v>
      </c>
      <c r="AG6" s="110">
        <v>0.31662269129287601</v>
      </c>
      <c r="AH6" s="174">
        <v>0</v>
      </c>
      <c r="AI6" s="278">
        <v>120000000</v>
      </c>
      <c r="AJ6" s="278">
        <v>120000000</v>
      </c>
      <c r="AK6" s="278">
        <v>120000000</v>
      </c>
      <c r="AL6" s="278">
        <v>120000000</v>
      </c>
      <c r="AM6" s="278">
        <v>120000000</v>
      </c>
      <c r="AN6" s="278">
        <v>120000000</v>
      </c>
      <c r="AO6" s="278">
        <v>120000000</v>
      </c>
      <c r="AP6" s="278">
        <v>120000000</v>
      </c>
      <c r="AQ6" s="281">
        <v>120000000</v>
      </c>
      <c r="AR6" s="281">
        <v>120000000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5.905511811023622E-2</v>
      </c>
      <c r="N7" s="170">
        <v>15000000</v>
      </c>
      <c r="O7" s="124">
        <v>10</v>
      </c>
      <c r="P7" s="26"/>
      <c r="Q7" s="116">
        <v>6</v>
      </c>
      <c r="R7" s="108">
        <v>0.12953367875647667</v>
      </c>
      <c r="S7" s="173">
        <v>150000000</v>
      </c>
      <c r="T7" s="116">
        <v>17.447229551451187</v>
      </c>
      <c r="U7" s="1"/>
      <c r="V7" s="116">
        <v>10</v>
      </c>
      <c r="W7" s="122">
        <v>0.44444444444444442</v>
      </c>
      <c r="X7" s="92">
        <v>0.27272727272727271</v>
      </c>
      <c r="Y7" s="92">
        <v>0.27272727272727271</v>
      </c>
      <c r="Z7" s="92">
        <v>0.23746701846965698</v>
      </c>
      <c r="AA7" s="92">
        <v>0.23746701846965698</v>
      </c>
      <c r="AB7" s="92">
        <v>0.23746701846965698</v>
      </c>
      <c r="AC7" s="92">
        <v>0.23746701846965698</v>
      </c>
      <c r="AD7" s="92">
        <v>0.23746701846965698</v>
      </c>
      <c r="AE7" s="92">
        <v>0.23746701846965698</v>
      </c>
      <c r="AF7" s="110">
        <v>0.23746701846965698</v>
      </c>
      <c r="AG7" s="110">
        <v>0.23746701846965698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5.905511811023622E-2</v>
      </c>
      <c r="N8" s="170">
        <v>15000000</v>
      </c>
      <c r="O8" s="124">
        <v>15</v>
      </c>
      <c r="P8" s="26"/>
      <c r="Q8" s="116">
        <v>7</v>
      </c>
      <c r="R8" s="108">
        <v>0.12953367875647667</v>
      </c>
      <c r="S8" s="173">
        <v>150000000</v>
      </c>
      <c r="T8" s="116">
        <v>17.447229551451187</v>
      </c>
      <c r="U8" s="1"/>
      <c r="V8" s="116">
        <v>15</v>
      </c>
      <c r="W8" s="122">
        <v>0.33333333333333331</v>
      </c>
      <c r="X8" s="92">
        <v>0.20454545454545456</v>
      </c>
      <c r="Y8" s="92">
        <v>0.20454545454545456</v>
      </c>
      <c r="Z8" s="92">
        <v>0.13192612137203166</v>
      </c>
      <c r="AA8" s="92">
        <v>0.13192612137203166</v>
      </c>
      <c r="AB8" s="92">
        <v>0.13192612137203166</v>
      </c>
      <c r="AC8" s="92">
        <v>0.13192612137203166</v>
      </c>
      <c r="AD8" s="92">
        <v>0.13192612137203166</v>
      </c>
      <c r="AE8" s="92">
        <v>0.13192612137203166</v>
      </c>
      <c r="AF8" s="110">
        <v>0.13192612137203166</v>
      </c>
      <c r="AG8" s="110">
        <v>0.13192612137203166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5.905511811023622E-2</v>
      </c>
      <c r="N9" s="170">
        <v>15000000</v>
      </c>
      <c r="O9" s="124">
        <v>20</v>
      </c>
      <c r="P9" s="26"/>
      <c r="Q9" s="116">
        <v>8</v>
      </c>
      <c r="R9" s="108">
        <v>0.12953367875647667</v>
      </c>
      <c r="S9" s="173">
        <v>150000000</v>
      </c>
      <c r="T9" s="116">
        <v>17.447229551451187</v>
      </c>
      <c r="U9" s="1"/>
      <c r="V9" s="116">
        <v>20</v>
      </c>
      <c r="W9" s="122">
        <v>7.7777777777777779E-2</v>
      </c>
      <c r="X9" s="92">
        <v>4.7727272727272729E-2</v>
      </c>
      <c r="Y9" s="92">
        <v>4.7727272727272729E-2</v>
      </c>
      <c r="Z9" s="92">
        <v>7.9155672823219003E-2</v>
      </c>
      <c r="AA9" s="92">
        <v>7.9155672823219003E-2</v>
      </c>
      <c r="AB9" s="92">
        <v>7.9155672823219003E-2</v>
      </c>
      <c r="AC9" s="92">
        <v>7.9155672823219003E-2</v>
      </c>
      <c r="AD9" s="92">
        <v>7.9155672823219003E-2</v>
      </c>
      <c r="AE9" s="92">
        <v>7.9155672823219003E-2</v>
      </c>
      <c r="AF9" s="110">
        <v>7.9155672823219003E-2</v>
      </c>
      <c r="AG9" s="110">
        <v>7.9155672823219003E-2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1.968503937007874E-2</v>
      </c>
      <c r="N10" s="170">
        <v>5000000</v>
      </c>
      <c r="O10" s="124">
        <v>25</v>
      </c>
      <c r="P10" s="26"/>
      <c r="Q10" s="116">
        <v>9</v>
      </c>
      <c r="R10" s="108">
        <v>0.12953367875647667</v>
      </c>
      <c r="S10" s="173">
        <v>150000000</v>
      </c>
      <c r="T10" s="116">
        <v>17.447229551451187</v>
      </c>
      <c r="U10" s="1"/>
      <c r="V10" s="116">
        <v>25</v>
      </c>
      <c r="W10" s="122">
        <v>0.05</v>
      </c>
      <c r="X10" s="92">
        <v>3.0681818181818182E-2</v>
      </c>
      <c r="Y10" s="92">
        <v>3.0681818181818182E-2</v>
      </c>
      <c r="Z10" s="92">
        <v>3.5620052770448551E-2</v>
      </c>
      <c r="AA10" s="92">
        <v>3.5620052770448551E-2</v>
      </c>
      <c r="AB10" s="92">
        <v>3.5620052770448551E-2</v>
      </c>
      <c r="AC10" s="92">
        <v>3.5620052770448551E-2</v>
      </c>
      <c r="AD10" s="92">
        <v>3.5620052770448551E-2</v>
      </c>
      <c r="AE10" s="92">
        <v>3.5620052770448551E-2</v>
      </c>
      <c r="AF10" s="110">
        <v>3.5620052770448551E-2</v>
      </c>
      <c r="AG10" s="110">
        <v>3.5620052770448551E-2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32">
        <f>PRODUCT('Regular Symbol'!C96:E96)</f>
        <v>23976978049206</v>
      </c>
      <c r="D11" s="332"/>
      <c r="E11" s="332"/>
      <c r="F11" s="332"/>
      <c r="G11" s="332"/>
      <c r="H11" s="1"/>
      <c r="I11" s="33"/>
      <c r="J11" s="285"/>
      <c r="K11" s="33"/>
      <c r="L11" s="124">
        <v>50</v>
      </c>
      <c r="M11" s="108">
        <v>1.968503937007874E-2</v>
      </c>
      <c r="N11" s="170">
        <v>5000000</v>
      </c>
      <c r="O11" s="124">
        <v>50</v>
      </c>
      <c r="P11" s="26"/>
      <c r="Q11" s="116">
        <v>10</v>
      </c>
      <c r="R11" s="108">
        <v>0.17271157167530224</v>
      </c>
      <c r="S11" s="173">
        <v>200000000</v>
      </c>
      <c r="T11" s="116">
        <v>17.447229551451187</v>
      </c>
      <c r="U11" s="1"/>
      <c r="V11" s="116">
        <v>50</v>
      </c>
      <c r="W11" s="122">
        <v>0.05</v>
      </c>
      <c r="X11" s="92">
        <v>3.0681818181818182E-2</v>
      </c>
      <c r="Y11" s="92">
        <v>3.0681818181818182E-2</v>
      </c>
      <c r="Z11" s="92">
        <v>3.5620052770448551E-2</v>
      </c>
      <c r="AA11" s="92">
        <v>3.5620052770448551E-2</v>
      </c>
      <c r="AB11" s="92">
        <v>3.5620052770448551E-2</v>
      </c>
      <c r="AC11" s="92">
        <v>3.5620052770448551E-2</v>
      </c>
      <c r="AD11" s="92">
        <v>3.5620052770448551E-2</v>
      </c>
      <c r="AE11" s="92">
        <v>3.5620052770448551E-2</v>
      </c>
      <c r="AF11" s="110">
        <v>3.5620052770448551E-2</v>
      </c>
      <c r="AG11" s="110">
        <v>3.5620052770448551E-2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3.937007874015748E-2</v>
      </c>
      <c r="N12" s="170">
        <v>10000000</v>
      </c>
      <c r="O12" s="124">
        <v>100</v>
      </c>
      <c r="P12" s="26"/>
      <c r="Q12" s="124">
        <v>20</v>
      </c>
      <c r="R12" s="108">
        <v>4.317789291882556E-2</v>
      </c>
      <c r="S12" s="170">
        <v>50000000</v>
      </c>
      <c r="T12" s="124">
        <v>17.447229551451187</v>
      </c>
      <c r="U12" s="1"/>
      <c r="V12" s="116">
        <v>100</v>
      </c>
      <c r="W12" s="122">
        <v>3.1481481481481478E-2</v>
      </c>
      <c r="X12" s="92">
        <v>1.9318181818181818E-2</v>
      </c>
      <c r="Y12" s="92">
        <v>1.9318181818181818E-2</v>
      </c>
      <c r="Z12" s="92">
        <v>2.2427440633245383E-2</v>
      </c>
      <c r="AA12" s="92">
        <v>2.2427440633245383E-2</v>
      </c>
      <c r="AB12" s="92">
        <v>2.2427440633245383E-2</v>
      </c>
      <c r="AC12" s="92">
        <v>2.2427440633245383E-2</v>
      </c>
      <c r="AD12" s="92">
        <v>2.2427440633245383E-2</v>
      </c>
      <c r="AE12" s="92">
        <v>2.2427440633245383E-2</v>
      </c>
      <c r="AF12" s="110">
        <v>2.2427440633245383E-2</v>
      </c>
      <c r="AG12" s="110">
        <v>2.2427440633245383E-2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1.0159425676250582E-3</v>
      </c>
      <c r="J13" s="45">
        <f t="shared" ref="J13:J20" si="2">F13/C$11</f>
        <v>2.0318851352501163E-2</v>
      </c>
      <c r="K13" s="67"/>
      <c r="L13" s="124">
        <v>500</v>
      </c>
      <c r="M13" s="108">
        <v>3.937007874015748E-2</v>
      </c>
      <c r="N13" s="170">
        <v>10000000</v>
      </c>
      <c r="O13" s="124">
        <v>500</v>
      </c>
      <c r="P13" s="26"/>
      <c r="Q13" s="125">
        <v>50</v>
      </c>
      <c r="R13" s="109">
        <v>3.4542314335060447E-3</v>
      </c>
      <c r="S13" s="171">
        <v>4000000</v>
      </c>
      <c r="T13" s="125">
        <v>17.447229551451187</v>
      </c>
      <c r="U13" s="1"/>
      <c r="V13" s="117">
        <v>500</v>
      </c>
      <c r="W13" s="123">
        <v>1.2962962962962963E-2</v>
      </c>
      <c r="X13" s="112">
        <v>7.9545454545454537E-3</v>
      </c>
      <c r="Y13" s="112">
        <v>7.9545454545454537E-3</v>
      </c>
      <c r="Z13" s="112">
        <v>9.2348284960422165E-3</v>
      </c>
      <c r="AA13" s="112">
        <v>9.2348284960422165E-3</v>
      </c>
      <c r="AB13" s="112">
        <v>9.2348284960422165E-3</v>
      </c>
      <c r="AC13" s="112">
        <v>9.2348284960422165E-3</v>
      </c>
      <c r="AD13" s="112">
        <v>9.2348284960422165E-3</v>
      </c>
      <c r="AE13" s="112">
        <v>9.2348284960422165E-3</v>
      </c>
      <c r="AF13" s="113">
        <v>9.2348284960422165E-3</v>
      </c>
      <c r="AG13" s="113">
        <v>9.2348284960422165E-3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9.5325111834086544E-4</v>
      </c>
      <c r="J14" s="50">
        <f t="shared" si="2"/>
        <v>2.3831277958521635E-2</v>
      </c>
      <c r="K14" s="34"/>
      <c r="L14" s="129" t="s">
        <v>112</v>
      </c>
      <c r="M14" s="109">
        <v>0.59055118110236215</v>
      </c>
      <c r="N14" s="171">
        <v>150000000</v>
      </c>
      <c r="O14" s="130">
        <f>T16</f>
        <v>136.12083818553836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7.3938395866642872E-4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108.57529814106596</v>
      </c>
      <c r="P15" s="1"/>
      <c r="Q15" s="1"/>
      <c r="R15" s="1"/>
      <c r="S15" s="1" t="s">
        <v>89</v>
      </c>
      <c r="T15" s="1">
        <f>SUMPRODUCT(Q3:Q13, R3:R13)</f>
        <v>7.8255613126079444</v>
      </c>
      <c r="U15" s="1"/>
      <c r="V15" s="1" t="s">
        <v>90</v>
      </c>
      <c r="W15" s="93">
        <f t="shared" ref="W15:AG15" si="3">SUMPRODUCT($V$3:$V$13,_xlfn.ANCHORARRAY(W3))</f>
        <v>24.37962962962963</v>
      </c>
      <c r="X15" s="93">
        <f t="shared" si="3"/>
        <v>16.66477272727273</v>
      </c>
      <c r="Y15" s="93">
        <f t="shared" si="3"/>
        <v>16.66477272727273</v>
      </c>
      <c r="Z15" s="93">
        <f t="shared" si="3"/>
        <v>17.447229551451187</v>
      </c>
      <c r="AA15" s="93">
        <f t="shared" si="3"/>
        <v>17.447229551451187</v>
      </c>
      <c r="AB15" s="93">
        <f t="shared" si="3"/>
        <v>17.447229551451187</v>
      </c>
      <c r="AC15" s="93">
        <f t="shared" si="3"/>
        <v>17.447229551451187</v>
      </c>
      <c r="AD15" s="93">
        <f t="shared" si="3"/>
        <v>17.447229551451187</v>
      </c>
      <c r="AE15" s="93">
        <f t="shared" si="3"/>
        <v>17.447229551451187</v>
      </c>
      <c r="AF15" s="93">
        <f t="shared" si="3"/>
        <v>17.447229551451187</v>
      </c>
      <c r="AG15" s="93">
        <f t="shared" si="3"/>
        <v>17.447229551451187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9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6.1677595022570917E-4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136.12083818553836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8.7341515928082063E-4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7.9803695408002594E-4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3.1871777216950248E-4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1.6089605492280757E-4</v>
      </c>
      <c r="J20" s="55">
        <f t="shared" si="2"/>
        <v>4.0224013730701891E-2</v>
      </c>
      <c r="K20" s="34"/>
      <c r="L20" s="295" t="s">
        <v>284</v>
      </c>
      <c r="M20" s="293" t="s">
        <v>282</v>
      </c>
      <c r="N20" s="294" t="s">
        <v>281</v>
      </c>
      <c r="O20" s="165" t="s">
        <v>283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275</v>
      </c>
      <c r="M21" s="287">
        <f ca="1">$I$1</f>
        <v>2.599158550446741E-2</v>
      </c>
      <c r="N21" s="288">
        <f>$O$15</f>
        <v>108.57529814106596</v>
      </c>
      <c r="O21" s="186" cm="1">
        <f t="array" aca="1" ref="O21:O25" ca="1">M21:M25*N21:N25</f>
        <v>2.8220441453065574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277</v>
      </c>
      <c r="M22" s="289">
        <f t="shared" ref="M22:M25" ca="1" si="4">$I$1</f>
        <v>2.599158550446741E-2</v>
      </c>
      <c r="N22" s="290">
        <f>$O$15+1*$O$15*_xlfn.BINOM.DIST(1,1,$I$4,FALSE)</f>
        <v>130.80762894742386</v>
      </c>
      <c r="O22" s="189">
        <f ca="1"/>
        <v>3.3998976724236138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32">
        <f>PRODUCT('Regular Symbol'!C96:E96)</f>
        <v>23976978049206</v>
      </c>
      <c r="D23" s="332"/>
      <c r="E23" s="332"/>
      <c r="F23" s="332"/>
      <c r="G23" s="332"/>
      <c r="H23" s="1"/>
      <c r="I23" s="33"/>
      <c r="J23" s="285"/>
      <c r="K23" s="34"/>
      <c r="L23" s="51" t="s">
        <v>278</v>
      </c>
      <c r="M23" s="289">
        <f t="shared" ca="1" si="4"/>
        <v>2.599158550446741E-2</v>
      </c>
      <c r="N23" s="290">
        <f>$O$15+1*$O$15*_xlfn.BINOM.DIST(1,2,$I$4,FALSE)+2*$O$15*_xlfn.BINOM.DIST(2,2,$I$4,FALSE)</f>
        <v>153.03995975378177</v>
      </c>
      <c r="O23" s="189">
        <f ca="1"/>
        <v>3.9777511995406702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279</v>
      </c>
      <c r="M24" s="289">
        <f t="shared" ca="1" si="4"/>
        <v>2.599158550446741E-2</v>
      </c>
      <c r="N24" s="290">
        <f>$O$15+1*$O$15*_xlfn.BINOM.DIST(1,3,$I$4,FALSE)+2*$O$15*_xlfn.BINOM.DIST(2,3,$I$4,FALSE)+3*$O$15*_xlfn.BINOM.DIST(3,3,$I$4,FALSE)</f>
        <v>175.27229056013974</v>
      </c>
      <c r="O24" s="189">
        <f ca="1"/>
        <v>4.5556047266577284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11445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11053</v>
      </c>
      <c r="F25" s="43">
        <f ca="1">C25*D25*E25</f>
        <v>396202964220</v>
      </c>
      <c r="G25" s="44">
        <f t="shared" ref="G25:G32" ca="1" si="5">C$11/F25</f>
        <v>60.516907278594417</v>
      </c>
      <c r="H25" s="43" cm="1">
        <f t="array" ref="H25:H32">_xlfn.ANCHORARRAY(H13)</f>
        <v>5</v>
      </c>
      <c r="I25" s="45">
        <f t="shared" ref="I25:I32" ca="1" si="6">J25*H25/$C$1</f>
        <v>8.2621538754155119E-4</v>
      </c>
      <c r="J25" s="45">
        <f t="shared" ref="J25:J32" ca="1" si="7">F25/C$11</f>
        <v>1.6524307750831024E-2</v>
      </c>
      <c r="K25" s="34"/>
      <c r="L25" s="68" t="s">
        <v>280</v>
      </c>
      <c r="M25" s="291">
        <f t="shared" ca="1" si="4"/>
        <v>2.599158550446741E-2</v>
      </c>
      <c r="N25" s="292">
        <f>$O$15+1*$O$15*_xlfn.BINOM.DIST(1,4,$I$4,FALSE)+2*$O$15*_xlfn.BINOM.DIST(2,4,$I$4,FALSE)+3*$O$15*_xlfn.BINOM.DIST(3,4,$I$4,FALSE)+4*$O$15*_xlfn.BINOM.DIST(4,4,$I$4,FALSE)</f>
        <v>197.50462136649759</v>
      </c>
      <c r="O25" s="192">
        <f ca="1"/>
        <v>5.1334582537747826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13845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13930</v>
      </c>
      <c r="F26" s="48">
        <f ca="1">C26*D26*E26-F25</f>
        <v>477842407980</v>
      </c>
      <c r="G26" s="49">
        <f t="shared" ca="1" si="5"/>
        <v>50.177585012943332</v>
      </c>
      <c r="H26" s="48">
        <v>4</v>
      </c>
      <c r="I26" s="50">
        <f t="shared" ca="1" si="6"/>
        <v>7.971686957369906E-4</v>
      </c>
      <c r="J26" s="50">
        <f t="shared" ca="1" si="7"/>
        <v>1.9929217393424764E-2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15247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14330</v>
      </c>
      <c r="F27" s="48">
        <f ca="1">C27*D27*E27-F25</f>
        <v>572142544100</v>
      </c>
      <c r="G27" s="49">
        <f t="shared" ca="1" si="5"/>
        <v>41.907350356059631</v>
      </c>
      <c r="H27" s="48">
        <v>3</v>
      </c>
      <c r="I27" s="50">
        <f t="shared" ca="1" si="6"/>
        <v>7.1586487203579836E-4</v>
      </c>
      <c r="J27" s="50">
        <f t="shared" ca="1" si="7"/>
        <v>2.3862162401193279E-2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14546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14430</v>
      </c>
      <c r="F28" s="48">
        <f ca="1">C28*D28*E28-F25</f>
        <v>555058306740</v>
      </c>
      <c r="G28" s="49">
        <f t="shared" ca="1" si="5"/>
        <v>43.197224071879852</v>
      </c>
      <c r="H28" s="48">
        <v>2.4</v>
      </c>
      <c r="I28" s="50">
        <f t="shared" ca="1" si="6"/>
        <v>5.5559125651370982E-4</v>
      </c>
      <c r="J28" s="50">
        <f t="shared" ca="1" si="7"/>
        <v>2.3149635688071241E-2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17450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14507</v>
      </c>
      <c r="F29" s="48">
        <f ca="1">C29*D29*E29-F25</f>
        <v>1028002901680</v>
      </c>
      <c r="G29" s="49">
        <f t="shared" ca="1" si="5"/>
        <v>23.323842773227533</v>
      </c>
      <c r="H29" s="48">
        <v>2</v>
      </c>
      <c r="I29" s="50">
        <f t="shared" ca="1" si="6"/>
        <v>8.5749163182308739E-4</v>
      </c>
      <c r="J29" s="50">
        <f t="shared" ca="1" si="7"/>
        <v>4.287458159115437E-2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15447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14907</v>
      </c>
      <c r="F30" s="48">
        <f ca="1">C30*D30*E30-F25</f>
        <v>842410915371</v>
      </c>
      <c r="G30" s="49">
        <f t="shared" ca="1" si="5"/>
        <v>28.462330688873465</v>
      </c>
      <c r="H30" s="48">
        <v>1.6</v>
      </c>
      <c r="I30" s="50">
        <f t="shared" ca="1" si="6"/>
        <v>5.6214651480578667E-4</v>
      </c>
      <c r="J30" s="50">
        <f t="shared" ca="1" si="7"/>
        <v>3.5134157175361662E-2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16148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14907</v>
      </c>
      <c r="F31" s="48">
        <f ca="1">C31*D31*E31-F25</f>
        <v>850476780024</v>
      </c>
      <c r="G31" s="49">
        <f t="shared" ca="1" si="5"/>
        <v>28.192395856509314</v>
      </c>
      <c r="H31" s="48">
        <v>1</v>
      </c>
      <c r="I31" s="50">
        <f t="shared" ca="1" si="6"/>
        <v>3.5470557560616513E-4</v>
      </c>
      <c r="J31" s="50">
        <f t="shared" ca="1" si="7"/>
        <v>3.5470557560616511E-2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14646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16638</v>
      </c>
      <c r="F32" s="53">
        <f ca="1">C32*D32*E32-F25</f>
        <v>999109563228</v>
      </c>
      <c r="G32" s="54">
        <f t="shared" ca="1" si="5"/>
        <v>23.998347059895348</v>
      </c>
      <c r="H32" s="53">
        <v>0.4</v>
      </c>
      <c r="I32" s="55">
        <f t="shared" ca="1" si="6"/>
        <v>1.6667814620801821E-4</v>
      </c>
      <c r="J32" s="55">
        <f t="shared" ca="1" si="7"/>
        <v>4.1669536552004546E-2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32">
        <f>PRODUCT('Regular Symbol'!C96:E96)</f>
        <v>23976978049206</v>
      </c>
      <c r="D35" s="332"/>
      <c r="E35" s="332"/>
      <c r="F35" s="332"/>
      <c r="G35" s="332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11844</v>
      </c>
      <c r="F37" s="43">
        <f ca="1">C37*D37*E37</f>
        <v>487184652864</v>
      </c>
      <c r="G37" s="44">
        <f t="shared" ref="G37:G44" ca="1" si="8">C$11/F37</f>
        <v>49.215380468685026</v>
      </c>
      <c r="H37" s="43" cm="1">
        <f t="array" ref="H37:H44">_xlfn.ANCHORARRAY(H25)</f>
        <v>5</v>
      </c>
      <c r="I37" s="45">
        <f t="shared" ref="I37:I44" ca="1" si="9">J37*H37/$C$1</f>
        <v>1.0159425676250582E-3</v>
      </c>
      <c r="J37" s="45">
        <f t="shared" ref="J37:J44" ca="1" si="10">F37/C$11</f>
        <v>2.0318851352501163E-2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14144</v>
      </c>
      <c r="F38" s="48">
        <f ca="1">C38*D38*E38-F37</f>
        <v>498831153600</v>
      </c>
      <c r="G38" s="49">
        <f t="shared" ca="1" si="8"/>
        <v>48.066320389509052</v>
      </c>
      <c r="H38" s="48">
        <v>4</v>
      </c>
      <c r="I38" s="50">
        <f t="shared" ca="1" si="9"/>
        <v>8.3218352634145871E-4</v>
      </c>
      <c r="J38" s="50">
        <f t="shared" ca="1" si="10"/>
        <v>2.0804588158536468E-2</v>
      </c>
    </row>
    <row r="39" spans="1:14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14544</v>
      </c>
      <c r="F39" s="48">
        <f ca="1">C39*D39*E39-F37</f>
        <v>665808923520</v>
      </c>
      <c r="G39" s="49">
        <f t="shared" ca="1" si="8"/>
        <v>36.011800386279688</v>
      </c>
      <c r="H39" s="48">
        <v>3</v>
      </c>
      <c r="I39" s="50">
        <f t="shared" ca="1" si="9"/>
        <v>8.3306026575194079E-4</v>
      </c>
      <c r="J39" s="50">
        <f t="shared" ca="1" si="10"/>
        <v>2.7768675525064693E-2</v>
      </c>
    </row>
    <row r="40" spans="1:14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15685</v>
      </c>
      <c r="F40" s="48">
        <f ca="1">C40*D40*E40-F37</f>
        <v>613715005496</v>
      </c>
      <c r="G40" s="49">
        <f t="shared" ca="1" si="8"/>
        <v>39.068586940982456</v>
      </c>
      <c r="H40" s="48">
        <v>2.4</v>
      </c>
      <c r="I40" s="50">
        <f t="shared" ca="1" si="9"/>
        <v>6.1430427561290433E-4</v>
      </c>
      <c r="J40" s="50">
        <f t="shared" ca="1" si="10"/>
        <v>2.5596011483871015E-2</v>
      </c>
    </row>
    <row r="41" spans="1:14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15185</v>
      </c>
      <c r="F41" s="48">
        <f ca="1">C41*D41*E41-F37</f>
        <v>1100187005746</v>
      </c>
      <c r="G41" s="49">
        <f t="shared" ca="1" si="8"/>
        <v>21.793547755045527</v>
      </c>
      <c r="H41" s="48">
        <v>2</v>
      </c>
      <c r="I41" s="50">
        <f t="shared" ca="1" si="9"/>
        <v>9.1770280932665968E-4</v>
      </c>
      <c r="J41" s="50">
        <f t="shared" ca="1" si="10"/>
        <v>4.5885140466332984E-2</v>
      </c>
    </row>
    <row r="42" spans="1:14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14544</v>
      </c>
      <c r="F42" s="48">
        <f ca="1">C42*D42*E42-F37</f>
        <v>663918494400</v>
      </c>
      <c r="G42" s="49">
        <f t="shared" ca="1" si="8"/>
        <v>36.114339714055717</v>
      </c>
      <c r="H42" s="48">
        <v>1.6</v>
      </c>
      <c r="I42" s="50">
        <f t="shared" ca="1" si="9"/>
        <v>4.4303731223342273E-4</v>
      </c>
      <c r="J42" s="50">
        <f t="shared" ca="1" si="10"/>
        <v>2.7689832014588918E-2</v>
      </c>
    </row>
    <row r="43" spans="1:14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16626</v>
      </c>
      <c r="F43" s="48">
        <f ca="1">C43*D43*E43-F37</f>
        <v>1060523469012</v>
      </c>
      <c r="G43" s="49">
        <f t="shared" ca="1" si="8"/>
        <v>22.608625598397481</v>
      </c>
      <c r="H43" s="48">
        <v>1</v>
      </c>
      <c r="I43" s="50">
        <f t="shared" ca="1" si="9"/>
        <v>4.4230906281666273E-4</v>
      </c>
      <c r="J43" s="50">
        <f t="shared" ca="1" si="10"/>
        <v>4.4230906281666274E-2</v>
      </c>
    </row>
    <row r="44" spans="1:14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17667</v>
      </c>
      <c r="F44" s="53">
        <f ca="1">C44*D44*E44-F37</f>
        <v>1167938101278</v>
      </c>
      <c r="G44" s="54">
        <f t="shared" ca="1" si="8"/>
        <v>20.529322592498289</v>
      </c>
      <c r="H44" s="53">
        <v>0.4</v>
      </c>
      <c r="I44" s="55">
        <f t="shared" ca="1" si="9"/>
        <v>1.9484325320415872E-4</v>
      </c>
      <c r="J44" s="55">
        <f t="shared" ca="1" si="10"/>
        <v>4.8710813301039678E-2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32">
        <f>PRODUCT('Regular Symbol'!C96:E96)</f>
        <v>23976978049206</v>
      </c>
      <c r="D47" s="332"/>
      <c r="E47" s="332"/>
      <c r="F47" s="332"/>
      <c r="G47" s="332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11445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11844</v>
      </c>
      <c r="F49" s="43">
        <f ca="1">C49*D49*E49</f>
        <v>454650061320</v>
      </c>
      <c r="G49" s="44">
        <f t="shared" ref="G49:G56" ca="1" si="11">C$11/F49</f>
        <v>52.737215034334049</v>
      </c>
      <c r="H49" s="43" cm="1">
        <f t="array" ref="H49:H56">_xlfn.ANCHORARRAY(H37)</f>
        <v>5</v>
      </c>
      <c r="I49" s="45">
        <f t="shared" ref="I49:I56" ca="1" si="12">J49*H49/$C$1</f>
        <v>9.4809708793776814E-4</v>
      </c>
      <c r="J49" s="45">
        <f t="shared" ref="J49:J56" ca="1" si="13">F49/C$11</f>
        <v>1.8961941758755364E-2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13845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14144</v>
      </c>
      <c r="F50" s="48">
        <f ca="1">C50*D50*E50-F49</f>
        <v>476295713400</v>
      </c>
      <c r="G50" s="49">
        <f t="shared" ca="1" si="11"/>
        <v>50.340528740114415</v>
      </c>
      <c r="H50" s="48">
        <v>4</v>
      </c>
      <c r="I50" s="50">
        <f t="shared" ca="1" si="12"/>
        <v>7.9458839629003631E-4</v>
      </c>
      <c r="J50" s="50">
        <f t="shared" ca="1" si="13"/>
        <v>1.9864709907250908E-2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15247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14544</v>
      </c>
      <c r="F51" s="48">
        <f ca="1">C51*D51*E51-F49</f>
        <v>577385459352</v>
      </c>
      <c r="G51" s="49">
        <f t="shared" ca="1" si="11"/>
        <v>41.526813086209991</v>
      </c>
      <c r="H51" s="48">
        <v>3</v>
      </c>
      <c r="I51" s="50">
        <f t="shared" ca="1" si="12"/>
        <v>7.2242480870660032E-4</v>
      </c>
      <c r="J51" s="50">
        <f t="shared" ca="1" si="13"/>
        <v>2.4080826956886677E-2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14546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15685</v>
      </c>
      <c r="F52" s="48">
        <f ca="1">C52*D52*E52-F49</f>
        <v>629994102220</v>
      </c>
      <c r="G52" s="49">
        <f t="shared" ca="1" si="11"/>
        <v>38.059051608126019</v>
      </c>
      <c r="H52" s="48">
        <v>2.4</v>
      </c>
      <c r="I52" s="50">
        <f t="shared" ca="1" si="12"/>
        <v>6.3059900302076194E-4</v>
      </c>
      <c r="J52" s="50">
        <f t="shared" ca="1" si="13"/>
        <v>2.627495845919842E-2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17450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15185</v>
      </c>
      <c r="F53" s="48">
        <f ca="1">C53*D53*E53-F49</f>
        <v>911047839180</v>
      </c>
      <c r="G53" s="49">
        <f t="shared" ca="1" si="11"/>
        <v>26.318023069772909</v>
      </c>
      <c r="H53" s="48">
        <v>2</v>
      </c>
      <c r="I53" s="50">
        <f t="shared" ca="1" si="12"/>
        <v>7.5993549921956867E-4</v>
      </c>
      <c r="J53" s="50">
        <f t="shared" ca="1" si="13"/>
        <v>3.7996774960978433E-2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15447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14544</v>
      </c>
      <c r="F54" s="48">
        <f ca="1">C54*D54*E54-F49</f>
        <v>865009639512</v>
      </c>
      <c r="G54" s="49">
        <f t="shared" ca="1" si="11"/>
        <v>27.718740871758083</v>
      </c>
      <c r="H54" s="48">
        <v>1.6</v>
      </c>
      <c r="I54" s="50">
        <f t="shared" ca="1" si="12"/>
        <v>5.7722679662920728E-4</v>
      </c>
      <c r="J54" s="50">
        <f t="shared" ca="1" si="13"/>
        <v>3.6076674789325455E-2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16148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16626</v>
      </c>
      <c r="F55" s="48">
        <f ca="1">C55*D55*E55-F49</f>
        <v>1068686439432</v>
      </c>
      <c r="G55" s="49">
        <f t="shared" ca="1" si="11"/>
        <v>22.435933651361395</v>
      </c>
      <c r="H55" s="48">
        <v>1</v>
      </c>
      <c r="I55" s="50">
        <f t="shared" ca="1" si="12"/>
        <v>4.4571356625460552E-4</v>
      </c>
      <c r="J55" s="50">
        <f t="shared" ca="1" si="13"/>
        <v>4.4571356625460551E-2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14646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17667</v>
      </c>
      <c r="F56" s="53">
        <f ca="1">C56*D56*E56-F49</f>
        <v>1065252619548</v>
      </c>
      <c r="G56" s="54">
        <f t="shared" ca="1" si="11"/>
        <v>22.508255421497797</v>
      </c>
      <c r="H56" s="53">
        <v>0.4</v>
      </c>
      <c r="I56" s="55">
        <f t="shared" ca="1" si="12"/>
        <v>1.7771257367994728E-4</v>
      </c>
      <c r="J56" s="55">
        <f t="shared" ca="1" si="13"/>
        <v>4.4428143419986819E-2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2">
        <f>PRODUCT('Regular Symbol'!C96:E96)</f>
        <v>23976978049206</v>
      </c>
      <c r="D59" s="332"/>
      <c r="E59" s="332"/>
      <c r="F59" s="332"/>
      <c r="G59" s="332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11445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11844</v>
      </c>
      <c r="F61" s="43">
        <f ca="1">C61*D61*E61</f>
        <v>454650061320</v>
      </c>
      <c r="G61" s="44">
        <f t="shared" ref="G61:G68" ca="1" si="14">C$11/F61</f>
        <v>52.737215034334049</v>
      </c>
      <c r="H61" s="43" cm="1">
        <f t="array" ref="H61:H68">_xlfn.ANCHORARRAY(H49)</f>
        <v>5</v>
      </c>
      <c r="I61" s="45">
        <f t="shared" ref="I61:I68" ca="1" si="15">J61*H61/$C$1</f>
        <v>9.4809708793776814E-4</v>
      </c>
      <c r="J61" s="45">
        <f t="shared" ref="J61:J68" ca="1" si="16">F61/C$11</f>
        <v>1.8961941758755364E-2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13845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15185</v>
      </c>
      <c r="F62" s="48">
        <f ca="1">C62*D62*E62-F61</f>
        <v>544813427730</v>
      </c>
      <c r="G62" s="49">
        <f t="shared" ca="1" si="14"/>
        <v>44.009521110938131</v>
      </c>
      <c r="H62" s="48">
        <v>4</v>
      </c>
      <c r="I62" s="50">
        <f t="shared" ca="1" si="15"/>
        <v>9.0889423448096539E-4</v>
      </c>
      <c r="J62" s="50">
        <f t="shared" ca="1" si="16"/>
        <v>2.2722355862024136E-2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15247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15585</v>
      </c>
      <c r="F63" s="48">
        <f ca="1">C63*D63*E63-F61</f>
        <v>651254338410</v>
      </c>
      <c r="G63" s="49">
        <f t="shared" ca="1" si="14"/>
        <v>36.816611629404896</v>
      </c>
      <c r="H63" s="48">
        <v>3</v>
      </c>
      <c r="I63" s="50">
        <f t="shared" ca="1" si="15"/>
        <v>8.148495657878367E-4</v>
      </c>
      <c r="J63" s="50">
        <f t="shared" ca="1" si="16"/>
        <v>2.716165219292789E-2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14546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14644</v>
      </c>
      <c r="F64" s="48">
        <f ca="1">C64*D64*E64-F61</f>
        <v>558007199176</v>
      </c>
      <c r="G64" s="49">
        <f t="shared" ca="1" si="14"/>
        <v>42.968940337351214</v>
      </c>
      <c r="H64" s="48">
        <v>2.4</v>
      </c>
      <c r="I64" s="50">
        <f t="shared" ca="1" si="15"/>
        <v>5.5854298038478137E-4</v>
      </c>
      <c r="J64" s="50">
        <f t="shared" ca="1" si="16"/>
        <v>2.3272624182699223E-2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17450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15185</v>
      </c>
      <c r="F65" s="48">
        <f ca="1">C65*D65*E65-F61</f>
        <v>1239620869180</v>
      </c>
      <c r="G65" s="49">
        <f t="shared" ca="1" si="14"/>
        <v>19.342186506642626</v>
      </c>
      <c r="H65" s="48">
        <v>2</v>
      </c>
      <c r="I65" s="50">
        <f t="shared" ca="1" si="15"/>
        <v>1.0340092622481674E-3</v>
      </c>
      <c r="J65" s="50">
        <f t="shared" ca="1" si="16"/>
        <v>5.1700463112408369E-2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15447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16626</v>
      </c>
      <c r="F66" s="48">
        <f ca="1">C66*D66*E66-F61</f>
        <v>894691791468</v>
      </c>
      <c r="G66" s="49">
        <f t="shared" ca="1" si="14"/>
        <v>26.799148352378253</v>
      </c>
      <c r="H66" s="48">
        <v>1.6</v>
      </c>
      <c r="I66" s="50">
        <f t="shared" ca="1" si="15"/>
        <v>5.9703389785444819E-4</v>
      </c>
      <c r="J66" s="50">
        <f t="shared" ca="1" si="16"/>
        <v>3.731461861590301E-2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16148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14544</v>
      </c>
      <c r="F67" s="48">
        <f ca="1">C67*D67*E67-F61</f>
        <v>732314750328</v>
      </c>
      <c r="G67" s="49">
        <f t="shared" ca="1" si="14"/>
        <v>32.741356142924658</v>
      </c>
      <c r="H67" s="48">
        <v>1</v>
      </c>
      <c r="I67" s="50">
        <f t="shared" ca="1" si="15"/>
        <v>3.0542412343420843E-4</v>
      </c>
      <c r="J67" s="50">
        <f t="shared" ca="1" si="16"/>
        <v>3.0542412343420845E-2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14646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16626</v>
      </c>
      <c r="F68" s="53">
        <f ca="1">C68*D68*E68-F61</f>
        <v>975694760784</v>
      </c>
      <c r="G68" s="54">
        <f t="shared" ca="1" si="14"/>
        <v>24.574261349871122</v>
      </c>
      <c r="H68" s="53">
        <v>0.4</v>
      </c>
      <c r="I68" s="55">
        <f t="shared" ca="1" si="15"/>
        <v>1.6277193210614967E-4</v>
      </c>
      <c r="J68" s="55">
        <f t="shared" ca="1" si="16"/>
        <v>4.069298302653742E-2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3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AC9AF-94D5-4562-AAF7-41F403F8BF9C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100</v>
      </c>
      <c r="D1" s="1"/>
      <c r="E1" s="1"/>
      <c r="F1" s="1"/>
      <c r="G1" s="1"/>
      <c r="H1" s="2" t="s">
        <v>79</v>
      </c>
      <c r="I1" s="20">
        <f ca="1">SUM(I12:I68)</f>
        <v>2.599158550446741E-2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33.793115760067892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24.37962962962963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276</v>
      </c>
      <c r="I4" s="180">
        <v>0.20476417</v>
      </c>
      <c r="K4" s="33"/>
      <c r="L4" s="124">
        <v>2</v>
      </c>
      <c r="M4" s="108">
        <v>0</v>
      </c>
      <c r="N4" s="170">
        <v>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24.37962962962963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285</v>
      </c>
      <c r="I5" s="20"/>
      <c r="J5" s="33"/>
      <c r="K5" s="33"/>
      <c r="L5" s="124">
        <v>3</v>
      </c>
      <c r="M5" s="108">
        <v>0</v>
      </c>
      <c r="N5" s="170">
        <v>0</v>
      </c>
      <c r="O5" s="124">
        <v>3</v>
      </c>
      <c r="P5" s="26"/>
      <c r="Q5" s="116">
        <v>4</v>
      </c>
      <c r="R5" s="108">
        <v>3.968253968253968E-3</v>
      </c>
      <c r="S5" s="173">
        <v>4000000</v>
      </c>
      <c r="T5" s="116">
        <v>24.37962962962963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0</v>
      </c>
      <c r="AA5" s="92">
        <v>0</v>
      </c>
      <c r="AB5" s="92">
        <v>0</v>
      </c>
      <c r="AC5" s="92">
        <v>0</v>
      </c>
      <c r="AD5" s="92">
        <v>0</v>
      </c>
      <c r="AE5" s="92">
        <v>0</v>
      </c>
      <c r="AF5" s="110">
        <v>0</v>
      </c>
      <c r="AG5" s="110">
        <v>0</v>
      </c>
      <c r="AH5" s="174">
        <v>0</v>
      </c>
      <c r="AI5" s="278">
        <v>0</v>
      </c>
      <c r="AJ5" s="278">
        <v>0</v>
      </c>
      <c r="AK5" s="278">
        <v>0</v>
      </c>
      <c r="AL5" s="278">
        <v>0</v>
      </c>
      <c r="AM5" s="278">
        <v>0</v>
      </c>
      <c r="AN5" s="278">
        <v>0</v>
      </c>
      <c r="AO5" s="278">
        <v>0</v>
      </c>
      <c r="AP5" s="278">
        <v>0</v>
      </c>
      <c r="AQ5" s="278">
        <v>0</v>
      </c>
      <c r="AR5" s="278">
        <v>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</v>
      </c>
      <c r="N6" s="170">
        <v>0</v>
      </c>
      <c r="O6" s="124">
        <v>5</v>
      </c>
      <c r="P6" s="26"/>
      <c r="Q6" s="116">
        <v>5</v>
      </c>
      <c r="R6" s="108">
        <v>0.14880952380952381</v>
      </c>
      <c r="S6" s="173">
        <v>150000000</v>
      </c>
      <c r="T6" s="116">
        <v>28.050239234449759</v>
      </c>
      <c r="U6" s="26"/>
      <c r="V6" s="116">
        <v>5</v>
      </c>
      <c r="W6" s="122">
        <v>0</v>
      </c>
      <c r="X6" s="92">
        <v>0</v>
      </c>
      <c r="Y6" s="92">
        <v>0</v>
      </c>
      <c r="Z6" s="92">
        <v>0</v>
      </c>
      <c r="AA6" s="92">
        <v>0</v>
      </c>
      <c r="AB6" s="92">
        <v>0</v>
      </c>
      <c r="AC6" s="92">
        <v>0</v>
      </c>
      <c r="AD6" s="92">
        <v>0</v>
      </c>
      <c r="AE6" s="92">
        <v>0</v>
      </c>
      <c r="AF6" s="110">
        <v>0</v>
      </c>
      <c r="AG6" s="110">
        <v>0</v>
      </c>
      <c r="AH6" s="174">
        <v>0</v>
      </c>
      <c r="AI6" s="278">
        <v>0</v>
      </c>
      <c r="AJ6" s="278">
        <v>0</v>
      </c>
      <c r="AK6" s="278">
        <v>0</v>
      </c>
      <c r="AL6" s="278">
        <v>0</v>
      </c>
      <c r="AM6" s="278">
        <v>0</v>
      </c>
      <c r="AN6" s="278">
        <v>0</v>
      </c>
      <c r="AO6" s="278">
        <v>0</v>
      </c>
      <c r="AP6" s="278">
        <v>0</v>
      </c>
      <c r="AQ6" s="281">
        <v>0</v>
      </c>
      <c r="AR6" s="281">
        <v>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6.3829787234042548E-2</v>
      </c>
      <c r="N7" s="170">
        <v>15000000</v>
      </c>
      <c r="O7" s="124">
        <v>10</v>
      </c>
      <c r="P7" s="26"/>
      <c r="Q7" s="116">
        <v>6</v>
      </c>
      <c r="R7" s="108">
        <v>0.14880952380952381</v>
      </c>
      <c r="S7" s="173">
        <v>150000000</v>
      </c>
      <c r="T7" s="116">
        <v>28.050239234449759</v>
      </c>
      <c r="U7" s="1"/>
      <c r="V7" s="116">
        <v>10</v>
      </c>
      <c r="W7" s="122">
        <v>0.44444444444444442</v>
      </c>
      <c r="X7" s="92">
        <v>0.44444444444444442</v>
      </c>
      <c r="Y7" s="92">
        <v>0.44444444444444442</v>
      </c>
      <c r="Z7" s="92">
        <v>0.43062200956937802</v>
      </c>
      <c r="AA7" s="92">
        <v>0.43062200956937802</v>
      </c>
      <c r="AB7" s="92">
        <v>0.43062200956937802</v>
      </c>
      <c r="AC7" s="92">
        <v>0.43062200956937802</v>
      </c>
      <c r="AD7" s="92">
        <v>0.43062200956937802</v>
      </c>
      <c r="AE7" s="92">
        <v>0.43062200956937802</v>
      </c>
      <c r="AF7" s="110">
        <v>0.43062200956937802</v>
      </c>
      <c r="AG7" s="110">
        <v>0.43062200956937802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6.3829787234042548E-2</v>
      </c>
      <c r="N8" s="170">
        <v>15000000</v>
      </c>
      <c r="O8" s="124">
        <v>15</v>
      </c>
      <c r="P8" s="26"/>
      <c r="Q8" s="116">
        <v>7</v>
      </c>
      <c r="R8" s="108">
        <v>0.14880952380952381</v>
      </c>
      <c r="S8" s="173">
        <v>150000000</v>
      </c>
      <c r="T8" s="116">
        <v>28.050239234449759</v>
      </c>
      <c r="U8" s="1"/>
      <c r="V8" s="116">
        <v>15</v>
      </c>
      <c r="W8" s="122">
        <v>0.33333333333333331</v>
      </c>
      <c r="X8" s="92">
        <v>0.33333333333333331</v>
      </c>
      <c r="Y8" s="92">
        <v>0.33333333333333331</v>
      </c>
      <c r="Z8" s="92">
        <v>0.23923444976076555</v>
      </c>
      <c r="AA8" s="92">
        <v>0.23923444976076555</v>
      </c>
      <c r="AB8" s="92">
        <v>0.23923444976076555</v>
      </c>
      <c r="AC8" s="92">
        <v>0.23923444976076555</v>
      </c>
      <c r="AD8" s="92">
        <v>0.23923444976076555</v>
      </c>
      <c r="AE8" s="92">
        <v>0.23923444976076555</v>
      </c>
      <c r="AF8" s="110">
        <v>0.23923444976076555</v>
      </c>
      <c r="AG8" s="110">
        <v>0.23923444976076555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6.3829787234042548E-2</v>
      </c>
      <c r="N9" s="170">
        <v>15000000</v>
      </c>
      <c r="O9" s="124">
        <v>20</v>
      </c>
      <c r="P9" s="26"/>
      <c r="Q9" s="116">
        <v>8</v>
      </c>
      <c r="R9" s="108">
        <v>0.14880952380952381</v>
      </c>
      <c r="S9" s="173">
        <v>150000000</v>
      </c>
      <c r="T9" s="116">
        <v>28.050239234449759</v>
      </c>
      <c r="U9" s="1"/>
      <c r="V9" s="116">
        <v>20</v>
      </c>
      <c r="W9" s="122">
        <v>7.7777777777777779E-2</v>
      </c>
      <c r="X9" s="92">
        <v>7.7777777777777779E-2</v>
      </c>
      <c r="Y9" s="92">
        <v>7.7777777777777779E-2</v>
      </c>
      <c r="Z9" s="92">
        <v>0.14354066985645933</v>
      </c>
      <c r="AA9" s="92">
        <v>0.14354066985645933</v>
      </c>
      <c r="AB9" s="92">
        <v>0.14354066985645933</v>
      </c>
      <c r="AC9" s="92">
        <v>0.14354066985645933</v>
      </c>
      <c r="AD9" s="92">
        <v>0.14354066985645933</v>
      </c>
      <c r="AE9" s="92">
        <v>0.14354066985645933</v>
      </c>
      <c r="AF9" s="110">
        <v>0.14354066985645933</v>
      </c>
      <c r="AG9" s="110">
        <v>0.14354066985645933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6.3829787234042548E-2</v>
      </c>
      <c r="N10" s="170">
        <v>15000000</v>
      </c>
      <c r="O10" s="124">
        <v>25</v>
      </c>
      <c r="P10" s="26"/>
      <c r="Q10" s="116">
        <v>9</v>
      </c>
      <c r="R10" s="108">
        <v>0.14880952380952381</v>
      </c>
      <c r="S10" s="173">
        <v>150000000</v>
      </c>
      <c r="T10" s="116">
        <v>28.050239234449759</v>
      </c>
      <c r="U10" s="1"/>
      <c r="V10" s="116">
        <v>25</v>
      </c>
      <c r="W10" s="122">
        <v>0.05</v>
      </c>
      <c r="X10" s="92">
        <v>0.05</v>
      </c>
      <c r="Y10" s="92">
        <v>0.05</v>
      </c>
      <c r="Z10" s="92">
        <v>6.4593301435406703E-2</v>
      </c>
      <c r="AA10" s="92">
        <v>6.4593301435406703E-2</v>
      </c>
      <c r="AB10" s="92">
        <v>6.4593301435406703E-2</v>
      </c>
      <c r="AC10" s="92">
        <v>6.4593301435406703E-2</v>
      </c>
      <c r="AD10" s="92">
        <v>6.4593301435406703E-2</v>
      </c>
      <c r="AE10" s="92">
        <v>6.4593301435406703E-2</v>
      </c>
      <c r="AF10" s="110">
        <v>6.4593301435406703E-2</v>
      </c>
      <c r="AG10" s="110">
        <v>6.4593301435406703E-2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32">
        <f>PRODUCT('Regular Symbol'!C96:E96)</f>
        <v>23976978049206</v>
      </c>
      <c r="D11" s="332"/>
      <c r="E11" s="332"/>
      <c r="F11" s="332"/>
      <c r="G11" s="332"/>
      <c r="H11" s="1"/>
      <c r="I11" s="33"/>
      <c r="J11" s="285"/>
      <c r="K11" s="33"/>
      <c r="L11" s="124">
        <v>50</v>
      </c>
      <c r="M11" s="108">
        <v>6.3829787234042548E-2</v>
      </c>
      <c r="N11" s="170">
        <v>15000000</v>
      </c>
      <c r="O11" s="124">
        <v>50</v>
      </c>
      <c r="P11" s="26"/>
      <c r="Q11" s="116">
        <v>10</v>
      </c>
      <c r="R11" s="108">
        <v>0.1984126984126984</v>
      </c>
      <c r="S11" s="173">
        <v>200000000</v>
      </c>
      <c r="T11" s="116">
        <v>28.050239234449759</v>
      </c>
      <c r="U11" s="1"/>
      <c r="V11" s="116">
        <v>50</v>
      </c>
      <c r="W11" s="122">
        <v>0.05</v>
      </c>
      <c r="X11" s="92">
        <v>0.05</v>
      </c>
      <c r="Y11" s="92">
        <v>0.05</v>
      </c>
      <c r="Z11" s="92">
        <v>6.4593301435406703E-2</v>
      </c>
      <c r="AA11" s="92">
        <v>6.4593301435406703E-2</v>
      </c>
      <c r="AB11" s="92">
        <v>6.4593301435406703E-2</v>
      </c>
      <c r="AC11" s="92">
        <v>6.4593301435406703E-2</v>
      </c>
      <c r="AD11" s="92">
        <v>6.4593301435406703E-2</v>
      </c>
      <c r="AE11" s="92">
        <v>6.4593301435406703E-2</v>
      </c>
      <c r="AF11" s="110">
        <v>6.4593301435406703E-2</v>
      </c>
      <c r="AG11" s="110">
        <v>6.4593301435406703E-2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0.1276595744680851</v>
      </c>
      <c r="N12" s="170">
        <v>30000000</v>
      </c>
      <c r="O12" s="124">
        <v>100</v>
      </c>
      <c r="P12" s="26"/>
      <c r="Q12" s="124">
        <v>20</v>
      </c>
      <c r="R12" s="108">
        <v>4.96031746031746E-2</v>
      </c>
      <c r="S12" s="170">
        <v>50000000</v>
      </c>
      <c r="T12" s="124">
        <v>28.050239234449759</v>
      </c>
      <c r="U12" s="1"/>
      <c r="V12" s="116">
        <v>100</v>
      </c>
      <c r="W12" s="122">
        <v>3.1481481481481478E-2</v>
      </c>
      <c r="X12" s="92">
        <v>3.1481481481481478E-2</v>
      </c>
      <c r="Y12" s="92">
        <v>3.1481481481481478E-2</v>
      </c>
      <c r="Z12" s="92">
        <v>4.0669856459330141E-2</v>
      </c>
      <c r="AA12" s="92">
        <v>4.0669856459330141E-2</v>
      </c>
      <c r="AB12" s="92">
        <v>4.0669856459330141E-2</v>
      </c>
      <c r="AC12" s="92">
        <v>4.0669856459330141E-2</v>
      </c>
      <c r="AD12" s="92">
        <v>4.0669856459330141E-2</v>
      </c>
      <c r="AE12" s="92">
        <v>4.0669856459330141E-2</v>
      </c>
      <c r="AF12" s="110">
        <v>4.0669856459330141E-2</v>
      </c>
      <c r="AG12" s="110">
        <v>4.0669856459330141E-2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1.0159425676250582E-3</v>
      </c>
      <c r="J13" s="45">
        <f t="shared" ref="J13:J20" si="2">F13/C$11</f>
        <v>2.0318851352501163E-2</v>
      </c>
      <c r="K13" s="67"/>
      <c r="L13" s="124">
        <v>500</v>
      </c>
      <c r="M13" s="108">
        <v>0.1276595744680851</v>
      </c>
      <c r="N13" s="170">
        <v>30000000</v>
      </c>
      <c r="O13" s="124">
        <v>500</v>
      </c>
      <c r="P13" s="26"/>
      <c r="Q13" s="125">
        <v>50</v>
      </c>
      <c r="R13" s="109">
        <v>3.968253968253968E-3</v>
      </c>
      <c r="S13" s="171">
        <v>4000000</v>
      </c>
      <c r="T13" s="125">
        <v>28.050239234449759</v>
      </c>
      <c r="U13" s="1"/>
      <c r="V13" s="117">
        <v>500</v>
      </c>
      <c r="W13" s="123">
        <v>1.2962962962962963E-2</v>
      </c>
      <c r="X13" s="112">
        <v>1.2962962962962963E-2</v>
      </c>
      <c r="Y13" s="112">
        <v>1.2962962962962963E-2</v>
      </c>
      <c r="Z13" s="112">
        <v>1.6746411483253589E-2</v>
      </c>
      <c r="AA13" s="112">
        <v>1.6746411483253589E-2</v>
      </c>
      <c r="AB13" s="112">
        <v>1.6746411483253589E-2</v>
      </c>
      <c r="AC13" s="112">
        <v>1.6746411483253589E-2</v>
      </c>
      <c r="AD13" s="112">
        <v>1.6746411483253589E-2</v>
      </c>
      <c r="AE13" s="112">
        <v>1.6746411483253589E-2</v>
      </c>
      <c r="AF13" s="113">
        <v>1.6746411483253589E-2</v>
      </c>
      <c r="AG13" s="113">
        <v>1.6746411483253589E-2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9.5325111834086544E-4</v>
      </c>
      <c r="J14" s="50">
        <f t="shared" si="2"/>
        <v>2.3831277958521635E-2</v>
      </c>
      <c r="K14" s="34"/>
      <c r="L14" s="129" t="s">
        <v>112</v>
      </c>
      <c r="M14" s="109">
        <v>0.42553191489361702</v>
      </c>
      <c r="N14" s="171">
        <v>100000000</v>
      </c>
      <c r="O14" s="130">
        <f>T16</f>
        <v>235.53035278291125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7.3938395866642872E-4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184.48100118421755</v>
      </c>
      <c r="P15" s="1"/>
      <c r="Q15" s="1"/>
      <c r="R15" s="1"/>
      <c r="S15" s="1" t="s">
        <v>89</v>
      </c>
      <c r="T15" s="1">
        <f>SUMPRODUCT(Q3:Q13, R3:R13)</f>
        <v>8.3988095238095237</v>
      </c>
      <c r="U15" s="1"/>
      <c r="V15" s="1" t="s">
        <v>90</v>
      </c>
      <c r="W15" s="93">
        <f t="shared" ref="W15:AG15" si="3">SUMPRODUCT($V$3:$V$13,_xlfn.ANCHORARRAY(W3))</f>
        <v>24.37962962962963</v>
      </c>
      <c r="X15" s="93">
        <f t="shared" si="3"/>
        <v>24.37962962962963</v>
      </c>
      <c r="Y15" s="93">
        <f t="shared" si="3"/>
        <v>24.37962962962963</v>
      </c>
      <c r="Z15" s="93">
        <f t="shared" si="3"/>
        <v>28.050239234449759</v>
      </c>
      <c r="AA15" s="93">
        <f t="shared" si="3"/>
        <v>28.050239234449759</v>
      </c>
      <c r="AB15" s="93">
        <f t="shared" si="3"/>
        <v>28.050239234449759</v>
      </c>
      <c r="AC15" s="93">
        <f t="shared" si="3"/>
        <v>28.050239234449759</v>
      </c>
      <c r="AD15" s="93">
        <f t="shared" si="3"/>
        <v>28.050239234449759</v>
      </c>
      <c r="AE15" s="93">
        <f t="shared" si="3"/>
        <v>28.050239234449759</v>
      </c>
      <c r="AF15" s="93">
        <f t="shared" si="3"/>
        <v>28.050239234449759</v>
      </c>
      <c r="AG15" s="93">
        <f t="shared" si="3"/>
        <v>28.050239234449759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30</v>
      </c>
      <c r="AJ15" s="1" cm="1">
        <f t="array" ref="AJ15">AJ2*SMALL(_xlfn.UNIQUE($V$3:$V$13*--(AJ3:AJ13&gt;0)),2)</f>
        <v>40</v>
      </c>
      <c r="AK15" s="1" cm="1">
        <f t="array" ref="AK15">AK2*SMALL(_xlfn.UNIQUE($V$3:$V$13*--(AK3:AK13&gt;0)),2)</f>
        <v>50</v>
      </c>
      <c r="AL15" s="1" cm="1">
        <f t="array" ref="AL15">AL2*SMALL(_xlfn.UNIQUE($V$3:$V$13*--(AL3:AL13&gt;0)),2)</f>
        <v>60</v>
      </c>
      <c r="AM15" s="1" cm="1">
        <f t="array" ref="AM15">AM2*SMALL(_xlfn.UNIQUE($V$3:$V$13*--(AM3:AM13&gt;0)),2)</f>
        <v>70</v>
      </c>
      <c r="AN15" s="1" cm="1">
        <f t="array" ref="AN15">AN2*SMALL(_xlfn.UNIQUE($V$3:$V$13*--(AN3:AN13&gt;0)),2)</f>
        <v>80</v>
      </c>
      <c r="AO15" s="1" cm="1">
        <f t="array" ref="AO15">AO2*SMALL(_xlfn.UNIQUE($V$3:$V$13*--(AO3:AO13&gt;0)),2)</f>
        <v>90</v>
      </c>
      <c r="AP15" s="1" cm="1">
        <f t="array" ref="AP15">AP2*SMALL(_xlfn.UNIQUE($V$3:$V$13*--(AP3:AP13&gt;0)),2)</f>
        <v>100</v>
      </c>
      <c r="AQ15" s="1" cm="1">
        <f t="array" ref="AQ15">AQ2*SMALL(_xlfn.UNIQUE($V$3:$V$13*--(AQ3:AQ13&gt;0)),2)</f>
        <v>200</v>
      </c>
      <c r="AR15" s="1" cm="1">
        <f t="array" ref="AR15">AR2*SMALL(_xlfn.UNIQUE($V$3:$V$13*--(AR3:AR13&gt;0)),2)</f>
        <v>500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6.1677595022570917E-4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235.53035278291125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8.7341515928082063E-4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7.9803695408002594E-4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3.1871777216950248E-4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1.6089605492280757E-4</v>
      </c>
      <c r="J20" s="55">
        <f t="shared" si="2"/>
        <v>4.0224013730701891E-2</v>
      </c>
      <c r="K20" s="34"/>
      <c r="L20" s="295" t="s">
        <v>284</v>
      </c>
      <c r="M20" s="293" t="s">
        <v>282</v>
      </c>
      <c r="N20" s="294" t="s">
        <v>281</v>
      </c>
      <c r="O20" s="165" t="s">
        <v>283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275</v>
      </c>
      <c r="M21" s="287">
        <f ca="1">$I$1</f>
        <v>2.599158550446741E-2</v>
      </c>
      <c r="N21" s="288">
        <f>$O$15</f>
        <v>184.48100118421755</v>
      </c>
      <c r="O21" s="186" cm="1">
        <f t="array" aca="1" ref="O21:O25" ca="1">M21:M25*N21:N25</f>
        <v>4.7949537162293439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277</v>
      </c>
      <c r="M22" s="289">
        <f t="shared" ref="M22:M25" ca="1" si="4">$I$1</f>
        <v>2.599158550446741E-2</v>
      </c>
      <c r="N22" s="290">
        <f>$O$15+1*$O$15*_xlfn.BINOM.DIST(1,1,$I$4,FALSE)</f>
        <v>222.25610027247288</v>
      </c>
      <c r="O22" s="189">
        <f ca="1"/>
        <v>5.7767884341214613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32">
        <f>PRODUCT('Regular Symbol'!C96:E96)</f>
        <v>23976978049206</v>
      </c>
      <c r="D23" s="332"/>
      <c r="E23" s="332"/>
      <c r="F23" s="332"/>
      <c r="G23" s="332"/>
      <c r="H23" s="1"/>
      <c r="I23" s="33"/>
      <c r="J23" s="285"/>
      <c r="K23" s="34"/>
      <c r="L23" s="51" t="s">
        <v>278</v>
      </c>
      <c r="M23" s="289">
        <f t="shared" ca="1" si="4"/>
        <v>2.599158550446741E-2</v>
      </c>
      <c r="N23" s="290">
        <f>$O$15+1*$O$15*_xlfn.BINOM.DIST(1,2,$I$4,FALSE)+2*$O$15*_xlfn.BINOM.DIST(2,2,$I$4,FALSE)</f>
        <v>260.03119936072818</v>
      </c>
      <c r="O23" s="189">
        <f ca="1"/>
        <v>6.7586231520135778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279</v>
      </c>
      <c r="M24" s="289">
        <f t="shared" ca="1" si="4"/>
        <v>2.599158550446741E-2</v>
      </c>
      <c r="N24" s="290">
        <f>$O$15+1*$O$15*_xlfn.BINOM.DIST(1,3,$I$4,FALSE)+2*$O$15*_xlfn.BINOM.DIST(2,3,$I$4,FALSE)+3*$O$15*_xlfn.BINOM.DIST(3,3,$I$4,FALSE)</f>
        <v>297.80629844898357</v>
      </c>
      <c r="O24" s="189">
        <f ca="1"/>
        <v>7.740457869905697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11445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11053</v>
      </c>
      <c r="F25" s="43">
        <f ca="1">C25*D25*E25</f>
        <v>396202964220</v>
      </c>
      <c r="G25" s="44">
        <f t="shared" ref="G25:G32" ca="1" si="5">C$11/F25</f>
        <v>60.516907278594417</v>
      </c>
      <c r="H25" s="43" cm="1">
        <f t="array" ref="H25:H32">_xlfn.ANCHORARRAY(H13)</f>
        <v>5</v>
      </c>
      <c r="I25" s="45">
        <f t="shared" ref="I25:I32" ca="1" si="6">J25*H25/$C$1</f>
        <v>8.2621538754155119E-4</v>
      </c>
      <c r="J25" s="45">
        <f t="shared" ref="J25:J32" ca="1" si="7">F25/C$11</f>
        <v>1.6524307750831024E-2</v>
      </c>
      <c r="K25" s="34"/>
      <c r="L25" s="68" t="s">
        <v>280</v>
      </c>
      <c r="M25" s="291">
        <f t="shared" ca="1" si="4"/>
        <v>2.599158550446741E-2</v>
      </c>
      <c r="N25" s="292">
        <f>$O$15+1*$O$15*_xlfn.BINOM.DIST(1,4,$I$4,FALSE)+2*$O$15*_xlfn.BINOM.DIST(2,4,$I$4,FALSE)+3*$O$15*_xlfn.BINOM.DIST(3,4,$I$4,FALSE)+4*$O$15*_xlfn.BINOM.DIST(4,4,$I$4,FALSE)</f>
        <v>335.58139753723879</v>
      </c>
      <c r="O25" s="192">
        <f ca="1"/>
        <v>8.7222925877978117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13845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13930</v>
      </c>
      <c r="F26" s="48">
        <f ca="1">C26*D26*E26-F25</f>
        <v>477842407980</v>
      </c>
      <c r="G26" s="49">
        <f t="shared" ca="1" si="5"/>
        <v>50.177585012943332</v>
      </c>
      <c r="H26" s="48">
        <v>4</v>
      </c>
      <c r="I26" s="50">
        <f t="shared" ca="1" si="6"/>
        <v>7.971686957369906E-4</v>
      </c>
      <c r="J26" s="50">
        <f t="shared" ca="1" si="7"/>
        <v>1.9929217393424764E-2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15247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14330</v>
      </c>
      <c r="F27" s="48">
        <f ca="1">C27*D27*E27-F25</f>
        <v>572142544100</v>
      </c>
      <c r="G27" s="49">
        <f t="shared" ca="1" si="5"/>
        <v>41.907350356059631</v>
      </c>
      <c r="H27" s="48">
        <v>3</v>
      </c>
      <c r="I27" s="50">
        <f t="shared" ca="1" si="6"/>
        <v>7.1586487203579836E-4</v>
      </c>
      <c r="J27" s="50">
        <f t="shared" ca="1" si="7"/>
        <v>2.3862162401193279E-2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14546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14430</v>
      </c>
      <c r="F28" s="48">
        <f ca="1">C28*D28*E28-F25</f>
        <v>555058306740</v>
      </c>
      <c r="G28" s="49">
        <f t="shared" ca="1" si="5"/>
        <v>43.197224071879852</v>
      </c>
      <c r="H28" s="48">
        <v>2.4</v>
      </c>
      <c r="I28" s="50">
        <f t="shared" ca="1" si="6"/>
        <v>5.5559125651370982E-4</v>
      </c>
      <c r="J28" s="50">
        <f t="shared" ca="1" si="7"/>
        <v>2.3149635688071241E-2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17450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14507</v>
      </c>
      <c r="F29" s="48">
        <f ca="1">C29*D29*E29-F25</f>
        <v>1028002901680</v>
      </c>
      <c r="G29" s="49">
        <f t="shared" ca="1" si="5"/>
        <v>23.323842773227533</v>
      </c>
      <c r="H29" s="48">
        <v>2</v>
      </c>
      <c r="I29" s="50">
        <f t="shared" ca="1" si="6"/>
        <v>8.5749163182308739E-4</v>
      </c>
      <c r="J29" s="50">
        <f t="shared" ca="1" si="7"/>
        <v>4.287458159115437E-2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15447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14907</v>
      </c>
      <c r="F30" s="48">
        <f ca="1">C30*D30*E30-F25</f>
        <v>842410915371</v>
      </c>
      <c r="G30" s="49">
        <f t="shared" ca="1" si="5"/>
        <v>28.462330688873465</v>
      </c>
      <c r="H30" s="48">
        <v>1.6</v>
      </c>
      <c r="I30" s="50">
        <f t="shared" ca="1" si="6"/>
        <v>5.6214651480578667E-4</v>
      </c>
      <c r="J30" s="50">
        <f t="shared" ca="1" si="7"/>
        <v>3.5134157175361662E-2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16148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14907</v>
      </c>
      <c r="F31" s="48">
        <f ca="1">C31*D31*E31-F25</f>
        <v>850476780024</v>
      </c>
      <c r="G31" s="49">
        <f t="shared" ca="1" si="5"/>
        <v>28.192395856509314</v>
      </c>
      <c r="H31" s="48">
        <v>1</v>
      </c>
      <c r="I31" s="50">
        <f t="shared" ca="1" si="6"/>
        <v>3.5470557560616513E-4</v>
      </c>
      <c r="J31" s="50">
        <f t="shared" ca="1" si="7"/>
        <v>3.5470557560616511E-2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14646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16638</v>
      </c>
      <c r="F32" s="53">
        <f ca="1">C32*D32*E32-F25</f>
        <v>999109563228</v>
      </c>
      <c r="G32" s="54">
        <f t="shared" ca="1" si="5"/>
        <v>23.998347059895348</v>
      </c>
      <c r="H32" s="53">
        <v>0.4</v>
      </c>
      <c r="I32" s="55">
        <f t="shared" ca="1" si="6"/>
        <v>1.6667814620801821E-4</v>
      </c>
      <c r="J32" s="55">
        <f t="shared" ca="1" si="7"/>
        <v>4.1669536552004546E-2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32">
        <f>PRODUCT('Regular Symbol'!C96:E96)</f>
        <v>23976978049206</v>
      </c>
      <c r="D35" s="332"/>
      <c r="E35" s="332"/>
      <c r="F35" s="332"/>
      <c r="G35" s="332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11844</v>
      </c>
      <c r="F37" s="43">
        <f ca="1">C37*D37*E37</f>
        <v>487184652864</v>
      </c>
      <c r="G37" s="44">
        <f t="shared" ref="G37:G44" ca="1" si="8">C$11/F37</f>
        <v>49.215380468685026</v>
      </c>
      <c r="H37" s="43" cm="1">
        <f t="array" ref="H37:H44">_xlfn.ANCHORARRAY(H25)</f>
        <v>5</v>
      </c>
      <c r="I37" s="45">
        <f t="shared" ref="I37:I44" ca="1" si="9">J37*H37/$C$1</f>
        <v>1.0159425676250582E-3</v>
      </c>
      <c r="J37" s="45">
        <f t="shared" ref="J37:J44" ca="1" si="10">F37/C$11</f>
        <v>2.0318851352501163E-2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14144</v>
      </c>
      <c r="F38" s="48">
        <f ca="1">C38*D38*E38-F37</f>
        <v>498831153600</v>
      </c>
      <c r="G38" s="49">
        <f t="shared" ca="1" si="8"/>
        <v>48.066320389509052</v>
      </c>
      <c r="H38" s="48">
        <v>4</v>
      </c>
      <c r="I38" s="50">
        <f t="shared" ca="1" si="9"/>
        <v>8.3218352634145871E-4</v>
      </c>
      <c r="J38" s="50">
        <f t="shared" ca="1" si="10"/>
        <v>2.0804588158536468E-2</v>
      </c>
    </row>
    <row r="39" spans="1:14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14544</v>
      </c>
      <c r="F39" s="48">
        <f ca="1">C39*D39*E39-F37</f>
        <v>665808923520</v>
      </c>
      <c r="G39" s="49">
        <f t="shared" ca="1" si="8"/>
        <v>36.011800386279688</v>
      </c>
      <c r="H39" s="48">
        <v>3</v>
      </c>
      <c r="I39" s="50">
        <f t="shared" ca="1" si="9"/>
        <v>8.3306026575194079E-4</v>
      </c>
      <c r="J39" s="50">
        <f t="shared" ca="1" si="10"/>
        <v>2.7768675525064693E-2</v>
      </c>
    </row>
    <row r="40" spans="1:14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15685</v>
      </c>
      <c r="F40" s="48">
        <f ca="1">C40*D40*E40-F37</f>
        <v>613715005496</v>
      </c>
      <c r="G40" s="49">
        <f t="shared" ca="1" si="8"/>
        <v>39.068586940982456</v>
      </c>
      <c r="H40" s="48">
        <v>2.4</v>
      </c>
      <c r="I40" s="50">
        <f t="shared" ca="1" si="9"/>
        <v>6.1430427561290433E-4</v>
      </c>
      <c r="J40" s="50">
        <f t="shared" ca="1" si="10"/>
        <v>2.5596011483871015E-2</v>
      </c>
    </row>
    <row r="41" spans="1:14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15185</v>
      </c>
      <c r="F41" s="48">
        <f ca="1">C41*D41*E41-F37</f>
        <v>1100187005746</v>
      </c>
      <c r="G41" s="49">
        <f t="shared" ca="1" si="8"/>
        <v>21.793547755045527</v>
      </c>
      <c r="H41" s="48">
        <v>2</v>
      </c>
      <c r="I41" s="50">
        <f t="shared" ca="1" si="9"/>
        <v>9.1770280932665968E-4</v>
      </c>
      <c r="J41" s="50">
        <f t="shared" ca="1" si="10"/>
        <v>4.5885140466332984E-2</v>
      </c>
    </row>
    <row r="42" spans="1:14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14544</v>
      </c>
      <c r="F42" s="48">
        <f ca="1">C42*D42*E42-F37</f>
        <v>663918494400</v>
      </c>
      <c r="G42" s="49">
        <f t="shared" ca="1" si="8"/>
        <v>36.114339714055717</v>
      </c>
      <c r="H42" s="48">
        <v>1.6</v>
      </c>
      <c r="I42" s="50">
        <f t="shared" ca="1" si="9"/>
        <v>4.4303731223342273E-4</v>
      </c>
      <c r="J42" s="50">
        <f t="shared" ca="1" si="10"/>
        <v>2.7689832014588918E-2</v>
      </c>
    </row>
    <row r="43" spans="1:14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16626</v>
      </c>
      <c r="F43" s="48">
        <f ca="1">C43*D43*E43-F37</f>
        <v>1060523469012</v>
      </c>
      <c r="G43" s="49">
        <f t="shared" ca="1" si="8"/>
        <v>22.608625598397481</v>
      </c>
      <c r="H43" s="48">
        <v>1</v>
      </c>
      <c r="I43" s="50">
        <f t="shared" ca="1" si="9"/>
        <v>4.4230906281666273E-4</v>
      </c>
      <c r="J43" s="50">
        <f t="shared" ca="1" si="10"/>
        <v>4.4230906281666274E-2</v>
      </c>
    </row>
    <row r="44" spans="1:14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17667</v>
      </c>
      <c r="F44" s="53">
        <f ca="1">C44*D44*E44-F37</f>
        <v>1167938101278</v>
      </c>
      <c r="G44" s="54">
        <f t="shared" ca="1" si="8"/>
        <v>20.529322592498289</v>
      </c>
      <c r="H44" s="53">
        <v>0.4</v>
      </c>
      <c r="I44" s="55">
        <f t="shared" ca="1" si="9"/>
        <v>1.9484325320415872E-4</v>
      </c>
      <c r="J44" s="55">
        <f t="shared" ca="1" si="10"/>
        <v>4.8710813301039678E-2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32">
        <f>PRODUCT('Regular Symbol'!C96:E96)</f>
        <v>23976978049206</v>
      </c>
      <c r="D47" s="332"/>
      <c r="E47" s="332"/>
      <c r="F47" s="332"/>
      <c r="G47" s="332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11445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11844</v>
      </c>
      <c r="F49" s="43">
        <f ca="1">C49*D49*E49</f>
        <v>454650061320</v>
      </c>
      <c r="G49" s="44">
        <f t="shared" ref="G49:G56" ca="1" si="11">C$11/F49</f>
        <v>52.737215034334049</v>
      </c>
      <c r="H49" s="43" cm="1">
        <f t="array" ref="H49:H56">_xlfn.ANCHORARRAY(H37)</f>
        <v>5</v>
      </c>
      <c r="I49" s="45">
        <f t="shared" ref="I49:I56" ca="1" si="12">J49*H49/$C$1</f>
        <v>9.4809708793776814E-4</v>
      </c>
      <c r="J49" s="45">
        <f t="shared" ref="J49:J56" ca="1" si="13">F49/C$11</f>
        <v>1.8961941758755364E-2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13845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14144</v>
      </c>
      <c r="F50" s="48">
        <f ca="1">C50*D50*E50-F49</f>
        <v>476295713400</v>
      </c>
      <c r="G50" s="49">
        <f t="shared" ca="1" si="11"/>
        <v>50.340528740114415</v>
      </c>
      <c r="H50" s="48">
        <v>4</v>
      </c>
      <c r="I50" s="50">
        <f t="shared" ca="1" si="12"/>
        <v>7.9458839629003631E-4</v>
      </c>
      <c r="J50" s="50">
        <f t="shared" ca="1" si="13"/>
        <v>1.9864709907250908E-2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15247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14544</v>
      </c>
      <c r="F51" s="48">
        <f ca="1">C51*D51*E51-F49</f>
        <v>577385459352</v>
      </c>
      <c r="G51" s="49">
        <f t="shared" ca="1" si="11"/>
        <v>41.526813086209991</v>
      </c>
      <c r="H51" s="48">
        <v>3</v>
      </c>
      <c r="I51" s="50">
        <f t="shared" ca="1" si="12"/>
        <v>7.2242480870660032E-4</v>
      </c>
      <c r="J51" s="50">
        <f t="shared" ca="1" si="13"/>
        <v>2.4080826956886677E-2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14546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15685</v>
      </c>
      <c r="F52" s="48">
        <f ca="1">C52*D52*E52-F49</f>
        <v>629994102220</v>
      </c>
      <c r="G52" s="49">
        <f t="shared" ca="1" si="11"/>
        <v>38.059051608126019</v>
      </c>
      <c r="H52" s="48">
        <v>2.4</v>
      </c>
      <c r="I52" s="50">
        <f t="shared" ca="1" si="12"/>
        <v>6.3059900302076194E-4</v>
      </c>
      <c r="J52" s="50">
        <f t="shared" ca="1" si="13"/>
        <v>2.627495845919842E-2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17450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15185</v>
      </c>
      <c r="F53" s="48">
        <f ca="1">C53*D53*E53-F49</f>
        <v>911047839180</v>
      </c>
      <c r="G53" s="49">
        <f t="shared" ca="1" si="11"/>
        <v>26.318023069772909</v>
      </c>
      <c r="H53" s="48">
        <v>2</v>
      </c>
      <c r="I53" s="50">
        <f t="shared" ca="1" si="12"/>
        <v>7.5993549921956867E-4</v>
      </c>
      <c r="J53" s="50">
        <f t="shared" ca="1" si="13"/>
        <v>3.7996774960978433E-2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15447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14544</v>
      </c>
      <c r="F54" s="48">
        <f ca="1">C54*D54*E54-F49</f>
        <v>865009639512</v>
      </c>
      <c r="G54" s="49">
        <f t="shared" ca="1" si="11"/>
        <v>27.718740871758083</v>
      </c>
      <c r="H54" s="48">
        <v>1.6</v>
      </c>
      <c r="I54" s="50">
        <f t="shared" ca="1" si="12"/>
        <v>5.7722679662920728E-4</v>
      </c>
      <c r="J54" s="50">
        <f t="shared" ca="1" si="13"/>
        <v>3.6076674789325455E-2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16148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16626</v>
      </c>
      <c r="F55" s="48">
        <f ca="1">C55*D55*E55-F49</f>
        <v>1068686439432</v>
      </c>
      <c r="G55" s="49">
        <f t="shared" ca="1" si="11"/>
        <v>22.435933651361395</v>
      </c>
      <c r="H55" s="48">
        <v>1</v>
      </c>
      <c r="I55" s="50">
        <f t="shared" ca="1" si="12"/>
        <v>4.4571356625460552E-4</v>
      </c>
      <c r="J55" s="50">
        <f t="shared" ca="1" si="13"/>
        <v>4.4571356625460551E-2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14646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17667</v>
      </c>
      <c r="F56" s="53">
        <f ca="1">C56*D56*E56-F49</f>
        <v>1065252619548</v>
      </c>
      <c r="G56" s="54">
        <f t="shared" ca="1" si="11"/>
        <v>22.508255421497797</v>
      </c>
      <c r="H56" s="53">
        <v>0.4</v>
      </c>
      <c r="I56" s="55">
        <f t="shared" ca="1" si="12"/>
        <v>1.7771257367994728E-4</v>
      </c>
      <c r="J56" s="55">
        <f t="shared" ca="1" si="13"/>
        <v>4.4428143419986819E-2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2">
        <f>PRODUCT('Regular Symbol'!C96:E96)</f>
        <v>23976978049206</v>
      </c>
      <c r="D59" s="332"/>
      <c r="E59" s="332"/>
      <c r="F59" s="332"/>
      <c r="G59" s="332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11445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11844</v>
      </c>
      <c r="F61" s="43">
        <f ca="1">C61*D61*E61</f>
        <v>454650061320</v>
      </c>
      <c r="G61" s="44">
        <f t="shared" ref="G61:G68" ca="1" si="14">C$11/F61</f>
        <v>52.737215034334049</v>
      </c>
      <c r="H61" s="43" cm="1">
        <f t="array" ref="H61:H68">_xlfn.ANCHORARRAY(H49)</f>
        <v>5</v>
      </c>
      <c r="I61" s="45">
        <f t="shared" ref="I61:I68" ca="1" si="15">J61*H61/$C$1</f>
        <v>9.4809708793776814E-4</v>
      </c>
      <c r="J61" s="45">
        <f t="shared" ref="J61:J68" ca="1" si="16">F61/C$11</f>
        <v>1.8961941758755364E-2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13845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15185</v>
      </c>
      <c r="F62" s="48">
        <f ca="1">C62*D62*E62-F61</f>
        <v>544813427730</v>
      </c>
      <c r="G62" s="49">
        <f t="shared" ca="1" si="14"/>
        <v>44.009521110938131</v>
      </c>
      <c r="H62" s="48">
        <v>4</v>
      </c>
      <c r="I62" s="50">
        <f t="shared" ca="1" si="15"/>
        <v>9.0889423448096539E-4</v>
      </c>
      <c r="J62" s="50">
        <f t="shared" ca="1" si="16"/>
        <v>2.2722355862024136E-2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15247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15585</v>
      </c>
      <c r="F63" s="48">
        <f ca="1">C63*D63*E63-F61</f>
        <v>651254338410</v>
      </c>
      <c r="G63" s="49">
        <f t="shared" ca="1" si="14"/>
        <v>36.816611629404896</v>
      </c>
      <c r="H63" s="48">
        <v>3</v>
      </c>
      <c r="I63" s="50">
        <f t="shared" ca="1" si="15"/>
        <v>8.148495657878367E-4</v>
      </c>
      <c r="J63" s="50">
        <f t="shared" ca="1" si="16"/>
        <v>2.716165219292789E-2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14546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14644</v>
      </c>
      <c r="F64" s="48">
        <f ca="1">C64*D64*E64-F61</f>
        <v>558007199176</v>
      </c>
      <c r="G64" s="49">
        <f t="shared" ca="1" si="14"/>
        <v>42.968940337351214</v>
      </c>
      <c r="H64" s="48">
        <v>2.4</v>
      </c>
      <c r="I64" s="50">
        <f t="shared" ca="1" si="15"/>
        <v>5.5854298038478137E-4</v>
      </c>
      <c r="J64" s="50">
        <f t="shared" ca="1" si="16"/>
        <v>2.3272624182699223E-2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17450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15185</v>
      </c>
      <c r="F65" s="48">
        <f ca="1">C65*D65*E65-F61</f>
        <v>1239620869180</v>
      </c>
      <c r="G65" s="49">
        <f t="shared" ca="1" si="14"/>
        <v>19.342186506642626</v>
      </c>
      <c r="H65" s="48">
        <v>2</v>
      </c>
      <c r="I65" s="50">
        <f t="shared" ca="1" si="15"/>
        <v>1.0340092622481674E-3</v>
      </c>
      <c r="J65" s="50">
        <f t="shared" ca="1" si="16"/>
        <v>5.1700463112408369E-2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15447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16626</v>
      </c>
      <c r="F66" s="48">
        <f ca="1">C66*D66*E66-F61</f>
        <v>894691791468</v>
      </c>
      <c r="G66" s="49">
        <f t="shared" ca="1" si="14"/>
        <v>26.799148352378253</v>
      </c>
      <c r="H66" s="48">
        <v>1.6</v>
      </c>
      <c r="I66" s="50">
        <f t="shared" ca="1" si="15"/>
        <v>5.9703389785444819E-4</v>
      </c>
      <c r="J66" s="50">
        <f t="shared" ca="1" si="16"/>
        <v>3.731461861590301E-2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16148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14544</v>
      </c>
      <c r="F67" s="48">
        <f ca="1">C67*D67*E67-F61</f>
        <v>732314750328</v>
      </c>
      <c r="G67" s="49">
        <f t="shared" ca="1" si="14"/>
        <v>32.741356142924658</v>
      </c>
      <c r="H67" s="48">
        <v>1</v>
      </c>
      <c r="I67" s="50">
        <f t="shared" ca="1" si="15"/>
        <v>3.0542412343420843E-4</v>
      </c>
      <c r="J67" s="50">
        <f t="shared" ca="1" si="16"/>
        <v>3.0542412343420845E-2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14646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16626</v>
      </c>
      <c r="F68" s="53">
        <f ca="1">C68*D68*E68-F61</f>
        <v>975694760784</v>
      </c>
      <c r="G68" s="54">
        <f t="shared" ca="1" si="14"/>
        <v>24.574261349871122</v>
      </c>
      <c r="H68" s="53">
        <v>0.4</v>
      </c>
      <c r="I68" s="55">
        <f t="shared" ca="1" si="15"/>
        <v>1.6277193210614967E-4</v>
      </c>
      <c r="J68" s="55">
        <f t="shared" ca="1" si="16"/>
        <v>4.069298302653742E-2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2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9C143-B0BD-4489-839D-8A04E02CCB10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f>Bet_4</f>
        <v>250</v>
      </c>
      <c r="D1" s="1"/>
      <c r="E1" s="1"/>
      <c r="F1" s="1"/>
      <c r="G1" s="1"/>
      <c r="H1" s="2" t="s">
        <v>79</v>
      </c>
      <c r="I1" s="20">
        <f ca="1">SUM(I12:I68)*I3</f>
        <v>7.0066943814847335E-2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(I1/I3)*O15*I3</f>
        <v>6.4653886116723385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3</v>
      </c>
      <c r="J3" s="33"/>
      <c r="K3" s="69"/>
      <c r="L3" s="128">
        <v>1</v>
      </c>
      <c r="M3" s="108" cm="1">
        <f t="array" ref="M3:M14">N3:N14/SUM(N3:N14)</f>
        <v>2.8571428571428571E-2</v>
      </c>
      <c r="N3" s="169">
        <v>5000000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18.416666666666664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2.8571428571428571E-2</v>
      </c>
      <c r="N4" s="170">
        <v>5000000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18.416666666666664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8.5714285714285715E-2</v>
      </c>
      <c r="N5" s="170">
        <v>15000000</v>
      </c>
      <c r="O5" s="124">
        <v>3</v>
      </c>
      <c r="P5" s="26"/>
      <c r="Q5" s="116">
        <v>4</v>
      </c>
      <c r="R5" s="108">
        <v>4.1753653444676405E-3</v>
      </c>
      <c r="S5" s="173">
        <v>4000000</v>
      </c>
      <c r="T5" s="116">
        <v>18.416666666666664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1.1570247933884297E-2</v>
      </c>
      <c r="AA5" s="92">
        <v>1.1570247933884297E-2</v>
      </c>
      <c r="AB5" s="92">
        <v>1.1570247933884297E-2</v>
      </c>
      <c r="AC5" s="92">
        <v>1.1570247933884297E-2</v>
      </c>
      <c r="AD5" s="92">
        <v>1.1570247933884297E-2</v>
      </c>
      <c r="AE5" s="92">
        <v>1.1570247933884297E-2</v>
      </c>
      <c r="AF5" s="110">
        <v>1.1570247933884297E-2</v>
      </c>
      <c r="AG5" s="110">
        <v>1.1570247933884297E-2</v>
      </c>
      <c r="AH5" s="174">
        <v>0</v>
      </c>
      <c r="AI5" s="278">
        <v>0</v>
      </c>
      <c r="AJ5" s="278">
        <v>0</v>
      </c>
      <c r="AK5" s="278">
        <v>3500000</v>
      </c>
      <c r="AL5" s="278">
        <v>3500000</v>
      </c>
      <c r="AM5" s="278">
        <v>3500000</v>
      </c>
      <c r="AN5" s="278">
        <v>3500000</v>
      </c>
      <c r="AO5" s="278">
        <v>3500000</v>
      </c>
      <c r="AP5" s="278">
        <v>3500000</v>
      </c>
      <c r="AQ5" s="278">
        <v>3500000</v>
      </c>
      <c r="AR5" s="278">
        <v>3500000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8.5714285714285715E-2</v>
      </c>
      <c r="N6" s="170">
        <v>15000000</v>
      </c>
      <c r="O6" s="124">
        <v>5</v>
      </c>
      <c r="P6" s="26"/>
      <c r="Q6" s="116">
        <v>5</v>
      </c>
      <c r="R6" s="108">
        <v>0.15657620041753653</v>
      </c>
      <c r="S6" s="173">
        <v>150000000</v>
      </c>
      <c r="T6" s="116">
        <v>20.902479338842976</v>
      </c>
      <c r="U6" s="26"/>
      <c r="V6" s="116">
        <v>5</v>
      </c>
      <c r="W6" s="122">
        <v>0.30769230769230771</v>
      </c>
      <c r="X6" s="92">
        <v>0.30769230769230771</v>
      </c>
      <c r="Y6" s="92">
        <v>0.30769230769230771</v>
      </c>
      <c r="Z6" s="92">
        <v>0.2975206611570248</v>
      </c>
      <c r="AA6" s="92">
        <v>0.2975206611570248</v>
      </c>
      <c r="AB6" s="92">
        <v>0.2975206611570248</v>
      </c>
      <c r="AC6" s="92">
        <v>0.2975206611570248</v>
      </c>
      <c r="AD6" s="92">
        <v>0.2975206611570248</v>
      </c>
      <c r="AE6" s="92">
        <v>0.2975206611570248</v>
      </c>
      <c r="AF6" s="110">
        <v>0.2975206611570248</v>
      </c>
      <c r="AG6" s="110">
        <v>0.2975206611570248</v>
      </c>
      <c r="AH6" s="174">
        <v>120000000</v>
      </c>
      <c r="AI6" s="278">
        <v>120000000</v>
      </c>
      <c r="AJ6" s="278">
        <v>120000000</v>
      </c>
      <c r="AK6" s="278">
        <v>90000000</v>
      </c>
      <c r="AL6" s="278">
        <v>90000000</v>
      </c>
      <c r="AM6" s="278">
        <v>90000000</v>
      </c>
      <c r="AN6" s="278">
        <v>90000000</v>
      </c>
      <c r="AO6" s="278">
        <v>90000000</v>
      </c>
      <c r="AP6" s="278">
        <v>90000000</v>
      </c>
      <c r="AQ6" s="281">
        <v>90000000</v>
      </c>
      <c r="AR6" s="281">
        <v>90000000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8.5714285714285715E-2</v>
      </c>
      <c r="N7" s="170">
        <v>15000000</v>
      </c>
      <c r="O7" s="124">
        <v>10</v>
      </c>
      <c r="P7" s="26"/>
      <c r="Q7" s="116">
        <v>6</v>
      </c>
      <c r="R7" s="108">
        <v>0.15657620041753653</v>
      </c>
      <c r="S7" s="173">
        <v>150000000</v>
      </c>
      <c r="T7" s="116">
        <v>20.902479338842976</v>
      </c>
      <c r="U7" s="1"/>
      <c r="V7" s="116">
        <v>10</v>
      </c>
      <c r="W7" s="122">
        <v>0.30769230769230771</v>
      </c>
      <c r="X7" s="92">
        <v>0.30769230769230771</v>
      </c>
      <c r="Y7" s="92">
        <v>0.30769230769230771</v>
      </c>
      <c r="Z7" s="92">
        <v>0.2975206611570248</v>
      </c>
      <c r="AA7" s="92">
        <v>0.2975206611570248</v>
      </c>
      <c r="AB7" s="92">
        <v>0.2975206611570248</v>
      </c>
      <c r="AC7" s="92">
        <v>0.2975206611570248</v>
      </c>
      <c r="AD7" s="92">
        <v>0.2975206611570248</v>
      </c>
      <c r="AE7" s="92">
        <v>0.2975206611570248</v>
      </c>
      <c r="AF7" s="110">
        <v>0.2975206611570248</v>
      </c>
      <c r="AG7" s="110">
        <v>0.2975206611570248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8.5714285714285715E-2</v>
      </c>
      <c r="N8" s="170">
        <v>15000000</v>
      </c>
      <c r="O8" s="124">
        <v>15</v>
      </c>
      <c r="P8" s="26"/>
      <c r="Q8" s="116">
        <v>7</v>
      </c>
      <c r="R8" s="108">
        <v>0.15657620041753653</v>
      </c>
      <c r="S8" s="173">
        <v>150000000</v>
      </c>
      <c r="T8" s="116">
        <v>20.902479338842976</v>
      </c>
      <c r="U8" s="1"/>
      <c r="V8" s="116">
        <v>15</v>
      </c>
      <c r="W8" s="122">
        <v>0.23076923076923078</v>
      </c>
      <c r="X8" s="92">
        <v>0.23076923076923078</v>
      </c>
      <c r="Y8" s="92">
        <v>0.23076923076923078</v>
      </c>
      <c r="Z8" s="92">
        <v>0.16528925619834711</v>
      </c>
      <c r="AA8" s="92">
        <v>0.16528925619834711</v>
      </c>
      <c r="AB8" s="92">
        <v>0.16528925619834711</v>
      </c>
      <c r="AC8" s="92">
        <v>0.16528925619834711</v>
      </c>
      <c r="AD8" s="92">
        <v>0.16528925619834711</v>
      </c>
      <c r="AE8" s="92">
        <v>0.16528925619834711</v>
      </c>
      <c r="AF8" s="110">
        <v>0.16528925619834711</v>
      </c>
      <c r="AG8" s="110">
        <v>0.16528925619834711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8.5714285714285715E-2</v>
      </c>
      <c r="N9" s="170">
        <v>15000000</v>
      </c>
      <c r="O9" s="124">
        <v>20</v>
      </c>
      <c r="P9" s="26"/>
      <c r="Q9" s="116">
        <v>8</v>
      </c>
      <c r="R9" s="108">
        <v>0.15657620041753653</v>
      </c>
      <c r="S9" s="173">
        <v>150000000</v>
      </c>
      <c r="T9" s="116">
        <v>20.902479338842976</v>
      </c>
      <c r="U9" s="1"/>
      <c r="V9" s="116">
        <v>20</v>
      </c>
      <c r="W9" s="122">
        <v>5.3846153846153849E-2</v>
      </c>
      <c r="X9" s="92">
        <v>5.3846153846153849E-2</v>
      </c>
      <c r="Y9" s="92">
        <v>5.3846153846153849E-2</v>
      </c>
      <c r="Z9" s="92">
        <v>9.9173553719008267E-2</v>
      </c>
      <c r="AA9" s="92">
        <v>9.9173553719008267E-2</v>
      </c>
      <c r="AB9" s="92">
        <v>9.9173553719008267E-2</v>
      </c>
      <c r="AC9" s="92">
        <v>9.9173553719008267E-2</v>
      </c>
      <c r="AD9" s="92">
        <v>9.9173553719008267E-2</v>
      </c>
      <c r="AE9" s="92">
        <v>9.9173553719008267E-2</v>
      </c>
      <c r="AF9" s="110">
        <v>9.9173553719008267E-2</v>
      </c>
      <c r="AG9" s="110">
        <v>9.9173553719008267E-2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8.5714285714285715E-2</v>
      </c>
      <c r="N10" s="170">
        <v>15000000</v>
      </c>
      <c r="O10" s="124">
        <v>25</v>
      </c>
      <c r="P10" s="26"/>
      <c r="Q10" s="116">
        <v>9</v>
      </c>
      <c r="R10" s="108">
        <v>0.15657620041753653</v>
      </c>
      <c r="S10" s="173">
        <v>150000000</v>
      </c>
      <c r="T10" s="116">
        <v>20.902479338842976</v>
      </c>
      <c r="U10" s="1"/>
      <c r="V10" s="116">
        <v>25</v>
      </c>
      <c r="W10" s="122">
        <v>3.4615384615384617E-2</v>
      </c>
      <c r="X10" s="92">
        <v>3.4615384615384617E-2</v>
      </c>
      <c r="Y10" s="92">
        <v>3.4615384615384617E-2</v>
      </c>
      <c r="Z10" s="92">
        <v>4.4628099173553717E-2</v>
      </c>
      <c r="AA10" s="92">
        <v>4.4628099173553717E-2</v>
      </c>
      <c r="AB10" s="92">
        <v>4.4628099173553717E-2</v>
      </c>
      <c r="AC10" s="92">
        <v>4.4628099173553717E-2</v>
      </c>
      <c r="AD10" s="92">
        <v>4.4628099173553717E-2</v>
      </c>
      <c r="AE10" s="92">
        <v>4.4628099173553717E-2</v>
      </c>
      <c r="AF10" s="110">
        <v>4.4628099173553717E-2</v>
      </c>
      <c r="AG10" s="110">
        <v>4.4628099173553717E-2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32">
        <f>PRODUCT('Regular Symbol'!C96:E96)</f>
        <v>23976978049206</v>
      </c>
      <c r="D11" s="332"/>
      <c r="E11" s="332"/>
      <c r="F11" s="332"/>
      <c r="G11" s="332"/>
      <c r="H11" s="1"/>
      <c r="I11" s="33"/>
      <c r="J11" s="33"/>
      <c r="K11" s="33"/>
      <c r="L11" s="124">
        <v>50</v>
      </c>
      <c r="M11" s="108">
        <v>8.5714285714285715E-2</v>
      </c>
      <c r="N11" s="170">
        <v>15000000</v>
      </c>
      <c r="O11" s="124">
        <v>50</v>
      </c>
      <c r="P11" s="26"/>
      <c r="Q11" s="116">
        <v>10</v>
      </c>
      <c r="R11" s="108">
        <v>0.15657620041753653</v>
      </c>
      <c r="S11" s="173">
        <v>150000000</v>
      </c>
      <c r="T11" s="116">
        <v>20.902479338842976</v>
      </c>
      <c r="U11" s="1"/>
      <c r="V11" s="116">
        <v>50</v>
      </c>
      <c r="W11" s="122">
        <v>3.4615384615384617E-2</v>
      </c>
      <c r="X11" s="92">
        <v>3.4615384615384617E-2</v>
      </c>
      <c r="Y11" s="92">
        <v>3.4615384615384617E-2</v>
      </c>
      <c r="Z11" s="92">
        <v>4.4628099173553717E-2</v>
      </c>
      <c r="AA11" s="92">
        <v>4.4628099173553717E-2</v>
      </c>
      <c r="AB11" s="92">
        <v>4.4628099173553717E-2</v>
      </c>
      <c r="AC11" s="92">
        <v>4.4628099173553717E-2</v>
      </c>
      <c r="AD11" s="92">
        <v>4.4628099173553717E-2</v>
      </c>
      <c r="AE11" s="92">
        <v>4.4628099173553717E-2</v>
      </c>
      <c r="AF11" s="110">
        <v>4.4628099173553717E-2</v>
      </c>
      <c r="AG11" s="110">
        <v>4.4628099173553717E-2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8.5714285714285715E-2</v>
      </c>
      <c r="N12" s="170">
        <v>15000000</v>
      </c>
      <c r="O12" s="124">
        <v>100</v>
      </c>
      <c r="P12" s="26"/>
      <c r="Q12" s="124">
        <v>20</v>
      </c>
      <c r="R12" s="108">
        <v>5.2192066805845511E-2</v>
      </c>
      <c r="S12" s="170">
        <v>50000000</v>
      </c>
      <c r="T12" s="124">
        <v>20.902479338842976</v>
      </c>
      <c r="U12" s="1"/>
      <c r="V12" s="116">
        <v>100</v>
      </c>
      <c r="W12" s="122">
        <v>2.1794871794871794E-2</v>
      </c>
      <c r="X12" s="92">
        <v>2.1794871794871794E-2</v>
      </c>
      <c r="Y12" s="92">
        <v>2.1794871794871794E-2</v>
      </c>
      <c r="Z12" s="92">
        <v>2.809917355371901E-2</v>
      </c>
      <c r="AA12" s="92">
        <v>2.809917355371901E-2</v>
      </c>
      <c r="AB12" s="92">
        <v>2.809917355371901E-2</v>
      </c>
      <c r="AC12" s="92">
        <v>2.809917355371901E-2</v>
      </c>
      <c r="AD12" s="92">
        <v>2.809917355371901E-2</v>
      </c>
      <c r="AE12" s="92">
        <v>2.809917355371901E-2</v>
      </c>
      <c r="AF12" s="110">
        <v>2.809917355371901E-2</v>
      </c>
      <c r="AG12" s="110">
        <v>2.809917355371901E-2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VLOOKUP(MID($B13,C$9,2),_xlpm.row_count,MATCH(C$12,$C$3:$E$3,0)+2,0)))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VLOOKUP(MID($B13,D$9,2),_xlpm.row_count,MATCH(D$12,$C$3:$E$3,0)+2,0)))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VLOOKUP(MID($B13,E$9,2),_xlpm.row_count,MATCH(E$12,$C$3:$E$3,0)+2,0)))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4.0637702705002328E-4</v>
      </c>
      <c r="J13" s="45">
        <f t="shared" ref="J13:J20" si="2">F13/C$11</f>
        <v>2.0318851352501163E-2</v>
      </c>
      <c r="K13" s="67"/>
      <c r="L13" s="124">
        <v>500</v>
      </c>
      <c r="M13" s="108">
        <v>8.5714285714285715E-2</v>
      </c>
      <c r="N13" s="170">
        <v>15000000</v>
      </c>
      <c r="O13" s="124">
        <v>500</v>
      </c>
      <c r="P13" s="26"/>
      <c r="Q13" s="125">
        <v>50</v>
      </c>
      <c r="R13" s="109">
        <v>4.1753653444676405E-3</v>
      </c>
      <c r="S13" s="171">
        <v>4000000</v>
      </c>
      <c r="T13" s="125">
        <v>20.902479338842976</v>
      </c>
      <c r="U13" s="1"/>
      <c r="V13" s="117">
        <v>500</v>
      </c>
      <c r="W13" s="123">
        <v>8.9743589743589737E-3</v>
      </c>
      <c r="X13" s="112">
        <v>8.9743589743589737E-3</v>
      </c>
      <c r="Y13" s="112">
        <v>8.9743589743589737E-3</v>
      </c>
      <c r="Z13" s="112">
        <v>1.1570247933884297E-2</v>
      </c>
      <c r="AA13" s="112">
        <v>1.1570247933884297E-2</v>
      </c>
      <c r="AB13" s="112">
        <v>1.1570247933884297E-2</v>
      </c>
      <c r="AC13" s="112">
        <v>1.1570247933884297E-2</v>
      </c>
      <c r="AD13" s="112">
        <v>1.1570247933884297E-2</v>
      </c>
      <c r="AE13" s="112">
        <v>1.1570247933884297E-2</v>
      </c>
      <c r="AF13" s="113">
        <v>1.1570247933884297E-2</v>
      </c>
      <c r="AG13" s="113">
        <v>1.1570247933884297E-2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VLOOKUP(MID($B14,C$9,2),_xlpm.row_count,MATCH(C$12,$C$3:$E$3,0)+2,0)))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VLOOKUP(MID($B14,D$9,2),_xlpm.row_count,MATCH(D$12,$C$3:$E$3,0)+2,0)))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VLOOKUP(MID($B14,E$9,2),_xlpm.row_count,MATCH(E$12,$C$3:$E$3,0)+2,0)))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3.8130044733634619E-4</v>
      </c>
      <c r="J14" s="50">
        <f t="shared" si="2"/>
        <v>2.3831277958521635E-2</v>
      </c>
      <c r="K14" s="34"/>
      <c r="L14" s="129" t="s">
        <v>112</v>
      </c>
      <c r="M14" s="109">
        <v>0.17142857142857143</v>
      </c>
      <c r="N14" s="171">
        <v>30000000</v>
      </c>
      <c r="O14" s="130">
        <f>T16</f>
        <v>173.76761733869344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VLOOKUP(MID($B15,C$9,2),_xlpm.row_count,MATCH(C$12,$C$3:$E$3,0)+2,0)))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VLOOKUP(MID($B15,D$9,2),_xlpm.row_count,MATCH(D$12,$C$3:$E$3,0)+2,0)))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VLOOKUP(MID($B15,E$9,2),_xlpm.row_count,MATCH(E$12,$C$3:$E$3,0)+2,0)))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2.957535834665715E-4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92.27444868663315</v>
      </c>
      <c r="P15" s="1"/>
      <c r="Q15" s="1"/>
      <c r="R15" s="1"/>
      <c r="S15" s="1" t="s">
        <v>89</v>
      </c>
      <c r="T15" s="1">
        <f>SUMPRODUCT(Q3:Q13, R3:R13)</f>
        <v>8.315240083507307</v>
      </c>
      <c r="U15" s="1"/>
      <c r="V15" s="1" t="s">
        <v>90</v>
      </c>
      <c r="W15" s="93">
        <f t="shared" ref="W15:AG15" si="3">SUMPRODUCT($V$3:$V$13,_xlfn.ANCHORARRAY(W3))</f>
        <v>18.416666666666664</v>
      </c>
      <c r="X15" s="93">
        <f t="shared" si="3"/>
        <v>18.416666666666664</v>
      </c>
      <c r="Y15" s="93">
        <f t="shared" si="3"/>
        <v>18.416666666666664</v>
      </c>
      <c r="Z15" s="93">
        <f t="shared" si="3"/>
        <v>20.902479338842976</v>
      </c>
      <c r="AA15" s="93">
        <f t="shared" si="3"/>
        <v>20.902479338842976</v>
      </c>
      <c r="AB15" s="93">
        <f t="shared" si="3"/>
        <v>20.902479338842976</v>
      </c>
      <c r="AC15" s="93">
        <f t="shared" si="3"/>
        <v>20.902479338842976</v>
      </c>
      <c r="AD15" s="93">
        <f t="shared" si="3"/>
        <v>20.902479338842976</v>
      </c>
      <c r="AE15" s="93">
        <f t="shared" si="3"/>
        <v>20.902479338842976</v>
      </c>
      <c r="AF15" s="93">
        <f t="shared" si="3"/>
        <v>20.902479338842976</v>
      </c>
      <c r="AG15" s="93">
        <f t="shared" si="3"/>
        <v>20.902479338842976</v>
      </c>
      <c r="AH15" s="1" cm="1">
        <f t="array" ref="AH15">AH2*SMALL(_xlfn.UNIQUE($V$3:$V$13*--(AH3:AH13&gt;0)),2)</f>
        <v>10</v>
      </c>
      <c r="AI15" s="1" cm="1">
        <f t="array" ref="AI15">AI2*SMALL(_xlfn.UNIQUE($V$3:$V$13*--(AI3:AI13&gt;0)),2)</f>
        <v>15</v>
      </c>
      <c r="AJ15" s="1" cm="1">
        <f t="array" ref="AJ15">AJ2*SMALL(_xlfn.UNIQUE($V$3:$V$13*--(AJ3:AJ13&gt;0)),2)</f>
        <v>20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VLOOKUP(MID($B16,C$9,2),_xlpm.row_count,MATCH(C$12,$C$3:$E$3,0)+2,0)))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VLOOKUP(MID($B16,D$9,2),_xlpm.row_count,MATCH(D$12,$C$3:$E$3,0)+2,0)))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VLOOKUP(MID($B16,E$9,2),_xlpm.row_count,MATCH(E$12,$C$3:$E$3,0)+2,0)))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2.4671038009028366E-4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173.76761733869344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VLOOKUP(MID($B17,C$9,2),_xlpm.row_count,MATCH(C$12,$C$3:$E$3,0)+2,0)))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VLOOKUP(MID($B17,D$9,2),_xlpm.row_count,MATCH(D$12,$C$3:$E$3,0)+2,0)))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VLOOKUP(MID($B17,E$9,2),_xlpm.row_count,MATCH(E$12,$C$3:$E$3,0)+2,0)))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3.4936606371232826E-4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VLOOKUP(MID($B18,C$9,2),_xlpm.row_count,MATCH(C$12,$C$3:$E$3,0)+2,0)))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VLOOKUP(MID($B18,D$9,2),_xlpm.row_count,MATCH(D$12,$C$3:$E$3,0)+2,0)))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VLOOKUP(MID($B18,E$9,2),_xlpm.row_count,MATCH(E$12,$C$3:$E$3,0)+2,0)))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3.1921478163201037E-4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VLOOKUP(MID($B19,C$9,2),_xlpm.row_count,MATCH(C$12,$C$3:$E$3,0)+2,0)))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VLOOKUP(MID($B19,D$9,2),_xlpm.row_count,MATCH(D$12,$C$3:$E$3,0)+2,0)))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VLOOKUP(MID($B19,E$9,2),_xlpm.row_count,MATCH(E$12,$C$3:$E$3,0)+2,0)))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1.27487108867801E-4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VLOOKUP(MID($B20,C$9,2),_xlpm.row_count,MATCH(C$12,$C$3:$E$3,0)+2,0)))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VLOOKUP(MID($B20,D$9,2),_xlpm.row_count,MATCH(D$12,$C$3:$E$3,0)+2,0)))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VLOOKUP(MID($B20,E$9,2),_xlpm.row_count,MATCH(E$12,$C$3:$E$3,0)+2,0)))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6.4358421969123037E-5</v>
      </c>
      <c r="J20" s="55">
        <f t="shared" si="2"/>
        <v>4.0224013730701891E-2</v>
      </c>
      <c r="K20" s="34"/>
      <c r="L20" s="35"/>
      <c r="M20" s="35"/>
      <c r="N20" s="35"/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35"/>
      <c r="M21" s="35"/>
      <c r="N21" s="35"/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35"/>
      <c r="M22" s="35"/>
      <c r="N22" s="35"/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32">
        <f>PRODUCT('Regular Symbol'!C96:E96)</f>
        <v>23976978049206</v>
      </c>
      <c r="D23" s="332"/>
      <c r="E23" s="332"/>
      <c r="F23" s="332"/>
      <c r="G23" s="332"/>
      <c r="H23" s="1"/>
      <c r="I23" s="33"/>
      <c r="J23" s="33"/>
      <c r="K23" s="34"/>
      <c r="L23" s="35"/>
      <c r="M23" s="35"/>
      <c r="N23" s="35"/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35"/>
      <c r="M24" s="35"/>
      <c r="N24" s="35"/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VLOOKUP(MID($B25,C$9,2),_xlpm.row_count,MATCH(C$12,$C$3:$E$3,0)+2,0)))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VLOOKUP(MID($B25,D$9,2),_xlpm.row_count,MATCH(D$12,$C$3:$E$3,0)+2,0)))</f>
        <v>38659</v>
      </c>
      <c r="E25" s="42">
        <f ca="1"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VLOOKUP(MID($B25,E$9,2),_xlpm.row_count,MATCH(E$12,$C$3:$E$3,0)+2,0)))</f>
        <v>37331</v>
      </c>
      <c r="F25" s="43">
        <f ca="1">C25*D25*E25</f>
        <v>4520037032028</v>
      </c>
      <c r="G25" s="44">
        <f t="shared" ref="G25:G32" ca="1" si="4">C$11/F25</f>
        <v>5.304597701149425</v>
      </c>
      <c r="H25" s="43" cm="1">
        <f t="array" ref="H25:H32">_xlfn.ANCHORARRAY(H13)</f>
        <v>5</v>
      </c>
      <c r="I25" s="45">
        <f t="shared" ref="I25:I32" ca="1" si="5">J25*H25/$C$1</f>
        <v>3.7703141928494043E-3</v>
      </c>
      <c r="J25" s="45">
        <f t="shared" ref="J25:J32" ca="1" si="6">F25/C$11</f>
        <v>0.18851570964247022</v>
      </c>
      <c r="K25" s="34"/>
      <c r="L25" s="35"/>
      <c r="M25" s="35"/>
      <c r="N25" s="35"/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VLOOKUP(MID($B26,C$9,2),_xlpm.row_count,MATCH(C$12,$C$3:$E$3,0)+2,0)))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VLOOKUP(MID($B26,D$9,2),_xlpm.row_count,MATCH(D$12,$C$3:$E$3,0)+2,0)))</f>
        <v>38659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VLOOKUP(MID($B26,E$9,2),_xlpm.row_count,MATCH(E$12,$C$3:$E$3,0)+2,0)))</f>
        <v>37331</v>
      </c>
      <c r="F26" s="48">
        <f ca="1">C26*D26*E26-F25</f>
        <v>2020450780600</v>
      </c>
      <c r="G26" s="49">
        <f t="shared" ca="1" si="4"/>
        <v>11.867142857142857</v>
      </c>
      <c r="H26" s="48">
        <v>4</v>
      </c>
      <c r="I26" s="50">
        <f t="shared" ca="1" si="5"/>
        <v>1.3482605031900807E-3</v>
      </c>
      <c r="J26" s="50">
        <f t="shared" ca="1" si="6"/>
        <v>8.4266281449380045E-2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VLOOKUP(MID($B27,C$9,2),_xlpm.row_count,MATCH(C$12,$C$3:$E$3,0)+2,0)))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VLOOKUP(MID($B27,D$9,2),_xlpm.row_count,MATCH(D$12,$C$3:$E$3,0)+2,0)))</f>
        <v>38659</v>
      </c>
      <c r="E27" s="47">
        <f ca="1"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VLOOKUP(MID($B27,E$9,2),_xlpm.row_count,MATCH(E$12,$C$3:$E$3,0)+2,0)))</f>
        <v>37331</v>
      </c>
      <c r="F27" s="48">
        <f ca="1">C27*D27*E27-F25</f>
        <v>1876132867700</v>
      </c>
      <c r="G27" s="49">
        <f t="shared" ca="1" si="4"/>
        <v>12.78</v>
      </c>
      <c r="H27" s="48">
        <v>3</v>
      </c>
      <c r="I27" s="50">
        <f t="shared" ca="1" si="5"/>
        <v>9.3896713615023472E-4</v>
      </c>
      <c r="J27" s="50">
        <f t="shared" ca="1" si="6"/>
        <v>7.82472613458529E-2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VLOOKUP(MID($B28,C$9,2),_xlpm.row_count,MATCH(C$12,$C$3:$E$3,0)+2,0)))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VLOOKUP(MID($B28,D$9,2),_xlpm.row_count,MATCH(D$12,$C$3:$E$3,0)+2,0)))</f>
        <v>38659</v>
      </c>
      <c r="E28" s="47">
        <f ca="1"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VLOOKUP(MID($B28,E$9,2),_xlpm.row_count,MATCH(E$12,$C$3:$E$3,0)+2,0)))</f>
        <v>37331</v>
      </c>
      <c r="F28" s="48">
        <f ca="1">C28*D28*E28-F25</f>
        <v>2020450780600</v>
      </c>
      <c r="G28" s="49">
        <f t="shared" ca="1" si="4"/>
        <v>11.867142857142857</v>
      </c>
      <c r="H28" s="48">
        <v>2.4</v>
      </c>
      <c r="I28" s="50">
        <f t="shared" ca="1" si="5"/>
        <v>8.0895630191404845E-4</v>
      </c>
      <c r="J28" s="50">
        <f t="shared" ca="1" si="6"/>
        <v>8.4266281449380045E-2</v>
      </c>
      <c r="K28" s="34"/>
      <c r="L28" s="35"/>
      <c r="M28" s="35"/>
      <c r="N28" s="35"/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VLOOKUP(MID($B29,C$9,2),_xlpm.row_count,MATCH(C$12,$C$3:$E$3,0)+2,0)))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VLOOKUP(MID($B29,D$9,2),_xlpm.row_count,MATCH(D$12,$C$3:$E$3,0)+2,0)))</f>
        <v>38659</v>
      </c>
      <c r="E29" s="47">
        <f ca="1"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VLOOKUP(MID($B29,E$9,2),_xlpm.row_count,MATCH(E$12,$C$3:$E$3,0)+2,0)))</f>
        <v>37331</v>
      </c>
      <c r="F29" s="48">
        <f ca="1">C29*D29*E29-F25</f>
        <v>3599288747726</v>
      </c>
      <c r="G29" s="49">
        <f t="shared" ca="1" si="4"/>
        <v>6.6615878107457895</v>
      </c>
      <c r="H29" s="48">
        <v>2</v>
      </c>
      <c r="I29" s="50">
        <f t="shared" ca="1" si="5"/>
        <v>1.2009148910557361E-3</v>
      </c>
      <c r="J29" s="50">
        <f t="shared" ca="1" si="6"/>
        <v>0.15011436138196702</v>
      </c>
      <c r="K29" s="34"/>
      <c r="L29" s="35"/>
      <c r="M29" s="35"/>
      <c r="N29" s="35"/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VLOOKUP(MID($B30,C$9,2),_xlpm.row_count,MATCH(C$12,$C$3:$E$3,0)+2,0)))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VLOOKUP(MID($B30,D$9,2),_xlpm.row_count,MATCH(D$12,$C$3:$E$3,0)+2,0)))</f>
        <v>38659</v>
      </c>
      <c r="E30" s="47">
        <f ca="1"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VLOOKUP(MID($B30,E$9,2),_xlpm.row_count,MATCH(E$12,$C$3:$E$3,0)+2,0)))</f>
        <v>37331</v>
      </c>
      <c r="F30" s="48">
        <f ca="1">C30*D30*E30-F25</f>
        <v>3242823502863</v>
      </c>
      <c r="G30" s="49">
        <f t="shared" ca="1" si="4"/>
        <v>7.3938584779706273</v>
      </c>
      <c r="H30" s="48">
        <v>1.6</v>
      </c>
      <c r="I30" s="50">
        <f t="shared" ca="1" si="5"/>
        <v>8.6558324304803196E-4</v>
      </c>
      <c r="J30" s="50">
        <f t="shared" ca="1" si="6"/>
        <v>0.13524738172625497</v>
      </c>
      <c r="K30" s="34"/>
      <c r="L30" s="35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VLOOKUP(MID($B31,C$9,2),_xlpm.row_count,MATCH(C$12,$C$3:$E$3,0)+2,0)))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VLOOKUP(MID($B31,D$9,2),_xlpm.row_count,MATCH(D$12,$C$3:$E$3,0)+2,0)))</f>
        <v>38659</v>
      </c>
      <c r="E31" s="47">
        <f ca="1"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VLOOKUP(MID($B31,E$9,2),_xlpm.row_count,MATCH(E$12,$C$3:$E$3,0)+2,0)))</f>
        <v>37331</v>
      </c>
      <c r="F31" s="48">
        <f ca="1">C31*D31*E31-F25</f>
        <v>2954187677063</v>
      </c>
      <c r="G31" s="49">
        <f t="shared" ca="1" si="4"/>
        <v>8.1162677088422086</v>
      </c>
      <c r="H31" s="48">
        <v>1</v>
      </c>
      <c r="I31" s="50">
        <f t="shared" ca="1" si="5"/>
        <v>4.9283736607680264E-4</v>
      </c>
      <c r="J31" s="50">
        <f t="shared" ca="1" si="6"/>
        <v>0.12320934151920067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VLOOKUP(MID($B32,C$9,2),_xlpm.row_count,MATCH(C$12,$C$3:$E$3,0)+2,0)))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VLOOKUP(MID($B32,D$9,2),_xlpm.row_count,MATCH(D$12,$C$3:$E$3,0)+2,0)))</f>
        <v>38659</v>
      </c>
      <c r="E32" s="52">
        <f ca="1"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VLOOKUP(MID($B32,E$9,2),_xlpm.row_count,MATCH(E$12,$C$3:$E$3,0)+2,0)))</f>
        <v>37331</v>
      </c>
      <c r="F32" s="53">
        <f ca="1">C32*D32*E32-F25</f>
        <v>3743606660626</v>
      </c>
      <c r="G32" s="54">
        <f t="shared" ca="1" si="4"/>
        <v>6.404780262143408</v>
      </c>
      <c r="H32" s="53">
        <v>0.4</v>
      </c>
      <c r="I32" s="55">
        <f t="shared" ca="1" si="5"/>
        <v>2.4981341037679064E-4</v>
      </c>
      <c r="J32" s="55">
        <f t="shared" ca="1" si="6"/>
        <v>0.15613338148549416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32">
        <f>PRODUCT('Regular Symbol'!C96:E96)</f>
        <v>23976978049206</v>
      </c>
      <c r="D35" s="332"/>
      <c r="E35" s="332"/>
      <c r="F35" s="332"/>
      <c r="G35" s="332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VLOOKUP(MID($B37,C$9,2),_xlpm.row_count,MATCH(C$12,$C$3:$E$3,0)+2,0)))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VLOOKUP(MID($B37,D$9,2),_xlpm.row_count,MATCH(D$12,$C$3:$E$3,0)+2,0)))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VLOOKUP(MID($B37,E$9,2),_xlpm.row_count,MATCH(E$12,$C$3:$E$3,0)+2,0)))</f>
        <v>11844</v>
      </c>
      <c r="F37" s="43">
        <f ca="1">C37*D37*E37</f>
        <v>487184652864</v>
      </c>
      <c r="G37" s="44">
        <f t="shared" ref="G37:G44" ca="1" si="7">C$11/F37</f>
        <v>49.215380468685026</v>
      </c>
      <c r="H37" s="43" cm="1">
        <f t="array" ref="H37:H44">_xlfn.ANCHORARRAY(H25)</f>
        <v>5</v>
      </c>
      <c r="I37" s="45">
        <f t="shared" ref="I37:I44" ca="1" si="8">J37*H37/$C$1</f>
        <v>4.0637702705002328E-4</v>
      </c>
      <c r="J37" s="45">
        <f t="shared" ref="J37:J44" ca="1" si="9">F37/C$11</f>
        <v>2.0318851352501163E-2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VLOOKUP(MID($B38,C$9,2),_xlpm.row_count,MATCH(C$12,$C$3:$E$3,0)+2,0)))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VLOOKUP(MID($B38,D$9,2),_xlpm.row_count,MATCH(D$12,$C$3:$E$3,0)+2,0)))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VLOOKUP(MID($B38,E$9,2),_xlpm.row_count,MATCH(E$12,$C$3:$E$3,0)+2,0)))</f>
        <v>14144</v>
      </c>
      <c r="F38" s="48">
        <f ca="1">C38*D38*E38-F37</f>
        <v>498831153600</v>
      </c>
      <c r="G38" s="49">
        <f t="shared" ca="1" si="7"/>
        <v>48.066320389509052</v>
      </c>
      <c r="H38" s="48">
        <v>4</v>
      </c>
      <c r="I38" s="50">
        <f t="shared" ca="1" si="8"/>
        <v>3.3287341053658348E-4</v>
      </c>
      <c r="J38" s="50">
        <f t="shared" ca="1" si="9"/>
        <v>2.0804588158536468E-2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VLOOKUP(MID($B39,C$9,2),_xlpm.row_count,MATCH(C$12,$C$3:$E$3,0)+2,0)))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VLOOKUP(MID($B39,D$9,2),_xlpm.row_count,MATCH(D$12,$C$3:$E$3,0)+2,0)))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VLOOKUP(MID($B39,E$9,2),_xlpm.row_count,MATCH(E$12,$C$3:$E$3,0)+2,0)))</f>
        <v>14544</v>
      </c>
      <c r="F39" s="48">
        <f ca="1">C39*D39*E39-F37</f>
        <v>665808923520</v>
      </c>
      <c r="G39" s="49">
        <f t="shared" ca="1" si="7"/>
        <v>36.011800386279688</v>
      </c>
      <c r="H39" s="48">
        <v>3</v>
      </c>
      <c r="I39" s="50">
        <f t="shared" ca="1" si="8"/>
        <v>3.3322410630077631E-4</v>
      </c>
      <c r="J39" s="50">
        <f t="shared" ca="1" si="9"/>
        <v>2.7768675525064693E-2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VLOOKUP(MID($B40,C$9,2),_xlpm.row_count,MATCH(C$12,$C$3:$E$3,0)+2,0)))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VLOOKUP(MID($B40,D$9,2),_xlpm.row_count,MATCH(D$12,$C$3:$E$3,0)+2,0)))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VLOOKUP(MID($B40,E$9,2),_xlpm.row_count,MATCH(E$12,$C$3:$E$3,0)+2,0)))</f>
        <v>15685</v>
      </c>
      <c r="F40" s="48">
        <f ca="1">C40*D40*E40-F37</f>
        <v>613715005496</v>
      </c>
      <c r="G40" s="49">
        <f t="shared" ca="1" si="7"/>
        <v>39.068586940982456</v>
      </c>
      <c r="H40" s="48">
        <v>2.4</v>
      </c>
      <c r="I40" s="50">
        <f t="shared" ca="1" si="8"/>
        <v>2.4572171024516174E-4</v>
      </c>
      <c r="J40" s="50">
        <f t="shared" ca="1" si="9"/>
        <v>2.5596011483871015E-2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VLOOKUP(MID($B41,C$9,2),_xlpm.row_count,MATCH(C$12,$C$3:$E$3,0)+2,0)))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VLOOKUP(MID($B41,D$9,2),_xlpm.row_count,MATCH(D$12,$C$3:$E$3,0)+2,0)))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VLOOKUP(MID($B41,E$9,2),_xlpm.row_count,MATCH(E$12,$C$3:$E$3,0)+2,0)))</f>
        <v>15185</v>
      </c>
      <c r="F41" s="48">
        <f ca="1">C41*D41*E41-F37</f>
        <v>1100187005746</v>
      </c>
      <c r="G41" s="49">
        <f t="shared" ca="1" si="7"/>
        <v>21.793547755045527</v>
      </c>
      <c r="H41" s="48">
        <v>2</v>
      </c>
      <c r="I41" s="50">
        <f t="shared" ca="1" si="8"/>
        <v>3.6708112373066385E-4</v>
      </c>
      <c r="J41" s="50">
        <f t="shared" ca="1" si="9"/>
        <v>4.5885140466332984E-2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VLOOKUP(MID($B42,C$9,2),_xlpm.row_count,MATCH(C$12,$C$3:$E$3,0)+2,0)))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VLOOKUP(MID($B42,D$9,2),_xlpm.row_count,MATCH(D$12,$C$3:$E$3,0)+2,0)))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VLOOKUP(MID($B42,E$9,2),_xlpm.row_count,MATCH(E$12,$C$3:$E$3,0)+2,0)))</f>
        <v>14544</v>
      </c>
      <c r="F42" s="48">
        <f ca="1">C42*D42*E42-F37</f>
        <v>663918494400</v>
      </c>
      <c r="G42" s="49">
        <f t="shared" ca="1" si="7"/>
        <v>36.114339714055717</v>
      </c>
      <c r="H42" s="48">
        <v>1.6</v>
      </c>
      <c r="I42" s="50">
        <f t="shared" ca="1" si="8"/>
        <v>1.7721492489336909E-4</v>
      </c>
      <c r="J42" s="50">
        <f t="shared" ca="1" si="9"/>
        <v>2.7689832014588918E-2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VLOOKUP(MID($B43,C$9,2),_xlpm.row_count,MATCH(C$12,$C$3:$E$3,0)+2,0)))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VLOOKUP(MID($B43,D$9,2),_xlpm.row_count,MATCH(D$12,$C$3:$E$3,0)+2,0)))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VLOOKUP(MID($B43,E$9,2),_xlpm.row_count,MATCH(E$12,$C$3:$E$3,0)+2,0)))</f>
        <v>16626</v>
      </c>
      <c r="F43" s="48">
        <f ca="1">C43*D43*E43-F37</f>
        <v>1060523469012</v>
      </c>
      <c r="G43" s="49">
        <f t="shared" ca="1" si="7"/>
        <v>22.608625598397481</v>
      </c>
      <c r="H43" s="48">
        <v>1</v>
      </c>
      <c r="I43" s="50">
        <f t="shared" ca="1" si="8"/>
        <v>1.7692362512666509E-4</v>
      </c>
      <c r="J43" s="50">
        <f t="shared" ca="1" si="9"/>
        <v>4.4230906281666274E-2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VLOOKUP(MID($B44,C$9,2),_xlpm.row_count,MATCH(C$12,$C$3:$E$3,0)+2,0)))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VLOOKUP(MID($B44,D$9,2),_xlpm.row_count,MATCH(D$12,$C$3:$E$3,0)+2,0)))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VLOOKUP(MID($B44,E$9,2),_xlpm.row_count,MATCH(E$12,$C$3:$E$3,0)+2,0)))</f>
        <v>17667</v>
      </c>
      <c r="F44" s="53">
        <f ca="1">C44*D44*E44-F37</f>
        <v>1167938101278</v>
      </c>
      <c r="G44" s="54">
        <f t="shared" ca="1" si="7"/>
        <v>20.529322592498289</v>
      </c>
      <c r="H44" s="53">
        <v>0.4</v>
      </c>
      <c r="I44" s="55">
        <f t="shared" ca="1" si="8"/>
        <v>7.7937301281663486E-5</v>
      </c>
      <c r="J44" s="55">
        <f t="shared" ca="1" si="9"/>
        <v>4.8710813301039678E-2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32">
        <f>PRODUCT('Regular Symbol'!C96:E96)</f>
        <v>23976978049206</v>
      </c>
      <c r="D47" s="332"/>
      <c r="E47" s="332"/>
      <c r="F47" s="332"/>
      <c r="G47" s="332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VLOOKUP(MID($B49,C$9,2),_xlpm.row_count,MATCH(C$12,$C$3:$E$3,0)+2,0)))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VLOOKUP(MID($B49,D$9,2),_xlpm.row_count,MATCH(D$12,$C$3:$E$3,0)+2,0)))</f>
        <v>38659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VLOOKUP(MID($B49,E$9,2),_xlpm.row_count,MATCH(E$12,$C$3:$E$3,0)+2,0)))</f>
        <v>11844</v>
      </c>
      <c r="F49" s="43">
        <f ca="1">C49*D49*E49</f>
        <v>1535720115384</v>
      </c>
      <c r="G49" s="44">
        <f t="shared" ref="G49:G56" ca="1" si="10">C$11/F49</f>
        <v>15.612856671614713</v>
      </c>
      <c r="H49" s="43" cm="1">
        <f t="array" ref="H49:H56">_xlfn.ANCHORARRAY(H37)</f>
        <v>5</v>
      </c>
      <c r="I49" s="45">
        <f t="shared" ref="I49:I56" ca="1" si="11">J49*H49/$C$1</f>
        <v>1.280995555179945E-3</v>
      </c>
      <c r="J49" s="45">
        <f t="shared" ref="J49:J56" ca="1" si="12">F49/C$11</f>
        <v>6.4049777758997256E-2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VLOOKUP(MID($B50,C$9,2),_xlpm.row_count,MATCH(C$12,$C$3:$E$3,0)+2,0)))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VLOOKUP(MID($B50,D$9,2),_xlpm.row_count,MATCH(D$12,$C$3:$E$3,0)+2,0)))</f>
        <v>38659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VLOOKUP(MID($B50,E$9,2),_xlpm.row_count,MATCH(E$12,$C$3:$E$3,0)+2,0)))</f>
        <v>14144</v>
      </c>
      <c r="F50" s="48">
        <f ca="1">C50*D50*E50-F49</f>
        <v>1063733312200</v>
      </c>
      <c r="G50" s="49">
        <f t="shared" ca="1" si="10"/>
        <v>22.540403477274875</v>
      </c>
      <c r="H50" s="48">
        <v>4</v>
      </c>
      <c r="I50" s="50">
        <f t="shared" ca="1" si="11"/>
        <v>7.0983645062658806E-4</v>
      </c>
      <c r="J50" s="50">
        <f t="shared" ca="1" si="12"/>
        <v>4.4364778164161754E-2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VLOOKUP(MID($B51,C$9,2),_xlpm.row_count,MATCH(C$12,$C$3:$E$3,0)+2,0)))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VLOOKUP(MID($B51,D$9,2),_xlpm.row_count,MATCH(D$12,$C$3:$E$3,0)+2,0)))</f>
        <v>38659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VLOOKUP(MID($B51,E$9,2),_xlpm.row_count,MATCH(E$12,$C$3:$E$3,0)+2,0)))</f>
        <v>14544</v>
      </c>
      <c r="F51" s="48">
        <f ca="1">C51*D51*E51-F49</f>
        <v>1081021617000</v>
      </c>
      <c r="G51" s="49">
        <f t="shared" ca="1" si="10"/>
        <v>22.179924686192468</v>
      </c>
      <c r="H51" s="48">
        <v>3</v>
      </c>
      <c r="I51" s="50">
        <f t="shared" ca="1" si="11"/>
        <v>5.4102979021701937E-4</v>
      </c>
      <c r="J51" s="50">
        <f t="shared" ca="1" si="12"/>
        <v>4.5085815851418277E-2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VLOOKUP(MID($B52,C$9,2),_xlpm.row_count,MATCH(C$12,$C$3:$E$3,0)+2,0)))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VLOOKUP(MID($B52,D$9,2),_xlpm.row_count,MATCH(D$12,$C$3:$E$3,0)+2,0)))</f>
        <v>38659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VLOOKUP(MID($B52,E$9,2),_xlpm.row_count,MATCH(E$12,$C$3:$E$3,0)+2,0)))</f>
        <v>15685</v>
      </c>
      <c r="F52" s="48">
        <f ca="1">C52*D52*E52-F49</f>
        <v>1346945821526</v>
      </c>
      <c r="G52" s="49">
        <f t="shared" ca="1" si="10"/>
        <v>17.800996644424554</v>
      </c>
      <c r="H52" s="48">
        <v>2.4</v>
      </c>
      <c r="I52" s="50">
        <f t="shared" ca="1" si="11"/>
        <v>5.3929564685395372E-4</v>
      </c>
      <c r="J52" s="50">
        <f t="shared" ca="1" si="12"/>
        <v>5.617662988062018E-2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VLOOKUP(MID($B53,C$9,2),_xlpm.row_count,MATCH(C$12,$C$3:$E$3,0)+2,0)))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VLOOKUP(MID($B53,D$9,2),_xlpm.row_count,MATCH(D$12,$C$3:$E$3,0)+2,0)))</f>
        <v>38659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VLOOKUP(MID($B53,E$9,2),_xlpm.row_count,MATCH(E$12,$C$3:$E$3,0)+2,0)))</f>
        <v>15185</v>
      </c>
      <c r="F53" s="48">
        <f ca="1">C53*D53*E53-F49</f>
        <v>1489868144526</v>
      </c>
      <c r="G53" s="49">
        <f t="shared" ca="1" si="10"/>
        <v>16.093355735741468</v>
      </c>
      <c r="H53" s="48">
        <v>2</v>
      </c>
      <c r="I53" s="50">
        <f t="shared" ca="1" si="11"/>
        <v>4.9709955657246377E-4</v>
      </c>
      <c r="J53" s="50">
        <f t="shared" ca="1" si="12"/>
        <v>6.2137444571557975E-2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VLOOKUP(MID($B54,C$9,2),_xlpm.row_count,MATCH(C$12,$C$3:$E$3,0)+2,0)))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VLOOKUP(MID($B54,D$9,2),_xlpm.row_count,MATCH(D$12,$C$3:$E$3,0)+2,0)))</f>
        <v>38659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VLOOKUP(MID($B54,E$9,2),_xlpm.row_count,MATCH(E$12,$C$3:$E$3,0)+2,0)))</f>
        <v>14544</v>
      </c>
      <c r="F54" s="48">
        <f ca="1">C54*D54*E54-F49</f>
        <v>1766974542120</v>
      </c>
      <c r="G54" s="49">
        <f t="shared" ca="1" si="10"/>
        <v>13.569509620913179</v>
      </c>
      <c r="H54" s="48">
        <v>1.6</v>
      </c>
      <c r="I54" s="50">
        <f t="shared" ca="1" si="11"/>
        <v>4.7164563634166933E-4</v>
      </c>
      <c r="J54" s="50">
        <f t="shared" ca="1" si="12"/>
        <v>7.3694630678385831E-2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VLOOKUP(MID($B55,C$9,2),_xlpm.row_count,MATCH(C$12,$C$3:$E$3,0)+2,0)))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VLOOKUP(MID($B55,D$9,2),_xlpm.row_count,MATCH(D$12,$C$3:$E$3,0)+2,0)))</f>
        <v>38659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VLOOKUP(MID($B55,E$9,2),_xlpm.row_count,MATCH(E$12,$C$3:$E$3,0)+2,0)))</f>
        <v>16626</v>
      </c>
      <c r="F55" s="48">
        <f ca="1">C55*D55*E55-F49</f>
        <v>2111212370532</v>
      </c>
      <c r="G55" s="49">
        <f t="shared" ca="1" si="10"/>
        <v>11.356971181048968</v>
      </c>
      <c r="H55" s="48">
        <v>1</v>
      </c>
      <c r="I55" s="50">
        <f t="shared" ca="1" si="11"/>
        <v>3.5220658186354105E-4</v>
      </c>
      <c r="J55" s="50">
        <f t="shared" ca="1" si="12"/>
        <v>8.8051645465885259E-2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VLOOKUP(MID($B56,C$9,2),_xlpm.row_count,MATCH(C$12,$C$3:$E$3,0)+2,0)))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VLOOKUP(MID($B56,D$9,2),_xlpm.row_count,MATCH(D$12,$C$3:$E$3,0)+2,0)))</f>
        <v>38659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VLOOKUP(MID($B56,E$9,2),_xlpm.row_count,MATCH(E$12,$C$3:$E$3,0)+2,0)))</f>
        <v>17667</v>
      </c>
      <c r="F56" s="53">
        <f ca="1">C56*D56*E56-F49</f>
        <v>2476154644938</v>
      </c>
      <c r="G56" s="54">
        <f t="shared" ca="1" si="10"/>
        <v>9.6831504842486744</v>
      </c>
      <c r="H56" s="53">
        <v>0.4</v>
      </c>
      <c r="I56" s="55">
        <f t="shared" ca="1" si="11"/>
        <v>1.6523547812281528E-4</v>
      </c>
      <c r="J56" s="55">
        <f t="shared" ca="1" si="12"/>
        <v>0.10327217382675954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2">
        <f>PRODUCT('Regular Symbol'!C96:E96)</f>
        <v>23976978049206</v>
      </c>
      <c r="D59" s="332"/>
      <c r="E59" s="332"/>
      <c r="F59" s="332"/>
      <c r="G59" s="332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VLOOKUP(MID($B61,C$9,2),_xlpm.row_count,MATCH(C$12,$C$3:$E$3,0)+2,0)))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VLOOKUP(MID($B61,D$9,2),_xlpm.row_count,MATCH(D$12,$C$3:$E$3,0)+2,0)))</f>
        <v>38659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VLOOKUP(MID($B61,E$9,2),_xlpm.row_count,MATCH(E$12,$C$3:$E$3,0)+2,0)))</f>
        <v>11844</v>
      </c>
      <c r="F61" s="43">
        <f ca="1">C61*D61*E61</f>
        <v>1535720115384</v>
      </c>
      <c r="G61" s="44">
        <f t="shared" ref="G61:G68" ca="1" si="13">C$11/F61</f>
        <v>15.612856671614713</v>
      </c>
      <c r="H61" s="43" cm="1">
        <f t="array" ref="H61:H68">_xlfn.ANCHORARRAY(H49)</f>
        <v>5</v>
      </c>
      <c r="I61" s="45">
        <f t="shared" ref="I61:I68" ca="1" si="14">J61*H61/$C$1</f>
        <v>1.280995555179945E-3</v>
      </c>
      <c r="J61" s="45">
        <f t="shared" ref="J61:J68" ca="1" si="15">F61/C$11</f>
        <v>6.4049777758997256E-2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VLOOKUP(MID($B62,C$9,2),_xlpm.row_count,MATCH(C$12,$C$3:$E$3,0)+2,0)))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VLOOKUP(MID($B62,D$9,2),_xlpm.row_count,MATCH(D$12,$C$3:$E$3,0)+2,0)))</f>
        <v>38659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VLOOKUP(MID($B62,E$9,2),_xlpm.row_count,MATCH(E$12,$C$3:$E$3,0)+2,0)))</f>
        <v>15185</v>
      </c>
      <c r="F62" s="48">
        <f ca="1">C62*D62*E62-F61</f>
        <v>1255053378526</v>
      </c>
      <c r="G62" s="49">
        <f t="shared" ca="1" si="13"/>
        <v>19.104349232831684</v>
      </c>
      <c r="H62" s="48">
        <v>4</v>
      </c>
      <c r="I62" s="50">
        <f t="shared" ca="1" si="14"/>
        <v>8.3750562790714067E-4</v>
      </c>
      <c r="J62" s="50">
        <f t="shared" ca="1" si="15"/>
        <v>5.2344101744196292E-2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VLOOKUP(MID($B63,C$9,2),_xlpm.row_count,MATCH(C$12,$C$3:$E$3,0)+2,0)))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VLOOKUP(MID($B63,D$9,2),_xlpm.row_count,MATCH(D$12,$C$3:$E$3,0)+2,0)))</f>
        <v>38659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VLOOKUP(MID($B63,E$9,2),_xlpm.row_count,MATCH(E$12,$C$3:$E$3,0)+2,0)))</f>
        <v>15585</v>
      </c>
      <c r="F63" s="48">
        <f ca="1">C63*D63*E63-F61</f>
        <v>1268317281426</v>
      </c>
      <c r="G63" s="49">
        <f t="shared" ca="1" si="13"/>
        <v>18.904558346984043</v>
      </c>
      <c r="H63" s="48">
        <v>3</v>
      </c>
      <c r="I63" s="50">
        <f t="shared" ca="1" si="14"/>
        <v>6.3476754017448018E-4</v>
      </c>
      <c r="J63" s="50">
        <f t="shared" ca="1" si="15"/>
        <v>5.2897295014540019E-2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VLOOKUP(MID($B64,C$9,2),_xlpm.row_count,MATCH(C$12,$C$3:$E$3,0)+2,0)))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VLOOKUP(MID($B64,D$9,2),_xlpm.row_count,MATCH(D$12,$C$3:$E$3,0)+2,0)))</f>
        <v>38659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VLOOKUP(MID($B64,E$9,2),_xlpm.row_count,MATCH(E$12,$C$3:$E$3,0)+2,0)))</f>
        <v>14644</v>
      </c>
      <c r="F64" s="48">
        <f ca="1">C64*D64*E64-F61</f>
        <v>1155625755200</v>
      </c>
      <c r="G64" s="49">
        <f t="shared" ca="1" si="13"/>
        <v>20.748047489696514</v>
      </c>
      <c r="H64" s="48">
        <v>2.4</v>
      </c>
      <c r="I64" s="50">
        <f t="shared" ca="1" si="14"/>
        <v>4.6269414048562214E-4</v>
      </c>
      <c r="J64" s="50">
        <f t="shared" ca="1" si="15"/>
        <v>4.8197306300585642E-2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VLOOKUP(MID($B65,C$9,2),_xlpm.row_count,MATCH(C$12,$C$3:$E$3,0)+2,0)))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VLOOKUP(MID($B65,D$9,2),_xlpm.row_count,MATCH(D$12,$C$3:$E$3,0)+2,0)))</f>
        <v>38659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VLOOKUP(MID($B65,E$9,2),_xlpm.row_count,MATCH(E$12,$C$3:$E$3,0)+2,0)))</f>
        <v>15185</v>
      </c>
      <c r="F65" s="48">
        <f ca="1">C65*D65*E65-F61</f>
        <v>2217793919126</v>
      </c>
      <c r="G65" s="49">
        <f t="shared" ca="1" si="13"/>
        <v>10.811183961878196</v>
      </c>
      <c r="H65" s="48">
        <v>2</v>
      </c>
      <c r="I65" s="50">
        <f t="shared" ca="1" si="14"/>
        <v>7.3997445869103341E-4</v>
      </c>
      <c r="J65" s="50">
        <f t="shared" ca="1" si="15"/>
        <v>9.2496807336379175E-2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VLOOKUP(MID($B66,C$9,2),_xlpm.row_count,MATCH(C$12,$C$3:$E$3,0)+2,0)))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VLOOKUP(MID($B66,D$9,2),_xlpm.row_count,MATCH(D$12,$C$3:$E$3,0)+2,0)))</f>
        <v>38659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VLOOKUP(MID($B66,E$9,2),_xlpm.row_count,MATCH(E$12,$C$3:$E$3,0)+2,0)))</f>
        <v>16626</v>
      </c>
      <c r="F66" s="48">
        <f ca="1">C66*D66*E66-F61</f>
        <v>1841259666252</v>
      </c>
      <c r="G66" s="49">
        <f t="shared" ca="1" si="13"/>
        <v>13.022051418751081</v>
      </c>
      <c r="H66" s="48">
        <v>1.6</v>
      </c>
      <c r="I66" s="50">
        <f t="shared" ca="1" si="14"/>
        <v>4.9147402311622962E-4</v>
      </c>
      <c r="J66" s="50">
        <f t="shared" ca="1" si="15"/>
        <v>7.6792816111910883E-2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VLOOKUP(MID($B67,C$9,2),_xlpm.row_count,MATCH(C$12,$C$3:$E$3,0)+2,0)))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VLOOKUP(MID($B67,D$9,2),_xlpm.row_count,MATCH(D$12,$C$3:$E$3,0)+2,0)))</f>
        <v>38659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VLOOKUP(MID($B67,E$9,2),_xlpm.row_count,MATCH(E$12,$C$3:$E$3,0)+2,0)))</f>
        <v>14544</v>
      </c>
      <c r="F67" s="48">
        <f ca="1">C67*D67*E67-F61</f>
        <v>1305924215400</v>
      </c>
      <c r="G67" s="49">
        <f t="shared" ca="1" si="13"/>
        <v>18.360160387914956</v>
      </c>
      <c r="H67" s="48">
        <v>1</v>
      </c>
      <c r="I67" s="50">
        <f t="shared" ca="1" si="14"/>
        <v>2.1786302055579448E-4</v>
      </c>
      <c r="J67" s="50">
        <f t="shared" ca="1" si="15"/>
        <v>5.4465755138948621E-2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VLOOKUP(MID($B68,C$9,2),_xlpm.row_count,MATCH(C$12,$C$3:$E$3,0)+2,0)))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VLOOKUP(MID($B68,D$9,2),_xlpm.row_count,MATCH(D$12,$C$3:$E$3,0)+2,0)))</f>
        <v>38659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VLOOKUP(MID($B68,E$9,2),_xlpm.row_count,MATCH(E$12,$C$3:$E$3,0)+2,0)))</f>
        <v>16626</v>
      </c>
      <c r="F68" s="53">
        <f ca="1">C68*D68*E68-F61</f>
        <v>2239761277332</v>
      </c>
      <c r="G68" s="54">
        <f t="shared" ca="1" si="13"/>
        <v>10.705148933446754</v>
      </c>
      <c r="H68" s="53">
        <v>0.4</v>
      </c>
      <c r="I68" s="55">
        <f t="shared" ca="1" si="14"/>
        <v>1.4946078844368262E-4</v>
      </c>
      <c r="J68" s="55">
        <f t="shared" ca="1" si="15"/>
        <v>9.341299277730164E-2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1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809E3-6603-4141-9273-13C3D1B46F02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f>Bet_4</f>
        <v>250</v>
      </c>
      <c r="D1" s="1"/>
      <c r="E1" s="1"/>
      <c r="F1" s="1"/>
      <c r="G1" s="1"/>
      <c r="H1" s="2" t="s">
        <v>79</v>
      </c>
      <c r="I1" s="20">
        <f ca="1">SUM(I12:I68)*I3</f>
        <v>0.23355647938282445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(I1/I3)*O15*I3</f>
        <v>8.6325365241464844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10</v>
      </c>
      <c r="J3" s="33"/>
      <c r="K3" s="69"/>
      <c r="L3" s="128">
        <v>1</v>
      </c>
      <c r="M3" s="108" cm="1">
        <f t="array" ref="M3:M14">N3:N14/SUM(N3:N14)</f>
        <v>0.12820512820512819</v>
      </c>
      <c r="N3" s="169">
        <v>15000000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18.416666666666664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0.12820512820512819</v>
      </c>
      <c r="N4" s="170">
        <v>15000000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18.416666666666664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0.12820512820512819</v>
      </c>
      <c r="N5" s="170">
        <v>15000000</v>
      </c>
      <c r="O5" s="124">
        <v>3</v>
      </c>
      <c r="P5" s="26"/>
      <c r="Q5" s="116">
        <v>4</v>
      </c>
      <c r="R5" s="108">
        <v>0.21186440677966101</v>
      </c>
      <c r="S5" s="173">
        <v>150000000</v>
      </c>
      <c r="T5" s="116">
        <v>18.279542566709022</v>
      </c>
      <c r="U5" s="1"/>
      <c r="V5" s="116">
        <v>3</v>
      </c>
      <c r="W5" s="122">
        <v>0</v>
      </c>
      <c r="X5" s="92">
        <v>0</v>
      </c>
      <c r="Y5" s="92">
        <v>8.8945362134688691E-3</v>
      </c>
      <c r="Z5" s="92">
        <v>1.1570247933884297E-2</v>
      </c>
      <c r="AA5" s="92">
        <v>1.1570247933884297E-2</v>
      </c>
      <c r="AB5" s="92">
        <v>1.1570247933884297E-2</v>
      </c>
      <c r="AC5" s="92">
        <v>1.1570247933884297E-2</v>
      </c>
      <c r="AD5" s="92">
        <v>1.1570247933884297E-2</v>
      </c>
      <c r="AE5" s="92">
        <v>1.1570247933884297E-2</v>
      </c>
      <c r="AF5" s="110">
        <v>1.1570247933884297E-2</v>
      </c>
      <c r="AG5" s="110">
        <v>1.1570247933884297E-2</v>
      </c>
      <c r="AH5" s="174">
        <v>0</v>
      </c>
      <c r="AI5" s="278">
        <v>0</v>
      </c>
      <c r="AJ5" s="278">
        <v>3500000</v>
      </c>
      <c r="AK5" s="278">
        <v>3500000</v>
      </c>
      <c r="AL5" s="278">
        <v>3500000</v>
      </c>
      <c r="AM5" s="278">
        <v>3500000</v>
      </c>
      <c r="AN5" s="278">
        <v>3500000</v>
      </c>
      <c r="AO5" s="278">
        <v>3500000</v>
      </c>
      <c r="AP5" s="278">
        <v>3500000</v>
      </c>
      <c r="AQ5" s="278">
        <v>3500000</v>
      </c>
      <c r="AR5" s="278">
        <v>3500000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0.12820512820512819</v>
      </c>
      <c r="N6" s="170">
        <v>15000000</v>
      </c>
      <c r="O6" s="124">
        <v>5</v>
      </c>
      <c r="P6" s="26"/>
      <c r="Q6" s="116">
        <v>5</v>
      </c>
      <c r="R6" s="108">
        <v>0.21186440677966101</v>
      </c>
      <c r="S6" s="173">
        <v>150000000</v>
      </c>
      <c r="T6" s="116">
        <v>20.902479338842976</v>
      </c>
      <c r="U6" s="26"/>
      <c r="V6" s="116">
        <v>5</v>
      </c>
      <c r="W6" s="122">
        <v>0.30769230769230771</v>
      </c>
      <c r="X6" s="92">
        <v>0.30769230769230771</v>
      </c>
      <c r="Y6" s="92">
        <v>0.30495552731893266</v>
      </c>
      <c r="Z6" s="92">
        <v>0.2975206611570248</v>
      </c>
      <c r="AA6" s="92">
        <v>0.2975206611570248</v>
      </c>
      <c r="AB6" s="92">
        <v>0.2975206611570248</v>
      </c>
      <c r="AC6" s="92">
        <v>0.2975206611570248</v>
      </c>
      <c r="AD6" s="92">
        <v>0.2975206611570248</v>
      </c>
      <c r="AE6" s="92">
        <v>0.2975206611570248</v>
      </c>
      <c r="AF6" s="110">
        <v>0.2975206611570248</v>
      </c>
      <c r="AG6" s="110">
        <v>0.2975206611570248</v>
      </c>
      <c r="AH6" s="174">
        <v>120000000</v>
      </c>
      <c r="AI6" s="278">
        <v>120000000</v>
      </c>
      <c r="AJ6" s="278">
        <v>120000000</v>
      </c>
      <c r="AK6" s="278">
        <v>90000000</v>
      </c>
      <c r="AL6" s="278">
        <v>90000000</v>
      </c>
      <c r="AM6" s="278">
        <v>90000000</v>
      </c>
      <c r="AN6" s="278">
        <v>90000000</v>
      </c>
      <c r="AO6" s="278">
        <v>90000000</v>
      </c>
      <c r="AP6" s="278">
        <v>90000000</v>
      </c>
      <c r="AQ6" s="281">
        <v>90000000</v>
      </c>
      <c r="AR6" s="281">
        <v>90000000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0.12820512820512819</v>
      </c>
      <c r="N7" s="170">
        <v>15000000</v>
      </c>
      <c r="O7" s="124">
        <v>10</v>
      </c>
      <c r="P7" s="26"/>
      <c r="Q7" s="116">
        <v>6</v>
      </c>
      <c r="R7" s="108">
        <v>0.1327683615819209</v>
      </c>
      <c r="S7" s="173">
        <v>94000000</v>
      </c>
      <c r="T7" s="116">
        <v>20.902479338842976</v>
      </c>
      <c r="U7" s="1"/>
      <c r="V7" s="116">
        <v>10</v>
      </c>
      <c r="W7" s="122">
        <v>0.30769230769230771</v>
      </c>
      <c r="X7" s="92">
        <v>0.30769230769230771</v>
      </c>
      <c r="Y7" s="92">
        <v>0.30495552731893266</v>
      </c>
      <c r="Z7" s="92">
        <v>0.2975206611570248</v>
      </c>
      <c r="AA7" s="92">
        <v>0.2975206611570248</v>
      </c>
      <c r="AB7" s="92">
        <v>0.2975206611570248</v>
      </c>
      <c r="AC7" s="92">
        <v>0.2975206611570248</v>
      </c>
      <c r="AD7" s="92">
        <v>0.2975206611570248</v>
      </c>
      <c r="AE7" s="92">
        <v>0.2975206611570248</v>
      </c>
      <c r="AF7" s="110">
        <v>0.2975206611570248</v>
      </c>
      <c r="AG7" s="110">
        <v>0.2975206611570248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0.12820512820512819</v>
      </c>
      <c r="N8" s="170">
        <v>15000000</v>
      </c>
      <c r="O8" s="124">
        <v>15</v>
      </c>
      <c r="P8" s="26"/>
      <c r="Q8" s="116">
        <v>7</v>
      </c>
      <c r="R8" s="108">
        <v>0.12570621468926554</v>
      </c>
      <c r="S8" s="173">
        <v>89000000</v>
      </c>
      <c r="T8" s="116">
        <v>20.902479338842976</v>
      </c>
      <c r="U8" s="1"/>
      <c r="V8" s="116">
        <v>15</v>
      </c>
      <c r="W8" s="122">
        <v>0.23076923076923078</v>
      </c>
      <c r="X8" s="92">
        <v>0.23076923076923078</v>
      </c>
      <c r="Y8" s="92">
        <v>0.22871664548919948</v>
      </c>
      <c r="Z8" s="92">
        <v>0.16528925619834711</v>
      </c>
      <c r="AA8" s="92">
        <v>0.16528925619834711</v>
      </c>
      <c r="AB8" s="92">
        <v>0.16528925619834711</v>
      </c>
      <c r="AC8" s="92">
        <v>0.16528925619834711</v>
      </c>
      <c r="AD8" s="92">
        <v>0.16528925619834711</v>
      </c>
      <c r="AE8" s="92">
        <v>0.16528925619834711</v>
      </c>
      <c r="AF8" s="110">
        <v>0.16528925619834711</v>
      </c>
      <c r="AG8" s="110">
        <v>0.16528925619834711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4.2735042735042736E-2</v>
      </c>
      <c r="N9" s="170">
        <v>5000000</v>
      </c>
      <c r="O9" s="124">
        <v>20</v>
      </c>
      <c r="P9" s="26"/>
      <c r="Q9" s="116">
        <v>8</v>
      </c>
      <c r="R9" s="108">
        <v>0.1115819209039548</v>
      </c>
      <c r="S9" s="173">
        <v>79000000</v>
      </c>
      <c r="T9" s="116">
        <v>20.902479338842976</v>
      </c>
      <c r="U9" s="1"/>
      <c r="V9" s="116">
        <v>20</v>
      </c>
      <c r="W9" s="122">
        <v>5.3846153846153849E-2</v>
      </c>
      <c r="X9" s="92">
        <v>5.3846153846153849E-2</v>
      </c>
      <c r="Y9" s="92">
        <v>5.3367217280813214E-2</v>
      </c>
      <c r="Z9" s="92">
        <v>9.9173553719008267E-2</v>
      </c>
      <c r="AA9" s="92">
        <v>9.9173553719008267E-2</v>
      </c>
      <c r="AB9" s="92">
        <v>9.9173553719008267E-2</v>
      </c>
      <c r="AC9" s="92">
        <v>9.9173553719008267E-2</v>
      </c>
      <c r="AD9" s="92">
        <v>9.9173553719008267E-2</v>
      </c>
      <c r="AE9" s="92">
        <v>9.9173553719008267E-2</v>
      </c>
      <c r="AF9" s="110">
        <v>9.9173553719008267E-2</v>
      </c>
      <c r="AG9" s="110">
        <v>9.9173553719008267E-2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1.7094017094017096E-2</v>
      </c>
      <c r="N10" s="170">
        <v>2000000</v>
      </c>
      <c r="O10" s="124">
        <v>25</v>
      </c>
      <c r="P10" s="26"/>
      <c r="Q10" s="116">
        <v>9</v>
      </c>
      <c r="R10" s="108">
        <v>0.10451977401129943</v>
      </c>
      <c r="S10" s="173">
        <v>74000000</v>
      </c>
      <c r="T10" s="116">
        <v>20.902479338842976</v>
      </c>
      <c r="U10" s="1"/>
      <c r="V10" s="116">
        <v>25</v>
      </c>
      <c r="W10" s="122">
        <v>3.4615384615384617E-2</v>
      </c>
      <c r="X10" s="92">
        <v>3.4615384615384617E-2</v>
      </c>
      <c r="Y10" s="92">
        <v>3.4307496823379927E-2</v>
      </c>
      <c r="Z10" s="92">
        <v>4.4628099173553717E-2</v>
      </c>
      <c r="AA10" s="92">
        <v>4.4628099173553717E-2</v>
      </c>
      <c r="AB10" s="92">
        <v>4.4628099173553717E-2</v>
      </c>
      <c r="AC10" s="92">
        <v>4.4628099173553717E-2</v>
      </c>
      <c r="AD10" s="92">
        <v>4.4628099173553717E-2</v>
      </c>
      <c r="AE10" s="92">
        <v>4.4628099173553717E-2</v>
      </c>
      <c r="AF10" s="110">
        <v>4.4628099173553717E-2</v>
      </c>
      <c r="AG10" s="110">
        <v>4.4628099173553717E-2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32">
        <f>PRODUCT('Regular Symbol'!C96:E96)</f>
        <v>23976978049206</v>
      </c>
      <c r="D11" s="332"/>
      <c r="E11" s="332"/>
      <c r="F11" s="332"/>
      <c r="G11" s="332"/>
      <c r="H11" s="1"/>
      <c r="I11" s="33"/>
      <c r="J11" s="33"/>
      <c r="K11" s="33"/>
      <c r="L11" s="124">
        <v>50</v>
      </c>
      <c r="M11" s="108">
        <v>1.7094017094017096E-2</v>
      </c>
      <c r="N11" s="170">
        <v>2000000</v>
      </c>
      <c r="O11" s="124">
        <v>50</v>
      </c>
      <c r="P11" s="26"/>
      <c r="Q11" s="116">
        <v>10</v>
      </c>
      <c r="R11" s="108">
        <v>7.6271186440677971E-2</v>
      </c>
      <c r="S11" s="173">
        <v>54000000</v>
      </c>
      <c r="T11" s="116">
        <v>20.902479338842976</v>
      </c>
      <c r="U11" s="1"/>
      <c r="V11" s="116">
        <v>50</v>
      </c>
      <c r="W11" s="122">
        <v>3.4615384615384617E-2</v>
      </c>
      <c r="X11" s="92">
        <v>3.4615384615384617E-2</v>
      </c>
      <c r="Y11" s="92">
        <v>3.4307496823379927E-2</v>
      </c>
      <c r="Z11" s="92">
        <v>4.4628099173553717E-2</v>
      </c>
      <c r="AA11" s="92">
        <v>4.4628099173553717E-2</v>
      </c>
      <c r="AB11" s="92">
        <v>4.4628099173553717E-2</v>
      </c>
      <c r="AC11" s="92">
        <v>4.4628099173553717E-2</v>
      </c>
      <c r="AD11" s="92">
        <v>4.4628099173553717E-2</v>
      </c>
      <c r="AE11" s="92">
        <v>4.4628099173553717E-2</v>
      </c>
      <c r="AF11" s="110">
        <v>4.4628099173553717E-2</v>
      </c>
      <c r="AG11" s="110">
        <v>4.4628099173553717E-2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1.7094017094017096E-2</v>
      </c>
      <c r="N12" s="170">
        <v>2000000</v>
      </c>
      <c r="O12" s="124">
        <v>100</v>
      </c>
      <c r="P12" s="26"/>
      <c r="Q12" s="124">
        <v>20</v>
      </c>
      <c r="R12" s="108">
        <v>1.977401129943503E-2</v>
      </c>
      <c r="S12" s="170">
        <v>14000000</v>
      </c>
      <c r="T12" s="124">
        <v>20.902479338842976</v>
      </c>
      <c r="U12" s="1"/>
      <c r="V12" s="116">
        <v>100</v>
      </c>
      <c r="W12" s="122">
        <v>2.1794871794871794E-2</v>
      </c>
      <c r="X12" s="92">
        <v>2.1794871794871794E-2</v>
      </c>
      <c r="Y12" s="92">
        <v>2.1601016518424398E-2</v>
      </c>
      <c r="Z12" s="92">
        <v>2.809917355371901E-2</v>
      </c>
      <c r="AA12" s="92">
        <v>2.809917355371901E-2</v>
      </c>
      <c r="AB12" s="92">
        <v>2.809917355371901E-2</v>
      </c>
      <c r="AC12" s="92">
        <v>2.809917355371901E-2</v>
      </c>
      <c r="AD12" s="92">
        <v>2.809917355371901E-2</v>
      </c>
      <c r="AE12" s="92">
        <v>2.809917355371901E-2</v>
      </c>
      <c r="AF12" s="110">
        <v>2.809917355371901E-2</v>
      </c>
      <c r="AG12" s="110">
        <v>2.809917355371901E-2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VLOOKUP(MID($B13,C$9,2),_xlpm.row_count,MATCH(C$12,$C$3:$E$3,0)+2,0)))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VLOOKUP(MID($B13,D$9,2),_xlpm.row_count,MATCH(D$12,$C$3:$E$3,0)+2,0)))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VLOOKUP(MID($B13,E$9,2),_xlpm.row_count,MATCH(E$12,$C$3:$E$3,0)+2,0)))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4.0637702705002328E-4</v>
      </c>
      <c r="J13" s="45">
        <f t="shared" ref="J13:J20" si="2">F13/C$11</f>
        <v>2.0318851352501163E-2</v>
      </c>
      <c r="K13" s="67"/>
      <c r="L13" s="124">
        <v>500</v>
      </c>
      <c r="M13" s="108">
        <v>2.564102564102564E-2</v>
      </c>
      <c r="N13" s="170">
        <v>3000000</v>
      </c>
      <c r="O13" s="124">
        <v>500</v>
      </c>
      <c r="P13" s="26"/>
      <c r="Q13" s="125">
        <v>50</v>
      </c>
      <c r="R13" s="109">
        <v>5.6497175141242938E-3</v>
      </c>
      <c r="S13" s="171">
        <v>4000000</v>
      </c>
      <c r="T13" s="125">
        <v>20.902479338842976</v>
      </c>
      <c r="U13" s="1"/>
      <c r="V13" s="117">
        <v>500</v>
      </c>
      <c r="W13" s="123">
        <v>8.9743589743589737E-3</v>
      </c>
      <c r="X13" s="112">
        <v>8.9743589743589737E-3</v>
      </c>
      <c r="Y13" s="112">
        <v>8.8945362134688691E-3</v>
      </c>
      <c r="Z13" s="112">
        <v>1.1570247933884297E-2</v>
      </c>
      <c r="AA13" s="112">
        <v>1.1570247933884297E-2</v>
      </c>
      <c r="AB13" s="112">
        <v>1.1570247933884297E-2</v>
      </c>
      <c r="AC13" s="112">
        <v>1.1570247933884297E-2</v>
      </c>
      <c r="AD13" s="112">
        <v>1.1570247933884297E-2</v>
      </c>
      <c r="AE13" s="112">
        <v>1.1570247933884297E-2</v>
      </c>
      <c r="AF13" s="113">
        <v>1.1570247933884297E-2</v>
      </c>
      <c r="AG13" s="113">
        <v>1.1570247933884297E-2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VLOOKUP(MID($B14,C$9,2),_xlpm.row_count,MATCH(C$12,$C$3:$E$3,0)+2,0)))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VLOOKUP(MID($B14,D$9,2),_xlpm.row_count,MATCH(D$12,$C$3:$E$3,0)+2,0)))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VLOOKUP(MID($B14,E$9,2),_xlpm.row_count,MATCH(E$12,$C$3:$E$3,0)+2,0)))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3.8130044733634619E-4</v>
      </c>
      <c r="J14" s="50">
        <f t="shared" si="2"/>
        <v>2.3831277958521635E-2</v>
      </c>
      <c r="K14" s="34"/>
      <c r="L14" s="129" t="s">
        <v>112</v>
      </c>
      <c r="M14" s="109">
        <v>0.1111111111111111</v>
      </c>
      <c r="N14" s="171">
        <v>13000000</v>
      </c>
      <c r="O14" s="130">
        <f>T16</f>
        <v>141.1126767327716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VLOOKUP(MID($B15,C$9,2),_xlpm.row_count,MATCH(C$12,$C$3:$E$3,0)+2,0)))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VLOOKUP(MID($B15,D$9,2),_xlpm.row_count,MATCH(D$12,$C$3:$E$3,0)+2,0)))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VLOOKUP(MID($B15,E$9,2),_xlpm.row_count,MATCH(E$12,$C$3:$E$3,0)+2,0)))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2.957535834665715E-4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36.961237585692572</v>
      </c>
      <c r="P15" s="1"/>
      <c r="Q15" s="1"/>
      <c r="R15" s="1"/>
      <c r="S15" s="1" t="s">
        <v>89</v>
      </c>
      <c r="T15" s="1">
        <f>SUMPRODUCT(Q3:Q13, R3:R13)</f>
        <v>6.8573446327683607</v>
      </c>
      <c r="U15" s="1"/>
      <c r="V15" s="1" t="s">
        <v>90</v>
      </c>
      <c r="W15" s="93">
        <f t="shared" ref="W15:AG15" si="3">SUMPRODUCT($V$3:$V$13,_xlfn.ANCHORARRAY(W3))</f>
        <v>18.416666666666664</v>
      </c>
      <c r="X15" s="93">
        <f t="shared" si="3"/>
        <v>18.416666666666664</v>
      </c>
      <c r="Y15" s="93">
        <f t="shared" si="3"/>
        <v>18.279542566709022</v>
      </c>
      <c r="Z15" s="93">
        <f t="shared" si="3"/>
        <v>20.902479338842976</v>
      </c>
      <c r="AA15" s="93">
        <f t="shared" si="3"/>
        <v>20.902479338842976</v>
      </c>
      <c r="AB15" s="93">
        <f t="shared" si="3"/>
        <v>20.902479338842976</v>
      </c>
      <c r="AC15" s="93">
        <f t="shared" si="3"/>
        <v>20.902479338842976</v>
      </c>
      <c r="AD15" s="93">
        <f t="shared" si="3"/>
        <v>20.902479338842976</v>
      </c>
      <c r="AE15" s="93">
        <f t="shared" si="3"/>
        <v>20.902479338842976</v>
      </c>
      <c r="AF15" s="93">
        <f t="shared" si="3"/>
        <v>20.902479338842976</v>
      </c>
      <c r="AG15" s="93">
        <f t="shared" si="3"/>
        <v>20.902479338842976</v>
      </c>
      <c r="AH15" s="1" cm="1">
        <f t="array" ref="AH15">AH2*SMALL(_xlfn.UNIQUE($V$3:$V$13*--(AH3:AH13&gt;0)),2)</f>
        <v>10</v>
      </c>
      <c r="AI15" s="1" cm="1">
        <f t="array" ref="AI15">AI2*SMALL(_xlfn.UNIQUE($V$3:$V$13*--(AI3:AI13&gt;0)),2)</f>
        <v>15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VLOOKUP(MID($B16,C$9,2),_xlpm.row_count,MATCH(C$12,$C$3:$E$3,0)+2,0)))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VLOOKUP(MID($B16,D$9,2),_xlpm.row_count,MATCH(D$12,$C$3:$E$3,0)+2,0)))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VLOOKUP(MID($B16,E$9,2),_xlpm.row_count,MATCH(E$12,$C$3:$E$3,0)+2,0)))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2.4671038009028366E-4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141.1126767327716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VLOOKUP(MID($B17,C$9,2),_xlpm.row_count,MATCH(C$12,$C$3:$E$3,0)+2,0)))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VLOOKUP(MID($B17,D$9,2),_xlpm.row_count,MATCH(D$12,$C$3:$E$3,0)+2,0)))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VLOOKUP(MID($B17,E$9,2),_xlpm.row_count,MATCH(E$12,$C$3:$E$3,0)+2,0)))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3.4936606371232826E-4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VLOOKUP(MID($B18,C$9,2),_xlpm.row_count,MATCH(C$12,$C$3:$E$3,0)+2,0)))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VLOOKUP(MID($B18,D$9,2),_xlpm.row_count,MATCH(D$12,$C$3:$E$3,0)+2,0)))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VLOOKUP(MID($B18,E$9,2),_xlpm.row_count,MATCH(E$12,$C$3:$E$3,0)+2,0)))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3.1921478163201037E-4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VLOOKUP(MID($B19,C$9,2),_xlpm.row_count,MATCH(C$12,$C$3:$E$3,0)+2,0)))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VLOOKUP(MID($B19,D$9,2),_xlpm.row_count,MATCH(D$12,$C$3:$E$3,0)+2,0)))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VLOOKUP(MID($B19,E$9,2),_xlpm.row_count,MATCH(E$12,$C$3:$E$3,0)+2,0)))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1.27487108867801E-4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VLOOKUP(MID($B20,C$9,2),_xlpm.row_count,MATCH(C$12,$C$3:$E$3,0)+2,0)))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VLOOKUP(MID($B20,D$9,2),_xlpm.row_count,MATCH(D$12,$C$3:$E$3,0)+2,0)))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VLOOKUP(MID($B20,E$9,2),_xlpm.row_count,MATCH(E$12,$C$3:$E$3,0)+2,0)))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6.4358421969123037E-5</v>
      </c>
      <c r="J20" s="55">
        <f t="shared" si="2"/>
        <v>4.0224013730701891E-2</v>
      </c>
      <c r="K20" s="34"/>
      <c r="L20" s="35"/>
      <c r="M20" s="35"/>
      <c r="N20" s="35"/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35"/>
      <c r="M21" s="35"/>
      <c r="N21" s="35"/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35"/>
      <c r="M22" s="35"/>
      <c r="N22" s="35"/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32">
        <f>PRODUCT('Regular Symbol'!C96:E96)</f>
        <v>23976978049206</v>
      </c>
      <c r="D23" s="332"/>
      <c r="E23" s="332"/>
      <c r="F23" s="332"/>
      <c r="G23" s="332"/>
      <c r="H23" s="1"/>
      <c r="I23" s="33"/>
      <c r="J23" s="33"/>
      <c r="K23" s="34"/>
      <c r="L23" s="35"/>
      <c r="M23" s="35"/>
      <c r="N23" s="35"/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35"/>
      <c r="M24" s="35"/>
      <c r="N24" s="35"/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VLOOKUP(MID($B25,C$9,2),_xlpm.row_count,MATCH(C$12,$C$3:$E$3,0)+2,0)))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VLOOKUP(MID($B25,D$9,2),_xlpm.row_count,MATCH(D$12,$C$3:$E$3,0)+2,0)))</f>
        <v>38659</v>
      </c>
      <c r="E25" s="42">
        <f ca="1"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VLOOKUP(MID($B25,E$9,2),_xlpm.row_count,MATCH(E$12,$C$3:$E$3,0)+2,0)))</f>
        <v>37331</v>
      </c>
      <c r="F25" s="43">
        <f ca="1">C25*D25*E25</f>
        <v>4520037032028</v>
      </c>
      <c r="G25" s="44">
        <f t="shared" ref="G25:G32" ca="1" si="4">C$11/F25</f>
        <v>5.304597701149425</v>
      </c>
      <c r="H25" s="43" cm="1">
        <f t="array" ref="H25:H32">_xlfn.ANCHORARRAY(H13)</f>
        <v>5</v>
      </c>
      <c r="I25" s="45">
        <f t="shared" ref="I25:I32" ca="1" si="5">J25*H25/$C$1</f>
        <v>3.7703141928494043E-3</v>
      </c>
      <c r="J25" s="45">
        <f t="shared" ref="J25:J32" ca="1" si="6">F25/C$11</f>
        <v>0.18851570964247022</v>
      </c>
      <c r="K25" s="34"/>
      <c r="L25" s="35"/>
      <c r="M25" s="35"/>
      <c r="N25" s="35"/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VLOOKUP(MID($B26,C$9,2),_xlpm.row_count,MATCH(C$12,$C$3:$E$3,0)+2,0)))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VLOOKUP(MID($B26,D$9,2),_xlpm.row_count,MATCH(D$12,$C$3:$E$3,0)+2,0)))</f>
        <v>38659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VLOOKUP(MID($B26,E$9,2),_xlpm.row_count,MATCH(E$12,$C$3:$E$3,0)+2,0)))</f>
        <v>37331</v>
      </c>
      <c r="F26" s="48">
        <f ca="1">C26*D26*E26-F25</f>
        <v>2020450780600</v>
      </c>
      <c r="G26" s="49">
        <f t="shared" ca="1" si="4"/>
        <v>11.867142857142857</v>
      </c>
      <c r="H26" s="48">
        <v>4</v>
      </c>
      <c r="I26" s="50">
        <f t="shared" ca="1" si="5"/>
        <v>1.3482605031900807E-3</v>
      </c>
      <c r="J26" s="50">
        <f t="shared" ca="1" si="6"/>
        <v>8.4266281449380045E-2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VLOOKUP(MID($B27,C$9,2),_xlpm.row_count,MATCH(C$12,$C$3:$E$3,0)+2,0)))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VLOOKUP(MID($B27,D$9,2),_xlpm.row_count,MATCH(D$12,$C$3:$E$3,0)+2,0)))</f>
        <v>38659</v>
      </c>
      <c r="E27" s="47">
        <f ca="1"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VLOOKUP(MID($B27,E$9,2),_xlpm.row_count,MATCH(E$12,$C$3:$E$3,0)+2,0)))</f>
        <v>37331</v>
      </c>
      <c r="F27" s="48">
        <f ca="1">C27*D27*E27-F25</f>
        <v>1876132867700</v>
      </c>
      <c r="G27" s="49">
        <f t="shared" ca="1" si="4"/>
        <v>12.78</v>
      </c>
      <c r="H27" s="48">
        <v>3</v>
      </c>
      <c r="I27" s="50">
        <f t="shared" ca="1" si="5"/>
        <v>9.3896713615023472E-4</v>
      </c>
      <c r="J27" s="50">
        <f t="shared" ca="1" si="6"/>
        <v>7.82472613458529E-2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VLOOKUP(MID($B28,C$9,2),_xlpm.row_count,MATCH(C$12,$C$3:$E$3,0)+2,0)))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VLOOKUP(MID($B28,D$9,2),_xlpm.row_count,MATCH(D$12,$C$3:$E$3,0)+2,0)))</f>
        <v>38659</v>
      </c>
      <c r="E28" s="47">
        <f ca="1"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VLOOKUP(MID($B28,E$9,2),_xlpm.row_count,MATCH(E$12,$C$3:$E$3,0)+2,0)))</f>
        <v>37331</v>
      </c>
      <c r="F28" s="48">
        <f ca="1">C28*D28*E28-F25</f>
        <v>2020450780600</v>
      </c>
      <c r="G28" s="49">
        <f t="shared" ca="1" si="4"/>
        <v>11.867142857142857</v>
      </c>
      <c r="H28" s="48">
        <v>2.4</v>
      </c>
      <c r="I28" s="50">
        <f t="shared" ca="1" si="5"/>
        <v>8.0895630191404845E-4</v>
      </c>
      <c r="J28" s="50">
        <f t="shared" ca="1" si="6"/>
        <v>8.4266281449380045E-2</v>
      </c>
      <c r="K28" s="34"/>
      <c r="L28" s="35"/>
      <c r="M28" s="35"/>
      <c r="N28" s="35"/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VLOOKUP(MID($B29,C$9,2),_xlpm.row_count,MATCH(C$12,$C$3:$E$3,0)+2,0)))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VLOOKUP(MID($B29,D$9,2),_xlpm.row_count,MATCH(D$12,$C$3:$E$3,0)+2,0)))</f>
        <v>38659</v>
      </c>
      <c r="E29" s="47">
        <f ca="1"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VLOOKUP(MID($B29,E$9,2),_xlpm.row_count,MATCH(E$12,$C$3:$E$3,0)+2,0)))</f>
        <v>37331</v>
      </c>
      <c r="F29" s="48">
        <f ca="1">C29*D29*E29-F25</f>
        <v>3599288747726</v>
      </c>
      <c r="G29" s="49">
        <f t="shared" ca="1" si="4"/>
        <v>6.6615878107457895</v>
      </c>
      <c r="H29" s="48">
        <v>2</v>
      </c>
      <c r="I29" s="50">
        <f t="shared" ca="1" si="5"/>
        <v>1.2009148910557361E-3</v>
      </c>
      <c r="J29" s="50">
        <f t="shared" ca="1" si="6"/>
        <v>0.15011436138196702</v>
      </c>
      <c r="K29" s="34"/>
      <c r="L29" s="35"/>
      <c r="M29" s="35"/>
      <c r="N29" s="35"/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VLOOKUP(MID($B30,C$9,2),_xlpm.row_count,MATCH(C$12,$C$3:$E$3,0)+2,0)))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VLOOKUP(MID($B30,D$9,2),_xlpm.row_count,MATCH(D$12,$C$3:$E$3,0)+2,0)))</f>
        <v>38659</v>
      </c>
      <c r="E30" s="47">
        <f ca="1"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VLOOKUP(MID($B30,E$9,2),_xlpm.row_count,MATCH(E$12,$C$3:$E$3,0)+2,0)))</f>
        <v>37331</v>
      </c>
      <c r="F30" s="48">
        <f ca="1">C30*D30*E30-F25</f>
        <v>3242823502863</v>
      </c>
      <c r="G30" s="49">
        <f t="shared" ca="1" si="4"/>
        <v>7.3938584779706273</v>
      </c>
      <c r="H30" s="48">
        <v>1.6</v>
      </c>
      <c r="I30" s="50">
        <f t="shared" ca="1" si="5"/>
        <v>8.6558324304803196E-4</v>
      </c>
      <c r="J30" s="50">
        <f t="shared" ca="1" si="6"/>
        <v>0.13524738172625497</v>
      </c>
      <c r="K30" s="34"/>
      <c r="L30" s="35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VLOOKUP(MID($B31,C$9,2),_xlpm.row_count,MATCH(C$12,$C$3:$E$3,0)+2,0)))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VLOOKUP(MID($B31,D$9,2),_xlpm.row_count,MATCH(D$12,$C$3:$E$3,0)+2,0)))</f>
        <v>38659</v>
      </c>
      <c r="E31" s="47">
        <f ca="1"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VLOOKUP(MID($B31,E$9,2),_xlpm.row_count,MATCH(E$12,$C$3:$E$3,0)+2,0)))</f>
        <v>37331</v>
      </c>
      <c r="F31" s="48">
        <f ca="1">C31*D31*E31-F25</f>
        <v>2954187677063</v>
      </c>
      <c r="G31" s="49">
        <f t="shared" ca="1" si="4"/>
        <v>8.1162677088422086</v>
      </c>
      <c r="H31" s="48">
        <v>1</v>
      </c>
      <c r="I31" s="50">
        <f t="shared" ca="1" si="5"/>
        <v>4.9283736607680264E-4</v>
      </c>
      <c r="J31" s="50">
        <f t="shared" ca="1" si="6"/>
        <v>0.12320934151920067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VLOOKUP(MID($B32,C$9,2),_xlpm.row_count,MATCH(C$12,$C$3:$E$3,0)+2,0)))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VLOOKUP(MID($B32,D$9,2),_xlpm.row_count,MATCH(D$12,$C$3:$E$3,0)+2,0)))</f>
        <v>38659</v>
      </c>
      <c r="E32" s="52">
        <f ca="1"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VLOOKUP(MID($B32,E$9,2),_xlpm.row_count,MATCH(E$12,$C$3:$E$3,0)+2,0)))</f>
        <v>37331</v>
      </c>
      <c r="F32" s="53">
        <f ca="1">C32*D32*E32-F25</f>
        <v>3743606660626</v>
      </c>
      <c r="G32" s="54">
        <f t="shared" ca="1" si="4"/>
        <v>6.404780262143408</v>
      </c>
      <c r="H32" s="53">
        <v>0.4</v>
      </c>
      <c r="I32" s="55">
        <f t="shared" ca="1" si="5"/>
        <v>2.4981341037679064E-4</v>
      </c>
      <c r="J32" s="55">
        <f t="shared" ca="1" si="6"/>
        <v>0.15613338148549416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32">
        <f>PRODUCT('Regular Symbol'!C96:E96)</f>
        <v>23976978049206</v>
      </c>
      <c r="D35" s="332"/>
      <c r="E35" s="332"/>
      <c r="F35" s="332"/>
      <c r="G35" s="332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VLOOKUP(MID($B37,C$9,2),_xlpm.row_count,MATCH(C$12,$C$3:$E$3,0)+2,0)))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VLOOKUP(MID($B37,D$9,2),_xlpm.row_count,MATCH(D$12,$C$3:$E$3,0)+2,0)))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VLOOKUP(MID($B37,E$9,2),_xlpm.row_count,MATCH(E$12,$C$3:$E$3,0)+2,0)))</f>
        <v>11844</v>
      </c>
      <c r="F37" s="43">
        <f ca="1">C37*D37*E37</f>
        <v>487184652864</v>
      </c>
      <c r="G37" s="44">
        <f t="shared" ref="G37:G44" ca="1" si="7">C$11/F37</f>
        <v>49.215380468685026</v>
      </c>
      <c r="H37" s="43" cm="1">
        <f t="array" ref="H37:H44">_xlfn.ANCHORARRAY(H25)</f>
        <v>5</v>
      </c>
      <c r="I37" s="45">
        <f t="shared" ref="I37:I44" ca="1" si="8">J37*H37/$C$1</f>
        <v>4.0637702705002328E-4</v>
      </c>
      <c r="J37" s="45">
        <f t="shared" ref="J37:J44" ca="1" si="9">F37/C$11</f>
        <v>2.0318851352501163E-2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VLOOKUP(MID($B38,C$9,2),_xlpm.row_count,MATCH(C$12,$C$3:$E$3,0)+2,0)))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VLOOKUP(MID($B38,D$9,2),_xlpm.row_count,MATCH(D$12,$C$3:$E$3,0)+2,0)))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VLOOKUP(MID($B38,E$9,2),_xlpm.row_count,MATCH(E$12,$C$3:$E$3,0)+2,0)))</f>
        <v>14144</v>
      </c>
      <c r="F38" s="48">
        <f ca="1">C38*D38*E38-F37</f>
        <v>498831153600</v>
      </c>
      <c r="G38" s="49">
        <f t="shared" ca="1" si="7"/>
        <v>48.066320389509052</v>
      </c>
      <c r="H38" s="48">
        <v>4</v>
      </c>
      <c r="I38" s="50">
        <f t="shared" ca="1" si="8"/>
        <v>3.3287341053658348E-4</v>
      </c>
      <c r="J38" s="50">
        <f t="shared" ca="1" si="9"/>
        <v>2.0804588158536468E-2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VLOOKUP(MID($B39,C$9,2),_xlpm.row_count,MATCH(C$12,$C$3:$E$3,0)+2,0)))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VLOOKUP(MID($B39,D$9,2),_xlpm.row_count,MATCH(D$12,$C$3:$E$3,0)+2,0)))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VLOOKUP(MID($B39,E$9,2),_xlpm.row_count,MATCH(E$12,$C$3:$E$3,0)+2,0)))</f>
        <v>14544</v>
      </c>
      <c r="F39" s="48">
        <f ca="1">C39*D39*E39-F37</f>
        <v>665808923520</v>
      </c>
      <c r="G39" s="49">
        <f t="shared" ca="1" si="7"/>
        <v>36.011800386279688</v>
      </c>
      <c r="H39" s="48">
        <v>3</v>
      </c>
      <c r="I39" s="50">
        <f t="shared" ca="1" si="8"/>
        <v>3.3322410630077631E-4</v>
      </c>
      <c r="J39" s="50">
        <f t="shared" ca="1" si="9"/>
        <v>2.7768675525064693E-2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VLOOKUP(MID($B40,C$9,2),_xlpm.row_count,MATCH(C$12,$C$3:$E$3,0)+2,0)))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VLOOKUP(MID($B40,D$9,2),_xlpm.row_count,MATCH(D$12,$C$3:$E$3,0)+2,0)))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VLOOKUP(MID($B40,E$9,2),_xlpm.row_count,MATCH(E$12,$C$3:$E$3,0)+2,0)))</f>
        <v>15685</v>
      </c>
      <c r="F40" s="48">
        <f ca="1">C40*D40*E40-F37</f>
        <v>613715005496</v>
      </c>
      <c r="G40" s="49">
        <f t="shared" ca="1" si="7"/>
        <v>39.068586940982456</v>
      </c>
      <c r="H40" s="48">
        <v>2.4</v>
      </c>
      <c r="I40" s="50">
        <f t="shared" ca="1" si="8"/>
        <v>2.4572171024516174E-4</v>
      </c>
      <c r="J40" s="50">
        <f t="shared" ca="1" si="9"/>
        <v>2.5596011483871015E-2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VLOOKUP(MID($B41,C$9,2),_xlpm.row_count,MATCH(C$12,$C$3:$E$3,0)+2,0)))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VLOOKUP(MID($B41,D$9,2),_xlpm.row_count,MATCH(D$12,$C$3:$E$3,0)+2,0)))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VLOOKUP(MID($B41,E$9,2),_xlpm.row_count,MATCH(E$12,$C$3:$E$3,0)+2,0)))</f>
        <v>15185</v>
      </c>
      <c r="F41" s="48">
        <f ca="1">C41*D41*E41-F37</f>
        <v>1100187005746</v>
      </c>
      <c r="G41" s="49">
        <f t="shared" ca="1" si="7"/>
        <v>21.793547755045527</v>
      </c>
      <c r="H41" s="48">
        <v>2</v>
      </c>
      <c r="I41" s="50">
        <f t="shared" ca="1" si="8"/>
        <v>3.6708112373066385E-4</v>
      </c>
      <c r="J41" s="50">
        <f t="shared" ca="1" si="9"/>
        <v>4.5885140466332984E-2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VLOOKUP(MID($B42,C$9,2),_xlpm.row_count,MATCH(C$12,$C$3:$E$3,0)+2,0)))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VLOOKUP(MID($B42,D$9,2),_xlpm.row_count,MATCH(D$12,$C$3:$E$3,0)+2,0)))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VLOOKUP(MID($B42,E$9,2),_xlpm.row_count,MATCH(E$12,$C$3:$E$3,0)+2,0)))</f>
        <v>14544</v>
      </c>
      <c r="F42" s="48">
        <f ca="1">C42*D42*E42-F37</f>
        <v>663918494400</v>
      </c>
      <c r="G42" s="49">
        <f t="shared" ca="1" si="7"/>
        <v>36.114339714055717</v>
      </c>
      <c r="H42" s="48">
        <v>1.6</v>
      </c>
      <c r="I42" s="50">
        <f t="shared" ca="1" si="8"/>
        <v>1.7721492489336909E-4</v>
      </c>
      <c r="J42" s="50">
        <f t="shared" ca="1" si="9"/>
        <v>2.7689832014588918E-2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VLOOKUP(MID($B43,C$9,2),_xlpm.row_count,MATCH(C$12,$C$3:$E$3,0)+2,0)))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VLOOKUP(MID($B43,D$9,2),_xlpm.row_count,MATCH(D$12,$C$3:$E$3,0)+2,0)))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VLOOKUP(MID($B43,E$9,2),_xlpm.row_count,MATCH(E$12,$C$3:$E$3,0)+2,0)))</f>
        <v>16626</v>
      </c>
      <c r="F43" s="48">
        <f ca="1">C43*D43*E43-F37</f>
        <v>1060523469012</v>
      </c>
      <c r="G43" s="49">
        <f t="shared" ca="1" si="7"/>
        <v>22.608625598397481</v>
      </c>
      <c r="H43" s="48">
        <v>1</v>
      </c>
      <c r="I43" s="50">
        <f t="shared" ca="1" si="8"/>
        <v>1.7692362512666509E-4</v>
      </c>
      <c r="J43" s="50">
        <f t="shared" ca="1" si="9"/>
        <v>4.4230906281666274E-2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VLOOKUP(MID($B44,C$9,2),_xlpm.row_count,MATCH(C$12,$C$3:$E$3,0)+2,0)))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VLOOKUP(MID($B44,D$9,2),_xlpm.row_count,MATCH(D$12,$C$3:$E$3,0)+2,0)))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VLOOKUP(MID($B44,E$9,2),_xlpm.row_count,MATCH(E$12,$C$3:$E$3,0)+2,0)))</f>
        <v>17667</v>
      </c>
      <c r="F44" s="53">
        <f ca="1">C44*D44*E44-F37</f>
        <v>1167938101278</v>
      </c>
      <c r="G44" s="54">
        <f t="shared" ca="1" si="7"/>
        <v>20.529322592498289</v>
      </c>
      <c r="H44" s="53">
        <v>0.4</v>
      </c>
      <c r="I44" s="55">
        <f t="shared" ca="1" si="8"/>
        <v>7.7937301281663486E-5</v>
      </c>
      <c r="J44" s="55">
        <f t="shared" ca="1" si="9"/>
        <v>4.8710813301039678E-2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32">
        <f>PRODUCT('Regular Symbol'!C96:E96)</f>
        <v>23976978049206</v>
      </c>
      <c r="D47" s="332"/>
      <c r="E47" s="332"/>
      <c r="F47" s="332"/>
      <c r="G47" s="332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VLOOKUP(MID($B49,C$9,2),_xlpm.row_count,MATCH(C$12,$C$3:$E$3,0)+2,0)))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VLOOKUP(MID($B49,D$9,2),_xlpm.row_count,MATCH(D$12,$C$3:$E$3,0)+2,0)))</f>
        <v>38659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VLOOKUP(MID($B49,E$9,2),_xlpm.row_count,MATCH(E$12,$C$3:$E$3,0)+2,0)))</f>
        <v>11844</v>
      </c>
      <c r="F49" s="43">
        <f ca="1">C49*D49*E49</f>
        <v>1535720115384</v>
      </c>
      <c r="G49" s="44">
        <f t="shared" ref="G49:G56" ca="1" si="10">C$11/F49</f>
        <v>15.612856671614713</v>
      </c>
      <c r="H49" s="43" cm="1">
        <f t="array" ref="H49:H56">_xlfn.ANCHORARRAY(H37)</f>
        <v>5</v>
      </c>
      <c r="I49" s="45">
        <f t="shared" ref="I49:I56" ca="1" si="11">J49*H49/$C$1</f>
        <v>1.280995555179945E-3</v>
      </c>
      <c r="J49" s="45">
        <f t="shared" ref="J49:J56" ca="1" si="12">F49/C$11</f>
        <v>6.4049777758997256E-2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VLOOKUP(MID($B50,C$9,2),_xlpm.row_count,MATCH(C$12,$C$3:$E$3,0)+2,0)))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VLOOKUP(MID($B50,D$9,2),_xlpm.row_count,MATCH(D$12,$C$3:$E$3,0)+2,0)))</f>
        <v>38659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VLOOKUP(MID($B50,E$9,2),_xlpm.row_count,MATCH(E$12,$C$3:$E$3,0)+2,0)))</f>
        <v>14144</v>
      </c>
      <c r="F50" s="48">
        <f ca="1">C50*D50*E50-F49</f>
        <v>1063733312200</v>
      </c>
      <c r="G50" s="49">
        <f t="shared" ca="1" si="10"/>
        <v>22.540403477274875</v>
      </c>
      <c r="H50" s="48">
        <v>4</v>
      </c>
      <c r="I50" s="50">
        <f t="shared" ca="1" si="11"/>
        <v>7.0983645062658806E-4</v>
      </c>
      <c r="J50" s="50">
        <f t="shared" ca="1" si="12"/>
        <v>4.4364778164161754E-2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VLOOKUP(MID($B51,C$9,2),_xlpm.row_count,MATCH(C$12,$C$3:$E$3,0)+2,0)))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VLOOKUP(MID($B51,D$9,2),_xlpm.row_count,MATCH(D$12,$C$3:$E$3,0)+2,0)))</f>
        <v>38659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VLOOKUP(MID($B51,E$9,2),_xlpm.row_count,MATCH(E$12,$C$3:$E$3,0)+2,0)))</f>
        <v>14544</v>
      </c>
      <c r="F51" s="48">
        <f ca="1">C51*D51*E51-F49</f>
        <v>1081021617000</v>
      </c>
      <c r="G51" s="49">
        <f t="shared" ca="1" si="10"/>
        <v>22.179924686192468</v>
      </c>
      <c r="H51" s="48">
        <v>3</v>
      </c>
      <c r="I51" s="50">
        <f t="shared" ca="1" si="11"/>
        <v>5.4102979021701937E-4</v>
      </c>
      <c r="J51" s="50">
        <f t="shared" ca="1" si="12"/>
        <v>4.5085815851418277E-2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VLOOKUP(MID($B52,C$9,2),_xlpm.row_count,MATCH(C$12,$C$3:$E$3,0)+2,0)))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VLOOKUP(MID($B52,D$9,2),_xlpm.row_count,MATCH(D$12,$C$3:$E$3,0)+2,0)))</f>
        <v>38659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VLOOKUP(MID($B52,E$9,2),_xlpm.row_count,MATCH(E$12,$C$3:$E$3,0)+2,0)))</f>
        <v>15685</v>
      </c>
      <c r="F52" s="48">
        <f ca="1">C52*D52*E52-F49</f>
        <v>1346945821526</v>
      </c>
      <c r="G52" s="49">
        <f t="shared" ca="1" si="10"/>
        <v>17.800996644424554</v>
      </c>
      <c r="H52" s="48">
        <v>2.4</v>
      </c>
      <c r="I52" s="50">
        <f t="shared" ca="1" si="11"/>
        <v>5.3929564685395372E-4</v>
      </c>
      <c r="J52" s="50">
        <f t="shared" ca="1" si="12"/>
        <v>5.617662988062018E-2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VLOOKUP(MID($B53,C$9,2),_xlpm.row_count,MATCH(C$12,$C$3:$E$3,0)+2,0)))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VLOOKUP(MID($B53,D$9,2),_xlpm.row_count,MATCH(D$12,$C$3:$E$3,0)+2,0)))</f>
        <v>38659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VLOOKUP(MID($B53,E$9,2),_xlpm.row_count,MATCH(E$12,$C$3:$E$3,0)+2,0)))</f>
        <v>15185</v>
      </c>
      <c r="F53" s="48">
        <f ca="1">C53*D53*E53-F49</f>
        <v>1489868144526</v>
      </c>
      <c r="G53" s="49">
        <f t="shared" ca="1" si="10"/>
        <v>16.093355735741468</v>
      </c>
      <c r="H53" s="48">
        <v>2</v>
      </c>
      <c r="I53" s="50">
        <f t="shared" ca="1" si="11"/>
        <v>4.9709955657246377E-4</v>
      </c>
      <c r="J53" s="50">
        <f t="shared" ca="1" si="12"/>
        <v>6.2137444571557975E-2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VLOOKUP(MID($B54,C$9,2),_xlpm.row_count,MATCH(C$12,$C$3:$E$3,0)+2,0)))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VLOOKUP(MID($B54,D$9,2),_xlpm.row_count,MATCH(D$12,$C$3:$E$3,0)+2,0)))</f>
        <v>38659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VLOOKUP(MID($B54,E$9,2),_xlpm.row_count,MATCH(E$12,$C$3:$E$3,0)+2,0)))</f>
        <v>14544</v>
      </c>
      <c r="F54" s="48">
        <f ca="1">C54*D54*E54-F49</f>
        <v>1766974542120</v>
      </c>
      <c r="G54" s="49">
        <f t="shared" ca="1" si="10"/>
        <v>13.569509620913179</v>
      </c>
      <c r="H54" s="48">
        <v>1.6</v>
      </c>
      <c r="I54" s="50">
        <f t="shared" ca="1" si="11"/>
        <v>4.7164563634166933E-4</v>
      </c>
      <c r="J54" s="50">
        <f t="shared" ca="1" si="12"/>
        <v>7.3694630678385831E-2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VLOOKUP(MID($B55,C$9,2),_xlpm.row_count,MATCH(C$12,$C$3:$E$3,0)+2,0)))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VLOOKUP(MID($B55,D$9,2),_xlpm.row_count,MATCH(D$12,$C$3:$E$3,0)+2,0)))</f>
        <v>38659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VLOOKUP(MID($B55,E$9,2),_xlpm.row_count,MATCH(E$12,$C$3:$E$3,0)+2,0)))</f>
        <v>16626</v>
      </c>
      <c r="F55" s="48">
        <f ca="1">C55*D55*E55-F49</f>
        <v>2111212370532</v>
      </c>
      <c r="G55" s="49">
        <f t="shared" ca="1" si="10"/>
        <v>11.356971181048968</v>
      </c>
      <c r="H55" s="48">
        <v>1</v>
      </c>
      <c r="I55" s="50">
        <f t="shared" ca="1" si="11"/>
        <v>3.5220658186354105E-4</v>
      </c>
      <c r="J55" s="50">
        <f t="shared" ca="1" si="12"/>
        <v>8.8051645465885259E-2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VLOOKUP(MID($B56,C$9,2),_xlpm.row_count,MATCH(C$12,$C$3:$E$3,0)+2,0)))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VLOOKUP(MID($B56,D$9,2),_xlpm.row_count,MATCH(D$12,$C$3:$E$3,0)+2,0)))</f>
        <v>38659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VLOOKUP(MID($B56,E$9,2),_xlpm.row_count,MATCH(E$12,$C$3:$E$3,0)+2,0)))</f>
        <v>17667</v>
      </c>
      <c r="F56" s="53">
        <f ca="1">C56*D56*E56-F49</f>
        <v>2476154644938</v>
      </c>
      <c r="G56" s="54">
        <f t="shared" ca="1" si="10"/>
        <v>9.6831504842486744</v>
      </c>
      <c r="H56" s="53">
        <v>0.4</v>
      </c>
      <c r="I56" s="55">
        <f t="shared" ca="1" si="11"/>
        <v>1.6523547812281528E-4</v>
      </c>
      <c r="J56" s="55">
        <f t="shared" ca="1" si="12"/>
        <v>0.10327217382675954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2">
        <f>PRODUCT('Regular Symbol'!C96:E96)</f>
        <v>23976978049206</v>
      </c>
      <c r="D59" s="332"/>
      <c r="E59" s="332"/>
      <c r="F59" s="332"/>
      <c r="G59" s="332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VLOOKUP(MID($B61,C$9,2),_xlpm.row_count,MATCH(C$12,$C$3:$E$3,0)+2,0)))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VLOOKUP(MID($B61,D$9,2),_xlpm.row_count,MATCH(D$12,$C$3:$E$3,0)+2,0)))</f>
        <v>38659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VLOOKUP(MID($B61,E$9,2),_xlpm.row_count,MATCH(E$12,$C$3:$E$3,0)+2,0)))</f>
        <v>11844</v>
      </c>
      <c r="F61" s="43">
        <f ca="1">C61*D61*E61</f>
        <v>1535720115384</v>
      </c>
      <c r="G61" s="44">
        <f t="shared" ref="G61:G68" ca="1" si="13">C$11/F61</f>
        <v>15.612856671614713</v>
      </c>
      <c r="H61" s="43" cm="1">
        <f t="array" ref="H61:H68">_xlfn.ANCHORARRAY(H49)</f>
        <v>5</v>
      </c>
      <c r="I61" s="45">
        <f t="shared" ref="I61:I68" ca="1" si="14">J61*H61/$C$1</f>
        <v>1.280995555179945E-3</v>
      </c>
      <c r="J61" s="45">
        <f t="shared" ref="J61:J68" ca="1" si="15">F61/C$11</f>
        <v>6.4049777758997256E-2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VLOOKUP(MID($B62,C$9,2),_xlpm.row_count,MATCH(C$12,$C$3:$E$3,0)+2,0)))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VLOOKUP(MID($B62,D$9,2),_xlpm.row_count,MATCH(D$12,$C$3:$E$3,0)+2,0)))</f>
        <v>38659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VLOOKUP(MID($B62,E$9,2),_xlpm.row_count,MATCH(E$12,$C$3:$E$3,0)+2,0)))</f>
        <v>15185</v>
      </c>
      <c r="F62" s="48">
        <f ca="1">C62*D62*E62-F61</f>
        <v>1255053378526</v>
      </c>
      <c r="G62" s="49">
        <f t="shared" ca="1" si="13"/>
        <v>19.104349232831684</v>
      </c>
      <c r="H62" s="48">
        <v>4</v>
      </c>
      <c r="I62" s="50">
        <f t="shared" ca="1" si="14"/>
        <v>8.3750562790714067E-4</v>
      </c>
      <c r="J62" s="50">
        <f t="shared" ca="1" si="15"/>
        <v>5.2344101744196292E-2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VLOOKUP(MID($B63,C$9,2),_xlpm.row_count,MATCH(C$12,$C$3:$E$3,0)+2,0)))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VLOOKUP(MID($B63,D$9,2),_xlpm.row_count,MATCH(D$12,$C$3:$E$3,0)+2,0)))</f>
        <v>38659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VLOOKUP(MID($B63,E$9,2),_xlpm.row_count,MATCH(E$12,$C$3:$E$3,0)+2,0)))</f>
        <v>15585</v>
      </c>
      <c r="F63" s="48">
        <f ca="1">C63*D63*E63-F61</f>
        <v>1268317281426</v>
      </c>
      <c r="G63" s="49">
        <f t="shared" ca="1" si="13"/>
        <v>18.904558346984043</v>
      </c>
      <c r="H63" s="48">
        <v>3</v>
      </c>
      <c r="I63" s="50">
        <f t="shared" ca="1" si="14"/>
        <v>6.3476754017448018E-4</v>
      </c>
      <c r="J63" s="50">
        <f t="shared" ca="1" si="15"/>
        <v>5.2897295014540019E-2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VLOOKUP(MID($B64,C$9,2),_xlpm.row_count,MATCH(C$12,$C$3:$E$3,0)+2,0)))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VLOOKUP(MID($B64,D$9,2),_xlpm.row_count,MATCH(D$12,$C$3:$E$3,0)+2,0)))</f>
        <v>38659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VLOOKUP(MID($B64,E$9,2),_xlpm.row_count,MATCH(E$12,$C$3:$E$3,0)+2,0)))</f>
        <v>14644</v>
      </c>
      <c r="F64" s="48">
        <f ca="1">C64*D64*E64-F61</f>
        <v>1155625755200</v>
      </c>
      <c r="G64" s="49">
        <f t="shared" ca="1" si="13"/>
        <v>20.748047489696514</v>
      </c>
      <c r="H64" s="48">
        <v>2.4</v>
      </c>
      <c r="I64" s="50">
        <f t="shared" ca="1" si="14"/>
        <v>4.6269414048562214E-4</v>
      </c>
      <c r="J64" s="50">
        <f t="shared" ca="1" si="15"/>
        <v>4.8197306300585642E-2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VLOOKUP(MID($B65,C$9,2),_xlpm.row_count,MATCH(C$12,$C$3:$E$3,0)+2,0)))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VLOOKUP(MID($B65,D$9,2),_xlpm.row_count,MATCH(D$12,$C$3:$E$3,0)+2,0)))</f>
        <v>38659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VLOOKUP(MID($B65,E$9,2),_xlpm.row_count,MATCH(E$12,$C$3:$E$3,0)+2,0)))</f>
        <v>15185</v>
      </c>
      <c r="F65" s="48">
        <f ca="1">C65*D65*E65-F61</f>
        <v>2217793919126</v>
      </c>
      <c r="G65" s="49">
        <f t="shared" ca="1" si="13"/>
        <v>10.811183961878196</v>
      </c>
      <c r="H65" s="48">
        <v>2</v>
      </c>
      <c r="I65" s="50">
        <f t="shared" ca="1" si="14"/>
        <v>7.3997445869103341E-4</v>
      </c>
      <c r="J65" s="50">
        <f t="shared" ca="1" si="15"/>
        <v>9.2496807336379175E-2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VLOOKUP(MID($B66,C$9,2),_xlpm.row_count,MATCH(C$12,$C$3:$E$3,0)+2,0)))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VLOOKUP(MID($B66,D$9,2),_xlpm.row_count,MATCH(D$12,$C$3:$E$3,0)+2,0)))</f>
        <v>38659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VLOOKUP(MID($B66,E$9,2),_xlpm.row_count,MATCH(E$12,$C$3:$E$3,0)+2,0)))</f>
        <v>16626</v>
      </c>
      <c r="F66" s="48">
        <f ca="1">C66*D66*E66-F61</f>
        <v>1841259666252</v>
      </c>
      <c r="G66" s="49">
        <f t="shared" ca="1" si="13"/>
        <v>13.022051418751081</v>
      </c>
      <c r="H66" s="48">
        <v>1.6</v>
      </c>
      <c r="I66" s="50">
        <f t="shared" ca="1" si="14"/>
        <v>4.9147402311622962E-4</v>
      </c>
      <c r="J66" s="50">
        <f t="shared" ca="1" si="15"/>
        <v>7.6792816111910883E-2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VLOOKUP(MID($B67,C$9,2),_xlpm.row_count,MATCH(C$12,$C$3:$E$3,0)+2,0)))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VLOOKUP(MID($B67,D$9,2),_xlpm.row_count,MATCH(D$12,$C$3:$E$3,0)+2,0)))</f>
        <v>38659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VLOOKUP(MID($B67,E$9,2),_xlpm.row_count,MATCH(E$12,$C$3:$E$3,0)+2,0)))</f>
        <v>14544</v>
      </c>
      <c r="F67" s="48">
        <f ca="1">C67*D67*E67-F61</f>
        <v>1305924215400</v>
      </c>
      <c r="G67" s="49">
        <f t="shared" ca="1" si="13"/>
        <v>18.360160387914956</v>
      </c>
      <c r="H67" s="48">
        <v>1</v>
      </c>
      <c r="I67" s="50">
        <f t="shared" ca="1" si="14"/>
        <v>2.1786302055579448E-4</v>
      </c>
      <c r="J67" s="50">
        <f t="shared" ca="1" si="15"/>
        <v>5.4465755138948621E-2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VLOOKUP(MID($B68,C$9,2),_xlpm.row_count,MATCH(C$12,$C$3:$E$3,0)+2,0)))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VLOOKUP(MID($B68,D$9,2),_xlpm.row_count,MATCH(D$12,$C$3:$E$3,0)+2,0)))</f>
        <v>38659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VLOOKUP(MID($B68,E$9,2),_xlpm.row_count,MATCH(E$12,$C$3:$E$3,0)+2,0)))</f>
        <v>16626</v>
      </c>
      <c r="F68" s="53">
        <f ca="1">C68*D68*E68-F61</f>
        <v>2239761277332</v>
      </c>
      <c r="G68" s="54">
        <f t="shared" ca="1" si="13"/>
        <v>10.705148933446754</v>
      </c>
      <c r="H68" s="53">
        <v>0.4</v>
      </c>
      <c r="I68" s="55">
        <f t="shared" ca="1" si="14"/>
        <v>1.4946078844368262E-4</v>
      </c>
      <c r="J68" s="55">
        <f t="shared" ca="1" si="15"/>
        <v>9.341299277730164E-2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0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具名範圍</vt:lpstr>
      </vt:variant>
      <vt:variant>
        <vt:i4>4</vt:i4>
      </vt:variant>
    </vt:vector>
  </HeadingPairs>
  <TitlesOfParts>
    <vt:vector size="24" baseType="lpstr">
      <vt:lpstr>Overview</vt:lpstr>
      <vt:lpstr>Parameter</vt:lpstr>
      <vt:lpstr>Parameter-卡片</vt:lpstr>
      <vt:lpstr>Multiplier Weight</vt:lpstr>
      <vt:lpstr>Multiplier Weight (new_player)</vt:lpstr>
      <vt:lpstr>Multiplier Weight (bet100)</vt:lpstr>
      <vt:lpstr>Multiplier Weight (3FG)</vt:lpstr>
      <vt:lpstr>Multiplier Weight (5FG 10x)</vt:lpstr>
      <vt:lpstr>Multiplier Weight (10FG)</vt:lpstr>
      <vt:lpstr>Multiplier Weight (wei)</vt:lpstr>
      <vt:lpstr>Regular Symbol</vt:lpstr>
      <vt:lpstr>Reel 4 Symbol</vt:lpstr>
      <vt:lpstr>Pay Combo Normal Bet</vt:lpstr>
      <vt:lpstr>Pay Combo Extra Bet (1)</vt:lpstr>
      <vt:lpstr>Pay Combo Extra Bet (2)</vt:lpstr>
      <vt:lpstr>Pay Combo Super Feature Buy</vt:lpstr>
      <vt:lpstr>Super Feature Buy (bet100)</vt:lpstr>
      <vt:lpstr>Super Feature Buy (5FG 10x)</vt:lpstr>
      <vt:lpstr>Super Feature Buy (3FG)</vt:lpstr>
      <vt:lpstr>Super Feature Buy (10FG)</vt:lpstr>
      <vt:lpstr>Bet_1</vt:lpstr>
      <vt:lpstr>Bet_2</vt:lpstr>
      <vt:lpstr>Bet_3</vt:lpstr>
      <vt:lpstr>Bet_4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蔡怡昉</dc:creator>
  <cp:lastModifiedBy>宏羲 沈</cp:lastModifiedBy>
  <cp:lastPrinted>2009-07-16T02:13:50Z</cp:lastPrinted>
  <dcterms:created xsi:type="dcterms:W3CDTF">2006-10-09T15:31:11Z</dcterms:created>
  <dcterms:modified xsi:type="dcterms:W3CDTF">2026-10-20T08:58:26Z</dcterms:modified>
</cp:coreProperties>
</file>