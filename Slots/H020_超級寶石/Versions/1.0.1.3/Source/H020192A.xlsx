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umbo_JI\1_Super_Gems\math\"/>
    </mc:Choice>
  </mc:AlternateContent>
  <xr:revisionPtr revIDLastSave="0" documentId="13_ncr:1_{23283669-5980-4D14-BDD6-868E5865467F}" xr6:coauthVersionLast="47" xr6:coauthVersionMax="47" xr10:uidLastSave="{00000000-0000-0000-0000-000000000000}"/>
  <bookViews>
    <workbookView xWindow="5664" yWindow="2112" windowWidth="12900" windowHeight="954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1" i="24" l="1"/>
  <c r="R20" i="24" a="1"/>
  <c r="R20" i="24" s="1"/>
  <c r="P229" i="28" l="1" a="1"/>
  <c r="P229" i="28" s="1"/>
  <c r="C199" i="28" a="1"/>
  <c r="C199" i="28" s="1"/>
  <c r="E68" i="40" l="1"/>
  <c r="E67" i="40"/>
  <c r="C67" i="40"/>
  <c r="E66" i="40"/>
  <c r="E65" i="40"/>
  <c r="C65" i="40"/>
  <c r="E64" i="40"/>
  <c r="C64" i="40"/>
  <c r="E63" i="40"/>
  <c r="C63" i="40"/>
  <c r="E62" i="40"/>
  <c r="C62" i="40"/>
  <c r="E61" i="40"/>
  <c r="C61" i="40"/>
  <c r="C59" i="40"/>
  <c r="E56" i="40"/>
  <c r="C56" i="40"/>
  <c r="E55" i="40"/>
  <c r="C55" i="40"/>
  <c r="E54" i="40"/>
  <c r="C54" i="40"/>
  <c r="E53" i="40"/>
  <c r="C53" i="40"/>
  <c r="E52" i="40"/>
  <c r="C52" i="40"/>
  <c r="E51" i="40"/>
  <c r="C51" i="40"/>
  <c r="C50" i="40"/>
  <c r="E49" i="40"/>
  <c r="C49" i="40"/>
  <c r="C47" i="40"/>
  <c r="E44" i="40"/>
  <c r="E43" i="40"/>
  <c r="C43" i="40"/>
  <c r="E42" i="40"/>
  <c r="E41" i="40"/>
  <c r="C41" i="40"/>
  <c r="E40" i="40"/>
  <c r="C40" i="40"/>
  <c r="E39" i="40"/>
  <c r="C39" i="40"/>
  <c r="C38" i="40"/>
  <c r="E37" i="40"/>
  <c r="C37" i="40"/>
  <c r="C35" i="40"/>
  <c r="E32" i="40"/>
  <c r="E31" i="40"/>
  <c r="C31" i="40"/>
  <c r="E30" i="40"/>
  <c r="C30" i="40"/>
  <c r="E29" i="40"/>
  <c r="C29" i="40"/>
  <c r="E28" i="40"/>
  <c r="C28" i="40"/>
  <c r="E27" i="40"/>
  <c r="C27" i="40"/>
  <c r="C26" i="40"/>
  <c r="E25" i="40"/>
  <c r="C25" i="40"/>
  <c r="C23" i="40"/>
  <c r="E20" i="40"/>
  <c r="D20" i="40"/>
  <c r="C20" i="40"/>
  <c r="F20" i="40" s="1"/>
  <c r="J20" i="40" s="1"/>
  <c r="E19" i="40"/>
  <c r="D19" i="40"/>
  <c r="C19" i="40"/>
  <c r="E18" i="40"/>
  <c r="D18" i="40"/>
  <c r="C18" i="40"/>
  <c r="E17" i="40"/>
  <c r="D17" i="40"/>
  <c r="C17" i="40"/>
  <c r="F17" i="40" s="1"/>
  <c r="J17" i="40" s="1"/>
  <c r="E16" i="40"/>
  <c r="D16" i="40"/>
  <c r="F16" i="40" s="1"/>
  <c r="J16" i="40" s="1"/>
  <c r="C16" i="40"/>
  <c r="AR15" i="40" a="1"/>
  <c r="AR15" i="40" s="1"/>
  <c r="AQ15" i="40"/>
  <c r="AQ15" i="40" a="1"/>
  <c r="AP15" i="40" a="1"/>
  <c r="AP15" i="40" s="1"/>
  <c r="AO15" i="40" a="1"/>
  <c r="AO15" i="40" s="1"/>
  <c r="AN15" i="40"/>
  <c r="AN15" i="40" a="1"/>
  <c r="AM15" i="40" a="1"/>
  <c r="AM15" i="40" s="1"/>
  <c r="AL15" i="40" a="1"/>
  <c r="AL15" i="40" s="1"/>
  <c r="AK15" i="40"/>
  <c r="AK15" i="40" a="1"/>
  <c r="AJ15" i="40" a="1"/>
  <c r="AJ15" i="40" s="1"/>
  <c r="AI15" i="40"/>
  <c r="AI15" i="40" a="1"/>
  <c r="AH15" i="40" a="1"/>
  <c r="AH15" i="40" s="1"/>
  <c r="E15" i="40"/>
  <c r="D15" i="40"/>
  <c r="C15" i="40"/>
  <c r="F15" i="40" s="1"/>
  <c r="J15" i="40" s="1"/>
  <c r="E14" i="40"/>
  <c r="D14" i="40"/>
  <c r="C14" i="40"/>
  <c r="F14" i="40" s="1"/>
  <c r="J14" i="40" s="1"/>
  <c r="E13" i="40"/>
  <c r="D13" i="40"/>
  <c r="F13" i="40" s="1"/>
  <c r="J13" i="40" s="1"/>
  <c r="C13" i="40"/>
  <c r="C11" i="40"/>
  <c r="AG3" i="40" a="1"/>
  <c r="AG3" i="40" s="1"/>
  <c r="AG15" i="40" s="1"/>
  <c r="AF3" i="40"/>
  <c r="AF15" i="40" s="1"/>
  <c r="AF3" i="40" a="1"/>
  <c r="AE3" i="40" a="1"/>
  <c r="AE3" i="40" s="1"/>
  <c r="AE15" i="40" s="1"/>
  <c r="AD3" i="40"/>
  <c r="AD15" i="40" s="1"/>
  <c r="AD3" i="40" a="1"/>
  <c r="AC3" i="40" a="1"/>
  <c r="AC3" i="40" s="1"/>
  <c r="AC15" i="40" s="1"/>
  <c r="AB3" i="40" a="1"/>
  <c r="AB3" i="40" s="1"/>
  <c r="AB15" i="40" s="1"/>
  <c r="AA3" i="40"/>
  <c r="AA15" i="40" s="1"/>
  <c r="AA3" i="40" a="1"/>
  <c r="Z3" i="40" a="1"/>
  <c r="Z3" i="40" s="1"/>
  <c r="Z15" i="40" s="1"/>
  <c r="Y3" i="40" a="1"/>
  <c r="Y3" i="40" s="1"/>
  <c r="Y15" i="40" s="1"/>
  <c r="X3" i="40"/>
  <c r="X15" i="40" s="1"/>
  <c r="X3" i="40" a="1"/>
  <c r="W3" i="40" a="1"/>
  <c r="W3" i="40" s="1"/>
  <c r="W15" i="40" s="1"/>
  <c r="R3" i="40" a="1"/>
  <c r="R3" i="40" s="1"/>
  <c r="T15" i="40" s="1"/>
  <c r="O3" i="40" a="1"/>
  <c r="O3" i="40" s="1"/>
  <c r="M3" i="40"/>
  <c r="M3" i="40" a="1"/>
  <c r="P245" i="39" a="1"/>
  <c r="P245" i="39" s="1"/>
  <c r="P223" i="39" a="1"/>
  <c r="P223" i="39" s="1"/>
  <c r="C199" i="39" a="1"/>
  <c r="E252" i="39" s="1"/>
  <c r="A198" i="39"/>
  <c r="N196" i="39"/>
  <c r="N261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E126" i="39"/>
  <c r="I125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I109" i="39"/>
  <c r="E109" i="39"/>
  <c r="E108" i="39"/>
  <c r="E107" i="39"/>
  <c r="E106" i="39"/>
  <c r="E105" i="39"/>
  <c r="E104" i="39"/>
  <c r="E103" i="39"/>
  <c r="E102" i="39"/>
  <c r="I101" i="39"/>
  <c r="E101" i="39"/>
  <c r="E100" i="39"/>
  <c r="E99" i="39"/>
  <c r="E98" i="39"/>
  <c r="E97" i="39"/>
  <c r="E96" i="39"/>
  <c r="E95" i="39"/>
  <c r="E94" i="39"/>
  <c r="I93" i="39"/>
  <c r="E93" i="39"/>
  <c r="E92" i="39"/>
  <c r="E91" i="39"/>
  <c r="E90" i="39"/>
  <c r="E89" i="39"/>
  <c r="E88" i="39"/>
  <c r="E87" i="39"/>
  <c r="E86" i="39"/>
  <c r="I85" i="39"/>
  <c r="E85" i="39"/>
  <c r="E84" i="39"/>
  <c r="E83" i="39"/>
  <c r="E82" i="39"/>
  <c r="E81" i="39"/>
  <c r="E80" i="39"/>
  <c r="E79" i="39"/>
  <c r="E78" i="39"/>
  <c r="I77" i="39"/>
  <c r="E77" i="39"/>
  <c r="E76" i="39"/>
  <c r="E75" i="39"/>
  <c r="E74" i="39"/>
  <c r="E73" i="39"/>
  <c r="E72" i="39"/>
  <c r="E71" i="39"/>
  <c r="I70" i="39"/>
  <c r="E70" i="39"/>
  <c r="AT69" i="39" a="1"/>
  <c r="AT69" i="39" s="1"/>
  <c r="F69" i="39" a="1"/>
  <c r="F69" i="39" s="1"/>
  <c r="E69" i="39"/>
  <c r="Q69" i="39" s="1" a="1"/>
  <c r="Q69" i="39" s="1"/>
  <c r="P68" i="39" s="1"/>
  <c r="R69" i="39" s="1" a="1"/>
  <c r="A69" i="39" a="1"/>
  <c r="I123" i="39" s="1"/>
  <c r="A68" i="39"/>
  <c r="A133" i="39" s="1" a="1"/>
  <c r="A133" i="39" s="1"/>
  <c r="A198" i="39" s="1" a="1"/>
  <c r="A68" i="39" a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/>
  <c r="J4" i="39" s="1" a="1"/>
  <c r="J4" i="39" s="1"/>
  <c r="L4" i="39" s="1" a="1"/>
  <c r="L4" i="39" s="1"/>
  <c r="M4" i="39" s="1" a="1"/>
  <c r="M4" i="39" s="1"/>
  <c r="N4" i="39" s="1" a="1"/>
  <c r="F4" i="39" a="1"/>
  <c r="E4" i="39"/>
  <c r="Q4" i="39" s="1" a="1"/>
  <c r="Q4" i="39" s="1"/>
  <c r="P3" i="39" s="1"/>
  <c r="R4" i="39" s="1" a="1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I93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E220" i="38" l="1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O15" i="40"/>
  <c r="T3" i="40" a="1"/>
  <c r="T3" i="40" s="1"/>
  <c r="T16" i="40" s="1" a="1"/>
  <c r="T16" i="40" s="1"/>
  <c r="O14" i="40" s="1"/>
  <c r="F18" i="40"/>
  <c r="J18" i="40" s="1"/>
  <c r="F19" i="40"/>
  <c r="J19" i="40" s="1"/>
  <c r="G17" i="40"/>
  <c r="G14" i="40"/>
  <c r="G20" i="40"/>
  <c r="G16" i="40"/>
  <c r="G18" i="40"/>
  <c r="G13" i="40"/>
  <c r="G15" i="40"/>
  <c r="G19" i="40"/>
  <c r="S5" i="39" a="1"/>
  <c r="S5" i="39" s="1"/>
  <c r="R4" i="39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R69" i="39"/>
  <c r="S70" i="39" a="1"/>
  <c r="S70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N64" i="39"/>
  <c r="O64" i="39" s="1" a="1"/>
  <c r="O64" i="39" s="1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E68" i="37"/>
  <c r="E67" i="37"/>
  <c r="C67" i="37"/>
  <c r="E66" i="37"/>
  <c r="E65" i="37"/>
  <c r="C65" i="37"/>
  <c r="E64" i="37"/>
  <c r="C64" i="37"/>
  <c r="E63" i="37"/>
  <c r="C63" i="37"/>
  <c r="E62" i="37"/>
  <c r="C62" i="37"/>
  <c r="E61" i="37"/>
  <c r="C61" i="37"/>
  <c r="C59" i="37"/>
  <c r="E56" i="37"/>
  <c r="C56" i="37"/>
  <c r="E55" i="37"/>
  <c r="C55" i="37"/>
  <c r="E54" i="37"/>
  <c r="C54" i="37"/>
  <c r="E53" i="37"/>
  <c r="C53" i="37"/>
  <c r="E52" i="37"/>
  <c r="C52" i="37"/>
  <c r="E51" i="37"/>
  <c r="C51" i="37"/>
  <c r="C50" i="37"/>
  <c r="E49" i="37"/>
  <c r="C49" i="37"/>
  <c r="C47" i="37"/>
  <c r="E44" i="37"/>
  <c r="E43" i="37"/>
  <c r="C43" i="37"/>
  <c r="E42" i="37"/>
  <c r="E41" i="37"/>
  <c r="C41" i="37"/>
  <c r="E40" i="37"/>
  <c r="C40" i="37"/>
  <c r="E39" i="37"/>
  <c r="C39" i="37"/>
  <c r="C38" i="37"/>
  <c r="E37" i="37"/>
  <c r="C37" i="37"/>
  <c r="C35" i="37"/>
  <c r="E32" i="37"/>
  <c r="E31" i="37"/>
  <c r="C31" i="37"/>
  <c r="E30" i="37"/>
  <c r="C30" i="37"/>
  <c r="E29" i="37"/>
  <c r="C29" i="37"/>
  <c r="E28" i="37"/>
  <c r="C28" i="37"/>
  <c r="E27" i="37"/>
  <c r="C27" i="37"/>
  <c r="C26" i="37"/>
  <c r="E25" i="37"/>
  <c r="C25" i="37"/>
  <c r="C23" i="37"/>
  <c r="E20" i="37"/>
  <c r="D20" i="37"/>
  <c r="C20" i="37"/>
  <c r="F20" i="37" s="1"/>
  <c r="E19" i="37"/>
  <c r="D19" i="37"/>
  <c r="F19" i="37" s="1"/>
  <c r="G19" i="37" s="1"/>
  <c r="C19" i="37"/>
  <c r="E18" i="37"/>
  <c r="D18" i="37"/>
  <c r="C18" i="37"/>
  <c r="E17" i="37"/>
  <c r="D17" i="37"/>
  <c r="C17" i="37"/>
  <c r="E16" i="37"/>
  <c r="D16" i="37"/>
  <c r="C16" i="37"/>
  <c r="F16" i="37" s="1"/>
  <c r="J16" i="37" s="1"/>
  <c r="AR15" i="37" a="1"/>
  <c r="AR15" i="37" s="1"/>
  <c r="AQ15" i="37"/>
  <c r="AQ15" i="37" a="1"/>
  <c r="AP15" i="37" a="1"/>
  <c r="AP15" i="37" s="1"/>
  <c r="AO15" i="37"/>
  <c r="AO15" i="37" a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/>
  <c r="AI15" i="37" a="1"/>
  <c r="AH15" i="37" a="1"/>
  <c r="AH15" i="37" s="1"/>
  <c r="T15" i="37"/>
  <c r="F15" i="37"/>
  <c r="E15" i="37"/>
  <c r="D15" i="37"/>
  <c r="C15" i="37"/>
  <c r="E14" i="37"/>
  <c r="D14" i="37"/>
  <c r="C14" i="37"/>
  <c r="F13" i="37"/>
  <c r="G13" i="37" s="1"/>
  <c r="E13" i="37"/>
  <c r="D13" i="37"/>
  <c r="C13" i="37"/>
  <c r="C11" i="37"/>
  <c r="AG3" i="37" a="1"/>
  <c r="AG3" i="37" s="1"/>
  <c r="AG15" i="37" s="1"/>
  <c r="AF3" i="37" a="1"/>
  <c r="AF3" i="37" s="1"/>
  <c r="AF15" i="37" s="1"/>
  <c r="AE3" i="37" a="1"/>
  <c r="AE3" i="37" s="1"/>
  <c r="AE15" i="37" s="1"/>
  <c r="AD3" i="37"/>
  <c r="AD15" i="37" s="1"/>
  <c r="AD3" i="37" a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O3" i="37" a="1"/>
  <c r="O3" i="37" s="1"/>
  <c r="M3" i="37" a="1"/>
  <c r="M3" i="37" s="1"/>
  <c r="E199" i="38" l="1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S69" i="39"/>
  <c r="T69" i="39" s="1" a="1"/>
  <c r="T69" i="39" s="1"/>
  <c r="R68" i="39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O64" i="38" s="1" a="1"/>
  <c r="O64" i="38" s="1"/>
  <c r="J15" i="37"/>
  <c r="G15" i="37"/>
  <c r="J20" i="37"/>
  <c r="G20" i="37"/>
  <c r="F14" i="37"/>
  <c r="F18" i="37"/>
  <c r="J18" i="37" s="1"/>
  <c r="T3" i="37" a="1"/>
  <c r="T3" i="37" s="1"/>
  <c r="T16" i="37" s="1" a="1"/>
  <c r="T16" i="37" s="1"/>
  <c r="O14" i="37" s="1"/>
  <c r="O15" i="37" s="1"/>
  <c r="J13" i="37"/>
  <c r="J19" i="37"/>
  <c r="F17" i="37"/>
  <c r="G16" i="37"/>
  <c r="AG206" i="1"/>
  <c r="AK206" i="1"/>
  <c r="AK207" i="1"/>
  <c r="U225" i="38" l="1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G14" i="37"/>
  <c r="J14" i="37"/>
  <c r="G18" i="37"/>
  <c r="J17" i="37"/>
  <c r="G17" i="37"/>
  <c r="E68" i="27"/>
  <c r="E67" i="27"/>
  <c r="C67" i="27"/>
  <c r="E66" i="27"/>
  <c r="E65" i="27"/>
  <c r="C65" i="27"/>
  <c r="E64" i="27"/>
  <c r="C64" i="27"/>
  <c r="E63" i="27"/>
  <c r="C63" i="27"/>
  <c r="E62" i="27"/>
  <c r="C62" i="27"/>
  <c r="E61" i="27"/>
  <c r="C61" i="27"/>
  <c r="C56" i="27"/>
  <c r="C55" i="27"/>
  <c r="C54" i="27"/>
  <c r="C53" i="27"/>
  <c r="C52" i="27"/>
  <c r="C51" i="27"/>
  <c r="C50" i="27"/>
  <c r="E49" i="27"/>
  <c r="C49" i="27"/>
  <c r="C43" i="27"/>
  <c r="C41" i="27"/>
  <c r="C40" i="27"/>
  <c r="C39" i="27"/>
  <c r="C38" i="27"/>
  <c r="E37" i="27"/>
  <c r="C37" i="27"/>
  <c r="C31" i="27"/>
  <c r="C30" i="27"/>
  <c r="C29" i="27"/>
  <c r="C28" i="27"/>
  <c r="C27" i="27"/>
  <c r="C26" i="27"/>
  <c r="E25" i="27"/>
  <c r="C25" i="27"/>
  <c r="C14" i="27"/>
  <c r="D14" i="27"/>
  <c r="E14" i="27"/>
  <c r="C15" i="27"/>
  <c r="D15" i="27"/>
  <c r="E15" i="27"/>
  <c r="C16" i="27"/>
  <c r="D16" i="27"/>
  <c r="E16" i="27"/>
  <c r="C17" i="27"/>
  <c r="D17" i="27"/>
  <c r="E17" i="27"/>
  <c r="C18" i="27"/>
  <c r="D18" i="27"/>
  <c r="E18" i="27"/>
  <c r="C19" i="27"/>
  <c r="D19" i="27"/>
  <c r="E19" i="27"/>
  <c r="C20" i="27"/>
  <c r="D20" i="27"/>
  <c r="E20" i="27"/>
  <c r="D13" i="27"/>
  <c r="E13" i="27"/>
  <c r="C13" i="2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F13" i="27"/>
  <c r="N261" i="2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I124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I108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I92" i="36"/>
  <c r="E92" i="36"/>
  <c r="E91" i="36"/>
  <c r="E90" i="36"/>
  <c r="E89" i="36"/>
  <c r="E88" i="36"/>
  <c r="E87" i="36"/>
  <c r="E86" i="36"/>
  <c r="E85" i="36"/>
  <c r="I84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/>
  <c r="J69" i="36" s="1" a="1"/>
  <c r="J69" i="36" s="1"/>
  <c r="L69" i="36" s="1" a="1"/>
  <c r="L69" i="36" s="1"/>
  <c r="M69" i="36" s="1" a="1"/>
  <c r="M69" i="36" s="1"/>
  <c r="N69" i="36" s="1" a="1"/>
  <c r="F69" i="36" a="1"/>
  <c r="E69" i="36"/>
  <c r="Q69" i="36" s="1" a="1"/>
  <c r="Q69" i="36" s="1"/>
  <c r="P68" i="36" s="1"/>
  <c r="R69" i="36" s="1" a="1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Q4" i="36" a="1"/>
  <c r="Q4" i="36" s="1"/>
  <c r="P3" i="36" s="1"/>
  <c r="R4" i="36" s="1" a="1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I218" i="39" l="1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O129" i="36" s="1" a="1"/>
  <c r="O129" i="36" s="1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E68" i="35"/>
  <c r="E67" i="35"/>
  <c r="C67" i="35"/>
  <c r="E66" i="35"/>
  <c r="E65" i="35"/>
  <c r="C65" i="35"/>
  <c r="E64" i="35"/>
  <c r="C64" i="35"/>
  <c r="E63" i="35"/>
  <c r="C63" i="35"/>
  <c r="E62" i="35"/>
  <c r="C62" i="35"/>
  <c r="E61" i="35"/>
  <c r="C61" i="35"/>
  <c r="C59" i="35"/>
  <c r="C56" i="35"/>
  <c r="C55" i="35"/>
  <c r="C54" i="35"/>
  <c r="C53" i="35"/>
  <c r="C52" i="35"/>
  <c r="C51" i="35"/>
  <c r="C50" i="35"/>
  <c r="E49" i="35"/>
  <c r="C49" i="35"/>
  <c r="C47" i="35"/>
  <c r="C43" i="35"/>
  <c r="C41" i="35"/>
  <c r="C40" i="35"/>
  <c r="C39" i="35"/>
  <c r="C38" i="35"/>
  <c r="E37" i="35"/>
  <c r="C37" i="35"/>
  <c r="C35" i="35"/>
  <c r="C31" i="35"/>
  <c r="C30" i="35"/>
  <c r="C29" i="35"/>
  <c r="C28" i="35"/>
  <c r="C27" i="35"/>
  <c r="C26" i="35"/>
  <c r="C25" i="35"/>
  <c r="C23" i="35"/>
  <c r="E20" i="35"/>
  <c r="D20" i="35"/>
  <c r="C20" i="35"/>
  <c r="E19" i="35"/>
  <c r="D19" i="35"/>
  <c r="C19" i="35"/>
  <c r="E18" i="35"/>
  <c r="D18" i="35"/>
  <c r="C18" i="35"/>
  <c r="E17" i="35"/>
  <c r="D17" i="35"/>
  <c r="C17" i="35"/>
  <c r="E16" i="35"/>
  <c r="D16" i="35"/>
  <c r="C16" i="35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E15" i="35"/>
  <c r="D15" i="35"/>
  <c r="C15" i="35"/>
  <c r="E14" i="35"/>
  <c r="D14" i="35"/>
  <c r="C14" i="35"/>
  <c r="E13" i="35"/>
  <c r="D13" i="35"/>
  <c r="C13" i="35"/>
  <c r="C11" i="35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I123" i="34"/>
  <c r="E123" i="34"/>
  <c r="I122" i="34"/>
  <c r="E122" i="34"/>
  <c r="I121" i="34"/>
  <c r="E121" i="34"/>
  <c r="E120" i="34"/>
  <c r="E119" i="34"/>
  <c r="E118" i="34"/>
  <c r="E117" i="34"/>
  <c r="E116" i="34"/>
  <c r="I115" i="34"/>
  <c r="E115" i="34"/>
  <c r="I114" i="34"/>
  <c r="E114" i="34"/>
  <c r="I113" i="34"/>
  <c r="E113" i="34"/>
  <c r="E112" i="34"/>
  <c r="E111" i="34"/>
  <c r="E110" i="34"/>
  <c r="E109" i="34"/>
  <c r="E108" i="34"/>
  <c r="I107" i="34"/>
  <c r="E107" i="34"/>
  <c r="I106" i="34"/>
  <c r="E106" i="34"/>
  <c r="I105" i="34"/>
  <c r="E105" i="34"/>
  <c r="E104" i="34"/>
  <c r="E103" i="34"/>
  <c r="E102" i="34"/>
  <c r="E101" i="34"/>
  <c r="E100" i="34"/>
  <c r="I99" i="34"/>
  <c r="E99" i="34"/>
  <c r="I98" i="34"/>
  <c r="E98" i="34"/>
  <c r="I97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I84" i="34"/>
  <c r="E84" i="34"/>
  <c r="I83" i="34"/>
  <c r="E83" i="34"/>
  <c r="I82" i="34"/>
  <c r="E82" i="34"/>
  <c r="I81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Q69" i="34" s="1" a="1"/>
  <c r="Q69" i="34" s="1"/>
  <c r="P68" i="34" s="1"/>
  <c r="R69" i="34" s="1" a="1"/>
  <c r="AT69" i="34" a="1"/>
  <c r="AT69" i="34" s="1"/>
  <c r="J69" i="34" a="1"/>
  <c r="J69" i="34" s="1"/>
  <c r="L69" i="34" s="1" a="1"/>
  <c r="L69" i="34" s="1"/>
  <c r="M69" i="34" s="1" a="1"/>
  <c r="M69" i="34" s="1"/>
  <c r="N69" i="34" s="1" a="1"/>
  <c r="G69" i="34" a="1"/>
  <c r="G69" i="34" s="1"/>
  <c r="F69" i="34"/>
  <c r="F69" i="34" a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Q4" i="34" s="1" a="1"/>
  <c r="Q4" i="34" s="1"/>
  <c r="P3" i="34" s="1"/>
  <c r="R4" i="34" s="1" a="1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E243" i="34" l="1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F13" i="35"/>
  <c r="J13" i="35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F18" i="35"/>
  <c r="J18" i="35" s="1"/>
  <c r="F19" i="35"/>
  <c r="J19" i="35" s="1"/>
  <c r="F20" i="35"/>
  <c r="J20" i="35" s="1"/>
  <c r="T3" i="35" a="1"/>
  <c r="T3" i="35" s="1"/>
  <c r="T16" i="35" s="1" a="1"/>
  <c r="T16" i="35" s="1"/>
  <c r="O14" i="35" s="1"/>
  <c r="O15" i="35" s="1"/>
  <c r="F14" i="35"/>
  <c r="F16" i="35"/>
  <c r="J16" i="35" s="1"/>
  <c r="F15" i="35"/>
  <c r="F17" i="35"/>
  <c r="J17" i="35" s="1"/>
  <c r="G13" i="35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R4" i="34"/>
  <c r="S5" i="34" a="1"/>
  <c r="S5" i="34" s="1"/>
  <c r="R69" i="34"/>
  <c r="S70" i="34" a="1"/>
  <c r="S70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E68" i="33"/>
  <c r="E67" i="33"/>
  <c r="C67" i="33"/>
  <c r="E66" i="33"/>
  <c r="E65" i="33"/>
  <c r="C65" i="33"/>
  <c r="E64" i="33"/>
  <c r="C64" i="33"/>
  <c r="E63" i="33"/>
  <c r="C63" i="33"/>
  <c r="E62" i="33"/>
  <c r="C62" i="33"/>
  <c r="E61" i="33"/>
  <c r="C61" i="33"/>
  <c r="C59" i="33"/>
  <c r="C56" i="33"/>
  <c r="C55" i="33"/>
  <c r="C54" i="33"/>
  <c r="C53" i="33"/>
  <c r="C52" i="33"/>
  <c r="C51" i="33"/>
  <c r="C50" i="33"/>
  <c r="E49" i="33"/>
  <c r="C49" i="33"/>
  <c r="C47" i="33"/>
  <c r="C43" i="33"/>
  <c r="C41" i="33"/>
  <c r="C40" i="33"/>
  <c r="C39" i="33"/>
  <c r="C38" i="33"/>
  <c r="E37" i="33"/>
  <c r="C37" i="33"/>
  <c r="C35" i="33"/>
  <c r="C31" i="33"/>
  <c r="C30" i="33"/>
  <c r="C29" i="33"/>
  <c r="C28" i="33"/>
  <c r="C27" i="33"/>
  <c r="C26" i="33"/>
  <c r="C25" i="33"/>
  <c r="C23" i="33"/>
  <c r="E20" i="33"/>
  <c r="D20" i="33"/>
  <c r="C20" i="33"/>
  <c r="E19" i="33"/>
  <c r="D19" i="33"/>
  <c r="C19" i="33"/>
  <c r="E18" i="33"/>
  <c r="D18" i="33"/>
  <c r="C18" i="33"/>
  <c r="E17" i="33"/>
  <c r="D17" i="33"/>
  <c r="C17" i="33"/>
  <c r="E16" i="33"/>
  <c r="D16" i="33"/>
  <c r="C16" i="33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E15" i="33"/>
  <c r="D15" i="33"/>
  <c r="C15" i="33"/>
  <c r="E14" i="33"/>
  <c r="D14" i="33"/>
  <c r="C14" i="33"/>
  <c r="E13" i="33"/>
  <c r="D13" i="33"/>
  <c r="C13" i="33"/>
  <c r="C11" i="33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G18" i="35" l="1"/>
  <c r="F13" i="33"/>
  <c r="F18" i="33" s="1"/>
  <c r="G19" i="35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G16" i="35"/>
  <c r="G20" i="35"/>
  <c r="J14" i="35"/>
  <c r="G14" i="35"/>
  <c r="G17" i="35"/>
  <c r="J15" i="35"/>
  <c r="G15" i="35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O194" i="34" s="1" a="1"/>
  <c r="O194" i="34" s="1"/>
  <c r="N134" i="34"/>
  <c r="O134" i="34" s="1" a="1"/>
  <c r="N192" i="34"/>
  <c r="N195" i="34" s="1"/>
  <c r="N64" i="34"/>
  <c r="O64" i="34" s="1" a="1"/>
  <c r="O64" i="34" s="1"/>
  <c r="N4" i="34"/>
  <c r="N65" i="34"/>
  <c r="E199" i="34"/>
  <c r="G199" i="34" s="1" a="1"/>
  <c r="G199" i="34" s="1"/>
  <c r="G13" i="33"/>
  <c r="F20" i="33"/>
  <c r="J20" i="33" s="1"/>
  <c r="T3" i="33" a="1"/>
  <c r="T3" i="33" s="1"/>
  <c r="T16" i="33" s="1" a="1"/>
  <c r="T16" i="33" s="1"/>
  <c r="O14" i="33" s="1"/>
  <c r="O15" i="33" s="1"/>
  <c r="F14" i="33"/>
  <c r="J14" i="33" s="1"/>
  <c r="F15" i="33"/>
  <c r="J15" i="33" s="1"/>
  <c r="F16" i="33"/>
  <c r="J16" i="33" s="1"/>
  <c r="F17" i="33"/>
  <c r="J17" i="33" s="1"/>
  <c r="G14" i="33"/>
  <c r="G16" i="33"/>
  <c r="G15" i="33"/>
  <c r="H199" i="28" a="1"/>
  <c r="H199" i="28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J13" i="33" l="1"/>
  <c r="J18" i="33"/>
  <c r="G18" i="33"/>
  <c r="F19" i="33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G20" i="33"/>
  <c r="G17" i="33"/>
  <c r="N20" i="24" a="1"/>
  <c r="N20" i="24" s="1"/>
  <c r="L19" i="24" a="1"/>
  <c r="L19" i="24" s="1"/>
  <c r="N18" i="24"/>
  <c r="J19" i="33" l="1"/>
  <c r="G19" i="33"/>
  <c r="I256" i="36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T69" i="28" a="1"/>
  <c r="T69" i="28" s="1"/>
  <c r="H69" i="28" a="1"/>
  <c r="H69" i="28" s="1"/>
  <c r="H134" i="28"/>
  <c r="H134" i="28" a="1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134" i="28" a="1"/>
  <c r="A134" i="28" s="1"/>
  <c r="A199" i="28" s="1" a="1"/>
  <c r="A69" i="28" a="1"/>
  <c r="A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123" i="28"/>
  <c r="I122" i="28"/>
  <c r="I121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82" i="32" l="1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I187" i="28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I191" i="28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A134" i="32" l="1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N65" i="32" l="1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H134" i="32" l="1" a="1"/>
  <c r="H134" i="32" s="1"/>
  <c r="I134" i="32"/>
  <c r="O4" i="32"/>
  <c r="O2" i="32" s="1"/>
  <c r="O62" i="32"/>
  <c r="O127" i="32"/>
  <c r="O69" i="32"/>
  <c r="O67" i="32" s="1"/>
  <c r="N131" i="28" l="1"/>
  <c r="N196" i="28" s="1"/>
  <c r="C63" i="30" a="1"/>
  <c r="C63" i="30" s="1"/>
  <c r="AT2" i="20" l="1" a="1"/>
  <c r="AT2" i="20" s="1"/>
  <c r="E232" i="30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3" i="20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AX24" i="20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56" i="26"/>
  <c r="C55" i="26"/>
  <c r="C54" i="26"/>
  <c r="C53" i="26"/>
  <c r="C52" i="26"/>
  <c r="C51" i="26"/>
  <c r="C50" i="26"/>
  <c r="C20" i="26"/>
  <c r="C19" i="26"/>
  <c r="C18" i="26"/>
  <c r="C17" i="26"/>
  <c r="C16" i="26"/>
  <c r="C15" i="26"/>
  <c r="C14" i="26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56" i="24"/>
  <c r="C55" i="24"/>
  <c r="C54" i="24"/>
  <c r="C53" i="24"/>
  <c r="C52" i="24"/>
  <c r="C51" i="24"/>
  <c r="C50" i="24"/>
  <c r="C20" i="24"/>
  <c r="C19" i="24"/>
  <c r="C18" i="24"/>
  <c r="C17" i="24"/>
  <c r="C16" i="24"/>
  <c r="C15" i="24"/>
  <c r="C14" i="24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/>
  <c r="O3" i="24" a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C103" i="1"/>
  <c r="Q102" i="1"/>
  <c r="J102" i="1"/>
  <c r="C102" i="1"/>
  <c r="J101" i="1"/>
  <c r="C101" i="1"/>
  <c r="Q100" i="1"/>
  <c r="J100" i="1"/>
  <c r="C100" i="1"/>
  <c r="Q99" i="1"/>
  <c r="J99" i="1"/>
  <c r="C99" i="1"/>
  <c r="Q98" i="1"/>
  <c r="J98" i="1"/>
  <c r="C98" i="1"/>
  <c r="Q97" i="1"/>
  <c r="J97" i="1"/>
  <c r="C97" i="1"/>
  <c r="H96" i="1"/>
  <c r="O96" i="1" s="1" a="1"/>
  <c r="O96" i="1" s="1"/>
  <c r="H96" i="1" a="1"/>
  <c r="H81" i="1" a="1"/>
  <c r="C77" i="1"/>
  <c r="Q76" i="1"/>
  <c r="J76" i="1"/>
  <c r="C31" i="26" s="1"/>
  <c r="C76" i="1"/>
  <c r="J75" i="1"/>
  <c r="C30" i="26" s="1"/>
  <c r="C75" i="1"/>
  <c r="Q74" i="1"/>
  <c r="J74" i="1"/>
  <c r="C29" i="26" s="1"/>
  <c r="C74" i="1"/>
  <c r="Q73" i="1"/>
  <c r="J73" i="1"/>
  <c r="C28" i="26" s="1"/>
  <c r="C73" i="1"/>
  <c r="Q72" i="1"/>
  <c r="J72" i="1"/>
  <c r="C27" i="26" s="1"/>
  <c r="C72" i="1"/>
  <c r="Q71" i="1"/>
  <c r="J71" i="1"/>
  <c r="C26" i="26" s="1"/>
  <c r="C71" i="1"/>
  <c r="H70" i="1"/>
  <c r="O70" i="1" s="1" a="1"/>
  <c r="O70" i="1" s="1"/>
  <c r="H70" i="1" a="1"/>
  <c r="H55" i="1" a="1"/>
  <c r="C51" i="1"/>
  <c r="Q50" i="1"/>
  <c r="J50" i="1"/>
  <c r="C31" i="24" s="1"/>
  <c r="C50" i="1"/>
  <c r="J49" i="1"/>
  <c r="C30" i="24" s="1"/>
  <c r="C49" i="1"/>
  <c r="Q48" i="1"/>
  <c r="J48" i="1"/>
  <c r="C29" i="24" s="1"/>
  <c r="C48" i="1"/>
  <c r="Q47" i="1"/>
  <c r="J47" i="1"/>
  <c r="C28" i="24" s="1"/>
  <c r="C47" i="1"/>
  <c r="Q46" i="1"/>
  <c r="J46" i="1"/>
  <c r="C27" i="24" s="1"/>
  <c r="C46" i="1"/>
  <c r="Q45" i="1"/>
  <c r="J45" i="1"/>
  <c r="C26" i="24" s="1"/>
  <c r="C45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W223" i="28" l="1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D46" i="1"/>
  <c r="D15" i="24" s="1"/>
  <c r="D100" i="1"/>
  <c r="D102" i="1"/>
  <c r="D73" i="1"/>
  <c r="D16" i="26" s="1"/>
  <c r="D75" i="1"/>
  <c r="D18" i="26" s="1"/>
  <c r="D45" i="1"/>
  <c r="D14" i="24" s="1"/>
  <c r="D49" i="1"/>
  <c r="D18" i="24" s="1"/>
  <c r="D72" i="1"/>
  <c r="D15" i="26" s="1"/>
  <c r="D99" i="1"/>
  <c r="D48" i="1"/>
  <c r="D17" i="24" s="1"/>
  <c r="D71" i="1"/>
  <c r="D14" i="26" s="1"/>
  <c r="D98" i="1"/>
  <c r="D50" i="1"/>
  <c r="D19" i="24" s="1"/>
  <c r="D77" i="1"/>
  <c r="D20" i="26" s="1"/>
  <c r="D51" i="1"/>
  <c r="D20" i="24" s="1"/>
  <c r="D47" i="1"/>
  <c r="D16" i="24" s="1"/>
  <c r="D74" i="1"/>
  <c r="D17" i="26" s="1"/>
  <c r="D97" i="1"/>
  <c r="D101" i="1"/>
  <c r="D76" i="1"/>
  <c r="D19" i="26" s="1"/>
  <c r="D103" i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101" i="1"/>
  <c r="E75" i="1"/>
  <c r="E66" i="26" s="1"/>
  <c r="E49" i="1"/>
  <c r="E18" i="24" s="1"/>
  <c r="E98" i="1"/>
  <c r="E99" i="1"/>
  <c r="E103" i="1"/>
  <c r="E62" i="26"/>
  <c r="E64" i="24"/>
  <c r="E16" i="24"/>
  <c r="E73" i="1"/>
  <c r="E97" i="1"/>
  <c r="E102" i="1"/>
  <c r="E45" i="1"/>
  <c r="E50" i="1"/>
  <c r="E100" i="1"/>
  <c r="E77" i="1"/>
  <c r="E51" i="1"/>
  <c r="C64" i="26"/>
  <c r="C40" i="26"/>
  <c r="C64" i="24"/>
  <c r="C40" i="24"/>
  <c r="C67" i="26"/>
  <c r="C43" i="26"/>
  <c r="C67" i="24"/>
  <c r="C43" i="24"/>
  <c r="C62" i="24"/>
  <c r="C38" i="24"/>
  <c r="C65" i="26"/>
  <c r="C41" i="26"/>
  <c r="C65" i="24"/>
  <c r="C41" i="24"/>
  <c r="C39" i="24"/>
  <c r="C63" i="24"/>
  <c r="C62" i="26"/>
  <c r="C38" i="26"/>
  <c r="C39" i="26"/>
  <c r="C63" i="26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J59" i="1" s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R34" i="1" s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Q101" i="1" s="1"/>
  <c r="S9" i="1"/>
  <c r="E13" i="2"/>
  <c r="Q6" i="1"/>
  <c r="K5" i="1"/>
  <c r="D87" i="1"/>
  <c r="R7" i="1"/>
  <c r="C13" i="2"/>
  <c r="R6" i="1"/>
  <c r="S6" i="1"/>
  <c r="L9" i="1"/>
  <c r="L5" i="1"/>
  <c r="J10" i="1"/>
  <c r="J103" i="1" s="1"/>
  <c r="L6" i="1"/>
  <c r="L4" i="1"/>
  <c r="J4" i="1"/>
  <c r="S7" i="1"/>
  <c r="Q10" i="1"/>
  <c r="Q103" i="1" s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32" i="40" l="1"/>
  <c r="C68" i="40"/>
  <c r="C44" i="40"/>
  <c r="C66" i="40"/>
  <c r="C42" i="40"/>
  <c r="C42" i="37"/>
  <c r="C66" i="37"/>
  <c r="C44" i="37"/>
  <c r="C68" i="37"/>
  <c r="C32" i="27"/>
  <c r="C32" i="37"/>
  <c r="O257" i="28"/>
  <c r="C44" i="27"/>
  <c r="C68" i="27"/>
  <c r="C42" i="27"/>
  <c r="C66" i="27"/>
  <c r="C32" i="35"/>
  <c r="C66" i="35"/>
  <c r="C42" i="35"/>
  <c r="C68" i="35"/>
  <c r="C44" i="35"/>
  <c r="C32" i="33"/>
  <c r="C68" i="33"/>
  <c r="C44" i="33"/>
  <c r="C66" i="33"/>
  <c r="C42" i="33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E37" i="24" s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L35" i="1"/>
  <c r="D83" i="1"/>
  <c r="L34" i="1"/>
  <c r="K36" i="1"/>
  <c r="E83" i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K34" i="1"/>
  <c r="Q29" i="1"/>
  <c r="R30" i="1"/>
  <c r="E85" i="1"/>
  <c r="K31" i="1"/>
  <c r="C85" i="1"/>
  <c r="L32" i="1"/>
  <c r="S36" i="1"/>
  <c r="D85" i="1"/>
  <c r="E88" i="1"/>
  <c r="C81" i="1"/>
  <c r="R33" i="1"/>
  <c r="Q31" i="1"/>
  <c r="R31" i="1"/>
  <c r="K33" i="1"/>
  <c r="C83" i="1"/>
  <c r="E87" i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Q49" i="1"/>
  <c r="Q75" i="1"/>
  <c r="J51" i="1"/>
  <c r="J77" i="1"/>
  <c r="Q51" i="1"/>
  <c r="Q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S81" i="1" s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24" i="1" s="1"/>
  <c r="C31" i="2" s="1"/>
  <c r="S3" i="1"/>
  <c r="S45" i="1" s="1"/>
  <c r="Q3" i="1"/>
  <c r="Q21" i="1" s="1"/>
  <c r="L45" i="1" l="1"/>
  <c r="E26" i="24" s="1"/>
  <c r="L22" i="1"/>
  <c r="E29" i="2" s="1"/>
  <c r="L77" i="1"/>
  <c r="E32" i="26" s="1"/>
  <c r="L46" i="1"/>
  <c r="E27" i="24" s="1"/>
  <c r="L98" i="1"/>
  <c r="E27" i="27" s="1"/>
  <c r="L50" i="1"/>
  <c r="E31" i="24" s="1"/>
  <c r="L103" i="1"/>
  <c r="E32" i="27" s="1"/>
  <c r="L72" i="1"/>
  <c r="E27" i="26" s="1"/>
  <c r="L48" i="1"/>
  <c r="E29" i="24" s="1"/>
  <c r="L74" i="1"/>
  <c r="E29" i="26" s="1"/>
  <c r="L100" i="1"/>
  <c r="E29" i="27" s="1"/>
  <c r="L76" i="1"/>
  <c r="E31" i="26" s="1"/>
  <c r="L101" i="1"/>
  <c r="E30" i="27" s="1"/>
  <c r="L102" i="1"/>
  <c r="E31" i="27" s="1"/>
  <c r="L47" i="1"/>
  <c r="E28" i="24" s="1"/>
  <c r="L73" i="1"/>
  <c r="E28" i="26" s="1"/>
  <c r="L99" i="1"/>
  <c r="E28" i="27" s="1"/>
  <c r="L49" i="1"/>
  <c r="E30" i="24" s="1"/>
  <c r="L75" i="1"/>
  <c r="E30" i="26" s="1"/>
  <c r="L51" i="1"/>
  <c r="E32" i="24" s="1"/>
  <c r="S71" i="1"/>
  <c r="E49" i="24"/>
  <c r="S103" i="1"/>
  <c r="S98" i="1"/>
  <c r="S48" i="1"/>
  <c r="S100" i="1"/>
  <c r="S74" i="1"/>
  <c r="S50" i="1"/>
  <c r="S76" i="1"/>
  <c r="S102" i="1"/>
  <c r="S51" i="1"/>
  <c r="S46" i="1"/>
  <c r="S47" i="1"/>
  <c r="S73" i="1"/>
  <c r="S99" i="1"/>
  <c r="S49" i="1"/>
  <c r="S75" i="1"/>
  <c r="S101" i="1"/>
  <c r="S77" i="1"/>
  <c r="S72" i="1"/>
  <c r="S97" i="1"/>
  <c r="L97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44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32" i="24"/>
  <c r="C47" i="24"/>
  <c r="C11" i="24"/>
  <c r="G13" i="24" s="1"/>
  <c r="C23" i="24"/>
  <c r="C35" i="24"/>
  <c r="C68" i="24"/>
  <c r="C44" i="24"/>
  <c r="E50" i="24"/>
  <c r="E38" i="24"/>
  <c r="C66" i="24"/>
  <c r="C42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R103" i="1"/>
  <c r="R101" i="1"/>
  <c r="R97" i="1"/>
  <c r="R98" i="1"/>
  <c r="R100" i="1"/>
  <c r="R99" i="1"/>
  <c r="R102" i="1"/>
  <c r="K101" i="1"/>
  <c r="K100" i="1"/>
  <c r="K98" i="1"/>
  <c r="K97" i="1"/>
  <c r="K102" i="1"/>
  <c r="K103" i="1"/>
  <c r="K99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C40" i="2"/>
  <c r="C64" i="2"/>
  <c r="C65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E26" i="40" l="1"/>
  <c r="E38" i="40"/>
  <c r="E50" i="40"/>
  <c r="D40" i="37"/>
  <c r="D40" i="40"/>
  <c r="D39" i="37"/>
  <c r="D39" i="40"/>
  <c r="D37" i="37"/>
  <c r="F37" i="37" s="1"/>
  <c r="G37" i="37" s="1"/>
  <c r="D37" i="40"/>
  <c r="F37" i="40" s="1"/>
  <c r="D26" i="40"/>
  <c r="D50" i="40"/>
  <c r="D62" i="40"/>
  <c r="D41" i="37"/>
  <c r="D41" i="40"/>
  <c r="D38" i="37"/>
  <c r="D38" i="40"/>
  <c r="D42" i="37"/>
  <c r="D42" i="40"/>
  <c r="D55" i="40"/>
  <c r="D67" i="40"/>
  <c r="D31" i="40"/>
  <c r="D29" i="40"/>
  <c r="D53" i="40"/>
  <c r="D65" i="40"/>
  <c r="D66" i="40"/>
  <c r="D30" i="40"/>
  <c r="D54" i="40"/>
  <c r="D49" i="40"/>
  <c r="F49" i="40" s="1"/>
  <c r="D25" i="40"/>
  <c r="F25" i="40" s="1"/>
  <c r="D61" i="40"/>
  <c r="F61" i="40" s="1"/>
  <c r="D51" i="40"/>
  <c r="D63" i="40"/>
  <c r="D27" i="40"/>
  <c r="D43" i="37"/>
  <c r="D43" i="40"/>
  <c r="D44" i="37"/>
  <c r="D44" i="40"/>
  <c r="D64" i="40"/>
  <c r="D28" i="40"/>
  <c r="D52" i="40"/>
  <c r="D56" i="40"/>
  <c r="D68" i="40"/>
  <c r="D32" i="40"/>
  <c r="E26" i="27"/>
  <c r="E26" i="37"/>
  <c r="D62" i="27"/>
  <c r="D26" i="37"/>
  <c r="D50" i="37"/>
  <c r="D62" i="37"/>
  <c r="D66" i="27"/>
  <c r="D66" i="37"/>
  <c r="D54" i="37"/>
  <c r="D30" i="37"/>
  <c r="D65" i="27"/>
  <c r="D53" i="37"/>
  <c r="D29" i="37"/>
  <c r="D65" i="37"/>
  <c r="D64" i="27"/>
  <c r="D28" i="37"/>
  <c r="D64" i="37"/>
  <c r="D52" i="37"/>
  <c r="E50" i="37"/>
  <c r="E38" i="37"/>
  <c r="D61" i="27"/>
  <c r="D49" i="37"/>
  <c r="F49" i="37" s="1"/>
  <c r="D61" i="37"/>
  <c r="F61" i="37" s="1"/>
  <c r="D25" i="37"/>
  <c r="F25" i="37" s="1"/>
  <c r="D68" i="27"/>
  <c r="D56" i="37"/>
  <c r="D68" i="37"/>
  <c r="D32" i="37"/>
  <c r="D63" i="27"/>
  <c r="D51" i="37"/>
  <c r="D63" i="37"/>
  <c r="D27" i="37"/>
  <c r="D67" i="27"/>
  <c r="D55" i="37"/>
  <c r="D67" i="37"/>
  <c r="D31" i="37"/>
  <c r="E55" i="27"/>
  <c r="E43" i="27"/>
  <c r="E43" i="35"/>
  <c r="E55" i="35"/>
  <c r="E43" i="33"/>
  <c r="E55" i="33"/>
  <c r="E44" i="27"/>
  <c r="E56" i="27"/>
  <c r="E44" i="35"/>
  <c r="E56" i="35"/>
  <c r="E56" i="33"/>
  <c r="E44" i="33"/>
  <c r="E42" i="27"/>
  <c r="E54" i="27"/>
  <c r="E42" i="35"/>
  <c r="E54" i="35"/>
  <c r="E54" i="33"/>
  <c r="E42" i="33"/>
  <c r="E52" i="27"/>
  <c r="E40" i="27"/>
  <c r="E40" i="35"/>
  <c r="E52" i="35"/>
  <c r="E40" i="33"/>
  <c r="E52" i="33"/>
  <c r="E39" i="27"/>
  <c r="E51" i="27"/>
  <c r="E51" i="35"/>
  <c r="E39" i="35"/>
  <c r="E39" i="33"/>
  <c r="E51" i="33"/>
  <c r="E41" i="27"/>
  <c r="E53" i="27"/>
  <c r="E53" i="35"/>
  <c r="E41" i="35"/>
  <c r="E41" i="33"/>
  <c r="E53" i="33"/>
  <c r="D26" i="27"/>
  <c r="D50" i="27"/>
  <c r="D31" i="27"/>
  <c r="D55" i="27"/>
  <c r="D27" i="27"/>
  <c r="D51" i="27"/>
  <c r="D29" i="27"/>
  <c r="D53" i="27"/>
  <c r="E38" i="27"/>
  <c r="E50" i="27"/>
  <c r="D30" i="27"/>
  <c r="D54" i="27"/>
  <c r="D32" i="27"/>
  <c r="D56" i="27"/>
  <c r="D25" i="27"/>
  <c r="D49" i="27"/>
  <c r="D28" i="27"/>
  <c r="D52" i="27"/>
  <c r="D37" i="35"/>
  <c r="F37" i="35" s="1"/>
  <c r="J37" i="35" s="1"/>
  <c r="D37" i="27"/>
  <c r="F37" i="27" s="1"/>
  <c r="D40" i="35"/>
  <c r="D40" i="27"/>
  <c r="D41" i="35"/>
  <c r="D41" i="27"/>
  <c r="D39" i="35"/>
  <c r="D39" i="27"/>
  <c r="D38" i="35"/>
  <c r="D38" i="27"/>
  <c r="D43" i="35"/>
  <c r="D43" i="27"/>
  <c r="D42" i="35"/>
  <c r="D42" i="27"/>
  <c r="D44" i="35"/>
  <c r="D44" i="27"/>
  <c r="E50" i="26"/>
  <c r="E38" i="35"/>
  <c r="E50" i="35"/>
  <c r="E38" i="33"/>
  <c r="E50" i="33"/>
  <c r="D40" i="33"/>
  <c r="D43" i="33"/>
  <c r="D39" i="33"/>
  <c r="D37" i="33"/>
  <c r="F37" i="33" s="1"/>
  <c r="D38" i="33"/>
  <c r="D42" i="33"/>
  <c r="D44" i="33"/>
  <c r="D41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F16" i="27"/>
  <c r="F17" i="27"/>
  <c r="J92" i="1"/>
  <c r="L96" i="1"/>
  <c r="F19" i="27"/>
  <c r="F20" i="27"/>
  <c r="F14" i="27"/>
  <c r="K92" i="1"/>
  <c r="F18" i="27"/>
  <c r="F15" i="27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F63" i="40" l="1"/>
  <c r="J63" i="40" s="1"/>
  <c r="F38" i="40"/>
  <c r="G38" i="40" s="1"/>
  <c r="F40" i="37"/>
  <c r="G40" i="37" s="1"/>
  <c r="F41" i="37"/>
  <c r="J41" i="37" s="1"/>
  <c r="F43" i="37"/>
  <c r="J43" i="37" s="1"/>
  <c r="F44" i="37"/>
  <c r="J44" i="37" s="1"/>
  <c r="F41" i="40"/>
  <c r="G41" i="40" s="1"/>
  <c r="F42" i="37"/>
  <c r="J42" i="37" s="1"/>
  <c r="J37" i="37"/>
  <c r="F62" i="40"/>
  <c r="J62" i="40" s="1"/>
  <c r="F68" i="40"/>
  <c r="J68" i="40" s="1"/>
  <c r="F64" i="40"/>
  <c r="G64" i="40" s="1"/>
  <c r="F39" i="37"/>
  <c r="J39" i="37" s="1"/>
  <c r="F38" i="37"/>
  <c r="J38" i="37" s="1"/>
  <c r="F27" i="40"/>
  <c r="F51" i="40"/>
  <c r="J61" i="40"/>
  <c r="G61" i="40"/>
  <c r="J49" i="40"/>
  <c r="G49" i="40"/>
  <c r="F32" i="40"/>
  <c r="F54" i="40"/>
  <c r="F50" i="40"/>
  <c r="F30" i="40"/>
  <c r="F26" i="40"/>
  <c r="F56" i="40"/>
  <c r="F66" i="40"/>
  <c r="G37" i="40"/>
  <c r="J37" i="40"/>
  <c r="F52" i="40"/>
  <c r="F65" i="40"/>
  <c r="F28" i="40"/>
  <c r="F53" i="40"/>
  <c r="F39" i="40"/>
  <c r="J25" i="40"/>
  <c r="G25" i="40"/>
  <c r="F29" i="40"/>
  <c r="F44" i="40"/>
  <c r="F31" i="40"/>
  <c r="F40" i="40"/>
  <c r="F67" i="40"/>
  <c r="F43" i="40"/>
  <c r="F55" i="40"/>
  <c r="F42" i="40"/>
  <c r="F26" i="37"/>
  <c r="J26" i="37" s="1"/>
  <c r="F56" i="37"/>
  <c r="J56" i="37" s="1"/>
  <c r="F32" i="37"/>
  <c r="J32" i="37" s="1"/>
  <c r="F68" i="37"/>
  <c r="G68" i="37" s="1"/>
  <c r="F65" i="37"/>
  <c r="G65" i="37" s="1"/>
  <c r="F53" i="37"/>
  <c r="G53" i="37" s="1"/>
  <c r="F55" i="37"/>
  <c r="J55" i="37" s="1"/>
  <c r="F52" i="37"/>
  <c r="G52" i="37" s="1"/>
  <c r="F54" i="37"/>
  <c r="J54" i="37" s="1"/>
  <c r="F67" i="37"/>
  <c r="J67" i="37" s="1"/>
  <c r="F30" i="37"/>
  <c r="G30" i="37" s="1"/>
  <c r="F64" i="37"/>
  <c r="J64" i="37" s="1"/>
  <c r="F27" i="37"/>
  <c r="G27" i="37" s="1"/>
  <c r="F28" i="37"/>
  <c r="J28" i="37" s="1"/>
  <c r="F66" i="37"/>
  <c r="G66" i="37" s="1"/>
  <c r="F63" i="37"/>
  <c r="J63" i="37" s="1"/>
  <c r="F51" i="37"/>
  <c r="G51" i="37" s="1"/>
  <c r="F62" i="37"/>
  <c r="G62" i="37" s="1"/>
  <c r="F29" i="37"/>
  <c r="J25" i="37"/>
  <c r="G25" i="37"/>
  <c r="J61" i="37"/>
  <c r="G61" i="37"/>
  <c r="F50" i="37"/>
  <c r="G49" i="37"/>
  <c r="J49" i="37"/>
  <c r="F31" i="37"/>
  <c r="F42" i="35"/>
  <c r="J42" i="35" s="1"/>
  <c r="F43" i="35"/>
  <c r="G43" i="35" s="1"/>
  <c r="F39" i="35"/>
  <c r="J39" i="35" s="1"/>
  <c r="G37" i="35"/>
  <c r="F41" i="35"/>
  <c r="J41" i="35" s="1"/>
  <c r="F40" i="35"/>
  <c r="J40" i="35" s="1"/>
  <c r="F44" i="35"/>
  <c r="J44" i="35" s="1"/>
  <c r="F38" i="35"/>
  <c r="G38" i="35" s="1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F42" i="33"/>
  <c r="G42" i="33" s="1"/>
  <c r="F38" i="33"/>
  <c r="J38" i="33" s="1"/>
  <c r="F43" i="27"/>
  <c r="J43" i="27" s="1"/>
  <c r="F44" i="33"/>
  <c r="F39" i="33"/>
  <c r="J37" i="33"/>
  <c r="G37" i="33"/>
  <c r="F40" i="33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F43" i="33"/>
  <c r="F41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J15" i="27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F39" i="27"/>
  <c r="J39" i="27" s="1"/>
  <c r="F41" i="27"/>
  <c r="G41" i="27" s="1"/>
  <c r="F38" i="27"/>
  <c r="J38" i="27" s="1"/>
  <c r="J37" i="27"/>
  <c r="F44" i="27"/>
  <c r="G44" i="27" s="1"/>
  <c r="F42" i="27"/>
  <c r="G42" i="27" s="1"/>
  <c r="F40" i="27"/>
  <c r="J40" i="27" s="1"/>
  <c r="J14" i="27"/>
  <c r="J19" i="27"/>
  <c r="J18" i="27"/>
  <c r="G17" i="27"/>
  <c r="J17" i="27"/>
  <c r="J20" i="27"/>
  <c r="G37" i="27"/>
  <c r="G19" i="27"/>
  <c r="J13" i="27"/>
  <c r="G20" i="27"/>
  <c r="G13" i="27"/>
  <c r="G18" i="27"/>
  <c r="G16" i="27"/>
  <c r="J16" i="27"/>
  <c r="G14" i="27"/>
  <c r="G15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63" i="40" l="1"/>
  <c r="J38" i="40"/>
  <c r="G68" i="40"/>
  <c r="G42" i="37"/>
  <c r="G44" i="37"/>
  <c r="G43" i="37"/>
  <c r="G41" i="37"/>
  <c r="J41" i="40"/>
  <c r="J40" i="37"/>
  <c r="J64" i="40"/>
  <c r="G39" i="37"/>
  <c r="G62" i="40"/>
  <c r="G38" i="37"/>
  <c r="J54" i="40"/>
  <c r="G54" i="40"/>
  <c r="J65" i="40"/>
  <c r="G65" i="40"/>
  <c r="J42" i="40"/>
  <c r="G42" i="40"/>
  <c r="J52" i="40"/>
  <c r="G52" i="40"/>
  <c r="J39" i="40"/>
  <c r="G39" i="40"/>
  <c r="J53" i="40"/>
  <c r="G53" i="40"/>
  <c r="J55" i="40"/>
  <c r="G55" i="40"/>
  <c r="J32" i="40"/>
  <c r="G32" i="40"/>
  <c r="J43" i="40"/>
  <c r="G43" i="40"/>
  <c r="J28" i="40"/>
  <c r="G28" i="40"/>
  <c r="J67" i="40"/>
  <c r="G67" i="40"/>
  <c r="J66" i="40"/>
  <c r="G66" i="40"/>
  <c r="J56" i="40"/>
  <c r="G56" i="40"/>
  <c r="G26" i="40"/>
  <c r="J26" i="40"/>
  <c r="J40" i="40"/>
  <c r="G40" i="40"/>
  <c r="J30" i="40"/>
  <c r="G30" i="40"/>
  <c r="J51" i="40"/>
  <c r="G51" i="40"/>
  <c r="J31" i="40"/>
  <c r="G31" i="40"/>
  <c r="J44" i="40"/>
  <c r="G44" i="40"/>
  <c r="J29" i="40"/>
  <c r="G29" i="40"/>
  <c r="J50" i="40"/>
  <c r="G50" i="40"/>
  <c r="J27" i="40"/>
  <c r="G27" i="40"/>
  <c r="G26" i="37"/>
  <c r="G56" i="37"/>
  <c r="G32" i="37"/>
  <c r="J68" i="37"/>
  <c r="J65" i="37"/>
  <c r="G54" i="37"/>
  <c r="J53" i="37"/>
  <c r="J30" i="37"/>
  <c r="G55" i="37"/>
  <c r="J52" i="37"/>
  <c r="G64" i="37"/>
  <c r="J27" i="37"/>
  <c r="G28" i="37"/>
  <c r="J62" i="37"/>
  <c r="G63" i="37"/>
  <c r="G67" i="37"/>
  <c r="J66" i="37"/>
  <c r="J51" i="37"/>
  <c r="G31" i="37"/>
  <c r="J31" i="37"/>
  <c r="J50" i="37"/>
  <c r="G50" i="37"/>
  <c r="J29" i="37"/>
  <c r="G29" i="37"/>
  <c r="J43" i="35"/>
  <c r="G42" i="35"/>
  <c r="G41" i="35"/>
  <c r="G40" i="35"/>
  <c r="G39" i="35"/>
  <c r="J38" i="35"/>
  <c r="G44" i="35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J42" i="33"/>
  <c r="F50" i="33"/>
  <c r="G50" i="33" s="1"/>
  <c r="G38" i="33"/>
  <c r="F55" i="33"/>
  <c r="J55" i="33" s="1"/>
  <c r="F64" i="33"/>
  <c r="J64" i="33" s="1"/>
  <c r="F67" i="33"/>
  <c r="G67" i="33" s="1"/>
  <c r="F54" i="33"/>
  <c r="J54" i="33" s="1"/>
  <c r="F52" i="33"/>
  <c r="J52" i="33" s="1"/>
  <c r="G43" i="27"/>
  <c r="F65" i="33"/>
  <c r="J65" i="33" s="1"/>
  <c r="F66" i="33"/>
  <c r="J66" i="33" s="1"/>
  <c r="F51" i="33"/>
  <c r="G51" i="33" s="1"/>
  <c r="F53" i="33"/>
  <c r="J53" i="33" s="1"/>
  <c r="F25" i="33"/>
  <c r="F29" i="33" s="1"/>
  <c r="J40" i="33"/>
  <c r="G40" i="33"/>
  <c r="F63" i="33"/>
  <c r="J61" i="33"/>
  <c r="G61" i="33"/>
  <c r="J39" i="33"/>
  <c r="G39" i="33"/>
  <c r="J41" i="33"/>
  <c r="G41" i="33"/>
  <c r="F68" i="33"/>
  <c r="J43" i="33"/>
  <c r="G43" i="33"/>
  <c r="F62" i="33"/>
  <c r="J49" i="33"/>
  <c r="G49" i="33"/>
  <c r="J44" i="33"/>
  <c r="G44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7"/>
  <c r="G39" i="24"/>
  <c r="J41" i="27"/>
  <c r="G38" i="27"/>
  <c r="G42" i="26"/>
  <c r="G52" i="26"/>
  <c r="G39" i="26"/>
  <c r="J44" i="27"/>
  <c r="G44" i="26"/>
  <c r="J42" i="27"/>
  <c r="G40" i="27"/>
  <c r="J32" i="24"/>
  <c r="J50" i="24"/>
  <c r="G50" i="24"/>
  <c r="G26" i="24"/>
  <c r="J26" i="24"/>
  <c r="J38" i="24"/>
  <c r="G38" i="24"/>
  <c r="J66" i="24"/>
  <c r="G66" i="24"/>
  <c r="J42" i="24"/>
  <c r="G42" i="24"/>
  <c r="G54" i="35" l="1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32" i="20"/>
  <c r="AD40" i="20"/>
  <c r="AD44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AF2" i="20" s="1" a="1"/>
  <c r="AF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E5" i="20" s="1"/>
  <c r="AM28" i="20" s="1"/>
  <c r="H13" i="40" l="1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AM33" i="20"/>
  <c r="AD16" i="20"/>
  <c r="U26" i="20"/>
  <c r="V26" i="20"/>
  <c r="AD64" i="20"/>
  <c r="AD82" i="20"/>
  <c r="AD8" i="20"/>
  <c r="AC101" i="20"/>
  <c r="AD24" i="20"/>
  <c r="AN90" i="20"/>
  <c r="AW2" i="20" a="1"/>
  <c r="AW2" i="20" s="1"/>
  <c r="AZ2" i="20" s="1" a="1"/>
  <c r="AZ2" i="20" s="1"/>
  <c r="AM89" i="20"/>
  <c r="AN64" i="20"/>
  <c r="AN48" i="20"/>
  <c r="AN82" i="20"/>
  <c r="AD48" i="20"/>
  <c r="AN40" i="20"/>
  <c r="AN16" i="20"/>
  <c r="AC93" i="20"/>
  <c r="AN8" i="20"/>
  <c r="AN24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75" i="20"/>
  <c r="AM59" i="20"/>
  <c r="AM19" i="20"/>
  <c r="AM3" i="20"/>
  <c r="AM90" i="20"/>
  <c r="AM82" i="20"/>
  <c r="AD28" i="20"/>
  <c r="AD12" i="20"/>
  <c r="AM64" i="20"/>
  <c r="AM48" i="20"/>
  <c r="AM40" i="20"/>
  <c r="AM24" i="20"/>
  <c r="AM16" i="20"/>
  <c r="AM8" i="20"/>
  <c r="AC90" i="20"/>
  <c r="AC82" i="20"/>
  <c r="AM79" i="20"/>
  <c r="AM47" i="20"/>
  <c r="AM15" i="20"/>
  <c r="AC89" i="20"/>
  <c r="AM101" i="20"/>
  <c r="AM93" i="20"/>
  <c r="AM69" i="20"/>
  <c r="AM61" i="20"/>
  <c r="AM5" i="20"/>
  <c r="AN44" i="20"/>
  <c r="AN28" i="20"/>
  <c r="AN12" i="20"/>
  <c r="AC79" i="20"/>
  <c r="AM44" i="20"/>
  <c r="AM12" i="20"/>
  <c r="P26" i="20"/>
  <c r="O26" i="20"/>
  <c r="C26" i="20"/>
  <c r="D26" i="20"/>
  <c r="E6" i="20"/>
  <c r="H13" i="33" l="1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81" i="20"/>
  <c r="BG73" i="20"/>
  <c r="BG53" i="20"/>
  <c r="BG33" i="20"/>
  <c r="BG5" i="20"/>
  <c r="BH70" i="20"/>
  <c r="BH84" i="20"/>
  <c r="BH28" i="20"/>
  <c r="BG84" i="20"/>
  <c r="BG28" i="20"/>
  <c r="BG70" i="20"/>
  <c r="I26" i="20"/>
  <c r="AD6" i="20"/>
  <c r="AD22" i="20"/>
  <c r="AD38" i="20"/>
  <c r="AM13" i="20"/>
  <c r="AM29" i="20"/>
  <c r="AM53" i="20"/>
  <c r="AM85" i="20"/>
  <c r="AM6" i="20"/>
  <c r="AM22" i="20"/>
  <c r="AM38" i="20"/>
  <c r="AN6" i="20"/>
  <c r="AN22" i="20"/>
  <c r="AN38" i="20"/>
  <c r="AM31" i="20"/>
  <c r="AD74" i="20"/>
  <c r="AD42" i="20"/>
  <c r="AN42" i="20"/>
  <c r="AN74" i="20"/>
  <c r="AM42" i="20"/>
  <c r="AC85" i="20"/>
  <c r="AM17" i="20"/>
  <c r="AM35" i="20"/>
  <c r="AM51" i="20"/>
  <c r="J26" i="20"/>
  <c r="E7" i="20"/>
  <c r="H25" i="35" l="1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57" i="20"/>
  <c r="BG49" i="20"/>
  <c r="BH18" i="20"/>
  <c r="BH100" i="20"/>
  <c r="BH44" i="20"/>
  <c r="BH36" i="20"/>
  <c r="BH32" i="20"/>
  <c r="BG44" i="20"/>
  <c r="BG36" i="20"/>
  <c r="BG87" i="20"/>
  <c r="BG67" i="20"/>
  <c r="BG27" i="20"/>
  <c r="BG23" i="20"/>
  <c r="BG15" i="20"/>
  <c r="BG7" i="20"/>
  <c r="BG3" i="20"/>
  <c r="AX18" i="20"/>
  <c r="AM36" i="20"/>
  <c r="AW3" i="20"/>
  <c r="AW27" i="20"/>
  <c r="AW67" i="20"/>
  <c r="AC87" i="20"/>
  <c r="AN36" i="20"/>
  <c r="AN100" i="20"/>
  <c r="AM49" i="20"/>
  <c r="AM77" i="20"/>
  <c r="AW36" i="20"/>
  <c r="AW44" i="20"/>
  <c r="AX36" i="20"/>
  <c r="AX44" i="20"/>
  <c r="AX100" i="20"/>
  <c r="AN32" i="20"/>
  <c r="AW77" i="20"/>
  <c r="AM7" i="20"/>
  <c r="AM23" i="20"/>
  <c r="AM87" i="20"/>
  <c r="AM57" i="20"/>
  <c r="AD18" i="20"/>
  <c r="AW7" i="20"/>
  <c r="AW15" i="20"/>
  <c r="AW23" i="20"/>
  <c r="AW87" i="20"/>
  <c r="AX32" i="20"/>
  <c r="AD36" i="20"/>
  <c r="AD100" i="20"/>
  <c r="AC77" i="20"/>
  <c r="AW33" i="20"/>
  <c r="AW49" i="20"/>
  <c r="AW57" i="20"/>
  <c r="AN18" i="20"/>
  <c r="AM27" i="20"/>
  <c r="E8" i="20"/>
  <c r="H25" i="37" l="1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G25" i="20"/>
  <c r="BH8" i="20"/>
  <c r="BH94" i="20"/>
  <c r="BH66" i="20"/>
  <c r="BH58" i="20"/>
  <c r="BH42" i="20"/>
  <c r="BH38" i="20"/>
  <c r="BG8" i="20"/>
  <c r="BG99" i="20"/>
  <c r="BG91" i="20"/>
  <c r="BG83" i="20"/>
  <c r="BG75" i="20"/>
  <c r="BG19" i="20"/>
  <c r="BG11" i="20"/>
  <c r="BG94" i="20"/>
  <c r="BG66" i="20"/>
  <c r="BG58" i="20"/>
  <c r="AX42" i="20"/>
  <c r="AX58" i="20"/>
  <c r="AX66" i="20"/>
  <c r="AD94" i="20"/>
  <c r="AW8" i="20"/>
  <c r="AW11" i="20"/>
  <c r="AW19" i="20"/>
  <c r="AW75" i="20"/>
  <c r="AW83" i="20"/>
  <c r="AW91" i="20"/>
  <c r="AW99" i="20"/>
  <c r="AM94" i="20"/>
  <c r="AM102" i="20"/>
  <c r="AW53" i="20"/>
  <c r="AW61" i="20"/>
  <c r="AC99" i="20"/>
  <c r="AN94" i="20"/>
  <c r="AN102" i="20"/>
  <c r="AW94" i="20"/>
  <c r="AD58" i="20"/>
  <c r="AC91" i="20"/>
  <c r="AX38" i="20"/>
  <c r="AX94" i="20"/>
  <c r="AD66" i="20"/>
  <c r="AX8" i="20"/>
  <c r="AN58" i="20"/>
  <c r="AM58" i="20"/>
  <c r="AM66" i="20"/>
  <c r="AW25" i="20"/>
  <c r="AN66" i="20"/>
  <c r="AM11" i="20"/>
  <c r="AM91" i="20"/>
  <c r="AM99" i="20"/>
  <c r="AW58" i="20"/>
  <c r="AW66" i="20"/>
  <c r="AC94" i="20"/>
  <c r="AM25" i="20"/>
  <c r="E9" i="20"/>
  <c r="H37" i="33" l="1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80" i="20"/>
  <c r="BH68" i="20"/>
  <c r="BH40" i="20"/>
  <c r="BH102" i="20"/>
  <c r="BH74" i="20"/>
  <c r="BG80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W59" i="20"/>
  <c r="AM73" i="20"/>
  <c r="AN68" i="20"/>
  <c r="AW68" i="20"/>
  <c r="AC80" i="20"/>
  <c r="AD80" i="20"/>
  <c r="AX68" i="20"/>
  <c r="AM30" i="20"/>
  <c r="AM62" i="20"/>
  <c r="AC97" i="20"/>
  <c r="AN80" i="20"/>
  <c r="AW80" i="20"/>
  <c r="AN30" i="20"/>
  <c r="AN62" i="20"/>
  <c r="AW6" i="20"/>
  <c r="AW30" i="20"/>
  <c r="AW62" i="20"/>
  <c r="AW102" i="20"/>
  <c r="AX6" i="20"/>
  <c r="AX30" i="20"/>
  <c r="AX62" i="20"/>
  <c r="AX102" i="20"/>
  <c r="AM80" i="20"/>
  <c r="AX40" i="20"/>
  <c r="AX80" i="20"/>
  <c r="AD68" i="20"/>
  <c r="AM9" i="20"/>
  <c r="AW9" i="20"/>
  <c r="AW73" i="20"/>
  <c r="AW89" i="20"/>
  <c r="AW97" i="20"/>
  <c r="AW40" i="20"/>
  <c r="AM83" i="20"/>
  <c r="E10" i="20"/>
  <c r="H37" i="37" l="1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37" i="20"/>
  <c r="BG17" i="20"/>
  <c r="BH64" i="20"/>
  <c r="BH52" i="20"/>
  <c r="BH48" i="20"/>
  <c r="BH20" i="20"/>
  <c r="BH34" i="20"/>
  <c r="BH26" i="20"/>
  <c r="BH14" i="20"/>
  <c r="BG64" i="20"/>
  <c r="BG52" i="20"/>
  <c r="BG48" i="20"/>
  <c r="BG20" i="20"/>
  <c r="BG31" i="20"/>
  <c r="BG34" i="20"/>
  <c r="BG26" i="20"/>
  <c r="BG14" i="20"/>
  <c r="AX26" i="20"/>
  <c r="AX34" i="20"/>
  <c r="AD14" i="20"/>
  <c r="AM20" i="20"/>
  <c r="AM52" i="20"/>
  <c r="AW64" i="20"/>
  <c r="AN20" i="20"/>
  <c r="AN52" i="20"/>
  <c r="AW48" i="20"/>
  <c r="AM37" i="20"/>
  <c r="AM45" i="20"/>
  <c r="AW20" i="20"/>
  <c r="AW52" i="20"/>
  <c r="AX20" i="20"/>
  <c r="AX52" i="20"/>
  <c r="AM14" i="20"/>
  <c r="AW5" i="20"/>
  <c r="AW37" i="20"/>
  <c r="AW45" i="20"/>
  <c r="AN14" i="20"/>
  <c r="AW14" i="20"/>
  <c r="AD26" i="20"/>
  <c r="AX14" i="20"/>
  <c r="AD34" i="20"/>
  <c r="AW31" i="20"/>
  <c r="AX48" i="20"/>
  <c r="AX64" i="20"/>
  <c r="AD20" i="20"/>
  <c r="AD52" i="20"/>
  <c r="AN26" i="20"/>
  <c r="AM26" i="20"/>
  <c r="AM34" i="20"/>
  <c r="AW17" i="20"/>
  <c r="AN34" i="20"/>
  <c r="AM67" i="20"/>
  <c r="AW26" i="20"/>
  <c r="AW34" i="20"/>
  <c r="E11" i="20"/>
  <c r="H49" i="33" l="1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69" i="20"/>
  <c r="BG13" i="20"/>
  <c r="BH98" i="20"/>
  <c r="BH54" i="20"/>
  <c r="BH72" i="20"/>
  <c r="BH24" i="20"/>
  <c r="BH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W69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H49" i="35" l="1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12" i="20"/>
  <c r="BH47" i="20"/>
  <c r="BG51" i="20"/>
  <c r="BG47" i="20"/>
  <c r="BG39" i="20"/>
  <c r="BG22" i="20"/>
  <c r="AD70" i="20"/>
  <c r="AM76" i="20"/>
  <c r="AW51" i="20"/>
  <c r="AN88" i="20"/>
  <c r="AX47" i="20"/>
  <c r="AW88" i="20"/>
  <c r="AN76" i="20"/>
  <c r="AW12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X70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H61" i="33" l="1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H61" i="40" l="1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3" i="20"/>
  <c r="AD15" i="20"/>
  <c r="AD19" i="20"/>
  <c r="AD67" i="20"/>
  <c r="AD57" i="20"/>
  <c r="AD83" i="20"/>
  <c r="AD53" i="20"/>
  <c r="E16" i="20"/>
  <c r="M23" i="40" l="1"/>
  <c r="M21" i="40"/>
  <c r="M22" i="40"/>
  <c r="M25" i="40"/>
  <c r="M24" i="40"/>
  <c r="M23" i="37"/>
  <c r="M24" i="37"/>
  <c r="M22" i="37"/>
  <c r="M25" i="37"/>
  <c r="M21" i="37"/>
  <c r="O21" i="37" s="1" a="1"/>
  <c r="O21" i="37" s="1"/>
  <c r="I2" i="37" s="1"/>
  <c r="M21" i="27"/>
  <c r="M22" i="27"/>
  <c r="M23" i="27"/>
  <c r="M24" i="27"/>
  <c r="M25" i="27"/>
  <c r="I2" i="26"/>
  <c r="C7" i="9"/>
  <c r="C6" i="9"/>
  <c r="I2" i="24"/>
  <c r="C8" i="9"/>
  <c r="AN3" i="20"/>
  <c r="AD47" i="20"/>
  <c r="AD79" i="20"/>
  <c r="AN61" i="20"/>
  <c r="AN69" i="20"/>
  <c r="AN93" i="20"/>
  <c r="AD89" i="20"/>
  <c r="AD33" i="20"/>
  <c r="AN15" i="20"/>
  <c r="AN47" i="20"/>
  <c r="AN79" i="20"/>
  <c r="AN33" i="20"/>
  <c r="AN89" i="20"/>
  <c r="AD61" i="20"/>
  <c r="AD93" i="20"/>
  <c r="AD69" i="20"/>
  <c r="E17" i="20"/>
  <c r="O21" i="40" l="1" a="1"/>
  <c r="O21" i="40" s="1"/>
  <c r="I2" i="40" s="1"/>
  <c r="D6" i="9"/>
  <c r="D7" i="9"/>
  <c r="AN19" i="20"/>
  <c r="AN59" i="20"/>
  <c r="AN75" i="20"/>
  <c r="AD95" i="20"/>
  <c r="AD59" i="20"/>
  <c r="AN5" i="20"/>
  <c r="AN101" i="20"/>
  <c r="AD81" i="20"/>
  <c r="AN95" i="20"/>
  <c r="AD75" i="20"/>
  <c r="AN81" i="20"/>
  <c r="AD5" i="20"/>
  <c r="AD101" i="20"/>
  <c r="E18" i="20"/>
  <c r="BH81" i="20" l="1"/>
  <c r="BH73" i="20"/>
  <c r="BH53" i="20"/>
  <c r="BH33" i="20"/>
  <c r="BH5" i="20"/>
  <c r="AN35" i="20"/>
  <c r="AN51" i="20"/>
  <c r="AD31" i="20"/>
  <c r="AD35" i="20"/>
  <c r="AN13" i="20"/>
  <c r="AN29" i="20"/>
  <c r="AN53" i="20"/>
  <c r="AN85" i="20"/>
  <c r="AD17" i="20"/>
  <c r="AN31" i="20"/>
  <c r="AN17" i="20"/>
  <c r="AD13" i="20"/>
  <c r="AD29" i="20"/>
  <c r="AD85" i="20"/>
  <c r="AD51" i="20"/>
  <c r="E19" i="20"/>
  <c r="BH93" i="20" l="1"/>
  <c r="BH77" i="20"/>
  <c r="BH57" i="20"/>
  <c r="BH49" i="20"/>
  <c r="BH29" i="20"/>
  <c r="BH87" i="20"/>
  <c r="BH67" i="20"/>
  <c r="BH27" i="20"/>
  <c r="BH23" i="20"/>
  <c r="BH15" i="20"/>
  <c r="BH7" i="20"/>
  <c r="BH3" i="20"/>
  <c r="AN27" i="20"/>
  <c r="AX7" i="20"/>
  <c r="AD27" i="20"/>
  <c r="AX23" i="20"/>
  <c r="AX87" i="20"/>
  <c r="AX3" i="20"/>
  <c r="AX27" i="20"/>
  <c r="AX67" i="20"/>
  <c r="AD7" i="20"/>
  <c r="AD23" i="20"/>
  <c r="AD87" i="20"/>
  <c r="AN77" i="20"/>
  <c r="AX15" i="20"/>
  <c r="AX29" i="20"/>
  <c r="AX77" i="20"/>
  <c r="AX93" i="20"/>
  <c r="AD49" i="20"/>
  <c r="AN7" i="20"/>
  <c r="AN23" i="20"/>
  <c r="AN87" i="20"/>
  <c r="AN49" i="20"/>
  <c r="AN57" i="20"/>
  <c r="AX57" i="20"/>
  <c r="AD77" i="20"/>
  <c r="AX33" i="20"/>
  <c r="AX49" i="20"/>
  <c r="E20" i="20"/>
  <c r="BH61" i="20" l="1"/>
  <c r="BH25" i="20"/>
  <c r="BH99" i="20"/>
  <c r="BH91" i="20"/>
  <c r="BH83" i="20"/>
  <c r="BH75" i="20"/>
  <c r="BH19" i="20"/>
  <c r="BH11" i="20"/>
  <c r="AN11" i="20"/>
  <c r="AN91" i="20"/>
  <c r="AN99" i="20"/>
  <c r="AD99" i="20"/>
  <c r="AX11" i="20"/>
  <c r="AX19" i="20"/>
  <c r="AX75" i="20"/>
  <c r="AX83" i="20"/>
  <c r="AX91" i="20"/>
  <c r="AX99" i="20"/>
  <c r="AD11" i="20"/>
  <c r="AD91" i="20"/>
  <c r="AX53" i="20"/>
  <c r="AX61" i="20"/>
  <c r="AD25" i="20"/>
  <c r="AN25" i="20"/>
  <c r="AX25" i="20"/>
  <c r="AX81" i="20"/>
  <c r="E21" i="20"/>
  <c r="BH97" i="20" l="1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BH45" i="20" l="1"/>
  <c r="BH37" i="20"/>
  <c r="BH17" i="20"/>
  <c r="BH60" i="20"/>
  <c r="BH79" i="20"/>
  <c r="BH95" i="20"/>
  <c r="BH31" i="20"/>
  <c r="AN67" i="20"/>
  <c r="AN60" i="20"/>
  <c r="AX79" i="20"/>
  <c r="AN37" i="20"/>
  <c r="AN45" i="20"/>
  <c r="AX60" i="20"/>
  <c r="AX5" i="20"/>
  <c r="AX37" i="20"/>
  <c r="AX45" i="20"/>
  <c r="AX31" i="20"/>
  <c r="AX95" i="20"/>
  <c r="AD60" i="20"/>
  <c r="AD45" i="20"/>
  <c r="AX17" i="20"/>
  <c r="AD37" i="20"/>
  <c r="E23" i="20"/>
  <c r="BH69" i="20" l="1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K3" i="20" l="1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<sst xmlns="http://schemas.openxmlformats.org/spreadsheetml/2006/main" count="12308" uniqueCount="296">
  <si>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</si>
  <si>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</si>
  <si>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</si>
  <si>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</si>
  <si>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</si>
  <si>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</si>
  <si>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</si>
  <si>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</si>
  <si>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</si>
  <si>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</si>
  <si>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</si>
  <si>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</si>
  <si>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</si>
  <si>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</si>
  <si>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</si>
  <si>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</si>
  <si>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</si>
  <si>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</si>
  <si>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</si>
  <si>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</si>
  <si>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</si>
  <si>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</si>
  <si>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</si>
  <si>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</si>
  <si>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</si>
  <si>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</si>
  <si>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</si>
  <si>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</si>
  <si>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</si>
  <si>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</si>
  <si>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</si>
  <si>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</si>
  <si>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</si>
  <si>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</si>
  <si>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</si>
  <si>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</si>
  <si>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</si>
  <si>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</si>
  <si>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</si>
  <si>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</si>
  <si>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</si>
  <si>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</si>
  <si>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</si>
  <si>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</si>
  <si>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</si>
  <si>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</si>
  <si>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</si>
  <si>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</si>
  <si>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</si>
  <si>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</si>
  <si>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</si>
  <si>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</si>
  <si>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</si>
  <si>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</si>
  <si>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</si>
  <si>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</si>
  <si>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</si>
  <si>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</si>
  <si>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</si>
  <si>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</si>
  <si>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</si>
  <si>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</si>
  <si>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</si>
  <si>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</si>
  <si>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</si>
  <si>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</si>
  <si>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</si>
  <si>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</si>
  <si>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</si>
  <si>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</si>
  <si>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</si>
  <si>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</si>
  <si>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</si>
  <si>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</si>
  <si>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</si>
  <si>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</si>
  <si>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</si>
  <si>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</si>
  <si>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</si>
  <si>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</si>
  <si>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</si>
  <si>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</si>
  <si>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</si>
  <si>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</si>
  <si>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</si>
  <si>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</si>
  <si>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</si>
  <si>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</si>
  <si>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</si>
  <si>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</si>
  <si>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</si>
  <si>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</si>
  <si>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</si>
  <si>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</si>
  <si>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</si>
  <si>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</si>
  <si>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</si>
  <si>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</si>
  <si>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</si>
  <si>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</si>
  <si>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</si>
  <si>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</si>
  <si>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</si>
  <si>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</si>
  <si>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</si>
  <si>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</si>
  <si>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</si>
  <si>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</si>
  <si>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</si>
  <si>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</si>
  <si>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</si>
  <si>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</si>
  <si>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</si>
  <si>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</si>
  <si>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</si>
  <si>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</si>
  <si>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</si>
  <si>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</si>
  <si>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</si>
  <si>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</si>
  <si>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</si>
  <si>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</si>
  <si>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</si>
  <si>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</si>
  <si>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</si>
  <si>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</si>
  <si>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</si>
  <si>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</si>
  <si>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</si>
  <si>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</si>
  <si>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</si>
  <si>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</si>
  <si>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</si>
  <si>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</si>
  <si>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</si>
  <si>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</si>
  <si>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</si>
  <si>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</si>
  <si>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</si>
  <si>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</si>
  <si>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</si>
  <si>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</si>
  <si>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</si>
  <si>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</si>
  <si>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</si>
  <si>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</si>
  <si>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</si>
  <si>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</si>
  <si>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</si>
  <si>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</si>
  <si>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</si>
  <si>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</si>
  <si>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</si>
  <si>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</si>
  <si>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</si>
  <si>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</si>
  <si>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</si>
  <si>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</si>
  <si>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</si>
  <si>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</si>
  <si>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</si>
  <si>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</si>
  <si>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</si>
  <si>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</si>
  <si>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</si>
  <si>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</si>
  <si>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</si>
  <si>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</si>
  <si>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</si>
  <si>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</si>
  <si>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</si>
  <si>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</si>
  <si>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</si>
  <si>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</si>
  <si>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</si>
  <si>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</si>
  <si>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</si>
  <si>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</si>
  <si>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</si>
  <si>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</si>
  <si>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</si>
  <si>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</si>
  <si>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</si>
  <si>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</si>
  <si>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</si>
  <si>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</si>
  <si>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</si>
  <si>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</si>
  <si>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</si>
  <si>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</si>
  <si>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</si>
  <si>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</si>
  <si>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</si>
  <si>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</si>
  <si>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</si>
  <si>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</si>
  <si>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</si>
  <si>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</si>
  <si>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</si>
  <si>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</si>
  <si>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</si>
  <si>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</si>
  <si>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</si>
  <si>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</si>
  <si>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</si>
  <si>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</si>
  <si>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</si>
  <si>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</si>
  <si>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</si>
  <si>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</si>
  <si>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</si>
  <si>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</si>
  <si>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</si>
  <si>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</si>
  <si>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</si>
  <si>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</si>
  <si>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</si>
  <si>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</si>
  <si>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</si>
  <si>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</si>
  <si>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</si>
  <si>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</si>
  <si>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</si>
  <si>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</si>
  <si>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</si>
  <si>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</si>
  <si>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</si>
  <si>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</si>
  <si>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</si>
  <si>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</si>
  <si>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</si>
  <si>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</si>
  <si>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</si>
  <si>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</si>
  <si>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</si>
  <si>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</si>
  <si>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</si>
  <si>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</si>
  <si>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</si>
  <si>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</si>
  <si>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</si>
  <si>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</si>
  <si>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</si>
  <si>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</si>
  <si>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</si>
  <si>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</si>
  <si>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</si>
  <si>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</si>
  <si>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</si>
  <si>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</si>
  <si>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</si>
  <si>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</si>
  <si>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</si>
  <si>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</si>
  <si>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</si>
  <si>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</si>
  <si>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</si>
  <si>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</si>
  <si>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</si>
  <si>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</si>
  <si>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</si>
  <si>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</si>
  <si>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</si>
  <si>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</si>
  <si>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</si>
  <si>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</si>
  <si>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</si>
  <si>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</si>
  <si>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</si>
  <si>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</si>
  <si>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</si>
  <si>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</si>
  <si>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</si>
  <si>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</si>
  <si>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</si>
  <si>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</si>
  <si>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</si>
  <si>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</si>
  <si>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</si>
  <si>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</si>
  <si>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</si>
  <si>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</si>
  <si>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</si>
  <si>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</si>
  <si>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</si>
  <si>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</si>
  <si>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</si>
  <si>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</si>
  <si>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</si>
  <si>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</si>
  <si>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t>1.0.1.3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</si>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</sst>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8.9001665163512059E-2</c:v>
                      </c:pt>
                      <c:pt idx="19">
                        <c:v>6.9946329567789095E-2</c:v>
                      </c:pt>
                      <c:pt idx="20">
                        <c:v>6.0379700877254902E-2</c:v>
                      </c:pt>
                      <c:pt idx="21">
                        <c:v>7.3236496762116424E-2</c:v>
                      </c:pt>
                      <c:pt idx="22">
                        <c:v>0.13530128590975121</c:v>
                      </c:pt>
                      <c:pt idx="23">
                        <c:v>0.14953604801148887</c:v>
                      </c:pt>
                      <c:pt idx="24">
                        <c:v>7.8775164719190105E-2</c:v>
                      </c:pt>
                      <c:pt idx="25">
                        <c:v>3.5928305293217236E-2</c:v>
                      </c:pt>
                      <c:pt idx="26">
                        <c:v>2.0486649120887206E-2</c:v>
                      </c:pt>
                      <c:pt idx="27">
                        <c:v>3.0051960225170909E-2</c:v>
                      </c:pt>
                      <c:pt idx="28">
                        <c:v>1.2735441876677193E-2</c:v>
                      </c:pt>
                      <c:pt idx="29">
                        <c:v>7.3875529412461269E-2</c:v>
                      </c:pt>
                      <c:pt idx="30">
                        <c:v>1.1101082336369694E-2</c:v>
                      </c:pt>
                      <c:pt idx="31">
                        <c:v>1.2714036908106571E-2</c:v>
                      </c:pt>
                      <c:pt idx="32">
                        <c:v>9.9026380758371318E-3</c:v>
                      </c:pt>
                      <c:pt idx="33">
                        <c:v>1.2318392639826467E-2</c:v>
                      </c:pt>
                      <c:pt idx="34">
                        <c:v>3.550847651358368E-2</c:v>
                      </c:pt>
                      <c:pt idx="35">
                        <c:v>1.8699748272657701E-2</c:v>
                      </c:pt>
                      <c:pt idx="36">
                        <c:v>1.2352769361193165E-2</c:v>
                      </c:pt>
                      <c:pt idx="37">
                        <c:v>5.8164197850769242E-3</c:v>
                      </c:pt>
                      <c:pt idx="38">
                        <c:v>4.9195501084821529E-3</c:v>
                      </c:pt>
                      <c:pt idx="39">
                        <c:v>8.0913502659738686E-3</c:v>
                      </c:pt>
                      <c:pt idx="40">
                        <c:v>4.539477917500037E-3</c:v>
                      </c:pt>
                      <c:pt idx="41">
                        <c:v>4.4122163437593544E-3</c:v>
                      </c:pt>
                      <c:pt idx="42">
                        <c:v>3.390554323072175E-3</c:v>
                      </c:pt>
                      <c:pt idx="43">
                        <c:v>6.1896584493845823E-3</c:v>
                      </c:pt>
                      <c:pt idx="44">
                        <c:v>1.539172396795062E-2</c:v>
                      </c:pt>
                      <c:pt idx="45">
                        <c:v>1.5970489493049498E-3</c:v>
                      </c:pt>
                      <c:pt idx="46">
                        <c:v>1.2916510420407986E-3</c:v>
                      </c:pt>
                      <c:pt idx="47">
                        <c:v>1.026992105116115E-3</c:v>
                      </c:pt>
                      <c:pt idx="48">
                        <c:v>3.4077858288972273E-4</c:v>
                      </c:pt>
                      <c:pt idx="49">
                        <c:v>3.2207848281821727E-4</c:v>
                      </c:pt>
                      <c:pt idx="50">
                        <c:v>3.002287874023408E-4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0.14953604801148887</c:v>
                      </c:pt>
                      <c:pt idx="1">
                        <c:v>7.8775164719190105E-2</c:v>
                      </c:pt>
                      <c:pt idx="2">
                        <c:v>3.5928305293217236E-2</c:v>
                      </c:pt>
                      <c:pt idx="3">
                        <c:v>2.0486649120887206E-2</c:v>
                      </c:pt>
                      <c:pt idx="4">
                        <c:v>3.0051960225170909E-2</c:v>
                      </c:pt>
                      <c:pt idx="5">
                        <c:v>1.2735441876677193E-2</c:v>
                      </c:pt>
                      <c:pt idx="6">
                        <c:v>7.3875529412461269E-2</c:v>
                      </c:pt>
                      <c:pt idx="7">
                        <c:v>1.1101082336369694E-2</c:v>
                      </c:pt>
                      <c:pt idx="8">
                        <c:v>1.2714036908106571E-2</c:v>
                      </c:pt>
                      <c:pt idx="9">
                        <c:v>9.9026380758371318E-3</c:v>
                      </c:pt>
                      <c:pt idx="10">
                        <c:v>1.2318392639826467E-2</c:v>
                      </c:pt>
                      <c:pt idx="11">
                        <c:v>3.550847651358368E-2</c:v>
                      </c:pt>
                      <c:pt idx="12">
                        <c:v>1.539172396795062E-2</c:v>
                      </c:pt>
                      <c:pt idx="13">
                        <c:v>1.5970489493049498E-3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5.6868241979797819E-3</c:v>
                </c:pt>
                <c:pt idx="1">
                  <c:v>9.2383286483157124E-3</c:v>
                </c:pt>
                <c:pt idx="2">
                  <c:v>6.5222312150391747E-3</c:v>
                </c:pt>
                <c:pt idx="3">
                  <c:v>8.5853752466104535E-3</c:v>
                </c:pt>
                <c:pt idx="4">
                  <c:v>5.873162084302783E-3</c:v>
                </c:pt>
                <c:pt idx="5">
                  <c:v>5.8426747488564993E-3</c:v>
                </c:pt>
                <c:pt idx="6">
                  <c:v>1.471910484637508E-3</c:v>
                </c:pt>
                <c:pt idx="7">
                  <c:v>1.532755679831113E-2</c:v>
                </c:pt>
                <c:pt idx="8">
                  <c:v>3.342666668268812E-3</c:v>
                </c:pt>
                <c:pt idx="9">
                  <c:v>4.1557973447477617E-3</c:v>
                </c:pt>
                <c:pt idx="10">
                  <c:v>2.0853863731372463E-2</c:v>
                </c:pt>
                <c:pt idx="11">
                  <c:v>5.2383259656537482E-3</c:v>
                </c:pt>
                <c:pt idx="12">
                  <c:v>7.2421021290713806E-3</c:v>
                </c:pt>
                <c:pt idx="13">
                  <c:v>2.5208452848019666E-3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1.0223660069836115E-2</c:v>
                </c:pt>
                <c:pt idx="1">
                  <c:v>1.660848452944284E-2</c:v>
                </c:pt>
                <c:pt idx="2">
                  <c:v>1.1725538282530843E-2</c:v>
                </c:pt>
                <c:pt idx="3">
                  <c:v>1.2800505026016198E-2</c:v>
                </c:pt>
                <c:pt idx="4">
                  <c:v>8.7566862998931013E-3</c:v>
                </c:pt>
                <c:pt idx="5">
                  <c:v>8.7112310647333366E-3</c:v>
                </c:pt>
                <c:pt idx="6">
                  <c:v>2.1945681700663616E-3</c:v>
                </c:pt>
                <c:pt idx="7">
                  <c:v>9.1411492711490662E-3</c:v>
                </c:pt>
                <c:pt idx="8">
                  <c:v>3.9870440589686957E-3</c:v>
                </c:pt>
                <c:pt idx="9">
                  <c:v>4.9569223646838854E-3</c:v>
                </c:pt>
                <c:pt idx="10">
                  <c:v>7.4981335915328233E-3</c:v>
                </c:pt>
                <c:pt idx="11">
                  <c:v>1.8834717636203719E-2</c:v>
                </c:pt>
                <c:pt idx="12">
                  <c:v>2.6039424321503794E-3</c:v>
                </c:pt>
                <c:pt idx="13">
                  <c:v>1.8127711557207385E-3</c:v>
                </c:pt>
                <c:pt idx="14">
                  <c:v>8.9677548978296384E-3</c:v>
                </c:pt>
                <c:pt idx="15">
                  <c:v>1.5758409336982227E-3</c:v>
                </c:pt>
                <c:pt idx="16">
                  <c:v>2.7664494192558677E-3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3.3078382757739958E-2</c:v>
                      </c:pt>
                      <c:pt idx="8">
                        <c:v>0</c:v>
                      </c:pt>
                      <c:pt idx="9">
                        <c:v>4.9882997468668035E-3</c:v>
                      </c:pt>
                      <c:pt idx="10">
                        <c:v>3.9847286494331582E-3</c:v>
                      </c:pt>
                      <c:pt idx="11">
                        <c:v>1.3699237821987151E-2</c:v>
                      </c:pt>
                      <c:pt idx="12">
                        <c:v>8.6358768438296075E-3</c:v>
                      </c:pt>
                      <c:pt idx="13">
                        <c:v>6.8542836043006747E-3</c:v>
                      </c:pt>
                      <c:pt idx="14">
                        <c:v>4.5885971683208328E-3</c:v>
                      </c:pt>
                      <c:pt idx="15">
                        <c:v>3.218227462748878E-3</c:v>
                      </c:pt>
                      <c:pt idx="16">
                        <c:v>3.4194256536782359E-3</c:v>
                      </c:pt>
                      <c:pt idx="17">
                        <c:v>2.3322614258740465E-3</c:v>
                      </c:pt>
                      <c:pt idx="18">
                        <c:v>2.4227488664178886E-3</c:v>
                      </c:pt>
                      <c:pt idx="19">
                        <c:v>6.6338787479437191E-4</c:v>
                      </c:pt>
                      <c:pt idx="20">
                        <c:v>3.0996027139304373E-3</c:v>
                      </c:pt>
                      <c:pt idx="21">
                        <c:v>1.456668814637449E-2</c:v>
                      </c:pt>
                      <c:pt idx="22">
                        <c:v>2.5162801525128553E-3</c:v>
                      </c:pt>
                      <c:pt idx="23">
                        <c:v>2.0175917166443025E-3</c:v>
                      </c:pt>
                      <c:pt idx="24">
                        <c:v>7.2963412936905491E-4</c:v>
                      </c:pt>
                      <c:pt idx="25">
                        <c:v>2.3793192780944381E-3</c:v>
                      </c:pt>
                      <c:pt idx="26">
                        <c:v>6.6788059082783227E-3</c:v>
                      </c:pt>
                      <c:pt idx="27">
                        <c:v>2.3942402089860526E-3</c:v>
                      </c:pt>
                      <c:pt idx="28">
                        <c:v>6.6575081209571015E-3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2.0175917166443025E-3</c:v>
                      </c:pt>
                      <c:pt idx="1">
                        <c:v>7.2963412936905491E-4</c:v>
                      </c:pt>
                      <c:pt idx="2">
                        <c:v>2.3793192780944381E-3</c:v>
                      </c:pt>
                      <c:pt idx="3">
                        <c:v>6.6788059082783227E-3</c:v>
                      </c:pt>
                      <c:pt idx="4">
                        <c:v>2.3942402089860526E-3</c:v>
                      </c:pt>
                      <c:pt idx="5">
                        <c:v>6.6575081209571015E-3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0106_100000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00.0_0102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1218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00.0_1231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1212_100000000_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31793475</v>
          </cell>
          <cell r="T1">
            <v>0</v>
          </cell>
        </row>
        <row r="2">
          <cell r="S2">
            <v>87336</v>
          </cell>
          <cell r="T2">
            <v>69868.800000007104</v>
          </cell>
        </row>
        <row r="3">
          <cell r="S3">
            <v>445099</v>
          </cell>
          <cell r="T3">
            <v>776381.59999989392</v>
          </cell>
        </row>
        <row r="4">
          <cell r="S4">
            <v>206522</v>
          </cell>
          <cell r="T4">
            <v>579814.40000004496</v>
          </cell>
        </row>
        <row r="5">
          <cell r="S5">
            <v>523202</v>
          </cell>
          <cell r="T5">
            <v>1993365.19999982</v>
          </cell>
        </row>
        <row r="6">
          <cell r="S6">
            <v>470796</v>
          </cell>
          <cell r="T6">
            <v>2300695.4000002109</v>
          </cell>
        </row>
        <row r="7">
          <cell r="S7">
            <v>515408</v>
          </cell>
          <cell r="T7">
            <v>3082878.4000000414</v>
          </cell>
        </row>
        <row r="8">
          <cell r="S8">
            <v>64703</v>
          </cell>
          <cell r="T8">
            <v>417548.80000001274</v>
          </cell>
        </row>
        <row r="9">
          <cell r="S9">
            <v>811727</v>
          </cell>
          <cell r="T9">
            <v>6369123.0000010356</v>
          </cell>
        </row>
        <row r="10">
          <cell r="S10">
            <v>180638</v>
          </cell>
          <cell r="T10">
            <v>1612065.5999999999</v>
          </cell>
        </row>
        <row r="11">
          <cell r="S11">
            <v>723996</v>
          </cell>
          <cell r="T11">
            <v>7173791.5999993756</v>
          </cell>
        </row>
        <row r="12">
          <cell r="S12">
            <v>1429134</v>
          </cell>
          <cell r="T12">
            <v>18936692.999999009</v>
          </cell>
        </row>
        <row r="13">
          <cell r="S13">
            <v>1893669</v>
          </cell>
          <cell r="T13">
            <v>34749383.799997613</v>
          </cell>
        </row>
        <row r="14">
          <cell r="S14">
            <v>1198419</v>
          </cell>
          <cell r="T14">
            <v>28277717.599998325</v>
          </cell>
        </row>
        <row r="15">
          <cell r="S15">
            <v>1193075</v>
          </cell>
          <cell r="T15">
            <v>34514758.599997401</v>
          </cell>
        </row>
        <row r="16">
          <cell r="S16">
            <v>863756</v>
          </cell>
          <cell r="T16">
            <v>28120411.799997173</v>
          </cell>
        </row>
        <row r="17">
          <cell r="S17">
            <v>1624478</v>
          </cell>
          <cell r="T17">
            <v>62803369.600001521</v>
          </cell>
        </row>
        <row r="18">
          <cell r="S18">
            <v>729957</v>
          </cell>
          <cell r="T18">
            <v>31952887.399999078</v>
          </cell>
        </row>
        <row r="19">
          <cell r="S19">
            <v>1147882</v>
          </cell>
          <cell r="T19">
            <v>55492008.600002214</v>
          </cell>
        </row>
        <row r="20">
          <cell r="S20">
            <v>1827391</v>
          </cell>
          <cell r="T20">
            <v>104804012.40000774</v>
          </cell>
        </row>
        <row r="21">
          <cell r="S21">
            <v>1194177</v>
          </cell>
          <cell r="T21">
            <v>78501248.59999916</v>
          </cell>
        </row>
        <row r="22">
          <cell r="S22">
            <v>1857617</v>
          </cell>
          <cell r="T22">
            <v>142317235.40000734</v>
          </cell>
        </row>
        <row r="23">
          <cell r="S23">
            <v>1162434</v>
          </cell>
          <cell r="T23">
            <v>100563565.39999692</v>
          </cell>
        </row>
        <row r="24">
          <cell r="S24">
            <v>1405737</v>
          </cell>
          <cell r="T24">
            <v>135925771.80000448</v>
          </cell>
        </row>
        <row r="25">
          <cell r="S25">
            <v>2375046</v>
          </cell>
          <cell r="T25">
            <v>266821252.00001076</v>
          </cell>
        </row>
        <row r="26">
          <cell r="S26">
            <v>1829546</v>
          </cell>
          <cell r="T26">
            <v>240457937.39999625</v>
          </cell>
        </row>
        <row r="27">
          <cell r="S27">
            <v>2074929</v>
          </cell>
          <cell r="T27">
            <v>314924383.00001752</v>
          </cell>
        </row>
        <row r="28">
          <cell r="S28">
            <v>1668205</v>
          </cell>
          <cell r="T28">
            <v>286436695.79998577</v>
          </cell>
        </row>
        <row r="29">
          <cell r="S29">
            <v>1747165</v>
          </cell>
          <cell r="T29">
            <v>336589328.19999319</v>
          </cell>
        </row>
        <row r="30">
          <cell r="S30">
            <v>3469209</v>
          </cell>
          <cell r="T30">
            <v>783622512.80004096</v>
          </cell>
        </row>
        <row r="31">
          <cell r="S31">
            <v>3017071</v>
          </cell>
          <cell r="T31">
            <v>833314045.80001783</v>
          </cell>
        </row>
        <row r="32">
          <cell r="S32">
            <v>2404948</v>
          </cell>
          <cell r="T32">
            <v>781820966.20000577</v>
          </cell>
        </row>
        <row r="33">
          <cell r="S33">
            <v>2297534</v>
          </cell>
          <cell r="T33">
            <v>865200651.79998469</v>
          </cell>
        </row>
        <row r="34">
          <cell r="S34">
            <v>1834931</v>
          </cell>
          <cell r="T34">
            <v>781318106.79999387</v>
          </cell>
        </row>
        <row r="35">
          <cell r="S35">
            <v>1743465</v>
          </cell>
          <cell r="T35">
            <v>830907635.39999986</v>
          </cell>
        </row>
        <row r="36">
          <cell r="S36">
            <v>1455019</v>
          </cell>
          <cell r="T36">
            <v>764396994.99999642</v>
          </cell>
        </row>
        <row r="37">
          <cell r="S37">
            <v>1424067</v>
          </cell>
          <cell r="T37">
            <v>820759390.99999714</v>
          </cell>
        </row>
        <row r="38">
          <cell r="S38">
            <v>1152860</v>
          </cell>
          <cell r="T38">
            <v>721511146.39999747</v>
          </cell>
        </row>
        <row r="39">
          <cell r="S39">
            <v>1052234</v>
          </cell>
          <cell r="T39">
            <v>710614398.79999399</v>
          </cell>
        </row>
        <row r="40">
          <cell r="S40">
            <v>947593</v>
          </cell>
          <cell r="T40">
            <v>687119571.39999485</v>
          </cell>
        </row>
        <row r="41">
          <cell r="S41">
            <v>961798</v>
          </cell>
          <cell r="T41">
            <v>748574591.99999762</v>
          </cell>
        </row>
        <row r="42">
          <cell r="S42">
            <v>777660</v>
          </cell>
          <cell r="T42">
            <v>642172326.79999638</v>
          </cell>
        </row>
        <row r="43">
          <cell r="S43">
            <v>749319</v>
          </cell>
          <cell r="T43">
            <v>656319274.99999499</v>
          </cell>
        </row>
        <row r="44">
          <cell r="S44">
            <v>664325</v>
          </cell>
          <cell r="T44">
            <v>614612265.79999816</v>
          </cell>
        </row>
        <row r="45">
          <cell r="S45">
            <v>707435</v>
          </cell>
          <cell r="T45">
            <v>692206913.99999499</v>
          </cell>
        </row>
        <row r="46">
          <cell r="S46">
            <v>6776726</v>
          </cell>
          <cell r="T46">
            <v>9522490079.9991722</v>
          </cell>
        </row>
        <row r="47">
          <cell r="S47">
            <v>2434947</v>
          </cell>
          <cell r="T47">
            <v>5936244713.9997463</v>
          </cell>
        </row>
        <row r="48">
          <cell r="S48">
            <v>1162298</v>
          </cell>
          <cell r="T48">
            <v>4019809478.8000169</v>
          </cell>
        </row>
        <row r="49">
          <cell r="S49">
            <v>676302</v>
          </cell>
          <cell r="T49">
            <v>3019851371.1999927</v>
          </cell>
        </row>
        <row r="50">
          <cell r="S50">
            <v>416443</v>
          </cell>
          <cell r="T50">
            <v>2277477620.0000114</v>
          </cell>
        </row>
        <row r="51">
          <cell r="S51">
            <v>265365</v>
          </cell>
          <cell r="T51">
            <v>1716492367.0000064</v>
          </cell>
        </row>
        <row r="52">
          <cell r="S52">
            <v>174776</v>
          </cell>
          <cell r="T52">
            <v>1305679208.8000031</v>
          </cell>
        </row>
        <row r="53">
          <cell r="S53">
            <v>117151</v>
          </cell>
          <cell r="T53">
            <v>992176702.5999999</v>
          </cell>
        </row>
        <row r="54">
          <cell r="S54">
            <v>80616</v>
          </cell>
          <cell r="T54">
            <v>763643690.40000033</v>
          </cell>
        </row>
        <row r="55">
          <cell r="S55">
            <v>180537</v>
          </cell>
          <cell r="T55">
            <v>2277134633.8000031</v>
          </cell>
        </row>
        <row r="56">
          <cell r="S56">
            <v>8852</v>
          </cell>
          <cell r="T56">
            <v>204279606.00000003</v>
          </cell>
        </row>
        <row r="57">
          <cell r="S57">
            <v>1000</v>
          </cell>
          <cell r="T57">
            <v>35397581.600000001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D16" sqref="D16"/>
    </sheetView>
  </sheetViews>
  <sheetFormatPr defaultColWidth="8.88671875" defaultRowHeight="15.6" x14ac:dyDescent="0.3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 x14ac:dyDescent="0.3">
      <c r="A1" s="2" t="s">
        <v>42</v>
      </c>
      <c r="B1" s="11" t="str">
        <f>C1&amp;"-"&amp;B2</f>
        <v>H020192-1.0.1.3</v>
      </c>
      <c r="C1" s="11" t="s">
        <v>270</v>
      </c>
    </row>
    <row r="2" spans="1:10" ht="16.2" x14ac:dyDescent="0.3">
      <c r="A2" s="2" t="s">
        <v>85</v>
      </c>
      <c r="B2" s="11" t="s">
        <v>290</v>
      </c>
      <c r="C2" s="11"/>
    </row>
    <row r="3" spans="1:10" ht="16.8" thickBot="1" x14ac:dyDescent="0.35">
      <c r="A3" s="2" t="s">
        <v>43</v>
      </c>
      <c r="B3" s="10">
        <f ca="1">1-D5</f>
        <v>-19.935095634548151</v>
      </c>
      <c r="G3" s="1" t="s">
        <v>254</v>
      </c>
    </row>
    <row r="4" spans="1:10" ht="16.8" thickBot="1" x14ac:dyDescent="0.35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 x14ac:dyDescent="0.3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0.11403223896527781</v>
      </c>
      <c r="H5" s="188">
        <f>SUM('Multiplier Weight'!$N$12:$N$61)-I5-J5</f>
        <v>1.770460505420822E-2</v>
      </c>
      <c r="I5" s="188">
        <f>SUM('Multiplier Weight'!$N$15:$N$61)-J5</f>
        <v>2.036284941927391E-2</v>
      </c>
      <c r="J5" s="189">
        <f>SUM('Multiplier Weight'!$N$19:$N$61)</f>
        <v>3.7195305874717834E-3</v>
      </c>
    </row>
    <row r="6" spans="1:10" ht="16.2" x14ac:dyDescent="0.3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0.11535026581859442</v>
      </c>
      <c r="H6" s="188">
        <f>SUM('Multiplier Weight'!N79:N126)-I6-J6</f>
        <v>2.297388522511979E-2</v>
      </c>
      <c r="I6" s="188">
        <f>SUM('Multiplier Weight'!N81:N126)-J6</f>
        <v>2.11631805526422E-2</v>
      </c>
      <c r="J6" s="189">
        <f>SUM('Multiplier Weight'!N87:N126)</f>
        <v>3.6851889674443233E-3</v>
      </c>
    </row>
    <row r="7" spans="1:10" ht="16.2" x14ac:dyDescent="0.3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0.1458620989462498</v>
      </c>
      <c r="H7" s="188">
        <f>SUM('Multiplier Weight'!N153:N191)-I7-J7</f>
        <v>5.4962515913748559E-3</v>
      </c>
      <c r="I7" s="188">
        <f>SUM('Multiplier Weight'!N156:N191)-J7</f>
        <v>2.3092958057299023E-2</v>
      </c>
      <c r="J7" s="189">
        <f>SUM('Multiplier Weight'!N164:N191)</f>
        <v>4.1767056991204414E-3</v>
      </c>
    </row>
    <row r="8" spans="1:10" ht="16.8" thickBot="1" x14ac:dyDescent="0.35">
      <c r="A8" s="91">
        <v>250</v>
      </c>
      <c r="B8" s="139">
        <v>5</v>
      </c>
      <c r="C8" s="141">
        <f ca="1">'Pay Combo Super Feature Buy'!$I$1</f>
        <v>2.8068527462091269E-3</v>
      </c>
      <c r="D8" s="141">
        <f ca="1">'Pay Combo Super Feature Buy'!$I$2</f>
        <v>1.8532863592875257</v>
      </c>
      <c r="E8" s="142">
        <f ca="1">SUM('Pay Combo Super Feature Buy'!$J$23:$J$32)</f>
        <v>7.1900065171722025E-2</v>
      </c>
      <c r="F8" s="125" t="s">
        <v>129</v>
      </c>
      <c r="G8" s="271"/>
      <c r="H8" s="191"/>
      <c r="I8" s="191"/>
      <c r="J8" s="268"/>
    </row>
    <row r="9" spans="1:10" ht="16.2" x14ac:dyDescent="0.3">
      <c r="A9" s="87"/>
      <c r="B9" s="88"/>
      <c r="C9" s="89"/>
      <c r="D9" s="89"/>
    </row>
    <row r="10" spans="1:10" ht="16.2" thickBot="1" x14ac:dyDescent="0.35"/>
    <row r="11" spans="1:10" ht="16.8" thickBot="1" x14ac:dyDescent="0.35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 x14ac:dyDescent="0.35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 x14ac:dyDescent="0.3">
      <c r="A14" s="82" t="s">
        <v>60</v>
      </c>
      <c r="B14" s="32"/>
    </row>
    <row r="15" spans="1:10" ht="16.2" x14ac:dyDescent="0.3">
      <c r="A15" s="22" t="s">
        <v>61</v>
      </c>
    </row>
    <row r="17" spans="1:6" ht="16.8" thickBot="1" x14ac:dyDescent="0.35">
      <c r="A17" s="2" t="s">
        <v>49</v>
      </c>
    </row>
    <row r="18" spans="1:6" ht="31.8" customHeight="1" x14ac:dyDescent="0.3">
      <c r="A18" s="308" t="s">
        <v>294</v>
      </c>
      <c r="B18" s="309"/>
      <c r="C18" s="309"/>
      <c r="D18" s="309"/>
      <c r="E18" s="309"/>
      <c r="F18" s="310"/>
    </row>
    <row r="19" spans="1:6" ht="31.8" customHeight="1" x14ac:dyDescent="0.3">
      <c r="A19" s="311"/>
      <c r="B19" s="312"/>
      <c r="C19" s="312"/>
      <c r="D19" s="312"/>
      <c r="E19" s="312"/>
      <c r="F19" s="313"/>
    </row>
    <row r="20" spans="1:6" ht="31.8" customHeight="1" x14ac:dyDescent="0.3">
      <c r="A20" s="311"/>
      <c r="B20" s="312"/>
      <c r="C20" s="312"/>
      <c r="D20" s="312"/>
      <c r="E20" s="312"/>
      <c r="F20" s="313"/>
    </row>
    <row r="21" spans="1:6" ht="31.8" customHeight="1" x14ac:dyDescent="0.3">
      <c r="A21" s="311"/>
      <c r="B21" s="312"/>
      <c r="C21" s="312"/>
      <c r="D21" s="312"/>
      <c r="E21" s="312"/>
      <c r="F21" s="313"/>
    </row>
    <row r="22" spans="1:6" ht="31.8" customHeight="1" thickBot="1" x14ac:dyDescent="0.35">
      <c r="A22" s="314"/>
      <c r="B22" s="315"/>
      <c r="C22" s="315"/>
      <c r="D22" s="315"/>
      <c r="E22" s="315"/>
      <c r="F22" s="316"/>
    </row>
    <row r="24" spans="1:6" ht="16.2" x14ac:dyDescent="0.3">
      <c r="A24" s="31" t="s">
        <v>50</v>
      </c>
      <c r="B24" s="1" t="s">
        <v>51</v>
      </c>
    </row>
    <row r="25" spans="1:6" ht="16.2" x14ac:dyDescent="0.3">
      <c r="A25" s="3"/>
      <c r="B25" s="3" t="s">
        <v>63</v>
      </c>
      <c r="C25" s="3" t="s">
        <v>64</v>
      </c>
    </row>
    <row r="26" spans="1:6" ht="16.2" x14ac:dyDescent="0.3">
      <c r="A26" s="4">
        <v>5</v>
      </c>
      <c r="B26" s="7">
        <v>0</v>
      </c>
      <c r="C26" s="7">
        <v>0</v>
      </c>
    </row>
    <row r="27" spans="1:6" ht="16.2" x14ac:dyDescent="0.3">
      <c r="A27" s="4">
        <v>4</v>
      </c>
      <c r="B27" s="7">
        <v>0</v>
      </c>
      <c r="C27" s="7">
        <v>0</v>
      </c>
    </row>
    <row r="28" spans="1:6" ht="16.2" x14ac:dyDescent="0.3">
      <c r="A28" s="4">
        <v>3</v>
      </c>
      <c r="B28" s="7">
        <v>5</v>
      </c>
      <c r="C28" s="5">
        <v>0</v>
      </c>
    </row>
    <row r="29" spans="1:6" ht="16.2" x14ac:dyDescent="0.3">
      <c r="A29" s="3"/>
      <c r="B29" s="6" t="s">
        <v>13</v>
      </c>
      <c r="C29" s="6" t="s">
        <v>21</v>
      </c>
      <c r="D29" s="6" t="s">
        <v>23</v>
      </c>
    </row>
    <row r="30" spans="1:6" ht="16.2" x14ac:dyDescent="0.3">
      <c r="A30" s="4">
        <v>5</v>
      </c>
      <c r="B30" s="7">
        <v>0</v>
      </c>
      <c r="C30" s="7">
        <v>0</v>
      </c>
      <c r="D30" s="7">
        <v>0</v>
      </c>
    </row>
    <row r="31" spans="1:6" ht="16.2" x14ac:dyDescent="0.3">
      <c r="A31" s="4">
        <v>4</v>
      </c>
      <c r="B31" s="7">
        <v>0</v>
      </c>
      <c r="C31" s="7">
        <v>0</v>
      </c>
      <c r="D31" s="7">
        <v>0</v>
      </c>
    </row>
    <row r="32" spans="1:6" ht="16.2" x14ac:dyDescent="0.3">
      <c r="A32" s="4">
        <v>3</v>
      </c>
      <c r="B32" s="7">
        <v>4</v>
      </c>
      <c r="C32" s="7">
        <v>3</v>
      </c>
      <c r="D32" s="7">
        <v>2.4</v>
      </c>
    </row>
    <row r="33" spans="1:5" ht="16.2" x14ac:dyDescent="0.3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 x14ac:dyDescent="0.3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 x14ac:dyDescent="0.3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 x14ac:dyDescent="0.3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 x14ac:dyDescent="0.35"/>
    <row r="39" spans="1:5" ht="16.2" thickBot="1" x14ac:dyDescent="0.35">
      <c r="A39" s="164" t="s">
        <v>134</v>
      </c>
      <c r="B39" s="165" t="s">
        <v>137</v>
      </c>
    </row>
    <row r="40" spans="1:5" x14ac:dyDescent="0.3">
      <c r="A40" s="158" t="s">
        <v>25</v>
      </c>
      <c r="B40" s="159">
        <f>B28</f>
        <v>5</v>
      </c>
    </row>
    <row r="41" spans="1:5" x14ac:dyDescent="0.3">
      <c r="A41" s="160" t="s">
        <v>13</v>
      </c>
      <c r="B41" s="161">
        <f>B32</f>
        <v>4</v>
      </c>
    </row>
    <row r="42" spans="1:5" x14ac:dyDescent="0.3">
      <c r="A42" s="160" t="s">
        <v>135</v>
      </c>
      <c r="B42" s="161">
        <f>C32</f>
        <v>3</v>
      </c>
    </row>
    <row r="43" spans="1:5" x14ac:dyDescent="0.3">
      <c r="A43" s="160" t="s">
        <v>136</v>
      </c>
      <c r="B43" s="161">
        <f>D32</f>
        <v>2.4</v>
      </c>
    </row>
    <row r="44" spans="1:5" x14ac:dyDescent="0.3">
      <c r="A44" s="160" t="s">
        <v>55</v>
      </c>
      <c r="B44" s="161">
        <f>B36</f>
        <v>2</v>
      </c>
    </row>
    <row r="45" spans="1:5" x14ac:dyDescent="0.3">
      <c r="A45" s="160" t="s">
        <v>56</v>
      </c>
      <c r="B45" s="161">
        <f>C36</f>
        <v>1.6</v>
      </c>
    </row>
    <row r="46" spans="1:5" x14ac:dyDescent="0.3">
      <c r="A46" s="160" t="s">
        <v>57</v>
      </c>
      <c r="B46" s="161">
        <f>D36</f>
        <v>1</v>
      </c>
    </row>
    <row r="47" spans="1:5" ht="16.2" thickBot="1" x14ac:dyDescent="0.35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 x14ac:dyDescent="0.3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 x14ac:dyDescent="0.3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 x14ac:dyDescent="0.3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 x14ac:dyDescent="0.3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</v>
      </c>
      <c r="S3" s="100">
        <v>1</v>
      </c>
      <c r="T3" s="100">
        <v>1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 x14ac:dyDescent="0.3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1</v>
      </c>
      <c r="S4" s="101">
        <v>1</v>
      </c>
      <c r="T4" s="101">
        <v>1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 x14ac:dyDescent="0.3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1</v>
      </c>
      <c r="S5" s="101">
        <v>1</v>
      </c>
      <c r="T5" s="101">
        <v>1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 x14ac:dyDescent="0.3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1</v>
      </c>
      <c r="S6" s="101">
        <v>1</v>
      </c>
      <c r="T6" s="101">
        <v>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 x14ac:dyDescent="0.3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1</v>
      </c>
      <c r="S7" s="101">
        <v>1</v>
      </c>
      <c r="T7" s="101">
        <v>1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 x14ac:dyDescent="0.3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1</v>
      </c>
      <c r="S8" s="101">
        <v>1</v>
      </c>
      <c r="T8" s="101">
        <v>1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 x14ac:dyDescent="0.3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</v>
      </c>
      <c r="S9" s="101">
        <v>1</v>
      </c>
      <c r="T9" s="101">
        <v>1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 x14ac:dyDescent="0.3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</v>
      </c>
      <c r="S10" s="101">
        <v>1</v>
      </c>
      <c r="T10" s="101">
        <v>1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 x14ac:dyDescent="0.3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</v>
      </c>
      <c r="S11" s="101">
        <v>1</v>
      </c>
      <c r="T11" s="101">
        <v>1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 x14ac:dyDescent="0.3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</v>
      </c>
      <c r="S12" s="101">
        <v>1</v>
      </c>
      <c r="T12" s="101">
        <v>1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 x14ac:dyDescent="0.3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</v>
      </c>
      <c r="S13" s="101">
        <v>1</v>
      </c>
      <c r="T13" s="101">
        <v>1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 x14ac:dyDescent="0.3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</v>
      </c>
      <c r="S14" s="101">
        <v>1</v>
      </c>
      <c r="T14" s="101">
        <v>1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 x14ac:dyDescent="0.3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</v>
      </c>
      <c r="S15" s="101">
        <v>1</v>
      </c>
      <c r="T15" s="101">
        <v>1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 x14ac:dyDescent="0.3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</v>
      </c>
      <c r="S16" s="101">
        <v>1</v>
      </c>
      <c r="T16" s="101">
        <v>1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 x14ac:dyDescent="0.3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</v>
      </c>
      <c r="S17" s="101">
        <v>1</v>
      </c>
      <c r="T17" s="101">
        <v>1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 x14ac:dyDescent="0.3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</v>
      </c>
      <c r="S18" s="101">
        <v>1</v>
      </c>
      <c r="T18" s="101">
        <v>1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 x14ac:dyDescent="0.3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</v>
      </c>
      <c r="S19" s="101">
        <v>1</v>
      </c>
      <c r="T19" s="101">
        <v>1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 x14ac:dyDescent="0.3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</v>
      </c>
      <c r="S20" s="101">
        <v>1</v>
      </c>
      <c r="T20" s="101">
        <v>1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 x14ac:dyDescent="0.3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</v>
      </c>
      <c r="S21" s="101">
        <v>1</v>
      </c>
      <c r="T21" s="101">
        <v>1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 x14ac:dyDescent="0.3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</v>
      </c>
      <c r="S22" s="101">
        <v>1</v>
      </c>
      <c r="T22" s="101">
        <v>1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 x14ac:dyDescent="0.3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</v>
      </c>
      <c r="S23" s="101">
        <v>1</v>
      </c>
      <c r="T23" s="101">
        <v>1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 x14ac:dyDescent="0.3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</v>
      </c>
      <c r="S24" s="101">
        <v>1</v>
      </c>
      <c r="T24" s="101">
        <v>1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 x14ac:dyDescent="0.3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</v>
      </c>
      <c r="S25" s="101">
        <v>1</v>
      </c>
      <c r="T25" s="101">
        <v>1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 x14ac:dyDescent="0.3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</v>
      </c>
      <c r="S26" s="101">
        <v>1</v>
      </c>
      <c r="T26" s="101">
        <v>1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 x14ac:dyDescent="0.3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</v>
      </c>
      <c r="S27" s="101">
        <v>1</v>
      </c>
      <c r="T27" s="101">
        <v>1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 x14ac:dyDescent="0.3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</v>
      </c>
      <c r="S28" s="101">
        <v>1</v>
      </c>
      <c r="T28" s="101">
        <v>1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 x14ac:dyDescent="0.3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</v>
      </c>
      <c r="S29" s="101">
        <v>1</v>
      </c>
      <c r="T29" s="101">
        <v>1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 x14ac:dyDescent="0.3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</v>
      </c>
      <c r="S30" s="101">
        <v>1</v>
      </c>
      <c r="T30" s="101">
        <v>1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 x14ac:dyDescent="0.3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</v>
      </c>
      <c r="S31" s="101">
        <v>1</v>
      </c>
      <c r="T31" s="101">
        <v>1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 x14ac:dyDescent="0.3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</v>
      </c>
      <c r="S32" s="101">
        <v>1</v>
      </c>
      <c r="T32" s="101">
        <v>1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 x14ac:dyDescent="0.3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</v>
      </c>
      <c r="S33" s="101">
        <v>1</v>
      </c>
      <c r="T33" s="101">
        <v>1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 x14ac:dyDescent="0.3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</v>
      </c>
      <c r="S34" s="101">
        <v>1</v>
      </c>
      <c r="T34" s="101">
        <v>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 x14ac:dyDescent="0.3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</v>
      </c>
      <c r="S35" s="101">
        <v>1</v>
      </c>
      <c r="T35" s="101">
        <v>1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 x14ac:dyDescent="0.3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</v>
      </c>
      <c r="S36" s="101">
        <v>1</v>
      </c>
      <c r="T36" s="101">
        <v>1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 x14ac:dyDescent="0.3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</v>
      </c>
      <c r="S37" s="101">
        <v>1</v>
      </c>
      <c r="T37" s="101">
        <v>1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 x14ac:dyDescent="0.3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</v>
      </c>
      <c r="S38" s="101">
        <v>1</v>
      </c>
      <c r="T38" s="101">
        <v>1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 x14ac:dyDescent="0.3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</v>
      </c>
      <c r="S39" s="101">
        <v>1</v>
      </c>
      <c r="T39" s="101">
        <v>1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 x14ac:dyDescent="0.3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</v>
      </c>
      <c r="S40" s="101">
        <v>1</v>
      </c>
      <c r="T40" s="101">
        <v>1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 x14ac:dyDescent="0.3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</v>
      </c>
      <c r="S41" s="101">
        <v>1</v>
      </c>
      <c r="T41" s="101">
        <v>1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 x14ac:dyDescent="0.3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</v>
      </c>
      <c r="S42" s="101">
        <v>1</v>
      </c>
      <c r="T42" s="101">
        <v>1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 x14ac:dyDescent="0.3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</v>
      </c>
      <c r="S43" s="101">
        <v>1</v>
      </c>
      <c r="T43" s="101">
        <v>1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 x14ac:dyDescent="0.3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</v>
      </c>
      <c r="S44" s="101">
        <v>1</v>
      </c>
      <c r="T44" s="101">
        <v>1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 x14ac:dyDescent="0.3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</v>
      </c>
      <c r="S45" s="101">
        <v>1</v>
      </c>
      <c r="T45" s="101">
        <v>1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 x14ac:dyDescent="0.3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</v>
      </c>
      <c r="S46" s="101">
        <v>1</v>
      </c>
      <c r="T46" s="101">
        <v>1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 x14ac:dyDescent="0.3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</v>
      </c>
      <c r="S47" s="101">
        <v>1</v>
      </c>
      <c r="T47" s="101">
        <v>1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 x14ac:dyDescent="0.3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</v>
      </c>
      <c r="S48" s="101">
        <v>1</v>
      </c>
      <c r="T48" s="101">
        <v>1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 x14ac:dyDescent="0.3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</v>
      </c>
      <c r="S49" s="101">
        <v>1</v>
      </c>
      <c r="T49" s="101">
        <v>1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 x14ac:dyDescent="0.3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</v>
      </c>
      <c r="S50" s="101">
        <v>1</v>
      </c>
      <c r="T50" s="101">
        <v>1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 x14ac:dyDescent="0.3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1</v>
      </c>
      <c r="S51" s="101">
        <v>1</v>
      </c>
      <c r="T51" s="101">
        <v>1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 x14ac:dyDescent="0.3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1</v>
      </c>
      <c r="S52" s="101">
        <v>1</v>
      </c>
      <c r="T52" s="101">
        <v>1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 x14ac:dyDescent="0.3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1</v>
      </c>
      <c r="S53" s="101">
        <v>1</v>
      </c>
      <c r="T53" s="101">
        <v>1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 x14ac:dyDescent="0.3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1</v>
      </c>
      <c r="S54" s="101">
        <v>1</v>
      </c>
      <c r="T54" s="101">
        <v>1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 x14ac:dyDescent="0.3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1</v>
      </c>
      <c r="S55" s="101">
        <v>1</v>
      </c>
      <c r="T55" s="101">
        <v>1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 x14ac:dyDescent="0.3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</v>
      </c>
      <c r="S56" s="101">
        <v>1</v>
      </c>
      <c r="T56" s="101">
        <v>1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 x14ac:dyDescent="0.3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</v>
      </c>
      <c r="S57" s="101">
        <v>1</v>
      </c>
      <c r="T57" s="101">
        <v>1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 x14ac:dyDescent="0.3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</v>
      </c>
      <c r="S58" s="101">
        <v>1</v>
      </c>
      <c r="T58" s="101">
        <v>1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 x14ac:dyDescent="0.3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</v>
      </c>
      <c r="S59" s="101">
        <v>1</v>
      </c>
      <c r="T59" s="101">
        <v>1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 x14ac:dyDescent="0.3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</v>
      </c>
      <c r="S60" s="101">
        <v>1</v>
      </c>
      <c r="T60" s="101">
        <v>1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 x14ac:dyDescent="0.3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</v>
      </c>
      <c r="S61" s="101">
        <v>1</v>
      </c>
      <c r="T61" s="101">
        <v>1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 x14ac:dyDescent="0.3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</v>
      </c>
      <c r="S62" s="101">
        <v>1</v>
      </c>
      <c r="T62" s="101">
        <v>1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 x14ac:dyDescent="0.3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</v>
      </c>
      <c r="S63" s="101">
        <v>1</v>
      </c>
      <c r="T63" s="101">
        <v>1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 x14ac:dyDescent="0.3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</v>
      </c>
      <c r="S64" s="101">
        <v>1</v>
      </c>
      <c r="T64" s="101">
        <v>1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 x14ac:dyDescent="0.3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</v>
      </c>
      <c r="S65" s="101">
        <v>1</v>
      </c>
      <c r="T65" s="101">
        <v>1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 x14ac:dyDescent="0.3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</v>
      </c>
      <c r="S66" s="101">
        <v>1</v>
      </c>
      <c r="T66" s="101">
        <v>1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 x14ac:dyDescent="0.3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</v>
      </c>
      <c r="S67" s="101">
        <v>1</v>
      </c>
      <c r="T67" s="101">
        <v>1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 x14ac:dyDescent="0.3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</v>
      </c>
      <c r="S68" s="101">
        <v>1</v>
      </c>
      <c r="T68" s="101">
        <v>1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 x14ac:dyDescent="0.3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</v>
      </c>
      <c r="S69" s="101">
        <v>1</v>
      </c>
      <c r="T69" s="101">
        <v>1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 x14ac:dyDescent="0.3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</v>
      </c>
      <c r="S70" s="101">
        <v>1</v>
      </c>
      <c r="T70" s="101">
        <v>1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 x14ac:dyDescent="0.3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</v>
      </c>
      <c r="S71" s="101">
        <v>1</v>
      </c>
      <c r="T71" s="101">
        <v>1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 x14ac:dyDescent="0.3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</v>
      </c>
      <c r="S72" s="101">
        <v>1</v>
      </c>
      <c r="T72" s="101">
        <v>1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 x14ac:dyDescent="0.3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</v>
      </c>
      <c r="S73" s="101">
        <v>1</v>
      </c>
      <c r="T73" s="101">
        <v>1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 x14ac:dyDescent="0.3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</v>
      </c>
      <c r="S74" s="101">
        <v>1</v>
      </c>
      <c r="T74" s="101">
        <v>1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 x14ac:dyDescent="0.3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</v>
      </c>
      <c r="S75" s="101">
        <v>1</v>
      </c>
      <c r="T75" s="101">
        <v>1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 x14ac:dyDescent="0.3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</v>
      </c>
      <c r="S76" s="101">
        <v>1</v>
      </c>
      <c r="T76" s="101">
        <v>1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 x14ac:dyDescent="0.3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</v>
      </c>
      <c r="S77" s="101">
        <v>1</v>
      </c>
      <c r="T77" s="101">
        <v>1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 x14ac:dyDescent="0.3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</v>
      </c>
      <c r="S78" s="101">
        <v>1</v>
      </c>
      <c r="T78" s="101">
        <v>1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 x14ac:dyDescent="0.3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</v>
      </c>
      <c r="S79" s="101">
        <v>1</v>
      </c>
      <c r="T79" s="101">
        <v>1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 x14ac:dyDescent="0.3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</v>
      </c>
      <c r="S80" s="101">
        <v>1</v>
      </c>
      <c r="T80" s="101">
        <v>1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 x14ac:dyDescent="0.3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</v>
      </c>
      <c r="S81" s="101">
        <v>1</v>
      </c>
      <c r="T81" s="101">
        <v>1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 x14ac:dyDescent="0.3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</v>
      </c>
      <c r="S82" s="101">
        <v>1</v>
      </c>
      <c r="T82" s="101">
        <v>1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 x14ac:dyDescent="0.3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</v>
      </c>
      <c r="S83" s="101">
        <v>1</v>
      </c>
      <c r="T83" s="101">
        <v>1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 x14ac:dyDescent="0.3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</v>
      </c>
      <c r="S84" s="101">
        <v>1</v>
      </c>
      <c r="T84" s="101">
        <v>1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 x14ac:dyDescent="0.3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</v>
      </c>
      <c r="S85" s="101">
        <v>1</v>
      </c>
      <c r="T85" s="101">
        <v>1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 x14ac:dyDescent="0.3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</v>
      </c>
      <c r="S86" s="101">
        <v>1</v>
      </c>
      <c r="T86" s="101">
        <v>1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 x14ac:dyDescent="0.3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</v>
      </c>
      <c r="S87" s="101">
        <v>1</v>
      </c>
      <c r="T87" s="101">
        <v>1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 x14ac:dyDescent="0.3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</v>
      </c>
      <c r="S88" s="101">
        <v>1</v>
      </c>
      <c r="T88" s="101">
        <v>1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 x14ac:dyDescent="0.3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</v>
      </c>
      <c r="S89" s="101">
        <v>1</v>
      </c>
      <c r="T89" s="101">
        <v>1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 x14ac:dyDescent="0.3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</v>
      </c>
      <c r="S90" s="101">
        <v>1</v>
      </c>
      <c r="T90" s="101">
        <v>1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 x14ac:dyDescent="0.3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</v>
      </c>
      <c r="S91" s="101">
        <v>1</v>
      </c>
      <c r="T91" s="101">
        <v>1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 x14ac:dyDescent="0.3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</v>
      </c>
      <c r="S92" s="101">
        <v>1</v>
      </c>
      <c r="T92" s="101">
        <v>1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 x14ac:dyDescent="0.3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</v>
      </c>
      <c r="S93" s="101">
        <v>1</v>
      </c>
      <c r="T93" s="101">
        <v>1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 x14ac:dyDescent="0.3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</v>
      </c>
      <c r="S94" s="101">
        <v>1</v>
      </c>
      <c r="T94" s="101">
        <v>1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 x14ac:dyDescent="0.3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</v>
      </c>
      <c r="S95" s="101">
        <v>1</v>
      </c>
      <c r="T95" s="101">
        <v>1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 x14ac:dyDescent="0.3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</v>
      </c>
      <c r="S96" s="101">
        <v>1</v>
      </c>
      <c r="T96" s="101">
        <v>1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 x14ac:dyDescent="0.3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</v>
      </c>
      <c r="S97" s="101">
        <v>1</v>
      </c>
      <c r="T97" s="101">
        <v>1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 x14ac:dyDescent="0.3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</v>
      </c>
      <c r="S98" s="101">
        <v>1</v>
      </c>
      <c r="T98" s="101">
        <v>1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 x14ac:dyDescent="0.3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</v>
      </c>
      <c r="S99" s="101">
        <v>1</v>
      </c>
      <c r="T99" s="101">
        <v>1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 x14ac:dyDescent="0.3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</v>
      </c>
      <c r="S100" s="101">
        <v>1</v>
      </c>
      <c r="T100" s="101">
        <v>1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 x14ac:dyDescent="0.3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</v>
      </c>
      <c r="S101" s="101">
        <v>1</v>
      </c>
      <c r="T101" s="101">
        <v>1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 x14ac:dyDescent="0.3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</v>
      </c>
      <c r="S102" s="101">
        <v>1</v>
      </c>
      <c r="T102" s="101">
        <v>1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 x14ac:dyDescent="0.3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</v>
      </c>
      <c r="S103" s="101">
        <v>1</v>
      </c>
      <c r="T103" s="101">
        <v>1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 x14ac:dyDescent="0.3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</v>
      </c>
      <c r="S104" s="101">
        <v>1</v>
      </c>
      <c r="T104" s="101">
        <v>1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 x14ac:dyDescent="0.3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</v>
      </c>
      <c r="S105" s="101">
        <v>1</v>
      </c>
      <c r="T105" s="101">
        <v>1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 x14ac:dyDescent="0.3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</v>
      </c>
      <c r="S106" s="101">
        <v>1</v>
      </c>
      <c r="T106" s="101">
        <v>1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 x14ac:dyDescent="0.3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</v>
      </c>
      <c r="S107" s="101">
        <v>1</v>
      </c>
      <c r="T107" s="101">
        <v>1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 x14ac:dyDescent="0.3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</v>
      </c>
      <c r="S108" s="101">
        <v>1</v>
      </c>
      <c r="T108" s="101">
        <v>1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 x14ac:dyDescent="0.3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</v>
      </c>
      <c r="S109" s="101">
        <v>1</v>
      </c>
      <c r="T109" s="101">
        <v>1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 x14ac:dyDescent="0.3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</v>
      </c>
      <c r="S110" s="101">
        <v>1</v>
      </c>
      <c r="T110" s="101">
        <v>1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 x14ac:dyDescent="0.3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</v>
      </c>
      <c r="S111" s="101">
        <v>1</v>
      </c>
      <c r="T111" s="101">
        <v>1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 x14ac:dyDescent="0.3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</v>
      </c>
      <c r="S112" s="101">
        <v>1</v>
      </c>
      <c r="T112" s="101">
        <v>1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 x14ac:dyDescent="0.3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</v>
      </c>
      <c r="S113" s="101">
        <v>1</v>
      </c>
      <c r="T113" s="101">
        <v>1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 x14ac:dyDescent="0.3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</v>
      </c>
      <c r="S114" s="101">
        <v>1</v>
      </c>
      <c r="T114" s="101">
        <v>1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 x14ac:dyDescent="0.3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</v>
      </c>
      <c r="S115" s="101">
        <v>1</v>
      </c>
      <c r="T115" s="101">
        <v>1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 x14ac:dyDescent="0.3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</v>
      </c>
      <c r="S116" s="101">
        <v>1</v>
      </c>
      <c r="T116" s="101">
        <v>1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 x14ac:dyDescent="0.3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</v>
      </c>
      <c r="S117" s="101">
        <v>1</v>
      </c>
      <c r="T117" s="101">
        <v>1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 x14ac:dyDescent="0.3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</v>
      </c>
      <c r="S118" s="101">
        <v>1</v>
      </c>
      <c r="T118" s="101">
        <v>1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 x14ac:dyDescent="0.3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</v>
      </c>
      <c r="S119" s="101">
        <v>1</v>
      </c>
      <c r="T119" s="101">
        <v>1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 x14ac:dyDescent="0.3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1</v>
      </c>
      <c r="S120" s="101">
        <v>1</v>
      </c>
      <c r="T120" s="101">
        <v>1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 x14ac:dyDescent="0.3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1</v>
      </c>
      <c r="S121" s="101">
        <v>1</v>
      </c>
      <c r="T121" s="101">
        <v>1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 x14ac:dyDescent="0.3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1</v>
      </c>
      <c r="S122" s="101">
        <v>1</v>
      </c>
      <c r="T122" s="101">
        <v>1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 x14ac:dyDescent="0.3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1</v>
      </c>
      <c r="S123" s="101">
        <v>1</v>
      </c>
      <c r="T123" s="101">
        <v>1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 x14ac:dyDescent="0.3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1</v>
      </c>
      <c r="S124" s="101">
        <v>1</v>
      </c>
      <c r="T124" s="101">
        <v>1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 x14ac:dyDescent="0.3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</v>
      </c>
      <c r="S125" s="101">
        <v>1</v>
      </c>
      <c r="T125" s="101">
        <v>1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 x14ac:dyDescent="0.3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</v>
      </c>
      <c r="T126" s="101">
        <v>1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 x14ac:dyDescent="0.3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</v>
      </c>
      <c r="T127" s="101">
        <v>1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 x14ac:dyDescent="0.3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</v>
      </c>
      <c r="T128" s="101">
        <v>1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 x14ac:dyDescent="0.3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</v>
      </c>
      <c r="T129" s="101">
        <v>1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 x14ac:dyDescent="0.3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</v>
      </c>
      <c r="T130" s="101">
        <v>1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 x14ac:dyDescent="0.3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</v>
      </c>
      <c r="T131" s="101">
        <v>1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 x14ac:dyDescent="0.3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</v>
      </c>
      <c r="T132" s="101">
        <v>1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 x14ac:dyDescent="0.3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</v>
      </c>
      <c r="T133" s="101">
        <v>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 x14ac:dyDescent="0.3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</v>
      </c>
      <c r="T134" s="101">
        <v>1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 x14ac:dyDescent="0.3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</v>
      </c>
      <c r="T135" s="101">
        <v>1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 x14ac:dyDescent="0.3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</v>
      </c>
      <c r="T136" s="101">
        <v>1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 x14ac:dyDescent="0.3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</v>
      </c>
      <c r="T137" s="101">
        <v>1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 x14ac:dyDescent="0.3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</v>
      </c>
      <c r="T138" s="101">
        <v>1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 x14ac:dyDescent="0.3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</v>
      </c>
      <c r="T139" s="101">
        <v>1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 x14ac:dyDescent="0.3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</v>
      </c>
      <c r="T140" s="101">
        <v>1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 x14ac:dyDescent="0.3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</v>
      </c>
      <c r="T141" s="101">
        <v>1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 x14ac:dyDescent="0.3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1</v>
      </c>
      <c r="T142" s="101">
        <v>1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 x14ac:dyDescent="0.3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1</v>
      </c>
      <c r="T143" s="101">
        <v>1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 x14ac:dyDescent="0.3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1</v>
      </c>
      <c r="T144" s="101">
        <v>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 x14ac:dyDescent="0.3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1</v>
      </c>
      <c r="T145" s="101">
        <v>1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2.8340080971659919E-2</v>
      </c>
      <c r="AJ145" s="103">
        <v>7000000</v>
      </c>
    </row>
    <row r="146" spans="2:36" x14ac:dyDescent="0.3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1</v>
      </c>
      <c r="T146" s="101">
        <v>1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4.048582995951417E-2</v>
      </c>
      <c r="AJ146" s="103">
        <v>10000000</v>
      </c>
    </row>
    <row r="147" spans="2:36" x14ac:dyDescent="0.3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</v>
      </c>
      <c r="T147" s="101">
        <v>1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6.0728744939271252E-2</v>
      </c>
      <c r="AJ147" s="103">
        <v>15000000</v>
      </c>
    </row>
    <row r="148" spans="2:36" x14ac:dyDescent="0.3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</v>
      </c>
      <c r="T148" s="101">
        <v>1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6.0728744939271252E-2</v>
      </c>
      <c r="AJ148" s="103">
        <v>15000000</v>
      </c>
    </row>
    <row r="149" spans="2:36" x14ac:dyDescent="0.3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</v>
      </c>
      <c r="T149" s="101">
        <v>1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6.0728744939271252E-2</v>
      </c>
      <c r="AJ149" s="103">
        <v>15000000</v>
      </c>
    </row>
    <row r="150" spans="2:36" x14ac:dyDescent="0.3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</v>
      </c>
      <c r="T150" s="101">
        <v>1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6.0728744939271252E-2</v>
      </c>
      <c r="AJ150" s="103">
        <v>15000000</v>
      </c>
    </row>
    <row r="151" spans="2:36" x14ac:dyDescent="0.3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</v>
      </c>
      <c r="T151" s="101">
        <v>1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2.0242914979757085E-2</v>
      </c>
      <c r="AJ151" s="103">
        <v>5000000</v>
      </c>
    </row>
    <row r="152" spans="2:36" x14ac:dyDescent="0.3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</v>
      </c>
      <c r="T152" s="101">
        <v>1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2.0242914979757085E-2</v>
      </c>
      <c r="AJ152" s="103">
        <v>5000000</v>
      </c>
    </row>
    <row r="153" spans="2:36" x14ac:dyDescent="0.3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</v>
      </c>
      <c r="T153" s="101">
        <v>1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2.0242914979757085E-2</v>
      </c>
      <c r="AJ153" s="103">
        <v>5000000</v>
      </c>
    </row>
    <row r="154" spans="2:36" x14ac:dyDescent="0.3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</v>
      </c>
      <c r="T154" s="101">
        <v>1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2.0242914979757085E-2</v>
      </c>
      <c r="AJ154" s="103">
        <v>5000000</v>
      </c>
    </row>
    <row r="155" spans="2:36" x14ac:dyDescent="0.3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</v>
      </c>
      <c r="T155" s="101">
        <v>1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0.60728744939271251</v>
      </c>
      <c r="AJ155" s="103">
        <v>150000000</v>
      </c>
    </row>
    <row r="156" spans="2:36" x14ac:dyDescent="0.3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</v>
      </c>
      <c r="T156" s="101">
        <v>1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 x14ac:dyDescent="0.3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</v>
      </c>
      <c r="T157" s="101">
        <v>1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 x14ac:dyDescent="0.3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</v>
      </c>
      <c r="T158" s="101">
        <v>1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 x14ac:dyDescent="0.3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</v>
      </c>
      <c r="T159" s="101">
        <v>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 x14ac:dyDescent="0.3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</v>
      </c>
      <c r="T160" s="101">
        <v>1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 x14ac:dyDescent="0.3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</v>
      </c>
      <c r="T161" s="101">
        <v>1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 x14ac:dyDescent="0.3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</v>
      </c>
      <c r="T162" s="101">
        <v>1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 x14ac:dyDescent="0.3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</v>
      </c>
      <c r="T163" s="101">
        <v>1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 x14ac:dyDescent="0.3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</v>
      </c>
      <c r="T164" s="101">
        <v>1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 x14ac:dyDescent="0.3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</v>
      </c>
      <c r="T165" s="101">
        <v>1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 x14ac:dyDescent="0.3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</v>
      </c>
      <c r="T166" s="101">
        <v>1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 x14ac:dyDescent="0.3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</v>
      </c>
      <c r="T167" s="101">
        <v>1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 x14ac:dyDescent="0.3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</v>
      </c>
      <c r="T168" s="101">
        <v>1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 x14ac:dyDescent="0.3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</v>
      </c>
      <c r="T169" s="101">
        <v>1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 x14ac:dyDescent="0.3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</v>
      </c>
      <c r="T170" s="101">
        <v>1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 x14ac:dyDescent="0.3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</v>
      </c>
      <c r="T171" s="101">
        <v>1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 x14ac:dyDescent="0.3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</v>
      </c>
      <c r="T172" s="101">
        <v>1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 x14ac:dyDescent="0.3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</v>
      </c>
      <c r="T173" s="101">
        <v>1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 x14ac:dyDescent="0.3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</v>
      </c>
      <c r="T174" s="101">
        <v>1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 x14ac:dyDescent="0.3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</v>
      </c>
      <c r="T175" s="101">
        <v>1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 x14ac:dyDescent="0.3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</v>
      </c>
      <c r="T176" s="101">
        <v>1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 x14ac:dyDescent="0.3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</v>
      </c>
      <c r="T177" s="101">
        <v>1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50000000</v>
      </c>
      <c r="AK177" s="103">
        <v>50000000</v>
      </c>
      <c r="AL177" s="103">
        <v>50000000</v>
      </c>
      <c r="AM177" s="103">
        <v>50000000</v>
      </c>
      <c r="AN177" s="103">
        <v>50000000</v>
      </c>
      <c r="AO177" s="103">
        <v>50000000</v>
      </c>
      <c r="AP177" s="103">
        <v>50000000</v>
      </c>
      <c r="AQ177" s="103">
        <v>50000000</v>
      </c>
      <c r="AR177" s="103">
        <v>50000000</v>
      </c>
      <c r="AS177" s="103">
        <v>50000000</v>
      </c>
    </row>
    <row r="178" spans="2:45" x14ac:dyDescent="0.3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</v>
      </c>
      <c r="T178" s="101">
        <v>1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120000000</v>
      </c>
      <c r="AK178" s="103">
        <v>120000000</v>
      </c>
      <c r="AL178" s="103">
        <v>120000000</v>
      </c>
      <c r="AM178" s="103">
        <v>120000000</v>
      </c>
      <c r="AN178" s="103">
        <v>120000000</v>
      </c>
      <c r="AO178" s="103">
        <v>120000000</v>
      </c>
      <c r="AP178" s="103">
        <v>120000000</v>
      </c>
      <c r="AQ178" s="103">
        <v>120000000</v>
      </c>
      <c r="AR178" s="103">
        <v>120000000</v>
      </c>
      <c r="AS178" s="103">
        <v>120000000</v>
      </c>
    </row>
    <row r="179" spans="2:45" x14ac:dyDescent="0.3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</v>
      </c>
      <c r="T179" s="101">
        <v>1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120000000</v>
      </c>
      <c r="AJ179" s="103">
        <v>120000000</v>
      </c>
      <c r="AK179" s="103">
        <v>120000000</v>
      </c>
      <c r="AL179" s="103">
        <v>90000000</v>
      </c>
      <c r="AM179" s="103">
        <v>90000000</v>
      </c>
      <c r="AN179" s="103">
        <v>90000000</v>
      </c>
      <c r="AO179" s="103">
        <v>90000000</v>
      </c>
      <c r="AP179" s="103">
        <v>90000000</v>
      </c>
      <c r="AQ179" s="103">
        <v>90000000</v>
      </c>
      <c r="AR179" s="103">
        <v>90000000</v>
      </c>
      <c r="AS179" s="103">
        <v>90000000</v>
      </c>
    </row>
    <row r="180" spans="2:45" x14ac:dyDescent="0.3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</v>
      </c>
      <c r="T180" s="101">
        <v>1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90000000</v>
      </c>
      <c r="AJ180" s="103">
        <v>90000000</v>
      </c>
      <c r="AK180" s="103">
        <v>90000000</v>
      </c>
      <c r="AL180" s="103">
        <v>50000000</v>
      </c>
      <c r="AM180" s="103">
        <v>50000000</v>
      </c>
      <c r="AN180" s="103">
        <v>50000000</v>
      </c>
      <c r="AO180" s="103">
        <v>50000000</v>
      </c>
      <c r="AP180" s="103">
        <v>50000000</v>
      </c>
      <c r="AQ180" s="103">
        <v>50000000</v>
      </c>
      <c r="AR180" s="103">
        <v>50000000</v>
      </c>
      <c r="AS180" s="103">
        <v>50000000</v>
      </c>
    </row>
    <row r="181" spans="2:45" x14ac:dyDescent="0.3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1</v>
      </c>
      <c r="T181" s="101">
        <v>1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21000000</v>
      </c>
      <c r="AJ181" s="103">
        <v>21000000</v>
      </c>
      <c r="AK181" s="103">
        <v>21000000</v>
      </c>
      <c r="AL181" s="103">
        <v>30000000</v>
      </c>
      <c r="AM181" s="103">
        <v>30000000</v>
      </c>
      <c r="AN181" s="103">
        <v>30000000</v>
      </c>
      <c r="AO181" s="103">
        <v>30000000</v>
      </c>
      <c r="AP181" s="103">
        <v>30000000</v>
      </c>
      <c r="AQ181" s="103">
        <v>30000000</v>
      </c>
      <c r="AR181" s="103">
        <v>30000000</v>
      </c>
      <c r="AS181" s="103">
        <v>30000000</v>
      </c>
    </row>
    <row r="182" spans="2:45" x14ac:dyDescent="0.3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1</v>
      </c>
      <c r="T182" s="101">
        <v>1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13500000</v>
      </c>
      <c r="AJ182" s="103">
        <v>13500000</v>
      </c>
      <c r="AK182" s="103">
        <v>13500000</v>
      </c>
      <c r="AL182" s="103">
        <v>13500000</v>
      </c>
      <c r="AM182" s="103">
        <v>13500000</v>
      </c>
      <c r="AN182" s="103">
        <v>13500000</v>
      </c>
      <c r="AO182" s="103">
        <v>13500000</v>
      </c>
      <c r="AP182" s="103">
        <v>13500000</v>
      </c>
      <c r="AQ182" s="103">
        <v>13500000</v>
      </c>
      <c r="AR182" s="103">
        <v>13500000</v>
      </c>
      <c r="AS182" s="103">
        <v>13500000</v>
      </c>
    </row>
    <row r="183" spans="2:45" x14ac:dyDescent="0.3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1</v>
      </c>
      <c r="T183" s="101">
        <v>1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13500000</v>
      </c>
      <c r="AJ183" s="103">
        <v>13500000</v>
      </c>
      <c r="AK183" s="103">
        <v>13500000</v>
      </c>
      <c r="AL183" s="103">
        <v>13500000</v>
      </c>
      <c r="AM183" s="103">
        <v>13500000</v>
      </c>
      <c r="AN183" s="103">
        <v>13500000</v>
      </c>
      <c r="AO183" s="103">
        <v>13500000</v>
      </c>
      <c r="AP183" s="103">
        <v>13500000</v>
      </c>
      <c r="AQ183" s="103">
        <v>13500000</v>
      </c>
      <c r="AR183" s="103">
        <v>13500000</v>
      </c>
      <c r="AS183" s="103">
        <v>13500000</v>
      </c>
    </row>
    <row r="184" spans="2:45" x14ac:dyDescent="0.3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1</v>
      </c>
      <c r="T184" s="101">
        <v>1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8500000</v>
      </c>
      <c r="AJ184" s="103">
        <v>8500000</v>
      </c>
      <c r="AK184" s="103">
        <v>8500000</v>
      </c>
      <c r="AL184" s="103">
        <v>8500000</v>
      </c>
      <c r="AM184" s="103">
        <v>8500000</v>
      </c>
      <c r="AN184" s="103">
        <v>8500000</v>
      </c>
      <c r="AO184" s="103">
        <v>8500000</v>
      </c>
      <c r="AP184" s="103">
        <v>8500000</v>
      </c>
      <c r="AQ184" s="103">
        <v>8500000</v>
      </c>
      <c r="AR184" s="103">
        <v>8500000</v>
      </c>
      <c r="AS184" s="103">
        <v>8500000</v>
      </c>
    </row>
    <row r="185" spans="2:45" x14ac:dyDescent="0.3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1</v>
      </c>
      <c r="T185" s="101">
        <v>1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3500000</v>
      </c>
      <c r="AJ185" s="103">
        <v>3500000</v>
      </c>
      <c r="AK185" s="103">
        <v>3500000</v>
      </c>
      <c r="AL185" s="103">
        <v>3500000</v>
      </c>
      <c r="AM185" s="103">
        <v>3500000</v>
      </c>
      <c r="AN185" s="103">
        <v>3500000</v>
      </c>
      <c r="AO185" s="103">
        <v>3500000</v>
      </c>
      <c r="AP185" s="103">
        <v>3500000</v>
      </c>
      <c r="AQ185" s="103">
        <v>3500000</v>
      </c>
      <c r="AR185" s="103">
        <v>3500000</v>
      </c>
      <c r="AS185" s="103">
        <v>3500000</v>
      </c>
    </row>
    <row r="186" spans="2:45" x14ac:dyDescent="0.3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</v>
      </c>
      <c r="T186" s="101">
        <v>1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 x14ac:dyDescent="0.3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</v>
      </c>
      <c r="T187" s="101">
        <v>1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 x14ac:dyDescent="0.3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</v>
      </c>
      <c r="T188" s="101">
        <v>1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 x14ac:dyDescent="0.3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</v>
      </c>
      <c r="T189" s="101">
        <v>1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 x14ac:dyDescent="0.3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</v>
      </c>
      <c r="T190" s="101">
        <v>1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 x14ac:dyDescent="0.3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</v>
      </c>
      <c r="T191" s="101">
        <v>1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 x14ac:dyDescent="0.3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</v>
      </c>
      <c r="T192" s="101">
        <v>1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 x14ac:dyDescent="0.3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</v>
      </c>
      <c r="T193" s="101">
        <v>1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 x14ac:dyDescent="0.3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</v>
      </c>
      <c r="T194" s="101">
        <v>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 x14ac:dyDescent="0.3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</v>
      </c>
      <c r="T195" s="101">
        <v>1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 x14ac:dyDescent="0.3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</v>
      </c>
      <c r="T196" s="101">
        <v>1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 x14ac:dyDescent="0.3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</v>
      </c>
      <c r="T197" s="101">
        <v>1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 x14ac:dyDescent="0.3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</v>
      </c>
      <c r="T198" s="101">
        <v>1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 x14ac:dyDescent="0.3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</v>
      </c>
      <c r="T199" s="101">
        <v>1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 x14ac:dyDescent="0.3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</v>
      </c>
      <c r="T200" s="101">
        <v>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 x14ac:dyDescent="0.3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1</v>
      </c>
      <c r="T201" s="101">
        <v>1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 x14ac:dyDescent="0.3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1</v>
      </c>
      <c r="T202" s="101">
        <v>1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 x14ac:dyDescent="0.3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1</v>
      </c>
      <c r="T203" s="101">
        <v>1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 x14ac:dyDescent="0.3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1</v>
      </c>
      <c r="T204" s="101">
        <v>1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 x14ac:dyDescent="0.3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1</v>
      </c>
      <c r="T205" s="101">
        <v>1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 x14ac:dyDescent="0.3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 x14ac:dyDescent="0.3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 x14ac:dyDescent="0.3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 x14ac:dyDescent="0.3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 x14ac:dyDescent="0.3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 x14ac:dyDescent="0.3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1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 x14ac:dyDescent="0.3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 x14ac:dyDescent="0.35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 x14ac:dyDescent="0.35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 x14ac:dyDescent="0.35">
      <c r="A3" s="8">
        <v>-1</v>
      </c>
      <c r="B3" s="8">
        <v>0</v>
      </c>
      <c r="C3" s="100">
        <v>885913313</v>
      </c>
      <c r="D3" s="100">
        <v>884641100</v>
      </c>
      <c r="E3" s="100">
        <v>110431432</v>
      </c>
      <c r="F3" s="100">
        <v>0</v>
      </c>
      <c r="G3" s="261">
        <v>192832585</v>
      </c>
      <c r="H3" s="261">
        <v>1035276061</v>
      </c>
      <c r="I3" s="261">
        <v>286175779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 x14ac:dyDescent="0.3">
      <c r="A4" s="8">
        <v>0</v>
      </c>
      <c r="B4" s="8">
        <v>1</v>
      </c>
      <c r="C4" s="101">
        <v>11764624</v>
      </c>
      <c r="D4" s="101">
        <v>4036131</v>
      </c>
      <c r="E4" s="101">
        <v>0</v>
      </c>
      <c r="F4" s="101">
        <v>0</v>
      </c>
      <c r="G4" s="262">
        <v>1221030</v>
      </c>
      <c r="H4" s="262">
        <v>12210300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 x14ac:dyDescent="0.35">
      <c r="A5" s="8">
        <v>1</v>
      </c>
      <c r="B5" s="8">
        <v>2</v>
      </c>
      <c r="C5" s="101">
        <v>16365756</v>
      </c>
      <c r="D5" s="101">
        <v>11713167</v>
      </c>
      <c r="E5" s="101">
        <v>0</v>
      </c>
      <c r="F5" s="101">
        <v>0</v>
      </c>
      <c r="G5" s="262">
        <v>1983581</v>
      </c>
      <c r="H5" s="262">
        <v>19835810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295</v>
      </c>
    </row>
    <row r="6" spans="1:16" x14ac:dyDescent="0.3">
      <c r="A6" s="8">
        <v>2</v>
      </c>
      <c r="B6" s="8">
        <v>3</v>
      </c>
      <c r="C6" s="101">
        <v>11623926</v>
      </c>
      <c r="D6" s="101">
        <v>6004218</v>
      </c>
      <c r="E6" s="101">
        <v>0</v>
      </c>
      <c r="F6" s="101">
        <v>0</v>
      </c>
      <c r="G6" s="262">
        <v>1400402</v>
      </c>
      <c r="H6" s="262">
        <v>14004020</v>
      </c>
      <c r="I6" s="262">
        <v>0</v>
      </c>
      <c r="J6" s="262"/>
    </row>
    <row r="7" spans="1:16" x14ac:dyDescent="0.3">
      <c r="A7" s="8">
        <v>3</v>
      </c>
      <c r="B7" s="8">
        <v>4</v>
      </c>
      <c r="C7" s="101">
        <v>12367038</v>
      </c>
      <c r="D7" s="101">
        <v>11078967</v>
      </c>
      <c r="E7" s="101">
        <v>0</v>
      </c>
      <c r="F7" s="101">
        <v>0</v>
      </c>
      <c r="G7" s="262">
        <v>1843384</v>
      </c>
      <c r="H7" s="262">
        <v>15287872</v>
      </c>
      <c r="I7" s="262">
        <v>0</v>
      </c>
      <c r="J7" s="262"/>
    </row>
    <row r="8" spans="1:16" x14ac:dyDescent="0.3">
      <c r="A8" s="8">
        <v>4</v>
      </c>
      <c r="B8" s="8">
        <v>5</v>
      </c>
      <c r="C8" s="101">
        <v>10095520</v>
      </c>
      <c r="D8" s="101">
        <v>10345960</v>
      </c>
      <c r="E8" s="101">
        <v>0</v>
      </c>
      <c r="F8" s="101">
        <v>0</v>
      </c>
      <c r="G8" s="262">
        <v>1261039</v>
      </c>
      <c r="H8" s="262">
        <v>10458267</v>
      </c>
      <c r="I8" s="262">
        <v>0</v>
      </c>
      <c r="J8" s="262"/>
    </row>
    <row r="9" spans="1:16" x14ac:dyDescent="0.3">
      <c r="A9" s="8">
        <v>5</v>
      </c>
      <c r="B9" s="8">
        <v>6</v>
      </c>
      <c r="C9" s="101">
        <v>8063906</v>
      </c>
      <c r="D9" s="101">
        <v>9145346</v>
      </c>
      <c r="E9" s="101">
        <v>0</v>
      </c>
      <c r="F9" s="101">
        <v>0</v>
      </c>
      <c r="G9" s="262">
        <v>1254493</v>
      </c>
      <c r="H9" s="262">
        <v>10403979</v>
      </c>
      <c r="I9" s="262">
        <v>0</v>
      </c>
      <c r="J9" s="262"/>
    </row>
    <row r="10" spans="1:16" x14ac:dyDescent="0.3">
      <c r="A10" s="8">
        <v>6</v>
      </c>
      <c r="B10" s="8">
        <v>7</v>
      </c>
      <c r="C10" s="101">
        <v>1960044</v>
      </c>
      <c r="D10" s="101">
        <v>2087574</v>
      </c>
      <c r="E10" s="101">
        <v>0</v>
      </c>
      <c r="F10" s="101">
        <v>0</v>
      </c>
      <c r="G10" s="262">
        <v>316037</v>
      </c>
      <c r="H10" s="262">
        <v>2621012</v>
      </c>
      <c r="I10" s="262">
        <v>0</v>
      </c>
      <c r="J10" s="262"/>
    </row>
    <row r="11" spans="1:16" x14ac:dyDescent="0.3">
      <c r="A11" s="8">
        <v>7</v>
      </c>
      <c r="B11" s="8">
        <v>8</v>
      </c>
      <c r="C11" s="101">
        <v>8419726</v>
      </c>
      <c r="D11" s="101">
        <v>9519892</v>
      </c>
      <c r="E11" s="101">
        <v>4346920</v>
      </c>
      <c r="F11" s="101">
        <v>0</v>
      </c>
      <c r="G11" s="262">
        <v>3291012</v>
      </c>
      <c r="H11" s="262">
        <v>10917438</v>
      </c>
      <c r="I11" s="262">
        <v>10867300</v>
      </c>
      <c r="J11" s="262"/>
    </row>
    <row r="12" spans="1:16" x14ac:dyDescent="0.3">
      <c r="A12" s="8">
        <v>8</v>
      </c>
      <c r="B12" s="8">
        <v>9</v>
      </c>
      <c r="C12" s="101">
        <v>3082035</v>
      </c>
      <c r="D12" s="101">
        <v>3596097</v>
      </c>
      <c r="E12" s="101">
        <v>0</v>
      </c>
      <c r="F12" s="101">
        <v>0</v>
      </c>
      <c r="G12" s="262">
        <v>717711</v>
      </c>
      <c r="H12" s="262">
        <v>4761798</v>
      </c>
      <c r="I12" s="262">
        <v>0</v>
      </c>
      <c r="J12" s="262"/>
    </row>
    <row r="13" spans="1:16" x14ac:dyDescent="0.3">
      <c r="A13" s="8">
        <v>9</v>
      </c>
      <c r="B13" s="8">
        <v>10</v>
      </c>
      <c r="C13" s="101">
        <v>6201756</v>
      </c>
      <c r="D13" s="101">
        <v>8367532</v>
      </c>
      <c r="E13" s="101">
        <v>3277630</v>
      </c>
      <c r="F13" s="101">
        <v>0</v>
      </c>
      <c r="G13" s="262">
        <v>892300</v>
      </c>
      <c r="H13" s="262">
        <v>5920141</v>
      </c>
      <c r="I13" s="262">
        <v>1638815</v>
      </c>
      <c r="J13" s="262"/>
    </row>
    <row r="14" spans="1:16" x14ac:dyDescent="0.3">
      <c r="A14" s="8">
        <v>10</v>
      </c>
      <c r="B14" s="8">
        <v>15</v>
      </c>
      <c r="C14" s="101">
        <v>9885740</v>
      </c>
      <c r="D14" s="101">
        <v>14606129</v>
      </c>
      <c r="E14" s="101">
        <v>523644</v>
      </c>
      <c r="F14" s="101">
        <v>0</v>
      </c>
      <c r="G14" s="262">
        <v>4477577</v>
      </c>
      <c r="H14" s="262">
        <v>8955155</v>
      </c>
      <c r="I14" s="262">
        <v>1309110</v>
      </c>
      <c r="J14" s="262"/>
    </row>
    <row r="15" spans="1:16" x14ac:dyDescent="0.3">
      <c r="A15" s="8">
        <v>15</v>
      </c>
      <c r="B15" s="8">
        <v>20</v>
      </c>
      <c r="C15" s="101">
        <v>5874476</v>
      </c>
      <c r="D15" s="101">
        <v>9202792</v>
      </c>
      <c r="E15" s="101">
        <v>1800254</v>
      </c>
      <c r="F15" s="101">
        <v>0</v>
      </c>
      <c r="G15" s="262">
        <v>1124732</v>
      </c>
      <c r="H15" s="262">
        <v>22494640</v>
      </c>
      <c r="I15" s="262">
        <v>4500635</v>
      </c>
      <c r="J15" s="262"/>
    </row>
    <row r="16" spans="1:16" x14ac:dyDescent="0.3">
      <c r="A16" s="8">
        <v>20</v>
      </c>
      <c r="B16" s="8">
        <v>25</v>
      </c>
      <c r="C16" s="101">
        <v>2464217</v>
      </c>
      <c r="D16" s="101">
        <v>5141385</v>
      </c>
      <c r="E16" s="101">
        <v>1134864</v>
      </c>
      <c r="F16" s="101">
        <v>0</v>
      </c>
      <c r="G16" s="262">
        <v>1554967</v>
      </c>
      <c r="H16" s="262">
        <v>3109935</v>
      </c>
      <c r="I16" s="262">
        <v>2837160</v>
      </c>
      <c r="J16" s="262"/>
    </row>
    <row r="17" spans="1:10" x14ac:dyDescent="0.3">
      <c r="A17" s="8">
        <v>25</v>
      </c>
      <c r="B17" s="8">
        <v>30</v>
      </c>
      <c r="C17" s="101">
        <v>2137165</v>
      </c>
      <c r="D17" s="101">
        <v>3428356</v>
      </c>
      <c r="E17" s="101">
        <v>900740</v>
      </c>
      <c r="F17" s="101">
        <v>0</v>
      </c>
      <c r="G17" s="262">
        <v>541256</v>
      </c>
      <c r="H17" s="262">
        <v>2165025</v>
      </c>
      <c r="I17" s="262">
        <v>2251850</v>
      </c>
      <c r="J17" s="262"/>
    </row>
    <row r="18" spans="1:10" x14ac:dyDescent="0.3">
      <c r="A18" s="8">
        <v>30</v>
      </c>
      <c r="B18" s="8">
        <v>35</v>
      </c>
      <c r="C18" s="101">
        <v>408530</v>
      </c>
      <c r="D18" s="101">
        <v>615817</v>
      </c>
      <c r="E18" s="101">
        <v>603000</v>
      </c>
      <c r="F18" s="101">
        <v>0</v>
      </c>
      <c r="G18" s="262">
        <v>0</v>
      </c>
      <c r="H18" s="262">
        <v>10710350</v>
      </c>
      <c r="I18" s="262">
        <v>1507500</v>
      </c>
      <c r="J18" s="262"/>
    </row>
    <row r="19" spans="1:10" x14ac:dyDescent="0.3">
      <c r="A19" s="8">
        <v>35</v>
      </c>
      <c r="B19" s="8">
        <v>40</v>
      </c>
      <c r="C19" s="101">
        <v>953627</v>
      </c>
      <c r="D19" s="101">
        <v>2068043</v>
      </c>
      <c r="E19" s="101">
        <v>528645</v>
      </c>
      <c r="F19" s="101">
        <v>0</v>
      </c>
      <c r="G19" s="262">
        <v>0</v>
      </c>
      <c r="H19" s="262">
        <v>1882055</v>
      </c>
      <c r="I19" s="262">
        <v>1057290</v>
      </c>
      <c r="J19" s="262"/>
    </row>
    <row r="20" spans="1:10" x14ac:dyDescent="0.3">
      <c r="A20" s="8">
        <v>40</v>
      </c>
      <c r="B20" s="8">
        <v>45</v>
      </c>
      <c r="C20" s="101">
        <v>221560</v>
      </c>
      <c r="D20" s="101">
        <v>706581</v>
      </c>
      <c r="E20" s="101">
        <v>1123390</v>
      </c>
      <c r="F20" s="101">
        <v>0</v>
      </c>
      <c r="G20" s="262">
        <v>0</v>
      </c>
      <c r="H20" s="262">
        <v>3304020</v>
      </c>
      <c r="I20" s="262">
        <v>1123390</v>
      </c>
      <c r="J20" s="262"/>
    </row>
    <row r="21" spans="1:10" x14ac:dyDescent="0.3">
      <c r="A21" s="8">
        <v>45</v>
      </c>
      <c r="B21" s="8">
        <v>50</v>
      </c>
      <c r="C21" s="101">
        <v>1108012</v>
      </c>
      <c r="D21" s="101">
        <v>1031723</v>
      </c>
      <c r="E21" s="101">
        <v>383111</v>
      </c>
      <c r="F21" s="101">
        <v>0</v>
      </c>
      <c r="G21" s="262">
        <v>0</v>
      </c>
      <c r="H21" s="262">
        <v>0</v>
      </c>
      <c r="I21" s="262">
        <v>766222</v>
      </c>
      <c r="J21" s="262"/>
    </row>
    <row r="22" spans="1:10" x14ac:dyDescent="0.3">
      <c r="A22" s="8">
        <v>50</v>
      </c>
      <c r="B22" s="8">
        <v>60</v>
      </c>
      <c r="C22" s="101">
        <v>432204</v>
      </c>
      <c r="D22" s="101">
        <v>996107</v>
      </c>
      <c r="E22" s="101">
        <v>397975</v>
      </c>
      <c r="F22" s="101">
        <v>53633925</v>
      </c>
      <c r="G22" s="262">
        <v>0</v>
      </c>
      <c r="H22" s="262">
        <v>0</v>
      </c>
      <c r="I22" s="262">
        <v>795950</v>
      </c>
      <c r="J22" s="262"/>
    </row>
    <row r="23" spans="1:10" x14ac:dyDescent="0.3">
      <c r="A23" s="8">
        <v>60</v>
      </c>
      <c r="B23" s="8">
        <v>70</v>
      </c>
      <c r="C23" s="101">
        <v>44452</v>
      </c>
      <c r="D23" s="101">
        <v>114891</v>
      </c>
      <c r="E23" s="101">
        <v>108972</v>
      </c>
      <c r="F23" s="101">
        <v>42150854</v>
      </c>
      <c r="G23" s="262">
        <v>0</v>
      </c>
      <c r="H23" s="262">
        <v>0</v>
      </c>
      <c r="I23" s="262">
        <v>217944</v>
      </c>
      <c r="J23" s="262"/>
    </row>
    <row r="24" spans="1:10" x14ac:dyDescent="0.3">
      <c r="A24" s="8">
        <v>70</v>
      </c>
      <c r="B24" s="8">
        <v>80</v>
      </c>
      <c r="C24" s="101">
        <v>190628</v>
      </c>
      <c r="D24" s="101">
        <v>380366</v>
      </c>
      <c r="E24" s="101">
        <v>203663</v>
      </c>
      <c r="F24" s="101">
        <v>36385840</v>
      </c>
      <c r="G24" s="262">
        <v>0</v>
      </c>
      <c r="H24" s="262">
        <v>0</v>
      </c>
      <c r="I24" s="262">
        <v>1018318</v>
      </c>
      <c r="J24" s="262"/>
    </row>
    <row r="25" spans="1:10" x14ac:dyDescent="0.3">
      <c r="A25" s="8">
        <v>80</v>
      </c>
      <c r="B25" s="8">
        <v>90</v>
      </c>
      <c r="C25" s="101">
        <v>73375</v>
      </c>
      <c r="D25" s="101">
        <v>221740</v>
      </c>
      <c r="E25" s="101">
        <v>1914248</v>
      </c>
      <c r="F25" s="101">
        <v>44133565</v>
      </c>
      <c r="G25" s="262">
        <v>0</v>
      </c>
      <c r="H25" s="262">
        <v>0</v>
      </c>
      <c r="I25" s="262">
        <v>4785620</v>
      </c>
      <c r="J25" s="262"/>
    </row>
    <row r="26" spans="1:10" x14ac:dyDescent="0.3">
      <c r="A26" s="8">
        <v>90</v>
      </c>
      <c r="B26" s="8">
        <v>100</v>
      </c>
      <c r="C26" s="101">
        <v>138440</v>
      </c>
      <c r="D26" s="101">
        <v>372247</v>
      </c>
      <c r="E26" s="101">
        <v>288392</v>
      </c>
      <c r="F26" s="101">
        <v>81534868</v>
      </c>
      <c r="G26" s="262">
        <v>0</v>
      </c>
      <c r="H26" s="262">
        <v>0</v>
      </c>
      <c r="I26" s="262">
        <v>826678</v>
      </c>
      <c r="J26" s="262"/>
    </row>
    <row r="27" spans="1:10" x14ac:dyDescent="0.3">
      <c r="A27" s="8">
        <v>100</v>
      </c>
      <c r="B27" s="8">
        <v>120</v>
      </c>
      <c r="C27" s="101">
        <v>87332</v>
      </c>
      <c r="D27" s="101">
        <v>190719</v>
      </c>
      <c r="E27" s="101">
        <v>79209</v>
      </c>
      <c r="F27" s="101">
        <v>90112979</v>
      </c>
      <c r="G27" s="262">
        <v>0</v>
      </c>
      <c r="H27" s="262">
        <v>0</v>
      </c>
      <c r="I27" s="262">
        <v>662843</v>
      </c>
      <c r="J27" s="262"/>
    </row>
    <row r="28" spans="1:10" x14ac:dyDescent="0.3">
      <c r="A28" s="8">
        <v>120</v>
      </c>
      <c r="B28" s="8">
        <v>140</v>
      </c>
      <c r="C28" s="101">
        <v>21172</v>
      </c>
      <c r="D28" s="101">
        <v>43658</v>
      </c>
      <c r="E28" s="101">
        <v>11245</v>
      </c>
      <c r="F28" s="101">
        <v>47471261</v>
      </c>
      <c r="G28" s="262">
        <v>0</v>
      </c>
      <c r="H28" s="262">
        <v>0</v>
      </c>
      <c r="I28" s="262">
        <v>239708</v>
      </c>
      <c r="J28" s="262"/>
    </row>
    <row r="29" spans="1:10" x14ac:dyDescent="0.3">
      <c r="A29" s="8">
        <v>140</v>
      </c>
      <c r="B29" s="8">
        <v>160</v>
      </c>
      <c r="C29" s="101">
        <v>14257</v>
      </c>
      <c r="D29" s="101">
        <v>141316</v>
      </c>
      <c r="E29" s="101">
        <v>19777</v>
      </c>
      <c r="F29" s="101">
        <v>21651011</v>
      </c>
      <c r="G29" s="262">
        <v>0</v>
      </c>
      <c r="H29" s="262">
        <v>0</v>
      </c>
      <c r="I29" s="262">
        <v>781682</v>
      </c>
      <c r="J29" s="262"/>
    </row>
    <row r="30" spans="1:10" x14ac:dyDescent="0.3">
      <c r="A30" s="8">
        <v>160</v>
      </c>
      <c r="B30" s="8">
        <v>180</v>
      </c>
      <c r="C30" s="101">
        <v>12709</v>
      </c>
      <c r="D30" s="101">
        <v>34467</v>
      </c>
      <c r="E30" s="101">
        <v>658260</v>
      </c>
      <c r="F30" s="101">
        <v>12345605</v>
      </c>
      <c r="G30" s="262">
        <v>0</v>
      </c>
      <c r="H30" s="262">
        <v>0</v>
      </c>
      <c r="I30" s="262">
        <v>2194200</v>
      </c>
      <c r="J30" s="262"/>
    </row>
    <row r="31" spans="1:10" x14ac:dyDescent="0.3">
      <c r="A31" s="8">
        <v>180</v>
      </c>
      <c r="B31" s="8">
        <v>200</v>
      </c>
      <c r="C31" s="101">
        <v>5645</v>
      </c>
      <c r="D31" s="101">
        <v>42509</v>
      </c>
      <c r="E31" s="101">
        <v>10495</v>
      </c>
      <c r="F31" s="101">
        <v>18109825</v>
      </c>
      <c r="G31" s="262">
        <v>0</v>
      </c>
      <c r="H31" s="262">
        <v>0</v>
      </c>
      <c r="I31" s="262">
        <v>786584</v>
      </c>
      <c r="J31" s="262"/>
    </row>
    <row r="32" spans="1:10" x14ac:dyDescent="0.3">
      <c r="A32" s="8">
        <v>200</v>
      </c>
      <c r="B32" s="8">
        <v>250</v>
      </c>
      <c r="C32" s="101">
        <v>6007</v>
      </c>
      <c r="D32" s="101">
        <v>58594</v>
      </c>
      <c r="E32" s="101">
        <v>4061</v>
      </c>
      <c r="F32" s="101">
        <v>7674595</v>
      </c>
      <c r="G32" s="262">
        <v>0</v>
      </c>
      <c r="H32" s="262">
        <v>0</v>
      </c>
      <c r="I32" s="262">
        <v>2187203</v>
      </c>
      <c r="J32" s="262"/>
    </row>
    <row r="33" spans="1:10" x14ac:dyDescent="0.3">
      <c r="A33" s="8">
        <v>250</v>
      </c>
      <c r="B33" s="8">
        <v>300</v>
      </c>
      <c r="C33" s="101">
        <v>707</v>
      </c>
      <c r="D33" s="101">
        <v>22978</v>
      </c>
      <c r="E33" s="101">
        <v>281925</v>
      </c>
      <c r="F33" s="101">
        <v>44518657</v>
      </c>
      <c r="G33" s="262">
        <v>0</v>
      </c>
      <c r="H33" s="262">
        <v>0</v>
      </c>
      <c r="I33" s="262">
        <v>0</v>
      </c>
      <c r="J33" s="262"/>
    </row>
    <row r="34" spans="1:10" x14ac:dyDescent="0.3">
      <c r="A34" s="8">
        <v>300</v>
      </c>
      <c r="B34" s="8">
        <v>350</v>
      </c>
      <c r="C34" s="101">
        <v>355</v>
      </c>
      <c r="D34" s="101">
        <v>2297</v>
      </c>
      <c r="E34" s="101">
        <v>84539</v>
      </c>
      <c r="F34" s="101">
        <v>6689702</v>
      </c>
      <c r="G34" s="262">
        <v>0</v>
      </c>
      <c r="H34" s="262">
        <v>0</v>
      </c>
      <c r="I34" s="262">
        <v>0</v>
      </c>
      <c r="J34" s="262"/>
    </row>
    <row r="35" spans="1:10" x14ac:dyDescent="0.3">
      <c r="A35" s="8">
        <v>350</v>
      </c>
      <c r="B35" s="8">
        <v>400</v>
      </c>
      <c r="C35" s="101">
        <v>0</v>
      </c>
      <c r="D35" s="101">
        <v>1148</v>
      </c>
      <c r="E35" s="101">
        <v>0</v>
      </c>
      <c r="F35" s="101">
        <v>7661696</v>
      </c>
      <c r="G35" s="262">
        <v>0</v>
      </c>
      <c r="H35" s="262">
        <v>0</v>
      </c>
      <c r="I35" s="262">
        <v>0</v>
      </c>
      <c r="J35" s="262"/>
    </row>
    <row r="36" spans="1:10" x14ac:dyDescent="0.3">
      <c r="A36" s="8">
        <v>400</v>
      </c>
      <c r="B36" s="8">
        <v>450</v>
      </c>
      <c r="C36" s="101">
        <v>0</v>
      </c>
      <c r="D36" s="101">
        <v>5744</v>
      </c>
      <c r="E36" s="101">
        <v>109804</v>
      </c>
      <c r="F36" s="101">
        <v>5967499</v>
      </c>
      <c r="G36" s="262">
        <v>0</v>
      </c>
      <c r="H36" s="262">
        <v>0</v>
      </c>
      <c r="I36" s="262">
        <v>0</v>
      </c>
      <c r="J36" s="262"/>
    </row>
    <row r="37" spans="1:10" x14ac:dyDescent="0.3">
      <c r="A37" s="8">
        <v>450</v>
      </c>
      <c r="B37" s="8">
        <v>500</v>
      </c>
      <c r="C37" s="101">
        <v>0</v>
      </c>
      <c r="D37" s="101">
        <v>16084</v>
      </c>
      <c r="E37" s="101">
        <v>0</v>
      </c>
      <c r="F37" s="101">
        <v>7423274</v>
      </c>
      <c r="G37" s="262">
        <v>0</v>
      </c>
      <c r="H37" s="262">
        <v>0</v>
      </c>
      <c r="I37" s="262">
        <v>0</v>
      </c>
      <c r="J37" s="262"/>
    </row>
    <row r="38" spans="1:10" x14ac:dyDescent="0.3">
      <c r="A38" s="8">
        <v>500</v>
      </c>
      <c r="B38" s="8">
        <v>550</v>
      </c>
      <c r="C38" s="101">
        <v>68</v>
      </c>
      <c r="D38" s="101">
        <v>4595</v>
      </c>
      <c r="E38" s="101">
        <v>0</v>
      </c>
      <c r="F38" s="101">
        <v>21398015</v>
      </c>
      <c r="G38" s="262">
        <v>0</v>
      </c>
      <c r="H38" s="262">
        <v>0</v>
      </c>
      <c r="I38" s="262">
        <v>0</v>
      </c>
      <c r="J38" s="262"/>
    </row>
    <row r="39" spans="1:10" x14ac:dyDescent="0.3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11268788</v>
      </c>
      <c r="G39" s="262">
        <v>0</v>
      </c>
      <c r="H39" s="262">
        <v>0</v>
      </c>
      <c r="I39" s="262">
        <v>0</v>
      </c>
      <c r="J39" s="262"/>
    </row>
    <row r="40" spans="1:10" x14ac:dyDescent="0.3">
      <c r="A40" s="8">
        <v>600</v>
      </c>
      <c r="B40" s="8">
        <v>650</v>
      </c>
      <c r="C40" s="101">
        <v>0</v>
      </c>
      <c r="D40" s="101">
        <v>2537</v>
      </c>
      <c r="E40" s="101">
        <v>0</v>
      </c>
      <c r="F40" s="101">
        <v>7443990</v>
      </c>
      <c r="G40" s="262">
        <v>0</v>
      </c>
      <c r="H40" s="262">
        <v>0</v>
      </c>
      <c r="I40" s="262">
        <v>0</v>
      </c>
      <c r="J40" s="262"/>
    </row>
    <row r="41" spans="1:10" x14ac:dyDescent="0.3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3505074</v>
      </c>
      <c r="G41" s="262">
        <v>0</v>
      </c>
      <c r="H41" s="262">
        <v>0</v>
      </c>
      <c r="I41" s="262">
        <v>0</v>
      </c>
      <c r="J41" s="262"/>
    </row>
    <row r="42" spans="1:10" x14ac:dyDescent="0.3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2964605</v>
      </c>
      <c r="G42" s="262">
        <v>0</v>
      </c>
      <c r="H42" s="262">
        <v>0</v>
      </c>
      <c r="I42" s="262">
        <v>0</v>
      </c>
      <c r="J42" s="262"/>
    </row>
    <row r="43" spans="1:10" x14ac:dyDescent="0.3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4875986</v>
      </c>
      <c r="G43" s="262">
        <v>0</v>
      </c>
      <c r="H43" s="262">
        <v>0</v>
      </c>
      <c r="I43" s="262">
        <v>0</v>
      </c>
      <c r="J43" s="262"/>
    </row>
    <row r="44" spans="1:10" x14ac:dyDescent="0.3">
      <c r="A44" s="8">
        <v>800</v>
      </c>
      <c r="B44" s="8">
        <v>850</v>
      </c>
      <c r="C44" s="101">
        <v>0</v>
      </c>
      <c r="D44" s="101">
        <v>0</v>
      </c>
      <c r="E44" s="101">
        <v>37704</v>
      </c>
      <c r="F44" s="101">
        <v>2735567</v>
      </c>
      <c r="G44" s="262">
        <v>0</v>
      </c>
      <c r="H44" s="262">
        <v>0</v>
      </c>
      <c r="I44" s="262">
        <v>0</v>
      </c>
      <c r="J44" s="262"/>
    </row>
    <row r="45" spans="1:10" x14ac:dyDescent="0.3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2658877</v>
      </c>
      <c r="G45" s="262">
        <v>0</v>
      </c>
      <c r="H45" s="262">
        <v>0</v>
      </c>
      <c r="I45" s="262">
        <v>0</v>
      </c>
      <c r="J45" s="262"/>
    </row>
    <row r="46" spans="1:10" x14ac:dyDescent="0.3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2043206</v>
      </c>
      <c r="G46" s="262">
        <v>0</v>
      </c>
      <c r="H46" s="262">
        <v>0</v>
      </c>
      <c r="I46" s="262">
        <v>0</v>
      </c>
      <c r="J46" s="262"/>
    </row>
    <row r="47" spans="1:10" x14ac:dyDescent="0.3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3729994</v>
      </c>
      <c r="G47" s="262">
        <v>0</v>
      </c>
      <c r="H47" s="262">
        <v>0</v>
      </c>
      <c r="I47" s="262">
        <v>0</v>
      </c>
      <c r="J47" s="262"/>
    </row>
    <row r="48" spans="1:10" x14ac:dyDescent="0.3">
      <c r="A48" s="8">
        <v>1000</v>
      </c>
      <c r="B48" s="8">
        <v>2000</v>
      </c>
      <c r="C48" s="101">
        <v>222</v>
      </c>
      <c r="D48" s="101">
        <v>990</v>
      </c>
      <c r="E48" s="101">
        <v>0</v>
      </c>
      <c r="F48" s="101">
        <v>9275316</v>
      </c>
      <c r="G48" s="262">
        <v>0</v>
      </c>
      <c r="H48" s="262">
        <v>0</v>
      </c>
      <c r="I48" s="262">
        <v>0</v>
      </c>
      <c r="J48" s="262"/>
    </row>
    <row r="49" spans="1:10" x14ac:dyDescent="0.3">
      <c r="A49" s="8">
        <v>2000</v>
      </c>
      <c r="B49" s="8">
        <v>3000</v>
      </c>
      <c r="C49" s="101">
        <v>0</v>
      </c>
      <c r="D49" s="101">
        <v>443</v>
      </c>
      <c r="E49" s="101">
        <v>12723</v>
      </c>
      <c r="F49" s="101">
        <v>962409</v>
      </c>
      <c r="G49" s="262">
        <v>0</v>
      </c>
      <c r="H49" s="262">
        <v>0</v>
      </c>
      <c r="I49" s="262">
        <v>0</v>
      </c>
      <c r="J49" s="262"/>
    </row>
    <row r="50" spans="1:10" x14ac:dyDescent="0.3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778371</v>
      </c>
      <c r="G50" s="262">
        <v>0</v>
      </c>
      <c r="H50" s="262">
        <v>0</v>
      </c>
      <c r="I50" s="262">
        <v>0</v>
      </c>
      <c r="J50" s="262"/>
    </row>
    <row r="51" spans="1:10" x14ac:dyDescent="0.3">
      <c r="A51" s="8">
        <v>4000</v>
      </c>
      <c r="B51" s="8">
        <v>5000</v>
      </c>
      <c r="C51" s="101">
        <v>0</v>
      </c>
      <c r="D51" s="101">
        <v>0</v>
      </c>
      <c r="E51" s="101">
        <v>7990</v>
      </c>
      <c r="F51" s="101">
        <v>618883</v>
      </c>
      <c r="G51" s="262">
        <v>0</v>
      </c>
      <c r="H51" s="262">
        <v>0</v>
      </c>
      <c r="I51" s="262">
        <v>0</v>
      </c>
      <c r="J51" s="262"/>
    </row>
    <row r="52" spans="1:10" x14ac:dyDescent="0.3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205359</v>
      </c>
      <c r="G52" s="262">
        <v>0</v>
      </c>
      <c r="H52" s="262">
        <v>0</v>
      </c>
      <c r="I52" s="262">
        <v>0</v>
      </c>
      <c r="J52" s="262"/>
    </row>
    <row r="53" spans="1:10" x14ac:dyDescent="0.3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194090</v>
      </c>
      <c r="G53" s="262">
        <v>0</v>
      </c>
      <c r="H53" s="262">
        <v>0</v>
      </c>
      <c r="I53" s="262">
        <v>0</v>
      </c>
      <c r="J53" s="262"/>
    </row>
    <row r="54" spans="1:10" x14ac:dyDescent="0.3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180923</v>
      </c>
      <c r="G54" s="262">
        <v>0</v>
      </c>
      <c r="H54" s="262">
        <v>0</v>
      </c>
      <c r="I54" s="262">
        <v>0</v>
      </c>
      <c r="J54" s="262"/>
    </row>
    <row r="55" spans="1:10" x14ac:dyDescent="0.3">
      <c r="A55" s="8">
        <v>8000</v>
      </c>
      <c r="B55" s="8">
        <v>9000</v>
      </c>
      <c r="C55" s="101">
        <v>0</v>
      </c>
      <c r="D55" s="101">
        <v>0</v>
      </c>
      <c r="E55" s="101">
        <v>4547</v>
      </c>
      <c r="F55" s="101">
        <v>145740</v>
      </c>
      <c r="G55" s="262">
        <v>0</v>
      </c>
      <c r="H55" s="262">
        <v>0</v>
      </c>
      <c r="I55" s="262">
        <v>0</v>
      </c>
      <c r="J55" s="262"/>
    </row>
    <row r="56" spans="1:10" x14ac:dyDescent="0.3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46102</v>
      </c>
      <c r="G56" s="262">
        <v>0</v>
      </c>
      <c r="H56" s="262">
        <v>0</v>
      </c>
      <c r="I56" s="262">
        <v>0</v>
      </c>
      <c r="J56" s="262"/>
    </row>
    <row r="57" spans="1:10" x14ac:dyDescent="0.3">
      <c r="A57" s="8">
        <v>10000</v>
      </c>
      <c r="B57" s="8">
        <v>20000</v>
      </c>
      <c r="C57" s="101">
        <v>0</v>
      </c>
      <c r="D57" s="101">
        <v>0</v>
      </c>
      <c r="E57" s="101">
        <v>774</v>
      </c>
      <c r="F57" s="101">
        <v>120645</v>
      </c>
      <c r="G57" s="262">
        <v>0</v>
      </c>
      <c r="H57" s="262">
        <v>0</v>
      </c>
      <c r="I57" s="262">
        <v>0</v>
      </c>
      <c r="J57" s="262"/>
    </row>
    <row r="58" spans="1:10" x14ac:dyDescent="0.3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 x14ac:dyDescent="0.3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 x14ac:dyDescent="0.3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20" ht="16.8" thickBot="1" x14ac:dyDescent="0.35">
      <c r="M193" s="114"/>
      <c r="N193" s="164" t="s">
        <v>181</v>
      </c>
      <c r="O193" s="219" t="s">
        <v>180</v>
      </c>
    </row>
    <row r="194" spans="1:20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20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20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0.92499880086621378</v>
      </c>
      <c r="P197" s="34"/>
    </row>
    <row r="198" spans="1:20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31793475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0.31793474999999999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 x14ac:dyDescent="0.3">
      <c r="A200" s="257">
        <v>0</v>
      </c>
      <c r="B200" s="258">
        <v>1</v>
      </c>
      <c r="C200" s="160">
        <v>87336</v>
      </c>
      <c r="D200" s="30">
        <v>69868.800000007104</v>
      </c>
      <c r="E200" s="187">
        <f t="shared" ref="E200:E256" si="6">IFERROR((D200/$E$196)/(C200),0)</f>
        <v>3.200000000000325E-3</v>
      </c>
      <c r="F200" s="188">
        <v>8.7336E-4</v>
      </c>
      <c r="G200" s="189">
        <v>2.794752000000284E-6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 x14ac:dyDescent="0.3">
      <c r="A201" s="257">
        <v>1</v>
      </c>
      <c r="B201" s="258">
        <v>2</v>
      </c>
      <c r="C201" s="160">
        <v>445099</v>
      </c>
      <c r="D201" s="30">
        <v>776381.59999989392</v>
      </c>
      <c r="E201" s="187">
        <f t="shared" si="6"/>
        <v>6.9771587893919691E-3</v>
      </c>
      <c r="F201" s="188">
        <v>4.4509900000000002E-3</v>
      </c>
      <c r="G201" s="189">
        <v>3.105526399999576E-5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 x14ac:dyDescent="0.3">
      <c r="A202" s="257">
        <v>2</v>
      </c>
      <c r="B202" s="258">
        <v>3</v>
      </c>
      <c r="C202" s="160">
        <v>206522</v>
      </c>
      <c r="D202" s="30">
        <v>579814.40000004496</v>
      </c>
      <c r="E202" s="187">
        <f t="shared" si="6"/>
        <v>1.1230075246221613E-2</v>
      </c>
      <c r="F202" s="188">
        <v>2.06522E-3</v>
      </c>
      <c r="G202" s="189">
        <v>2.3192576000001799E-5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 x14ac:dyDescent="0.3">
      <c r="A203" s="257">
        <v>3</v>
      </c>
      <c r="B203" s="258">
        <v>4</v>
      </c>
      <c r="C203" s="160">
        <v>523202</v>
      </c>
      <c r="D203" s="30">
        <v>1993365.19999982</v>
      </c>
      <c r="E203" s="187">
        <f t="shared" si="6"/>
        <v>1.5239736851157449E-2</v>
      </c>
      <c r="F203" s="188">
        <v>5.2320200000000004E-3</v>
      </c>
      <c r="G203" s="189">
        <v>7.9734607999992806E-5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 x14ac:dyDescent="0.3">
      <c r="A204" s="257">
        <v>4</v>
      </c>
      <c r="B204" s="258">
        <v>5</v>
      </c>
      <c r="C204" s="160">
        <v>470796</v>
      </c>
      <c r="D204" s="30">
        <v>2300695.4000002109</v>
      </c>
      <c r="E204" s="187">
        <f t="shared" si="6"/>
        <v>1.9547280775539393E-2</v>
      </c>
      <c r="F204" s="188">
        <v>4.7079599999999997E-3</v>
      </c>
      <c r="G204" s="189">
        <v>9.202781600000844E-5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 x14ac:dyDescent="0.3">
      <c r="A205" s="257">
        <v>5</v>
      </c>
      <c r="B205" s="258">
        <v>6</v>
      </c>
      <c r="C205" s="160">
        <v>515408</v>
      </c>
      <c r="D205" s="30">
        <v>3082878.4000000414</v>
      </c>
      <c r="E205" s="187">
        <f t="shared" si="6"/>
        <v>2.3925731847391128E-2</v>
      </c>
      <c r="F205" s="188">
        <v>5.1540800000000001E-3</v>
      </c>
      <c r="G205" s="189">
        <v>1.2331513600000166E-4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 x14ac:dyDescent="0.3">
      <c r="A206" s="257">
        <v>6</v>
      </c>
      <c r="B206" s="258">
        <v>7</v>
      </c>
      <c r="C206" s="160">
        <v>64703</v>
      </c>
      <c r="D206" s="30">
        <v>417548.80000001274</v>
      </c>
      <c r="E206" s="187">
        <f t="shared" si="6"/>
        <v>2.5813257499653047E-2</v>
      </c>
      <c r="F206" s="188">
        <v>6.4703000000000004E-4</v>
      </c>
      <c r="G206" s="189">
        <v>1.6701952000000514E-5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 x14ac:dyDescent="0.3">
      <c r="A207" s="257">
        <v>7</v>
      </c>
      <c r="B207" s="258">
        <v>8</v>
      </c>
      <c r="C207" s="160">
        <v>811727</v>
      </c>
      <c r="D207" s="30">
        <v>6369123.0000010356</v>
      </c>
      <c r="E207" s="187">
        <f t="shared" si="6"/>
        <v>3.138554218352247E-2</v>
      </c>
      <c r="F207" s="188">
        <v>8.1172699999999993E-3</v>
      </c>
      <c r="G207" s="189">
        <v>2.5476492000004142E-4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 x14ac:dyDescent="0.3">
      <c r="A208" s="257">
        <v>8</v>
      </c>
      <c r="B208" s="258">
        <v>9</v>
      </c>
      <c r="C208" s="160">
        <v>180638</v>
      </c>
      <c r="D208" s="30">
        <v>1612065.5999999999</v>
      </c>
      <c r="E208" s="187">
        <f t="shared" si="6"/>
        <v>3.5697153422867833E-2</v>
      </c>
      <c r="F208" s="188">
        <v>1.80638E-3</v>
      </c>
      <c r="G208" s="189">
        <v>6.4482623999999997E-5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 x14ac:dyDescent="0.3">
      <c r="A209" s="257">
        <v>9</v>
      </c>
      <c r="B209" s="258">
        <v>10</v>
      </c>
      <c r="C209" s="160">
        <v>723996</v>
      </c>
      <c r="D209" s="30">
        <v>7173791.5999993756</v>
      </c>
      <c r="E209" s="187">
        <f t="shared" si="6"/>
        <v>3.9634426709536381E-2</v>
      </c>
      <c r="F209" s="188">
        <v>7.2399600000000001E-3</v>
      </c>
      <c r="G209" s="189">
        <v>2.8695166399997504E-4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 x14ac:dyDescent="0.3">
      <c r="A210" s="257">
        <v>10</v>
      </c>
      <c r="B210" s="258">
        <v>15</v>
      </c>
      <c r="C210" s="160">
        <v>1429134</v>
      </c>
      <c r="D210" s="30">
        <v>18936692.999999009</v>
      </c>
      <c r="E210" s="187">
        <f t="shared" si="6"/>
        <v>5.3001868264274755E-2</v>
      </c>
      <c r="F210" s="188">
        <v>1.429134E-2</v>
      </c>
      <c r="G210" s="189">
        <v>7.5746771999996032E-4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 x14ac:dyDescent="0.3">
      <c r="A211" s="257">
        <v>15</v>
      </c>
      <c r="B211" s="258">
        <v>20</v>
      </c>
      <c r="C211" s="160">
        <v>1893669</v>
      </c>
      <c r="D211" s="30">
        <v>34749383.799997613</v>
      </c>
      <c r="E211" s="187">
        <f t="shared" si="6"/>
        <v>7.3401177924964936E-2</v>
      </c>
      <c r="F211" s="188">
        <v>1.8936689999999999E-2</v>
      </c>
      <c r="G211" s="189">
        <v>1.3899753519999042E-3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 x14ac:dyDescent="0.3">
      <c r="A212" s="257">
        <v>20</v>
      </c>
      <c r="B212" s="258">
        <v>25</v>
      </c>
      <c r="C212" s="160">
        <v>1198419</v>
      </c>
      <c r="D212" s="30">
        <v>28277717.599998325</v>
      </c>
      <c r="E212" s="187">
        <f t="shared" si="6"/>
        <v>9.4383408807765315E-2</v>
      </c>
      <c r="F212" s="188">
        <v>1.198419E-2</v>
      </c>
      <c r="G212" s="189">
        <v>1.131108703999933E-3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4.9923016288070112</v>
      </c>
      <c r="S212" s="182"/>
    </row>
    <row r="213" spans="1:24" ht="15.6" x14ac:dyDescent="0.3">
      <c r="A213" s="257">
        <v>25</v>
      </c>
      <c r="B213" s="258">
        <v>30</v>
      </c>
      <c r="C213" s="160">
        <v>1193075</v>
      </c>
      <c r="D213" s="30">
        <v>34514758.599997401</v>
      </c>
      <c r="E213" s="187">
        <f t="shared" si="6"/>
        <v>0.11571697873142059</v>
      </c>
      <c r="F213" s="188">
        <v>1.193075E-2</v>
      </c>
      <c r="G213" s="189">
        <v>1.3805903439998962E-3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4.839387295307036</v>
      </c>
      <c r="S213" s="182"/>
    </row>
    <row r="214" spans="1:24" ht="15.6" x14ac:dyDescent="0.3">
      <c r="A214" s="257">
        <v>30</v>
      </c>
      <c r="B214" s="258">
        <v>35</v>
      </c>
      <c r="C214" s="160">
        <v>863756</v>
      </c>
      <c r="D214" s="30">
        <v>28120411.799997173</v>
      </c>
      <c r="E214" s="187">
        <f t="shared" si="6"/>
        <v>0.13022386785155612</v>
      </c>
      <c r="F214" s="188">
        <v>8.6375600000000007E-3</v>
      </c>
      <c r="G214" s="189">
        <v>1.1248164719998871E-3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4.5951453483417337</v>
      </c>
    </row>
    <row r="215" spans="1:24" ht="15.6" x14ac:dyDescent="0.3">
      <c r="A215" s="257">
        <v>35</v>
      </c>
      <c r="B215" s="258">
        <v>40</v>
      </c>
      <c r="C215" s="160">
        <v>1624478</v>
      </c>
      <c r="D215" s="30">
        <v>62803369.600001521</v>
      </c>
      <c r="E215" s="187">
        <f t="shared" si="6"/>
        <v>0.15464258574139267</v>
      </c>
      <c r="F215" s="188">
        <v>1.624478E-2</v>
      </c>
      <c r="G215" s="189">
        <v>2.5121347840000607E-3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8.9743116057081274</v>
      </c>
    </row>
    <row r="216" spans="1:24" ht="15.6" x14ac:dyDescent="0.3">
      <c r="A216" s="257">
        <v>40</v>
      </c>
      <c r="B216" s="258">
        <v>45</v>
      </c>
      <c r="C216" s="160">
        <v>729957</v>
      </c>
      <c r="D216" s="30">
        <v>31952887.399999078</v>
      </c>
      <c r="E216" s="187">
        <f t="shared" si="6"/>
        <v>0.17509462831371755</v>
      </c>
      <c r="F216" s="188">
        <v>7.29957E-3</v>
      </c>
      <c r="G216" s="189">
        <v>1.2781154959999633E-3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6.7199190480405058</v>
      </c>
    </row>
    <row r="217" spans="1:24" ht="15.6" x14ac:dyDescent="0.3">
      <c r="A217" s="257">
        <v>45</v>
      </c>
      <c r="B217" s="258">
        <v>50</v>
      </c>
      <c r="C217" s="160">
        <v>1147882</v>
      </c>
      <c r="D217" s="30">
        <v>55492008.600002214</v>
      </c>
      <c r="E217" s="187">
        <f t="shared" si="6"/>
        <v>0.19337182253925825</v>
      </c>
      <c r="F217" s="188">
        <v>1.1478820000000001E-2</v>
      </c>
      <c r="G217" s="189">
        <v>2.2196803440000883E-3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8.4962289872194585</v>
      </c>
    </row>
    <row r="218" spans="1:24" ht="15.6" x14ac:dyDescent="0.3">
      <c r="A218" s="257">
        <v>50</v>
      </c>
      <c r="B218" s="258">
        <v>60</v>
      </c>
      <c r="C218" s="160">
        <v>1827391</v>
      </c>
      <c r="D218" s="30">
        <v>104804012.40000774</v>
      </c>
      <c r="E218" s="187">
        <f t="shared" si="6"/>
        <v>0.22940687001305737</v>
      </c>
      <c r="F218" s="188">
        <v>1.8273910000000001E-2</v>
      </c>
      <c r="G218" s="189">
        <v>4.1921604960003097E-3</v>
      </c>
      <c r="H218" s="232">
        <v>0.2</v>
      </c>
      <c r="I218" s="274" t="str">
        <f t="shared" si="7"/>
        <v>(50, 60]</v>
      </c>
      <c r="J218" s="160">
        <v>1</v>
      </c>
      <c r="K218" s="234">
        <v>2.9350000000000001</v>
      </c>
      <c r="L218" s="188">
        <v>5.3633925850000007E-2</v>
      </c>
      <c r="M218" s="233">
        <v>53633925</v>
      </c>
      <c r="N218" s="195">
        <v>8.9001665163512059E-2</v>
      </c>
      <c r="O218" s="211">
        <v>2.0417593431111467E-2</v>
      </c>
      <c r="Q218" s="1">
        <v>0.11195442178961326</v>
      </c>
      <c r="R218" s="1">
        <v>6.1264623602509403</v>
      </c>
    </row>
    <row r="219" spans="1:24" ht="15.6" x14ac:dyDescent="0.3">
      <c r="A219" s="257">
        <v>60</v>
      </c>
      <c r="B219" s="258">
        <v>70</v>
      </c>
      <c r="C219" s="160">
        <v>1194177</v>
      </c>
      <c r="D219" s="30">
        <v>78501248.59999916</v>
      </c>
      <c r="E219" s="187">
        <f t="shared" si="6"/>
        <v>0.26294677790645493</v>
      </c>
      <c r="F219" s="188">
        <v>1.1941770000000001E-2</v>
      </c>
      <c r="G219" s="189">
        <v>3.1400499439999665E-3</v>
      </c>
      <c r="H219" s="232">
        <v>0.24</v>
      </c>
      <c r="I219" s="274" t="str">
        <f t="shared" si="7"/>
        <v>(60, 70]</v>
      </c>
      <c r="J219" s="160">
        <v>1</v>
      </c>
      <c r="K219" s="234">
        <v>3.529699084068854</v>
      </c>
      <c r="L219" s="188">
        <v>4.2150854631160924E-2</v>
      </c>
      <c r="M219" s="233">
        <v>42150854</v>
      </c>
      <c r="N219" s="195">
        <v>6.9946329567789095E-2</v>
      </c>
      <c r="O219" s="211">
        <v>1.8392161986233141E-2</v>
      </c>
      <c r="Q219" s="1">
        <v>4.2150854631160924E-2</v>
      </c>
      <c r="R219" s="1">
        <v>3.529699084068854</v>
      </c>
    </row>
    <row r="220" spans="1:24" ht="15.6" x14ac:dyDescent="0.3">
      <c r="A220" s="257">
        <v>70</v>
      </c>
      <c r="B220" s="258">
        <v>80</v>
      </c>
      <c r="C220" s="160">
        <v>1857617</v>
      </c>
      <c r="D220" s="30">
        <v>142317235.40000734</v>
      </c>
      <c r="E220" s="187">
        <f t="shared" si="6"/>
        <v>0.30645119074600918</v>
      </c>
      <c r="F220" s="188">
        <v>1.8576169999999999E-2</v>
      </c>
      <c r="G220" s="189">
        <v>5.6926894160002931E-3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1.9587374680591885</v>
      </c>
      <c r="L220" s="188">
        <v>3.6385840192037056E-2</v>
      </c>
      <c r="M220" s="233">
        <v>36385840</v>
      </c>
      <c r="N220" s="195">
        <v>6.0379700877254902E-2</v>
      </c>
      <c r="O220" s="211">
        <v>1.8503431230722619E-2</v>
      </c>
      <c r="Q220" s="1">
        <v>3.6385840192037056E-2</v>
      </c>
      <c r="R220" s="1">
        <v>1.9587374680591885</v>
      </c>
    </row>
    <row r="221" spans="1:24" thickBot="1" x14ac:dyDescent="0.35">
      <c r="A221" s="257">
        <v>80</v>
      </c>
      <c r="B221" s="258">
        <v>90</v>
      </c>
      <c r="C221" s="160">
        <v>1162434</v>
      </c>
      <c r="D221" s="30">
        <v>100563565.39999692</v>
      </c>
      <c r="E221" s="187">
        <f t="shared" si="6"/>
        <v>0.34604481768426226</v>
      </c>
      <c r="F221" s="188">
        <v>1.162434E-2</v>
      </c>
      <c r="G221" s="189">
        <v>4.0225426159998775E-3</v>
      </c>
      <c r="H221" s="232">
        <v>0.32</v>
      </c>
      <c r="I221" s="274" t="str">
        <f t="shared" si="7"/>
        <v>(80, 90]</v>
      </c>
      <c r="J221" s="160">
        <v>1</v>
      </c>
      <c r="K221" s="276">
        <v>3.7966512900527212</v>
      </c>
      <c r="L221" s="188">
        <v>4.4133565457011449E-2</v>
      </c>
      <c r="M221" s="233">
        <v>44133565</v>
      </c>
      <c r="N221" s="195">
        <v>7.3236496762116424E-2</v>
      </c>
      <c r="O221" s="211">
        <v>2.5343110169880643E-2</v>
      </c>
      <c r="Q221" s="1">
        <v>4.4133565457011449E-2</v>
      </c>
      <c r="R221" s="1">
        <v>3.7966512900527212</v>
      </c>
    </row>
    <row r="222" spans="1:24" ht="16.8" thickBot="1" x14ac:dyDescent="0.35">
      <c r="A222" s="257">
        <v>90</v>
      </c>
      <c r="B222" s="258">
        <v>100</v>
      </c>
      <c r="C222" s="160">
        <v>1405737</v>
      </c>
      <c r="D222" s="30">
        <v>135925771.80000448</v>
      </c>
      <c r="E222" s="187">
        <f t="shared" si="6"/>
        <v>0.3867744017551063</v>
      </c>
      <c r="F222" s="188">
        <v>1.405737E-2</v>
      </c>
      <c r="G222" s="189">
        <v>5.4370308720001785E-3</v>
      </c>
      <c r="H222" s="232">
        <v>0.36</v>
      </c>
      <c r="I222" s="274" t="str">
        <f t="shared" si="7"/>
        <v>(90, 100]</v>
      </c>
      <c r="J222" s="160">
        <v>1</v>
      </c>
      <c r="K222" s="276">
        <v>5.8001510082923655</v>
      </c>
      <c r="L222" s="188">
        <v>8.1534868779438843E-2</v>
      </c>
      <c r="M222" s="233">
        <v>81534868</v>
      </c>
      <c r="N222" s="195">
        <v>0.13530128590975121</v>
      </c>
      <c r="O222" s="211">
        <v>5.2331073914440619E-2</v>
      </c>
      <c r="Q222" s="1">
        <v>8.1534868779438843E-2</v>
      </c>
      <c r="R222" s="1">
        <v>5.8001510082923655</v>
      </c>
      <c r="U222" s="301" t="s">
        <v>291</v>
      </c>
      <c r="V222" s="184" t="s">
        <v>292</v>
      </c>
      <c r="W222" s="299" t="s">
        <v>256</v>
      </c>
      <c r="X222" s="300" t="s">
        <v>293</v>
      </c>
    </row>
    <row r="223" spans="1:24" ht="15.6" x14ac:dyDescent="0.3">
      <c r="A223" s="257">
        <v>100</v>
      </c>
      <c r="B223" s="258">
        <v>120</v>
      </c>
      <c r="C223" s="160">
        <v>2375046</v>
      </c>
      <c r="D223" s="30">
        <v>266821252.00001076</v>
      </c>
      <c r="E223" s="187">
        <f t="shared" si="6"/>
        <v>0.44937445758947109</v>
      </c>
      <c r="F223" s="188">
        <v>2.3750460000000001E-2</v>
      </c>
      <c r="G223" s="189">
        <v>1.0672850080000429E-2</v>
      </c>
      <c r="H223" s="232">
        <v>0.4</v>
      </c>
      <c r="I223" s="274" t="str">
        <f t="shared" si="7"/>
        <v>(100, 120]</v>
      </c>
      <c r="J223" s="160">
        <v>1</v>
      </c>
      <c r="K223" s="276">
        <v>3.7941572418023743</v>
      </c>
      <c r="L223" s="188">
        <v>9.0112979805137619E-2</v>
      </c>
      <c r="M223" s="233">
        <v>90112979</v>
      </c>
      <c r="N223" s="195">
        <v>0.14953604801148887</v>
      </c>
      <c r="O223" s="211">
        <v>6.7197680465235915E-2</v>
      </c>
      <c r="Q223" s="1">
        <v>9.0112979805137619E-2</v>
      </c>
      <c r="R223" s="1">
        <v>3.7941572418023743</v>
      </c>
      <c r="U223" s="128" t="s">
        <v>271</v>
      </c>
      <c r="V223" s="185">
        <f>SUM(N199:N228)</f>
        <v>0.75537904752705509</v>
      </c>
      <c r="W223" s="296" cm="1">
        <f t="array" ref="W223:W228">1/V223:V228</f>
        <v>1.323838678440685</v>
      </c>
      <c r="X223" s="302"/>
    </row>
    <row r="224" spans="1:24" ht="15.6" x14ac:dyDescent="0.3">
      <c r="A224" s="257">
        <v>120</v>
      </c>
      <c r="B224" s="258">
        <v>140</v>
      </c>
      <c r="C224" s="160">
        <v>1829546</v>
      </c>
      <c r="D224" s="30">
        <v>240457937.39999625</v>
      </c>
      <c r="E224" s="187">
        <f t="shared" si="6"/>
        <v>0.52572154490785417</v>
      </c>
      <c r="F224" s="188">
        <v>1.829546E-2</v>
      </c>
      <c r="G224" s="189">
        <v>9.6183174959998501E-3</v>
      </c>
      <c r="H224" s="232">
        <v>0.48</v>
      </c>
      <c r="I224" s="274" t="str">
        <f t="shared" si="7"/>
        <v>(120, 140]</v>
      </c>
      <c r="J224" s="160">
        <v>1</v>
      </c>
      <c r="K224" s="276">
        <v>2.5947016947249391</v>
      </c>
      <c r="L224" s="188">
        <v>4.747126106777233E-2</v>
      </c>
      <c r="M224" s="233">
        <v>47471261</v>
      </c>
      <c r="N224" s="195">
        <v>7.8775164719190105E-2</v>
      </c>
      <c r="O224" s="211">
        <v>4.1413801296543311E-2</v>
      </c>
      <c r="Q224" s="1">
        <v>4.747126106777233E-2</v>
      </c>
      <c r="R224" s="272">
        <v>2.5947016947249391</v>
      </c>
      <c r="U224" s="124" t="s">
        <v>275</v>
      </c>
      <c r="V224" s="188">
        <f>SUM(N229:N256)</f>
        <v>0.2446209524729448</v>
      </c>
      <c r="W224" s="297">
        <v>4.0879572656827117</v>
      </c>
      <c r="X224" s="303">
        <v>2500</v>
      </c>
    </row>
    <row r="225" spans="1:24" ht="15.6" x14ac:dyDescent="0.3">
      <c r="A225" s="257">
        <v>140</v>
      </c>
      <c r="B225" s="258">
        <v>160</v>
      </c>
      <c r="C225" s="160">
        <v>2074929</v>
      </c>
      <c r="D225" s="30">
        <v>314924383.00001752</v>
      </c>
      <c r="E225" s="187">
        <f t="shared" si="6"/>
        <v>0.60710392114625134</v>
      </c>
      <c r="F225" s="188">
        <v>2.074929E-2</v>
      </c>
      <c r="G225" s="189">
        <v>1.2596975320000701E-2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1.0434579572202272</v>
      </c>
      <c r="L225" s="188">
        <v>2.1651011757170088E-2</v>
      </c>
      <c r="M225" s="233">
        <v>21651011</v>
      </c>
      <c r="N225" s="195">
        <v>3.5928305293217236E-2</v>
      </c>
      <c r="O225" s="211">
        <v>2.1812215023651802E-2</v>
      </c>
      <c r="Q225" s="1">
        <v>2.1651011757170088E-2</v>
      </c>
      <c r="R225" s="272">
        <v>1.0434579572202272</v>
      </c>
      <c r="U225" s="124" t="s">
        <v>272</v>
      </c>
      <c r="V225" s="188">
        <f>SUM(N234:N256)</f>
        <v>0.12470927310034362</v>
      </c>
      <c r="W225" s="297">
        <v>8.0186498977937237</v>
      </c>
      <c r="X225" s="303">
        <v>5000</v>
      </c>
    </row>
    <row r="226" spans="1:24" ht="15.6" x14ac:dyDescent="0.3">
      <c r="A226" s="257">
        <v>160</v>
      </c>
      <c r="B226" s="258">
        <v>180</v>
      </c>
      <c r="C226" s="160">
        <v>1668205</v>
      </c>
      <c r="D226" s="30">
        <v>286436695.79998577</v>
      </c>
      <c r="E226" s="187">
        <f t="shared" si="6"/>
        <v>0.68681414046831368</v>
      </c>
      <c r="F226" s="188">
        <v>1.668205E-2</v>
      </c>
      <c r="G226" s="189">
        <v>1.1457467831999432E-2</v>
      </c>
      <c r="H226" s="232">
        <v>0.64</v>
      </c>
      <c r="I226" s="124" t="str">
        <f t="shared" si="7"/>
        <v>(160, 180]</v>
      </c>
      <c r="J226" s="160">
        <v>1</v>
      </c>
      <c r="K226" s="276">
        <v>0.74005325246975717</v>
      </c>
      <c r="L226" s="188">
        <v>1.2345605360363113E-2</v>
      </c>
      <c r="M226" s="233">
        <v>12345605</v>
      </c>
      <c r="N226" s="195">
        <v>2.0486649120887206E-2</v>
      </c>
      <c r="O226" s="211">
        <v>1.407052030703808E-2</v>
      </c>
      <c r="Q226" s="1">
        <v>1.2345605360363113E-2</v>
      </c>
      <c r="R226" s="272">
        <v>0.74005325246975717</v>
      </c>
      <c r="U226" s="124" t="s">
        <v>287</v>
      </c>
      <c r="V226" s="188">
        <f>SUM(N245:N256)</f>
        <v>5.3973277917093807E-3</v>
      </c>
      <c r="W226" s="297">
        <v>185.27687007190113</v>
      </c>
      <c r="X226" s="303">
        <v>12500</v>
      </c>
    </row>
    <row r="227" spans="1:24" ht="15.6" x14ac:dyDescent="0.3">
      <c r="A227" s="257">
        <v>180</v>
      </c>
      <c r="B227" s="258">
        <v>200</v>
      </c>
      <c r="C227" s="160">
        <v>1747165</v>
      </c>
      <c r="D227" s="30">
        <v>336589328.19999319</v>
      </c>
      <c r="E227" s="187">
        <f t="shared" si="6"/>
        <v>0.77059540043440244</v>
      </c>
      <c r="F227" s="188">
        <v>1.7471649999999998E-2</v>
      </c>
      <c r="G227" s="189">
        <v>1.3463573127999727E-2</v>
      </c>
      <c r="H227" s="232">
        <v>0.72</v>
      </c>
      <c r="I227" s="124" t="str">
        <f t="shared" si="7"/>
        <v>(180, 200]</v>
      </c>
      <c r="J227" s="160">
        <v>1</v>
      </c>
      <c r="K227" s="276">
        <v>1.0365263427330573</v>
      </c>
      <c r="L227" s="188">
        <v>1.8109825476012021E-2</v>
      </c>
      <c r="M227" s="233">
        <v>18109825</v>
      </c>
      <c r="N227" s="195">
        <v>3.0051960225170909E-2</v>
      </c>
      <c r="O227" s="211">
        <v>2.3157902323554313E-2</v>
      </c>
      <c r="Q227" s="1">
        <v>1.8109825476012021E-2</v>
      </c>
      <c r="R227" s="272">
        <v>1.0365263427330573</v>
      </c>
      <c r="U227" s="124" t="s">
        <v>288</v>
      </c>
      <c r="V227" s="188">
        <f>SUM(N246:N256)</f>
        <v>3.8002788424044312E-3</v>
      </c>
      <c r="W227" s="297">
        <v>263.13858573790901</v>
      </c>
      <c r="X227" s="303">
        <v>25000</v>
      </c>
    </row>
    <row r="228" spans="1:24" thickBot="1" x14ac:dyDescent="0.35">
      <c r="A228" s="257">
        <v>200</v>
      </c>
      <c r="B228" s="258">
        <v>250</v>
      </c>
      <c r="C228" s="160">
        <v>3469209</v>
      </c>
      <c r="D228" s="30">
        <v>783622512.80004096</v>
      </c>
      <c r="E228" s="187">
        <f t="shared" si="6"/>
        <v>0.90351721421227837</v>
      </c>
      <c r="F228" s="188">
        <v>3.4692090000000002E-2</v>
      </c>
      <c r="G228" s="189">
        <v>3.1344900512001644E-2</v>
      </c>
      <c r="H228" s="232">
        <v>0.8</v>
      </c>
      <c r="I228" s="124" t="str">
        <f t="shared" si="7"/>
        <v>(200, 250]</v>
      </c>
      <c r="J228" s="160">
        <v>1</v>
      </c>
      <c r="K228" s="276">
        <v>0.22122032523728835</v>
      </c>
      <c r="L228" s="188">
        <v>7.674595432961279E-3</v>
      </c>
      <c r="M228" s="233">
        <v>7674595</v>
      </c>
      <c r="N228" s="195">
        <v>1.2735441876677193E-2</v>
      </c>
      <c r="O228" s="211">
        <v>1.1506690966177768E-2</v>
      </c>
      <c r="Q228" s="1">
        <v>7.674595432961279E-3</v>
      </c>
      <c r="R228" s="272">
        <v>0.22122032523728835</v>
      </c>
      <c r="U228" s="125" t="s">
        <v>273</v>
      </c>
      <c r="V228" s="191">
        <f>SUM(N253)</f>
        <v>2.0020175464786349E-4</v>
      </c>
      <c r="W228" s="298">
        <v>4994.9612167930709</v>
      </c>
      <c r="X228" s="304">
        <v>100000</v>
      </c>
    </row>
    <row r="229" spans="1:24" ht="15.6" x14ac:dyDescent="0.3">
      <c r="A229" s="257">
        <v>250</v>
      </c>
      <c r="B229" s="258">
        <v>300</v>
      </c>
      <c r="C229" s="160">
        <v>3017071</v>
      </c>
      <c r="D229" s="30">
        <v>833314045.80001783</v>
      </c>
      <c r="E229" s="187">
        <f t="shared" si="6"/>
        <v>1.1047987214089663</v>
      </c>
      <c r="F229" s="188">
        <v>3.017071E-2</v>
      </c>
      <c r="G229" s="189">
        <v>3.3332561832000715E-2</v>
      </c>
      <c r="H229" s="232">
        <v>1</v>
      </c>
      <c r="I229" s="275" t="str">
        <f t="shared" si="7"/>
        <v>(250, 300]</v>
      </c>
      <c r="J229" s="160">
        <v>1</v>
      </c>
      <c r="K229" s="276">
        <v>1.4755588121061511</v>
      </c>
      <c r="L229" s="188">
        <v>4.4518657007999174E-2</v>
      </c>
      <c r="M229" s="233">
        <v>44518657</v>
      </c>
      <c r="N229" s="195">
        <v>7.3875529412461269E-2</v>
      </c>
      <c r="O229" s="211">
        <v>8.1617590438297694E-2</v>
      </c>
      <c r="P229" s="1" cm="1">
        <f t="array" ref="P229:P256">2*K229:K256</f>
        <v>2.9511176242123023</v>
      </c>
      <c r="Q229" s="1">
        <v>1.1129664251999793E-2</v>
      </c>
      <c r="R229" s="272">
        <v>0.36888970302653779</v>
      </c>
    </row>
    <row r="230" spans="1:24" ht="15.6" x14ac:dyDescent="0.3">
      <c r="A230" s="257">
        <v>300</v>
      </c>
      <c r="B230" s="258">
        <v>350</v>
      </c>
      <c r="C230" s="160">
        <v>2404948</v>
      </c>
      <c r="D230" s="30">
        <v>781820966.20000577</v>
      </c>
      <c r="E230" s="187">
        <f t="shared" si="6"/>
        <v>1.3003540470729609</v>
      </c>
      <c r="F230" s="188">
        <v>2.4049480000000002E-2</v>
      </c>
      <c r="G230" s="189">
        <v>3.1272838648000234E-2</v>
      </c>
      <c r="H230" s="232">
        <v>1.2</v>
      </c>
      <c r="I230" s="124" t="str">
        <f t="shared" si="7"/>
        <v>(300, 350]</v>
      </c>
      <c r="J230" s="160">
        <v>1</v>
      </c>
      <c r="K230" s="276">
        <v>0.27816411343595132</v>
      </c>
      <c r="L230" s="188">
        <v>6.6897022827956433E-3</v>
      </c>
      <c r="M230" s="233">
        <v>6689702</v>
      </c>
      <c r="N230" s="195">
        <v>1.1101082336369694E-2</v>
      </c>
      <c r="O230" s="211">
        <v>1.4435337342988491E-2</v>
      </c>
      <c r="P230" s="1">
        <v>0.55632822687190264</v>
      </c>
      <c r="Q230" s="1">
        <v>1.6724255706989108E-3</v>
      </c>
      <c r="R230" s="272">
        <v>6.954102835898783E-2</v>
      </c>
    </row>
    <row r="231" spans="1:24" ht="15.6" x14ac:dyDescent="0.3">
      <c r="A231" s="257">
        <v>350</v>
      </c>
      <c r="B231" s="258">
        <v>400</v>
      </c>
      <c r="C231" s="160">
        <v>2297534</v>
      </c>
      <c r="D231" s="30">
        <v>865200651.79998469</v>
      </c>
      <c r="E231" s="187">
        <f t="shared" si="6"/>
        <v>1.5063118139709528</v>
      </c>
      <c r="F231" s="188">
        <v>2.297534E-2</v>
      </c>
      <c r="G231" s="189">
        <v>3.4608026071999393E-2</v>
      </c>
      <c r="H231" s="232">
        <v>1.4</v>
      </c>
      <c r="I231" s="124" t="str">
        <f t="shared" si="7"/>
        <v>(350, 400]</v>
      </c>
      <c r="J231" s="160">
        <v>1</v>
      </c>
      <c r="K231" s="276">
        <v>0.33347478219297505</v>
      </c>
      <c r="L231" s="188">
        <v>7.6616965023095472E-3</v>
      </c>
      <c r="M231" s="233">
        <v>7661696</v>
      </c>
      <c r="N231" s="195">
        <v>1.2714036908106571E-2</v>
      </c>
      <c r="O231" s="211">
        <v>1.9151303997943653E-2</v>
      </c>
      <c r="P231" s="1">
        <v>0.6669495643859501</v>
      </c>
      <c r="Q231" s="1">
        <v>1.915424125577387E-3</v>
      </c>
      <c r="R231" s="272">
        <v>8.3368695548243762E-2</v>
      </c>
    </row>
    <row r="232" spans="1:24" ht="15.6" x14ac:dyDescent="0.3">
      <c r="A232" s="257">
        <v>400</v>
      </c>
      <c r="B232" s="258">
        <v>450</v>
      </c>
      <c r="C232" s="160">
        <v>1834931</v>
      </c>
      <c r="D232" s="30">
        <v>781318106.79999387</v>
      </c>
      <c r="E232" s="187">
        <f t="shared" si="6"/>
        <v>1.7032097812942153</v>
      </c>
      <c r="F232" s="188">
        <v>1.8349310000000001E-2</v>
      </c>
      <c r="G232" s="189">
        <v>3.1252724271999759E-2</v>
      </c>
      <c r="H232" s="232">
        <v>1.6</v>
      </c>
      <c r="I232" s="124" t="str">
        <f t="shared" si="7"/>
        <v>(400, 450]</v>
      </c>
      <c r="J232" s="160">
        <v>1</v>
      </c>
      <c r="K232" s="276">
        <v>0.3252165802983551</v>
      </c>
      <c r="L232" s="188">
        <v>5.9674998490344107E-3</v>
      </c>
      <c r="M232" s="233">
        <v>5967499</v>
      </c>
      <c r="N232" s="195">
        <v>9.9026380758371318E-3</v>
      </c>
      <c r="O232" s="211">
        <v>1.686627003138233E-2</v>
      </c>
      <c r="P232" s="1">
        <v>0.65043316059671019</v>
      </c>
      <c r="Q232" s="1">
        <v>1.4918749622586027E-3</v>
      </c>
      <c r="R232" s="272">
        <v>8.1304145074588774E-2</v>
      </c>
    </row>
    <row r="233" spans="1:24" ht="15.6" x14ac:dyDescent="0.3">
      <c r="A233" s="257">
        <v>450</v>
      </c>
      <c r="B233" s="258">
        <v>500</v>
      </c>
      <c r="C233" s="160">
        <v>1743465</v>
      </c>
      <c r="D233" s="30">
        <v>830907635.39999986</v>
      </c>
      <c r="E233" s="187">
        <f t="shared" si="6"/>
        <v>1.9063362565924751</v>
      </c>
      <c r="F233" s="188">
        <v>1.7434649999999999E-2</v>
      </c>
      <c r="G233" s="189">
        <v>3.3236305415999992E-2</v>
      </c>
      <c r="H233" s="232">
        <v>1.8</v>
      </c>
      <c r="I233" s="124" t="str">
        <f t="shared" si="7"/>
        <v>(450, 500]</v>
      </c>
      <c r="J233" s="160">
        <v>1</v>
      </c>
      <c r="K233" s="276">
        <v>0.42577706654440939</v>
      </c>
      <c r="L233" s="188">
        <v>7.4232741332284869E-3</v>
      </c>
      <c r="M233" s="233">
        <v>7423274</v>
      </c>
      <c r="N233" s="195">
        <v>1.2318392639826467E-2</v>
      </c>
      <c r="O233" s="211">
        <v>2.3482998512243083E-2</v>
      </c>
      <c r="P233" s="1">
        <v>0.85155413308881878</v>
      </c>
      <c r="Q233" s="1">
        <v>1.8558185333071217E-3</v>
      </c>
      <c r="R233" s="272">
        <v>0.10644426663610235</v>
      </c>
    </row>
    <row r="234" spans="1:24" ht="15.6" x14ac:dyDescent="0.3">
      <c r="A234" s="257">
        <v>500</v>
      </c>
      <c r="B234" s="258">
        <v>550</v>
      </c>
      <c r="C234" s="160">
        <v>1455019</v>
      </c>
      <c r="D234" s="30">
        <v>764396994.99999642</v>
      </c>
      <c r="E234" s="187">
        <f t="shared" si="6"/>
        <v>2.1014075967392767</v>
      </c>
      <c r="F234" s="188">
        <v>1.4550189999999999E-2</v>
      </c>
      <c r="G234" s="189">
        <v>3.0575879799999855E-2</v>
      </c>
      <c r="H234" s="232">
        <v>2</v>
      </c>
      <c r="I234" s="275" t="str">
        <f t="shared" si="7"/>
        <v>(500, 550]</v>
      </c>
      <c r="J234" s="160">
        <v>1</v>
      </c>
      <c r="K234" s="276">
        <v>1.4706347695450555</v>
      </c>
      <c r="L234" s="188">
        <v>2.1398015317486769E-2</v>
      </c>
      <c r="M234" s="233">
        <v>21398015</v>
      </c>
      <c r="N234" s="195">
        <v>3.550847651358368E-2</v>
      </c>
      <c r="O234" s="211">
        <v>7.4617782294282925E-2</v>
      </c>
      <c r="P234" s="1">
        <v>2.9412695390901109</v>
      </c>
      <c r="Q234" s="1">
        <v>5.3495038293716922E-3</v>
      </c>
      <c r="R234" s="272">
        <v>0.36765869238626386</v>
      </c>
    </row>
    <row r="235" spans="1:24" ht="15.6" x14ac:dyDescent="0.3">
      <c r="A235" s="257">
        <v>550</v>
      </c>
      <c r="B235" s="258">
        <v>600</v>
      </c>
      <c r="C235" s="160">
        <v>1424067</v>
      </c>
      <c r="D235" s="30">
        <v>820759390.99999714</v>
      </c>
      <c r="E235" s="187">
        <f t="shared" si="6"/>
        <v>2.3053954371528786</v>
      </c>
      <c r="F235" s="188">
        <v>1.424067E-2</v>
      </c>
      <c r="G235" s="189">
        <v>3.2830375639999888E-2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0.7913102574159756</v>
      </c>
      <c r="L235" s="188">
        <v>1.1268788243475962E-2</v>
      </c>
      <c r="M235" s="233">
        <v>11268788</v>
      </c>
      <c r="N235" s="195">
        <v>1.8699748272657701E-2</v>
      </c>
      <c r="O235" s="211">
        <v>4.3110314343692488E-2</v>
      </c>
      <c r="P235" s="1">
        <v>1.5826205148319512</v>
      </c>
      <c r="Q235" s="1">
        <v>2.8171970608689904E-3</v>
      </c>
      <c r="R235" s="272">
        <v>0.1978275643539939</v>
      </c>
    </row>
    <row r="236" spans="1:24" ht="15.6" x14ac:dyDescent="0.3">
      <c r="A236" s="257">
        <v>600</v>
      </c>
      <c r="B236" s="258">
        <v>650</v>
      </c>
      <c r="C236" s="160">
        <v>1152860</v>
      </c>
      <c r="D236" s="30">
        <v>721511146.39999747</v>
      </c>
      <c r="E236" s="187">
        <f t="shared" si="6"/>
        <v>2.5033781947504381</v>
      </c>
      <c r="F236" s="188">
        <v>1.15286E-2</v>
      </c>
      <c r="G236" s="189">
        <v>2.8860445855999901E-2</v>
      </c>
      <c r="H236" s="232">
        <v>2.4</v>
      </c>
      <c r="I236" s="124" t="str">
        <f t="shared" si="7"/>
        <v>(600, 650]</v>
      </c>
      <c r="J236" s="160">
        <v>1</v>
      </c>
      <c r="K236" s="276">
        <v>0.64569766402299278</v>
      </c>
      <c r="L236" s="188">
        <v>7.4439900894554744E-3</v>
      </c>
      <c r="M236" s="233">
        <v>7443990</v>
      </c>
      <c r="N236" s="195">
        <v>1.2352769361193165E-2</v>
      </c>
      <c r="O236" s="211">
        <v>3.0923653463592268E-2</v>
      </c>
      <c r="P236" s="1">
        <v>1.2913953280459856</v>
      </c>
      <c r="Q236" s="1">
        <v>1.8609975223638686E-3</v>
      </c>
      <c r="R236" s="272">
        <v>0.16142441600574819</v>
      </c>
    </row>
    <row r="237" spans="1:24" ht="15.6" x14ac:dyDescent="0.3">
      <c r="A237" s="257">
        <v>650</v>
      </c>
      <c r="B237" s="258">
        <v>700</v>
      </c>
      <c r="C237" s="160">
        <v>1052234</v>
      </c>
      <c r="D237" s="30">
        <v>710614398.79999399</v>
      </c>
      <c r="E237" s="187">
        <f t="shared" si="6"/>
        <v>2.7013550172299849</v>
      </c>
      <c r="F237" s="188">
        <v>1.052234E-2</v>
      </c>
      <c r="G237" s="189">
        <v>2.8424575951999761E-2</v>
      </c>
      <c r="H237" s="232">
        <v>2.6</v>
      </c>
      <c r="I237" s="124" t="str">
        <f t="shared" si="7"/>
        <v>(650, 700]</v>
      </c>
      <c r="J237" s="160">
        <v>1</v>
      </c>
      <c r="K237" s="276">
        <v>0.3331078571432054</v>
      </c>
      <c r="L237" s="188">
        <v>3.505074129532236E-3</v>
      </c>
      <c r="M237" s="233">
        <v>3505074</v>
      </c>
      <c r="N237" s="195">
        <v>5.8164197850769242E-3</v>
      </c>
      <c r="O237" s="211">
        <v>1.5712214768733301E-2</v>
      </c>
      <c r="P237" s="1">
        <v>0.6662157142864108</v>
      </c>
      <c r="Q237" s="1">
        <v>8.762685323830589E-4</v>
      </c>
      <c r="R237" s="272">
        <v>8.327696428580135E-2</v>
      </c>
    </row>
    <row r="238" spans="1:24" ht="15.6" x14ac:dyDescent="0.3">
      <c r="A238" s="257">
        <v>700</v>
      </c>
      <c r="B238" s="258">
        <v>750</v>
      </c>
      <c r="C238" s="160">
        <v>947593</v>
      </c>
      <c r="D238" s="30">
        <v>687119571.39999485</v>
      </c>
      <c r="E238" s="187">
        <f t="shared" si="6"/>
        <v>2.9004839478552285</v>
      </c>
      <c r="F238" s="188">
        <v>9.4759300000000005E-3</v>
      </c>
      <c r="G238" s="189">
        <v>2.7484782855999795E-2</v>
      </c>
      <c r="H238" s="232">
        <v>2.8</v>
      </c>
      <c r="I238" s="124" t="str">
        <f t="shared" si="7"/>
        <v>(700, 750]</v>
      </c>
      <c r="J238" s="160">
        <v>1</v>
      </c>
      <c r="K238" s="276">
        <v>0.31285645273751522</v>
      </c>
      <c r="L238" s="188">
        <v>2.9646058461890029E-3</v>
      </c>
      <c r="M238" s="233">
        <v>2964605</v>
      </c>
      <c r="N238" s="195">
        <v>4.9195501084821529E-3</v>
      </c>
      <c r="O238" s="211">
        <v>1.4269076120321932E-2</v>
      </c>
      <c r="P238" s="1">
        <v>0.62571290547503045</v>
      </c>
      <c r="Q238" s="1">
        <v>7.4115146154725073E-4</v>
      </c>
      <c r="R238" s="272">
        <v>7.8214113184378806E-2</v>
      </c>
    </row>
    <row r="239" spans="1:24" ht="15.6" x14ac:dyDescent="0.3">
      <c r="A239" s="257">
        <v>750</v>
      </c>
      <c r="B239" s="258">
        <v>800</v>
      </c>
      <c r="C239" s="160">
        <v>961798</v>
      </c>
      <c r="D239" s="30">
        <v>748574591.99999762</v>
      </c>
      <c r="E239" s="187">
        <f t="shared" si="6"/>
        <v>3.1132299796838736</v>
      </c>
      <c r="F239" s="188">
        <v>9.6179799999999999E-3</v>
      </c>
      <c r="G239" s="189">
        <v>2.9942983679999903E-2</v>
      </c>
      <c r="H239" s="232">
        <v>3</v>
      </c>
      <c r="I239" s="124" t="str">
        <f t="shared" si="7"/>
        <v>(750, 800]</v>
      </c>
      <c r="J239" s="160">
        <v>1</v>
      </c>
      <c r="K239" s="276">
        <v>0.50696574790008064</v>
      </c>
      <c r="L239" s="188">
        <v>4.875986423988018E-3</v>
      </c>
      <c r="M239" s="233">
        <v>4875986</v>
      </c>
      <c r="N239" s="195">
        <v>8.0913502659738686E-3</v>
      </c>
      <c r="O239" s="211">
        <v>2.5190234224152931E-2</v>
      </c>
      <c r="P239" s="1">
        <v>1.0139314958001613</v>
      </c>
      <c r="Q239" s="1">
        <v>1.2189966059970045E-3</v>
      </c>
      <c r="R239" s="272">
        <v>0.12674143697502016</v>
      </c>
    </row>
    <row r="240" spans="1:24" ht="15.6" x14ac:dyDescent="0.3">
      <c r="A240" s="257">
        <v>800</v>
      </c>
      <c r="B240" s="258">
        <v>850</v>
      </c>
      <c r="C240" s="160">
        <v>777660</v>
      </c>
      <c r="D240" s="30">
        <v>642172326.79999638</v>
      </c>
      <c r="E240" s="187">
        <f t="shared" si="6"/>
        <v>3.3031007216521173</v>
      </c>
      <c r="F240" s="188">
        <v>7.7765999999999998E-3</v>
      </c>
      <c r="G240" s="189">
        <v>2.5686893071999856E-2</v>
      </c>
      <c r="H240" s="232">
        <v>3.2</v>
      </c>
      <c r="I240" s="124" t="str">
        <f t="shared" si="7"/>
        <v>(800, 850]</v>
      </c>
      <c r="J240" s="160">
        <v>1</v>
      </c>
      <c r="K240" s="276">
        <v>0.35176903596586545</v>
      </c>
      <c r="L240" s="188">
        <v>2.7355670850921494E-3</v>
      </c>
      <c r="M240" s="233">
        <v>2735567</v>
      </c>
      <c r="N240" s="195">
        <v>4.539477917500037E-3</v>
      </c>
      <c r="O240" s="211">
        <v>1.4994352785218223E-2</v>
      </c>
      <c r="P240" s="1">
        <v>0.7035380719317309</v>
      </c>
      <c r="Q240" s="1">
        <v>6.8389177127303735E-4</v>
      </c>
      <c r="R240" s="272">
        <v>8.7942258991466363E-2</v>
      </c>
    </row>
    <row r="241" spans="1:19" ht="15.6" x14ac:dyDescent="0.3">
      <c r="A241" s="257">
        <v>850</v>
      </c>
      <c r="B241" s="258">
        <v>900</v>
      </c>
      <c r="C241" s="160">
        <v>749319</v>
      </c>
      <c r="D241" s="30">
        <v>656319274.99999499</v>
      </c>
      <c r="E241" s="187">
        <f t="shared" si="6"/>
        <v>3.5035506906937899</v>
      </c>
      <c r="F241" s="188">
        <v>7.4931900000000003E-3</v>
      </c>
      <c r="G241" s="189">
        <v>2.62527709999998E-2</v>
      </c>
      <c r="H241" s="232">
        <v>3.4</v>
      </c>
      <c r="I241" s="124" t="str">
        <f t="shared" si="7"/>
        <v>(850, 900]</v>
      </c>
      <c r="J241" s="160">
        <v>1</v>
      </c>
      <c r="K241" s="276">
        <v>0.35483923420193092</v>
      </c>
      <c r="L241" s="188">
        <v>2.658877801329567E-3</v>
      </c>
      <c r="M241" s="233">
        <v>2658877</v>
      </c>
      <c r="N241" s="195">
        <v>4.4122163437593544E-3</v>
      </c>
      <c r="O241" s="211">
        <v>1.5458423618668515E-2</v>
      </c>
      <c r="P241" s="1">
        <v>0.70967846840386184</v>
      </c>
      <c r="Q241" s="1">
        <v>6.6471945033239174E-4</v>
      </c>
      <c r="R241" s="272">
        <v>8.870980855048273E-2</v>
      </c>
    </row>
    <row r="242" spans="1:19" ht="15.6" x14ac:dyDescent="0.3">
      <c r="A242" s="257">
        <v>900</v>
      </c>
      <c r="B242" s="258">
        <v>950</v>
      </c>
      <c r="C242" s="160">
        <v>664325</v>
      </c>
      <c r="D242" s="30">
        <v>614612265.79999816</v>
      </c>
      <c r="E242" s="187">
        <f t="shared" si="6"/>
        <v>3.7006722059232948</v>
      </c>
      <c r="F242" s="188">
        <v>6.6432499999999998E-3</v>
      </c>
      <c r="G242" s="189">
        <v>2.4584490631999929E-2</v>
      </c>
      <c r="H242" s="232">
        <v>3.6</v>
      </c>
      <c r="I242" s="124" t="str">
        <f t="shared" si="7"/>
        <v>(900, 950]</v>
      </c>
      <c r="J242" s="160">
        <v>1</v>
      </c>
      <c r="K242" s="276">
        <v>0.30756128426652141</v>
      </c>
      <c r="L242" s="188">
        <v>2.0432065017035681E-3</v>
      </c>
      <c r="M242" s="233">
        <v>2043206</v>
      </c>
      <c r="N242" s="195">
        <v>3.390554323072175E-3</v>
      </c>
      <c r="O242" s="211">
        <v>1.2547330146066269E-2</v>
      </c>
      <c r="P242" s="1">
        <v>0.61512256853304281</v>
      </c>
      <c r="Q242" s="1">
        <v>5.1080162542589203E-4</v>
      </c>
      <c r="R242" s="272">
        <v>7.6890321066630352E-2</v>
      </c>
    </row>
    <row r="243" spans="1:19" ht="15.6" x14ac:dyDescent="0.3">
      <c r="A243" s="257">
        <v>950</v>
      </c>
      <c r="B243" s="258">
        <v>1000</v>
      </c>
      <c r="C243" s="160">
        <v>707435</v>
      </c>
      <c r="D243" s="30">
        <v>692206913.99999499</v>
      </c>
      <c r="E243" s="187">
        <f t="shared" si="6"/>
        <v>3.9138969036024229</v>
      </c>
      <c r="F243" s="188">
        <v>7.0743500000000001E-3</v>
      </c>
      <c r="G243" s="189">
        <v>2.7688276559999801E-2</v>
      </c>
      <c r="H243" s="232">
        <v>3.8</v>
      </c>
      <c r="I243" s="124" t="str">
        <f t="shared" si="7"/>
        <v>(950, 1000]</v>
      </c>
      <c r="J243" s="160">
        <v>1</v>
      </c>
      <c r="K243" s="276">
        <v>0.52725618109115813</v>
      </c>
      <c r="L243" s="188">
        <v>3.7299947647022346E-3</v>
      </c>
      <c r="M243" s="233">
        <v>3729994</v>
      </c>
      <c r="N243" s="195">
        <v>6.1896584493845823E-3</v>
      </c>
      <c r="O243" s="211">
        <v>2.4225685039402891E-2</v>
      </c>
      <c r="P243" s="1">
        <v>1.0545123621823163</v>
      </c>
      <c r="Q243" s="1">
        <v>9.3249869117555866E-4</v>
      </c>
      <c r="R243" s="272">
        <v>0.13181404527278953</v>
      </c>
    </row>
    <row r="244" spans="1:19" ht="15.6" x14ac:dyDescent="0.3">
      <c r="A244" s="257">
        <v>1000</v>
      </c>
      <c r="B244" s="258">
        <v>2000</v>
      </c>
      <c r="C244" s="160">
        <v>6776726</v>
      </c>
      <c r="D244" s="30">
        <v>9522490079.9991722</v>
      </c>
      <c r="E244" s="187">
        <f t="shared" si="6"/>
        <v>5.6207024335935509</v>
      </c>
      <c r="F244" s="188">
        <v>6.7767259999999996E-2</v>
      </c>
      <c r="G244" s="189">
        <v>0.38089960319996685</v>
      </c>
      <c r="H244" s="232">
        <v>4</v>
      </c>
      <c r="I244" s="275" t="str">
        <f t="shared" si="7"/>
        <v>(1000, 2000]</v>
      </c>
      <c r="J244" s="160">
        <v>1</v>
      </c>
      <c r="K244" s="276">
        <v>0.13687017864208509</v>
      </c>
      <c r="L244" s="188">
        <v>9.2753169822846274E-3</v>
      </c>
      <c r="M244" s="233">
        <v>9275316</v>
      </c>
      <c r="N244" s="195">
        <v>1.539172396795062E-2</v>
      </c>
      <c r="O244" s="211">
        <v>8.6512300363860234E-2</v>
      </c>
      <c r="P244" s="1">
        <v>0.27374035728417018</v>
      </c>
      <c r="Q244" s="1">
        <v>2.3188292455711568E-3</v>
      </c>
      <c r="R244" s="272">
        <v>3.4217544660521272E-2</v>
      </c>
    </row>
    <row r="245" spans="1:19" ht="15.6" x14ac:dyDescent="0.3">
      <c r="A245" s="257">
        <v>2000</v>
      </c>
      <c r="B245" s="258">
        <v>3000</v>
      </c>
      <c r="C245" s="160">
        <v>2434947</v>
      </c>
      <c r="D245" s="30">
        <v>5936244713.9997463</v>
      </c>
      <c r="E245" s="187">
        <f t="shared" si="6"/>
        <v>9.7517436133102624</v>
      </c>
      <c r="F245" s="188">
        <v>2.4349470000000002E-2</v>
      </c>
      <c r="G245" s="189">
        <v>0.23744978855998986</v>
      </c>
      <c r="H245" s="232">
        <v>8</v>
      </c>
      <c r="I245" s="124" t="str">
        <f t="shared" si="7"/>
        <v>(2000, 3000]</v>
      </c>
      <c r="J245" s="160">
        <v>1</v>
      </c>
      <c r="K245" s="276">
        <v>3.9524859593085195E-2</v>
      </c>
      <c r="L245" s="188">
        <v>9.6240938291604025E-4</v>
      </c>
      <c r="M245" s="233">
        <v>962409</v>
      </c>
      <c r="N245" s="195">
        <v>1.5970489493049498E-3</v>
      </c>
      <c r="O245" s="211">
        <v>1.5574011891528409E-2</v>
      </c>
      <c r="P245" s="1">
        <v>7.9049719186170389E-2</v>
      </c>
      <c r="Q245" s="1">
        <v>2.4060234572901006E-4</v>
      </c>
      <c r="R245" s="272">
        <v>9.8812148982712986E-3</v>
      </c>
    </row>
    <row r="246" spans="1:19" ht="15.6" x14ac:dyDescent="0.3">
      <c r="A246" s="257">
        <v>3000</v>
      </c>
      <c r="B246" s="258">
        <v>4000</v>
      </c>
      <c r="C246" s="160">
        <v>1162298</v>
      </c>
      <c r="D246" s="30">
        <v>4019809478.8000169</v>
      </c>
      <c r="E246" s="187">
        <f t="shared" si="6"/>
        <v>13.83400635224363</v>
      </c>
      <c r="F246" s="188">
        <v>1.162298E-2</v>
      </c>
      <c r="G246" s="189">
        <v>0.16079237915200068</v>
      </c>
      <c r="H246" s="232">
        <v>12</v>
      </c>
      <c r="I246" s="124" t="str">
        <f t="shared" si="7"/>
        <v>(3000, 4000]</v>
      </c>
      <c r="J246" s="160">
        <v>1</v>
      </c>
      <c r="K246" s="276">
        <v>6.6968341545855931E-2</v>
      </c>
      <c r="L246" s="188">
        <v>7.7837169442065252E-4</v>
      </c>
      <c r="M246" s="233">
        <v>778371</v>
      </c>
      <c r="N246" s="195">
        <v>1.2916510420407986E-3</v>
      </c>
      <c r="O246" s="211">
        <v>1.786870872047451E-2</v>
      </c>
      <c r="P246" s="1">
        <v>0.13393668309171186</v>
      </c>
      <c r="Q246" s="1">
        <v>1.9459292360516313E-4</v>
      </c>
      <c r="R246" s="272">
        <v>1.6742085386463983E-2</v>
      </c>
    </row>
    <row r="247" spans="1:19" ht="15.6" x14ac:dyDescent="0.3">
      <c r="A247" s="257">
        <v>4000</v>
      </c>
      <c r="B247" s="258">
        <v>5000</v>
      </c>
      <c r="C247" s="160">
        <v>676302</v>
      </c>
      <c r="D247" s="30">
        <v>3019851371.1999927</v>
      </c>
      <c r="E247" s="187">
        <f t="shared" si="6"/>
        <v>17.860963718575384</v>
      </c>
      <c r="F247" s="188">
        <v>6.7630199999999998E-3</v>
      </c>
      <c r="G247" s="189">
        <v>0.1207940548479997</v>
      </c>
      <c r="H247" s="232">
        <v>16</v>
      </c>
      <c r="I247" s="124" t="str">
        <f t="shared" si="7"/>
        <v>(4000, 5000]</v>
      </c>
      <c r="J247" s="160">
        <v>1</v>
      </c>
      <c r="K247" s="276">
        <v>9.1509990624217788E-2</v>
      </c>
      <c r="L247" s="188">
        <v>6.1888389679139741E-4</v>
      </c>
      <c r="M247" s="233">
        <v>618883</v>
      </c>
      <c r="N247" s="195">
        <v>1.026992105116115E-3</v>
      </c>
      <c r="O247" s="211">
        <v>1.8343068728742289E-2</v>
      </c>
      <c r="P247" s="1">
        <v>0.18301998124843558</v>
      </c>
      <c r="Q247" s="1">
        <v>1.5472097419784935E-4</v>
      </c>
      <c r="R247" s="272">
        <v>2.2877497656054447E-2</v>
      </c>
    </row>
    <row r="248" spans="1:19" ht="15.6" x14ac:dyDescent="0.3">
      <c r="A248" s="257">
        <v>5000</v>
      </c>
      <c r="B248" s="258">
        <v>6000</v>
      </c>
      <c r="C248" s="160">
        <v>416443</v>
      </c>
      <c r="D248" s="30">
        <v>2277477620.0000114</v>
      </c>
      <c r="E248" s="187">
        <f t="shared" si="6"/>
        <v>21.87552793539583</v>
      </c>
      <c r="F248" s="188">
        <v>4.1644300000000002E-3</v>
      </c>
      <c r="G248" s="189">
        <v>9.1099104800000455E-2</v>
      </c>
      <c r="H248" s="232">
        <v>20</v>
      </c>
      <c r="I248" s="124" t="str">
        <f t="shared" si="7"/>
        <v>(5000, 6000]</v>
      </c>
      <c r="J248" s="160">
        <v>1</v>
      </c>
      <c r="K248" s="276">
        <v>4.9312654007060426E-2</v>
      </c>
      <c r="L248" s="188">
        <v>2.0535909572662266E-4</v>
      </c>
      <c r="M248" s="233">
        <v>205359</v>
      </c>
      <c r="N248" s="195">
        <v>3.4077858288972273E-4</v>
      </c>
      <c r="O248" s="211">
        <v>7.4547114097887326E-3</v>
      </c>
      <c r="P248" s="1">
        <v>9.8625308014120852E-2</v>
      </c>
      <c r="Q248" s="1">
        <v>5.1339773931655664E-5</v>
      </c>
      <c r="R248" s="272">
        <v>1.2328163501765107E-2</v>
      </c>
    </row>
    <row r="249" spans="1:19" ht="15.6" x14ac:dyDescent="0.3">
      <c r="A249" s="257">
        <v>6000</v>
      </c>
      <c r="B249" s="258">
        <v>7000</v>
      </c>
      <c r="C249" s="160">
        <v>265365</v>
      </c>
      <c r="D249" s="30">
        <v>1716492367.0000064</v>
      </c>
      <c r="E249" s="187">
        <f t="shared" si="6"/>
        <v>25.873681412394344</v>
      </c>
      <c r="F249" s="188">
        <v>2.65365E-3</v>
      </c>
      <c r="G249" s="189">
        <v>6.8659694680000258E-2</v>
      </c>
      <c r="H249" s="232">
        <v>24</v>
      </c>
      <c r="I249" s="124" t="str">
        <f t="shared" si="7"/>
        <v>(6000, 7000]</v>
      </c>
      <c r="J249" s="160">
        <v>1</v>
      </c>
      <c r="K249" s="276">
        <v>7.3140878925947464E-2</v>
      </c>
      <c r="L249" s="188">
        <v>1.940902933618405E-4</v>
      </c>
      <c r="M249" s="233">
        <v>194090</v>
      </c>
      <c r="N249" s="195">
        <v>3.2207848281821727E-4</v>
      </c>
      <c r="O249" s="211">
        <v>8.3333560542258791E-3</v>
      </c>
      <c r="P249" s="1">
        <v>0.14628175785189493</v>
      </c>
      <c r="Q249" s="1">
        <v>4.8522573340460124E-5</v>
      </c>
      <c r="R249" s="272">
        <v>1.8285219731486866E-2</v>
      </c>
    </row>
    <row r="250" spans="1:19" ht="15.6" x14ac:dyDescent="0.3">
      <c r="A250" s="257">
        <v>7000</v>
      </c>
      <c r="B250" s="258">
        <v>8000</v>
      </c>
      <c r="C250" s="160">
        <v>174776</v>
      </c>
      <c r="D250" s="30">
        <v>1305679208.8000031</v>
      </c>
      <c r="E250" s="187">
        <f t="shared" si="6"/>
        <v>29.882345603515429</v>
      </c>
      <c r="F250" s="188">
        <v>1.7477599999999999E-3</v>
      </c>
      <c r="G250" s="189">
        <v>5.2227168352000121E-2</v>
      </c>
      <c r="H250" s="232">
        <v>28</v>
      </c>
      <c r="I250" s="124" t="str">
        <f t="shared" si="7"/>
        <v>(7000, 8000]</v>
      </c>
      <c r="J250" s="160">
        <v>1</v>
      </c>
      <c r="K250" s="276">
        <v>0.10351761138459514</v>
      </c>
      <c r="L250" s="188">
        <v>1.8092394047353999E-4</v>
      </c>
      <c r="M250" s="233">
        <v>180923</v>
      </c>
      <c r="N250" s="195">
        <v>3.002287874023408E-4</v>
      </c>
      <c r="O250" s="211">
        <v>8.9715403852811074E-3</v>
      </c>
      <c r="P250" s="1">
        <v>0.20703522276919029</v>
      </c>
      <c r="Q250" s="1">
        <v>4.5230985118384998E-5</v>
      </c>
      <c r="R250" s="272">
        <v>2.5879402846148786E-2</v>
      </c>
    </row>
    <row r="251" spans="1:19" ht="15.6" x14ac:dyDescent="0.3">
      <c r="A251" s="257">
        <v>8000</v>
      </c>
      <c r="B251" s="258">
        <v>9000</v>
      </c>
      <c r="C251" s="160">
        <v>117151</v>
      </c>
      <c r="D251" s="30">
        <v>992176702.5999999</v>
      </c>
      <c r="E251" s="187">
        <f t="shared" si="6"/>
        <v>33.876849624843153</v>
      </c>
      <c r="F251" s="188">
        <v>1.17151E-3</v>
      </c>
      <c r="G251" s="189">
        <v>3.9687068104000002E-2</v>
      </c>
      <c r="H251" s="232">
        <v>32</v>
      </c>
      <c r="I251" s="124" t="str">
        <f t="shared" si="7"/>
        <v>(8000, 9000]</v>
      </c>
      <c r="J251" s="160">
        <v>1</v>
      </c>
      <c r="K251" s="276">
        <v>0.12440415021860174</v>
      </c>
      <c r="L251" s="188">
        <v>1.4574070602259412E-4</v>
      </c>
      <c r="M251" s="233">
        <v>145740</v>
      </c>
      <c r="N251" s="195">
        <v>2.4184511353458183E-4</v>
      </c>
      <c r="O251" s="211">
        <v>8.1929505437141475E-3</v>
      </c>
      <c r="P251" s="198">
        <v>0.24880830043720348</v>
      </c>
      <c r="Q251" s="198">
        <v>3.6435176505648529E-5</v>
      </c>
      <c r="R251" s="272">
        <v>3.1101037554650435E-2</v>
      </c>
      <c r="S251" s="182"/>
    </row>
    <row r="252" spans="1:19" ht="15.6" x14ac:dyDescent="0.3">
      <c r="A252" s="257">
        <v>9000</v>
      </c>
      <c r="B252" s="258">
        <v>10000</v>
      </c>
      <c r="C252" s="160">
        <v>80616</v>
      </c>
      <c r="D252" s="30">
        <v>763643690.40000033</v>
      </c>
      <c r="E252" s="187">
        <f t="shared" si="6"/>
        <v>37.890428222685337</v>
      </c>
      <c r="F252" s="188">
        <v>8.0615999999999999E-4</v>
      </c>
      <c r="G252" s="189">
        <v>3.054574761600001E-2</v>
      </c>
      <c r="H252" s="232">
        <v>36</v>
      </c>
      <c r="I252" s="124" t="str">
        <f t="shared" si="7"/>
        <v>(9000, 10000]</v>
      </c>
      <c r="J252" s="160">
        <v>1</v>
      </c>
      <c r="K252" s="276">
        <v>5.7187821879955782E-2</v>
      </c>
      <c r="L252" s="188">
        <v>4.6102534486745153E-5</v>
      </c>
      <c r="M252" s="233">
        <v>46102</v>
      </c>
      <c r="N252" s="195">
        <v>7.6502973954791349E-5</v>
      </c>
      <c r="O252" s="211">
        <v>2.8987304434559876E-3</v>
      </c>
      <c r="P252" s="198">
        <v>0.11437564375991156</v>
      </c>
      <c r="Q252" s="198">
        <v>1.1525633621686288E-5</v>
      </c>
      <c r="R252" s="272">
        <v>1.4296955469988945E-2</v>
      </c>
      <c r="S252" s="182"/>
    </row>
    <row r="253" spans="1:19" ht="15.6" x14ac:dyDescent="0.3">
      <c r="A253" s="257">
        <v>10000</v>
      </c>
      <c r="B253" s="258">
        <v>20000</v>
      </c>
      <c r="C253" s="160">
        <v>180537</v>
      </c>
      <c r="D253" s="30">
        <v>2277134633.8000031</v>
      </c>
      <c r="E253" s="187">
        <f t="shared" si="6"/>
        <v>50.452475310878171</v>
      </c>
      <c r="F253" s="188">
        <v>1.8053699999999999E-3</v>
      </c>
      <c r="G253" s="189">
        <v>9.1085385352000114E-2</v>
      </c>
      <c r="H253" s="232">
        <v>40</v>
      </c>
      <c r="I253" s="275" t="str">
        <f t="shared" si="7"/>
        <v>(10000, 20000]</v>
      </c>
      <c r="J253" s="160">
        <v>1</v>
      </c>
      <c r="K253" s="276">
        <v>6.6825847169087141E-2</v>
      </c>
      <c r="L253" s="188">
        <v>1.2064537970365485E-4</v>
      </c>
      <c r="M253" s="233">
        <v>120645</v>
      </c>
      <c r="N253" s="195">
        <v>2.0020175464786349E-4</v>
      </c>
      <c r="O253" s="211">
        <v>1.0100674083565821E-2</v>
      </c>
      <c r="P253" s="198">
        <v>0.13365169433817428</v>
      </c>
      <c r="Q253" s="198">
        <v>3.0161344925913713E-5</v>
      </c>
      <c r="R253" s="272">
        <v>1.6706461792271785E-2</v>
      </c>
      <c r="S253" s="182"/>
    </row>
    <row r="254" spans="1:19" ht="15.6" x14ac:dyDescent="0.3">
      <c r="A254" s="257">
        <v>20000</v>
      </c>
      <c r="B254" s="258">
        <v>30000</v>
      </c>
      <c r="C254" s="160">
        <v>8852</v>
      </c>
      <c r="D254" s="30">
        <v>204279606.00000003</v>
      </c>
      <c r="E254" s="187">
        <f t="shared" si="6"/>
        <v>92.308904654315427</v>
      </c>
      <c r="F254" s="188">
        <v>8.852E-5</v>
      </c>
      <c r="G254" s="189">
        <v>8.1711842400000022E-3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1000</v>
      </c>
      <c r="D255" s="30">
        <v>35397581.600000001</v>
      </c>
      <c r="E255" s="187">
        <f t="shared" si="6"/>
        <v>141.59032640000001</v>
      </c>
      <c r="F255" s="188">
        <v>1.0000000000000001E-5</v>
      </c>
      <c r="G255" s="189">
        <v>1.4159032640000003E-3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 x14ac:dyDescent="0.35">
      <c r="N257" s="1">
        <f>1/N251</f>
        <v>4134.8778372444076</v>
      </c>
      <c r="O257" s="10">
        <f>SUM(O240:O250)</f>
        <v>0.23028348914325708</v>
      </c>
    </row>
    <row r="258" spans="13:15" ht="16.8" thickBot="1" x14ac:dyDescent="0.35">
      <c r="M258" s="114"/>
      <c r="N258" s="164" t="s">
        <v>181</v>
      </c>
      <c r="O258" s="219" t="s">
        <v>180</v>
      </c>
    </row>
    <row r="259" spans="13:15" x14ac:dyDescent="0.3">
      <c r="M259" s="128" t="s">
        <v>178</v>
      </c>
      <c r="N259" s="218">
        <f>1/SUM(N244:N253)</f>
        <v>48.102242062836389</v>
      </c>
      <c r="O259" s="220" cm="1">
        <f t="array" ref="O259:O260">N261/N259:N260</f>
        <v>291.04672463523997</v>
      </c>
    </row>
    <row r="260" spans="13:15" ht="16.8" thickBot="1" x14ac:dyDescent="0.35">
      <c r="M260" s="124" t="s">
        <v>179</v>
      </c>
      <c r="N260" s="218">
        <f>1/SUM(N257)</f>
        <v>2.4184511353458185E-4</v>
      </c>
      <c r="O260" s="220">
        <v>57888289.721421704</v>
      </c>
    </row>
    <row r="261" spans="13:15" ht="16.8" thickBot="1" x14ac:dyDescent="0.35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2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8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topLeftCell="G1" zoomScale="70" zoomScaleNormal="70" workbookViewId="0">
      <selection activeCell="L27" sqref="L27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0.92999982272206894</v>
      </c>
      <c r="P2" s="215"/>
      <c r="Q2" s="181"/>
    </row>
    <row r="3" spans="1:30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 x14ac:dyDescent="0.3">
      <c r="A4" s="239">
        <v>-1</v>
      </c>
      <c r="B4" s="245">
        <v>0</v>
      </c>
      <c r="C4" s="158" cm="1">
        <f t="array" ref="C4:D61">'Multiplier Weight'!C4:D61</f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 cm="1">
        <f t="array" ref="H4:H18">18*(K4:K18/SUM(K4:K18))</f>
        <v>2.0136394797498487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0.24247270000000001</v>
      </c>
      <c r="L4" s="185" cm="1">
        <f t="array" ref="L4:L61">K4:K61*_xlfn.ANCHORARRAY(J4)*_xlfn.ANCHORARRAY(F4)</f>
        <v>0.19283258560521502</v>
      </c>
      <c r="M4" s="240" cm="1">
        <f t="array" ref="M4:M61">INT(_xlfn.ANCHORARRAY(L4)*$M$2)</f>
        <v>192832585</v>
      </c>
      <c r="N4" s="194" cm="1">
        <f t="array" ref="N4:N61">_xlfn.ANCHORARRAY(M4)/SUM(_xlfn.ANCHORARRAY(M4))</f>
        <v>0.89809833545203077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 x14ac:dyDescent="0.3">
      <c r="A5" s="242">
        <v>0</v>
      </c>
      <c r="B5" s="246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>
        <v>0.83046028676624162</v>
      </c>
      <c r="I5" s="124" t="str">
        <f t="shared" ref="I5:I61" si="1">"("&amp;$A5&amp;", "&amp;$B5&amp;"]"</f>
        <v>(0, 1]</v>
      </c>
      <c r="J5" s="160">
        <v>1</v>
      </c>
      <c r="K5" s="234">
        <v>0.1</v>
      </c>
      <c r="L5" s="188">
        <v>1.2210300000000001E-3</v>
      </c>
      <c r="M5" s="233">
        <v>1221030</v>
      </c>
      <c r="N5" s="195">
        <v>5.6868241979797819E-3</v>
      </c>
      <c r="O5" s="211">
        <v>4.2690298981092386E-3</v>
      </c>
      <c r="P5" s="198"/>
      <c r="Q5" s="198"/>
      <c r="S5" s="182"/>
      <c r="AD5" s="197"/>
    </row>
    <row r="6" spans="1:30" ht="15.6" x14ac:dyDescent="0.3">
      <c r="A6" s="242">
        <v>1</v>
      </c>
      <c r="B6" s="246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>
        <v>0.83046028676624162</v>
      </c>
      <c r="I6" s="214" t="str">
        <f t="shared" si="1"/>
        <v>(1, 2]</v>
      </c>
      <c r="J6" s="160">
        <v>1</v>
      </c>
      <c r="K6" s="234">
        <v>0.1</v>
      </c>
      <c r="L6" s="188">
        <v>1.9835809999999999E-3</v>
      </c>
      <c r="M6" s="233">
        <v>1983581</v>
      </c>
      <c r="N6" s="195">
        <v>9.2383286483157124E-3</v>
      </c>
      <c r="O6" s="211">
        <v>1.5862748791630781E-2</v>
      </c>
      <c r="P6" s="198"/>
      <c r="Q6" s="198"/>
      <c r="S6" s="182"/>
      <c r="AD6" s="197"/>
    </row>
    <row r="7" spans="1:30" ht="15.6" x14ac:dyDescent="0.3">
      <c r="A7" s="242">
        <v>2</v>
      </c>
      <c r="B7" s="246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>
        <v>0.83046028676624162</v>
      </c>
      <c r="I7" s="124" t="str">
        <f t="shared" si="1"/>
        <v>(2, 3]</v>
      </c>
      <c r="J7" s="160">
        <v>1</v>
      </c>
      <c r="K7" s="234">
        <v>0.1</v>
      </c>
      <c r="L7" s="188">
        <v>1.4004020000000002E-3</v>
      </c>
      <c r="M7" s="233">
        <v>1400402</v>
      </c>
      <c r="N7" s="195">
        <v>6.5222312150391747E-3</v>
      </c>
      <c r="O7" s="211">
        <v>1.7935528050756485E-2</v>
      </c>
      <c r="P7" s="198"/>
      <c r="Q7" s="198"/>
      <c r="S7" s="182"/>
      <c r="AD7" s="197"/>
    </row>
    <row r="8" spans="1:30" ht="15.6" x14ac:dyDescent="0.3">
      <c r="A8" s="242">
        <v>3</v>
      </c>
      <c r="B8" s="246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>
        <v>0.83046028676624162</v>
      </c>
      <c r="I8" s="124" t="str">
        <f t="shared" si="1"/>
        <v>(3, 4]</v>
      </c>
      <c r="J8" s="160">
        <v>1</v>
      </c>
      <c r="K8" s="234">
        <v>0.1</v>
      </c>
      <c r="L8" s="188">
        <v>1.843384E-3</v>
      </c>
      <c r="M8" s="233">
        <v>1843384</v>
      </c>
      <c r="N8" s="195">
        <v>8.5853752466104535E-3</v>
      </c>
      <c r="O8" s="211">
        <v>3.1751198975245483E-2</v>
      </c>
      <c r="P8" s="198"/>
      <c r="Q8" s="198"/>
      <c r="S8" s="182"/>
      <c r="AD8" s="197"/>
    </row>
    <row r="9" spans="1:30" ht="15.6" x14ac:dyDescent="0.3">
      <c r="A9" s="242">
        <v>4</v>
      </c>
      <c r="B9" s="246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>
        <v>0.83046028676624162</v>
      </c>
      <c r="I9" s="124" t="str">
        <f t="shared" si="1"/>
        <v>(4, 5]</v>
      </c>
      <c r="J9" s="160">
        <v>1</v>
      </c>
      <c r="K9" s="234">
        <v>0.1</v>
      </c>
      <c r="L9" s="188">
        <v>1.2610390000000003E-3</v>
      </c>
      <c r="M9" s="233">
        <v>1261039</v>
      </c>
      <c r="N9" s="195">
        <v>5.873162084302783E-3</v>
      </c>
      <c r="O9" s="211">
        <v>2.8222784047397871E-2</v>
      </c>
      <c r="P9" s="198"/>
      <c r="Q9" s="198"/>
      <c r="S9" s="182"/>
      <c r="AD9" s="197"/>
    </row>
    <row r="10" spans="1:30" ht="15.6" x14ac:dyDescent="0.3">
      <c r="A10" s="242">
        <v>5</v>
      </c>
      <c r="B10" s="246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>
        <v>0.83046028676624162</v>
      </c>
      <c r="I10" s="124" t="str">
        <f t="shared" si="1"/>
        <v>(5, 6]</v>
      </c>
      <c r="J10" s="160">
        <v>1</v>
      </c>
      <c r="K10" s="234">
        <v>0.1</v>
      </c>
      <c r="L10" s="188">
        <v>1.254493E-3</v>
      </c>
      <c r="M10" s="233">
        <v>1254493</v>
      </c>
      <c r="N10" s="195">
        <v>5.8426747488564993E-3</v>
      </c>
      <c r="O10" s="211">
        <v>3.4775715906768666E-2</v>
      </c>
      <c r="P10" s="198"/>
      <c r="Q10" s="198"/>
      <c r="S10" s="182"/>
      <c r="AD10" s="197"/>
    </row>
    <row r="11" spans="1:30" ht="15.6" x14ac:dyDescent="0.3">
      <c r="A11" s="242">
        <v>6</v>
      </c>
      <c r="B11" s="246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>
        <v>0.83046028676624162</v>
      </c>
      <c r="I11" s="124" t="str">
        <f t="shared" si="1"/>
        <v>(6, 7]</v>
      </c>
      <c r="J11" s="160">
        <v>1</v>
      </c>
      <c r="K11" s="234">
        <v>0.1</v>
      </c>
      <c r="L11" s="188">
        <v>3.1603700000000002E-4</v>
      </c>
      <c r="M11" s="233">
        <v>316037</v>
      </c>
      <c r="N11" s="195">
        <v>1.471910484637508E-3</v>
      </c>
      <c r="O11" s="211">
        <v>9.6087521026876777E-3</v>
      </c>
      <c r="P11" s="198"/>
      <c r="Q11" s="198"/>
      <c r="S11" s="182"/>
      <c r="AD11" s="197"/>
    </row>
    <row r="12" spans="1:30" ht="15.6" x14ac:dyDescent="0.3">
      <c r="A12" s="242">
        <v>7</v>
      </c>
      <c r="B12" s="246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>
        <v>2.0761507169156039</v>
      </c>
      <c r="I12" s="214" t="str">
        <f t="shared" si="1"/>
        <v>(7, 8]</v>
      </c>
      <c r="J12" s="160">
        <v>1</v>
      </c>
      <c r="K12" s="234">
        <v>0.25</v>
      </c>
      <c r="L12" s="188">
        <v>3.2910125E-3</v>
      </c>
      <c r="M12" s="233">
        <v>3291012</v>
      </c>
      <c r="N12" s="195">
        <v>1.532755679831113E-2</v>
      </c>
      <c r="O12" s="211">
        <v>0.11823301962825722</v>
      </c>
      <c r="P12" s="198"/>
      <c r="Q12" s="198"/>
      <c r="S12" s="182"/>
      <c r="AD12" s="197"/>
    </row>
    <row r="13" spans="1:30" ht="15.6" x14ac:dyDescent="0.3">
      <c r="A13" s="242">
        <v>8</v>
      </c>
      <c r="B13" s="246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>
        <v>1.038075358457802</v>
      </c>
      <c r="I13" s="124" t="str">
        <f t="shared" si="1"/>
        <v>(8, 9]</v>
      </c>
      <c r="J13" s="160">
        <v>1</v>
      </c>
      <c r="K13" s="234">
        <v>0.125</v>
      </c>
      <c r="L13" s="188">
        <v>7.1771124999999998E-4</v>
      </c>
      <c r="M13" s="233">
        <v>717711</v>
      </c>
      <c r="N13" s="195">
        <v>3.342666668268812E-3</v>
      </c>
      <c r="O13" s="211">
        <v>2.9819470308694803E-2</v>
      </c>
      <c r="P13" s="198"/>
      <c r="Q13" s="198"/>
      <c r="S13" s="182"/>
      <c r="AD13" s="197"/>
    </row>
    <row r="14" spans="1:30" ht="15.6" x14ac:dyDescent="0.3">
      <c r="A14" s="242">
        <v>9</v>
      </c>
      <c r="B14" s="246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>
        <v>1.038075358457802</v>
      </c>
      <c r="I14" s="124" t="str">
        <f t="shared" si="1"/>
        <v>(9, 10]</v>
      </c>
      <c r="J14" s="160">
        <v>1</v>
      </c>
      <c r="K14" s="234">
        <v>0.125</v>
      </c>
      <c r="L14" s="188">
        <v>8.9229999999999995E-4</v>
      </c>
      <c r="M14" s="233">
        <v>892300</v>
      </c>
      <c r="N14" s="195">
        <v>4.1557973447477617E-3</v>
      </c>
      <c r="O14" s="211">
        <v>4.0520151201907537E-2</v>
      </c>
      <c r="P14" s="198"/>
      <c r="Q14" s="198"/>
      <c r="S14" s="182"/>
    </row>
    <row r="15" spans="1:30" ht="15.6" x14ac:dyDescent="0.3">
      <c r="A15" s="242">
        <v>10</v>
      </c>
      <c r="B15" s="246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>
        <v>2.0761507169156039</v>
      </c>
      <c r="I15" s="214" t="str">
        <f t="shared" si="1"/>
        <v>(10, 15]</v>
      </c>
      <c r="J15" s="160">
        <v>1</v>
      </c>
      <c r="K15" s="234">
        <v>0.25</v>
      </c>
      <c r="L15" s="188">
        <v>4.4775774999999997E-3</v>
      </c>
      <c r="M15" s="233">
        <v>4477577</v>
      </c>
      <c r="N15" s="195">
        <v>2.0853863731372463E-2</v>
      </c>
      <c r="O15" s="211">
        <v>0.2654882982450637</v>
      </c>
      <c r="P15" s="198"/>
      <c r="Q15" s="198"/>
      <c r="S15" s="182"/>
    </row>
    <row r="16" spans="1:30" ht="15.6" x14ac:dyDescent="0.3">
      <c r="A16" s="242">
        <v>15</v>
      </c>
      <c r="B16" s="246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>
        <v>0.83046028676624162</v>
      </c>
      <c r="I16" s="124" t="str">
        <f t="shared" si="1"/>
        <v>(15, 20]</v>
      </c>
      <c r="J16" s="160">
        <v>1</v>
      </c>
      <c r="K16" s="234">
        <v>0.1</v>
      </c>
      <c r="L16" s="188">
        <v>1.124732E-3</v>
      </c>
      <c r="M16" s="233">
        <v>1124732</v>
      </c>
      <c r="N16" s="195">
        <v>5.2383259656537482E-3</v>
      </c>
      <c r="O16" s="211">
        <v>9.3492542986840232E-2</v>
      </c>
      <c r="P16" s="198"/>
      <c r="Q16" s="198"/>
      <c r="S16" s="182"/>
    </row>
    <row r="17" spans="1:19" ht="15.6" x14ac:dyDescent="0.3">
      <c r="A17" s="242">
        <v>20</v>
      </c>
      <c r="B17" s="246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>
        <v>2.0761507169156039</v>
      </c>
      <c r="I17" s="124" t="str">
        <f t="shared" si="1"/>
        <v>(20, 25]</v>
      </c>
      <c r="J17" s="160">
        <v>1</v>
      </c>
      <c r="K17" s="234">
        <v>0.25</v>
      </c>
      <c r="L17" s="188">
        <v>1.5549674999999999E-3</v>
      </c>
      <c r="M17" s="233">
        <v>1554967</v>
      </c>
      <c r="N17" s="195">
        <v>7.2421021290713806E-3</v>
      </c>
      <c r="O17" s="211">
        <v>0.1683374125996536</v>
      </c>
      <c r="P17" s="198"/>
      <c r="Q17" s="198"/>
      <c r="S17" s="182"/>
    </row>
    <row r="18" spans="1:19" ht="15.6" x14ac:dyDescent="0.3">
      <c r="A18" s="242">
        <v>25</v>
      </c>
      <c r="B18" s="246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>
        <v>1.038075358457802</v>
      </c>
      <c r="I18" s="124" t="str">
        <f t="shared" si="1"/>
        <v>(25, 30]</v>
      </c>
      <c r="J18" s="160">
        <v>1</v>
      </c>
      <c r="K18" s="234">
        <v>0.125</v>
      </c>
      <c r="L18" s="188">
        <v>5.4125625000000003E-4</v>
      </c>
      <c r="M18" s="233">
        <v>541256</v>
      </c>
      <c r="N18" s="195">
        <v>2.5208452848019666E-3</v>
      </c>
      <c r="O18" s="211">
        <v>7.1683169979055564E-2</v>
      </c>
      <c r="P18" s="198"/>
      <c r="Q18" s="198"/>
      <c r="S18" s="182"/>
    </row>
    <row r="19" spans="1:19" ht="15.6" x14ac:dyDescent="0.3">
      <c r="A19" s="242">
        <v>30</v>
      </c>
      <c r="B19" s="246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 x14ac:dyDescent="0.3">
      <c r="A20" s="242">
        <v>35</v>
      </c>
      <c r="B20" s="246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 x14ac:dyDescent="0.3">
      <c r="A21" s="242">
        <v>40</v>
      </c>
      <c r="B21" s="246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 x14ac:dyDescent="0.3">
      <c r="A22" s="242">
        <v>45</v>
      </c>
      <c r="B22" s="246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 x14ac:dyDescent="0.3">
      <c r="A23" s="242">
        <v>50</v>
      </c>
      <c r="B23" s="246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 x14ac:dyDescent="0.3">
      <c r="A24" s="242">
        <v>60</v>
      </c>
      <c r="B24" s="246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 x14ac:dyDescent="0.3">
      <c r="A25" s="242">
        <v>70</v>
      </c>
      <c r="B25" s="246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 x14ac:dyDescent="0.3">
      <c r="A26" s="242">
        <v>80</v>
      </c>
      <c r="B26" s="246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 x14ac:dyDescent="0.3">
      <c r="A27" s="242">
        <v>90</v>
      </c>
      <c r="B27" s="246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 x14ac:dyDescent="0.3">
      <c r="A28" s="242">
        <v>100</v>
      </c>
      <c r="B28" s="246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 x14ac:dyDescent="0.3">
      <c r="A29" s="242">
        <v>120</v>
      </c>
      <c r="B29" s="246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 x14ac:dyDescent="0.3">
      <c r="A30" s="242">
        <v>140</v>
      </c>
      <c r="B30" s="246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 x14ac:dyDescent="0.3">
      <c r="A31" s="242">
        <v>160</v>
      </c>
      <c r="B31" s="246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 x14ac:dyDescent="0.3">
      <c r="A32" s="242">
        <v>180</v>
      </c>
      <c r="B32" s="246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 x14ac:dyDescent="0.3">
      <c r="A33" s="242">
        <v>200</v>
      </c>
      <c r="B33" s="246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 x14ac:dyDescent="0.3">
      <c r="A34" s="242">
        <v>250</v>
      </c>
      <c r="B34" s="246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 x14ac:dyDescent="0.3">
      <c r="A35" s="242">
        <v>300</v>
      </c>
      <c r="B35" s="246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 x14ac:dyDescent="0.3">
      <c r="A36" s="242">
        <v>350</v>
      </c>
      <c r="B36" s="246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 x14ac:dyDescent="0.3">
      <c r="A37" s="242">
        <v>400</v>
      </c>
      <c r="B37" s="246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 x14ac:dyDescent="0.3">
      <c r="A38" s="242">
        <v>450</v>
      </c>
      <c r="B38" s="246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 x14ac:dyDescent="0.3">
      <c r="A39" s="242">
        <v>500</v>
      </c>
      <c r="B39" s="246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 x14ac:dyDescent="0.3">
      <c r="A40" s="242">
        <v>550</v>
      </c>
      <c r="B40" s="246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 x14ac:dyDescent="0.3">
      <c r="A41" s="242">
        <v>600</v>
      </c>
      <c r="B41" s="246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 x14ac:dyDescent="0.3">
      <c r="A42" s="242">
        <v>650</v>
      </c>
      <c r="B42" s="246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 x14ac:dyDescent="0.3">
      <c r="A43" s="242">
        <v>700</v>
      </c>
      <c r="B43" s="246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 x14ac:dyDescent="0.3">
      <c r="A44" s="242">
        <v>750</v>
      </c>
      <c r="B44" s="246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 x14ac:dyDescent="0.3">
      <c r="A45" s="242">
        <v>800</v>
      </c>
      <c r="B45" s="246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 x14ac:dyDescent="0.3">
      <c r="A46" s="242">
        <v>850</v>
      </c>
      <c r="B46" s="246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 x14ac:dyDescent="0.3">
      <c r="A47" s="242">
        <v>900</v>
      </c>
      <c r="B47" s="246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 x14ac:dyDescent="0.3">
      <c r="A48" s="242">
        <v>950</v>
      </c>
      <c r="B48" s="246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 x14ac:dyDescent="0.3">
      <c r="A49" s="242">
        <v>1000</v>
      </c>
      <c r="B49" s="246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 x14ac:dyDescent="0.3">
      <c r="A50" s="242">
        <v>2000</v>
      </c>
      <c r="B50" s="246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 x14ac:dyDescent="0.3">
      <c r="A51" s="242">
        <v>3000</v>
      </c>
      <c r="B51" s="246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 x14ac:dyDescent="0.3">
      <c r="A52" s="242">
        <v>4000</v>
      </c>
      <c r="B52" s="246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 x14ac:dyDescent="0.3">
      <c r="A53" s="242">
        <v>5000</v>
      </c>
      <c r="B53" s="246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 x14ac:dyDescent="0.3">
      <c r="A54" s="242">
        <v>6000</v>
      </c>
      <c r="B54" s="246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 x14ac:dyDescent="0.3">
      <c r="A55" s="242">
        <v>7000</v>
      </c>
      <c r="B55" s="246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 x14ac:dyDescent="0.3">
      <c r="A56" s="242">
        <v>8000</v>
      </c>
      <c r="B56" s="246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 x14ac:dyDescent="0.3">
      <c r="A57" s="242">
        <v>9000</v>
      </c>
      <c r="B57" s="246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 x14ac:dyDescent="0.3">
      <c r="A58" s="242">
        <v>10000</v>
      </c>
      <c r="B58" s="246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 x14ac:dyDescent="0.3">
      <c r="A59" s="242">
        <v>20000</v>
      </c>
      <c r="B59" s="246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 x14ac:dyDescent="0.3">
      <c r="A60" s="242">
        <v>30000</v>
      </c>
      <c r="B60" s="246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 x14ac:dyDescent="0.35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 x14ac:dyDescent="0.35">
      <c r="L62" s="180"/>
      <c r="O62" s="10">
        <f>SUM(O28:O55)</f>
        <v>0</v>
      </c>
    </row>
    <row r="63" spans="1:19" ht="16.8" thickBot="1" x14ac:dyDescent="0.35">
      <c r="L63" s="180"/>
      <c r="M63" s="114"/>
      <c r="N63" s="114" t="s">
        <v>181</v>
      </c>
      <c r="O63" s="219" t="s">
        <v>180</v>
      </c>
    </row>
    <row r="64" spans="1:19" x14ac:dyDescent="0.3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 x14ac:dyDescent="0.35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0.92999953614086428</v>
      </c>
      <c r="P67" s="222"/>
    </row>
    <row r="68" spans="1:20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 x14ac:dyDescent="0.3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79527545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1.3017829999999999</v>
      </c>
      <c r="L69" s="185" cm="1">
        <f t="array" ref="L69:L126">K69:K126*_xlfn.ANCHORARRAY(J69)*_xlfn.ANCHORARRAY(F69)</f>
        <v>1.0352760611273499</v>
      </c>
      <c r="M69" s="207" cm="1">
        <f t="array" ref="M69:M126">INT(_xlfn.ANCHORARRAY(L69)*$M$2)</f>
        <v>1035276061</v>
      </c>
      <c r="N69" s="194" cm="1">
        <f t="array" ref="N69:N126">_xlfn.ANCHORARRAY(M69)/SUM(_xlfn.ANCHORARRAY(M69))</f>
        <v>0.86683460079628816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 x14ac:dyDescent="0.3">
      <c r="A70" s="201">
        <v>0</v>
      </c>
      <c r="B70" s="202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1</v>
      </c>
      <c r="L70" s="188">
        <v>1.22103E-2</v>
      </c>
      <c r="M70" s="208">
        <v>12210300</v>
      </c>
      <c r="N70" s="195">
        <v>1.0223660069836115E-2</v>
      </c>
      <c r="O70" s="211">
        <v>5.1165183456571631E-3</v>
      </c>
      <c r="Q70" s="183"/>
      <c r="S70" s="182"/>
    </row>
    <row r="71" spans="1:20" ht="15.6" x14ac:dyDescent="0.3">
      <c r="A71" s="201">
        <v>1</v>
      </c>
      <c r="B71" s="202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</v>
      </c>
      <c r="L71" s="188">
        <v>1.9835809999999999E-2</v>
      </c>
      <c r="M71" s="208">
        <v>19835810</v>
      </c>
      <c r="N71" s="195">
        <v>1.660848452944284E-2</v>
      </c>
      <c r="O71" s="211">
        <v>1.9011824030765564E-2</v>
      </c>
      <c r="Q71" s="183"/>
    </row>
    <row r="72" spans="1:20" ht="15.6" x14ac:dyDescent="0.3">
      <c r="A72" s="201">
        <v>2</v>
      </c>
      <c r="B72" s="202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</v>
      </c>
      <c r="L72" s="188">
        <v>1.4004020000000001E-2</v>
      </c>
      <c r="M72" s="208">
        <v>14004020</v>
      </c>
      <c r="N72" s="195">
        <v>1.1725538282530843E-2</v>
      </c>
      <c r="O72" s="211">
        <v>2.149609173535847E-2</v>
      </c>
      <c r="Q72" s="183"/>
    </row>
    <row r="73" spans="1:20" ht="15.6" x14ac:dyDescent="0.3">
      <c r="A73" s="201">
        <v>3</v>
      </c>
      <c r="B73" s="202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232">
        <v>2</v>
      </c>
      <c r="I73" s="124" t="str">
        <f t="shared" si="3"/>
        <v>(3, 4]</v>
      </c>
      <c r="J73" s="160">
        <v>1</v>
      </c>
      <c r="K73" s="205">
        <v>0.8293373861515585</v>
      </c>
      <c r="L73" s="188">
        <v>1.5287872682336045E-2</v>
      </c>
      <c r="M73" s="208">
        <v>15287872</v>
      </c>
      <c r="N73" s="195">
        <v>1.2800505026016198E-2</v>
      </c>
      <c r="O73" s="211">
        <v>3.1559978093765227E-2</v>
      </c>
      <c r="Q73" s="183"/>
    </row>
    <row r="74" spans="1:20" ht="15.6" x14ac:dyDescent="0.3">
      <c r="A74" s="201">
        <v>4</v>
      </c>
      <c r="B74" s="202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0.8293373861515585</v>
      </c>
      <c r="L74" s="188">
        <v>1.0458267880951753E-2</v>
      </c>
      <c r="M74" s="208">
        <v>10458267</v>
      </c>
      <c r="N74" s="195">
        <v>8.7566862998931013E-3</v>
      </c>
      <c r="O74" s="211">
        <v>2.8052811854476948E-2</v>
      </c>
      <c r="Q74" s="183"/>
    </row>
    <row r="75" spans="1:20" ht="15.6" x14ac:dyDescent="0.3">
      <c r="A75" s="201">
        <v>5</v>
      </c>
      <c r="B75" s="202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0.8293373861515585</v>
      </c>
      <c r="L75" s="188">
        <v>1.040397945565427E-2</v>
      </c>
      <c r="M75" s="208">
        <v>10403979</v>
      </c>
      <c r="N75" s="195">
        <v>8.7112310647333366E-3</v>
      </c>
      <c r="O75" s="211">
        <v>3.456627996902438E-2</v>
      </c>
      <c r="Q75" s="183"/>
    </row>
    <row r="76" spans="1:20" ht="15.6" x14ac:dyDescent="0.3">
      <c r="A76" s="201">
        <v>6</v>
      </c>
      <c r="B76" s="202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232">
        <v>4</v>
      </c>
      <c r="I76" s="124" t="str">
        <f t="shared" si="3"/>
        <v>(6, 7]</v>
      </c>
      <c r="J76" s="160">
        <v>1</v>
      </c>
      <c r="K76" s="205">
        <v>0.8293373861515585</v>
      </c>
      <c r="L76" s="188">
        <v>2.6210129950718008E-3</v>
      </c>
      <c r="M76" s="208">
        <v>2621012</v>
      </c>
      <c r="N76" s="195">
        <v>2.1945681700663616E-3</v>
      </c>
      <c r="O76" s="211">
        <v>9.5508804096012586E-3</v>
      </c>
      <c r="Q76" s="183"/>
    </row>
    <row r="77" spans="1:20" ht="15.6" x14ac:dyDescent="0.3">
      <c r="A77" s="201">
        <v>7</v>
      </c>
      <c r="B77" s="202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0.8293373861515585</v>
      </c>
      <c r="L77" s="188">
        <v>1.0917438818168423E-2</v>
      </c>
      <c r="M77" s="208">
        <v>10917438</v>
      </c>
      <c r="N77" s="195">
        <v>9.1411492711490662E-3</v>
      </c>
      <c r="O77" s="211">
        <v>4.7008391288196408E-2</v>
      </c>
      <c r="Q77" s="183"/>
    </row>
    <row r="78" spans="1:20" ht="15.6" x14ac:dyDescent="0.3">
      <c r="A78" s="201">
        <v>8</v>
      </c>
      <c r="B78" s="202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0.8293373861515585</v>
      </c>
      <c r="L78" s="188">
        <v>4.7617981766925419E-3</v>
      </c>
      <c r="M78" s="208">
        <v>4761798</v>
      </c>
      <c r="N78" s="195">
        <v>3.9870440589686957E-3</v>
      </c>
      <c r="O78" s="211">
        <v>2.3711915013739558E-2</v>
      </c>
      <c r="Q78" s="183"/>
    </row>
    <row r="79" spans="1:20" ht="15.6" x14ac:dyDescent="0.3">
      <c r="A79" s="201">
        <v>9</v>
      </c>
      <c r="B79" s="202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232">
        <v>6</v>
      </c>
      <c r="I79" s="124" t="str">
        <f t="shared" si="3"/>
        <v>(9, 10]</v>
      </c>
      <c r="J79" s="160">
        <v>1</v>
      </c>
      <c r="K79" s="205">
        <v>0.8293373861515585</v>
      </c>
      <c r="L79" s="188">
        <v>5.9201419973042846E-3</v>
      </c>
      <c r="M79" s="208">
        <v>5920141</v>
      </c>
      <c r="N79" s="195">
        <v>4.9569223646838854E-3</v>
      </c>
      <c r="O79" s="211">
        <v>3.2220891612525462E-2</v>
      </c>
      <c r="Q79" s="183"/>
    </row>
    <row r="80" spans="1:20" ht="15.6" x14ac:dyDescent="0.3">
      <c r="A80" s="201">
        <v>10</v>
      </c>
      <c r="B80" s="202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232">
        <v>6.666666666666667</v>
      </c>
      <c r="I80" s="214" t="str">
        <f t="shared" si="3"/>
        <v>(10, 15]</v>
      </c>
      <c r="J80" s="160">
        <v>1</v>
      </c>
      <c r="K80" s="205">
        <v>0.5</v>
      </c>
      <c r="L80" s="188">
        <v>8.9551549999999994E-3</v>
      </c>
      <c r="M80" s="208">
        <v>8955155</v>
      </c>
      <c r="N80" s="195">
        <v>7.4981335915328233E-3</v>
      </c>
      <c r="O80" s="211">
        <v>6.3638622011819218E-2</v>
      </c>
      <c r="Q80" s="183"/>
    </row>
    <row r="81" spans="1:17" ht="15.6" x14ac:dyDescent="0.3">
      <c r="A81" s="201">
        <v>15</v>
      </c>
      <c r="B81" s="202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232">
        <v>10</v>
      </c>
      <c r="I81" s="124" t="str">
        <f t="shared" si="3"/>
        <v>(15, 20]</v>
      </c>
      <c r="J81" s="160">
        <v>1</v>
      </c>
      <c r="K81" s="205">
        <v>2</v>
      </c>
      <c r="L81" s="188">
        <v>2.249464E-2</v>
      </c>
      <c r="M81" s="208">
        <v>22494640</v>
      </c>
      <c r="N81" s="195">
        <v>1.8834717636203719E-2</v>
      </c>
      <c r="O81" s="211">
        <v>0.22410539293068621</v>
      </c>
      <c r="Q81" s="183"/>
    </row>
    <row r="82" spans="1:17" ht="15.6" x14ac:dyDescent="0.3">
      <c r="A82" s="201">
        <v>20</v>
      </c>
      <c r="B82" s="202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0.5</v>
      </c>
      <c r="L82" s="188">
        <v>3.1099349999999999E-3</v>
      </c>
      <c r="M82" s="208">
        <v>3109935</v>
      </c>
      <c r="N82" s="195">
        <v>2.6039424321503794E-3</v>
      </c>
      <c r="O82" s="211">
        <v>4.0351169110328489E-2</v>
      </c>
      <c r="Q82" s="183"/>
    </row>
    <row r="83" spans="1:17" ht="15.6" x14ac:dyDescent="0.3">
      <c r="A83" s="201">
        <v>25</v>
      </c>
      <c r="B83" s="202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0.5</v>
      </c>
      <c r="L83" s="188">
        <v>2.1650250000000001E-3</v>
      </c>
      <c r="M83" s="208">
        <v>2165025</v>
      </c>
      <c r="N83" s="195">
        <v>1.8127711557207385E-3</v>
      </c>
      <c r="O83" s="211">
        <v>3.4365505272402307E-2</v>
      </c>
      <c r="Q83" s="183"/>
    </row>
    <row r="84" spans="1:17" ht="15.6" x14ac:dyDescent="0.3">
      <c r="A84" s="201">
        <v>30</v>
      </c>
      <c r="B84" s="202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232">
        <v>20</v>
      </c>
      <c r="I84" s="124" t="str">
        <f t="shared" si="3"/>
        <v>(30, 35]</v>
      </c>
      <c r="J84" s="160">
        <v>1</v>
      </c>
      <c r="K84" s="205">
        <v>5</v>
      </c>
      <c r="L84" s="188">
        <v>1.0710349999999999E-2</v>
      </c>
      <c r="M84" s="208">
        <v>10710350</v>
      </c>
      <c r="N84" s="195">
        <v>8.9677548978296384E-3</v>
      </c>
      <c r="O84" s="211">
        <v>0.19476524434421413</v>
      </c>
      <c r="Q84" s="183"/>
    </row>
    <row r="85" spans="1:17" ht="15.6" x14ac:dyDescent="0.3">
      <c r="A85" s="201">
        <v>35</v>
      </c>
      <c r="B85" s="202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0.5</v>
      </c>
      <c r="L85" s="188">
        <v>1.8820550000000001E-3</v>
      </c>
      <c r="M85" s="208">
        <v>1882055</v>
      </c>
      <c r="N85" s="195">
        <v>1.5758409336982227E-3</v>
      </c>
      <c r="O85" s="211">
        <v>4.0210319953026784E-2</v>
      </c>
      <c r="Q85" s="183"/>
    </row>
    <row r="86" spans="1:17" ht="15.6" x14ac:dyDescent="0.3">
      <c r="A86" s="201">
        <v>40</v>
      </c>
      <c r="B86" s="202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2</v>
      </c>
      <c r="L86" s="188">
        <v>3.30402E-3</v>
      </c>
      <c r="M86" s="208">
        <v>3304020</v>
      </c>
      <c r="N86" s="195">
        <v>2.7664494192558677E-3</v>
      </c>
      <c r="O86" s="211">
        <v>8.0267700165276554E-2</v>
      </c>
      <c r="Q86" s="183"/>
    </row>
    <row r="87" spans="1:17" ht="15.6" x14ac:dyDescent="0.3">
      <c r="A87" s="201">
        <v>45</v>
      </c>
      <c r="B87" s="202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 x14ac:dyDescent="0.3">
      <c r="A88" s="201">
        <v>50</v>
      </c>
      <c r="B88" s="202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 x14ac:dyDescent="0.3">
      <c r="A89" s="201">
        <v>60</v>
      </c>
      <c r="B89" s="202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 x14ac:dyDescent="0.3">
      <c r="A90" s="201">
        <v>70</v>
      </c>
      <c r="B90" s="202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 x14ac:dyDescent="0.3">
      <c r="A91" s="201">
        <v>80</v>
      </c>
      <c r="B91" s="202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 x14ac:dyDescent="0.3">
      <c r="A92" s="201">
        <v>90</v>
      </c>
      <c r="B92" s="202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 x14ac:dyDescent="0.3">
      <c r="A93" s="201">
        <v>100</v>
      </c>
      <c r="B93" s="202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 x14ac:dyDescent="0.3">
      <c r="A94" s="201">
        <v>120</v>
      </c>
      <c r="B94" s="202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 x14ac:dyDescent="0.3">
      <c r="A95" s="201">
        <v>140</v>
      </c>
      <c r="B95" s="202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 x14ac:dyDescent="0.3">
      <c r="A96" s="201">
        <v>160</v>
      </c>
      <c r="B96" s="202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 x14ac:dyDescent="0.3">
      <c r="A97" s="201">
        <v>180</v>
      </c>
      <c r="B97" s="202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 x14ac:dyDescent="0.3">
      <c r="A98" s="201">
        <v>200</v>
      </c>
      <c r="B98" s="202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 x14ac:dyDescent="0.3">
      <c r="A99" s="201">
        <v>250</v>
      </c>
      <c r="B99" s="202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 x14ac:dyDescent="0.3">
      <c r="A100" s="201">
        <v>300</v>
      </c>
      <c r="B100" s="202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 x14ac:dyDescent="0.3">
      <c r="A101" s="201">
        <v>350</v>
      </c>
      <c r="B101" s="202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 x14ac:dyDescent="0.3">
      <c r="A102" s="201">
        <v>400</v>
      </c>
      <c r="B102" s="202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 x14ac:dyDescent="0.3">
      <c r="A103" s="201">
        <v>450</v>
      </c>
      <c r="B103" s="202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 x14ac:dyDescent="0.3">
      <c r="A104" s="201">
        <v>500</v>
      </c>
      <c r="B104" s="202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 x14ac:dyDescent="0.3">
      <c r="A105" s="201">
        <v>550</v>
      </c>
      <c r="B105" s="202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 x14ac:dyDescent="0.3">
      <c r="A106" s="201">
        <v>600</v>
      </c>
      <c r="B106" s="202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 x14ac:dyDescent="0.3">
      <c r="A107" s="201">
        <v>650</v>
      </c>
      <c r="B107" s="202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232">
        <v>433.33333333333331</v>
      </c>
      <c r="I107" s="124" t="str">
        <f t="shared" si="3"/>
        <v>(650, 700]</v>
      </c>
      <c r="J107" s="160">
        <v>0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 x14ac:dyDescent="0.3">
      <c r="A108" s="201">
        <v>700</v>
      </c>
      <c r="B108" s="202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232">
        <v>466.66666666666669</v>
      </c>
      <c r="I108" s="124" t="str">
        <f t="shared" si="3"/>
        <v>(700, 750]</v>
      </c>
      <c r="J108" s="160">
        <v>0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 x14ac:dyDescent="0.3">
      <c r="A109" s="201">
        <v>750</v>
      </c>
      <c r="B109" s="202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232">
        <v>500</v>
      </c>
      <c r="I109" s="124" t="str">
        <f t="shared" si="3"/>
        <v>(750, 800]</v>
      </c>
      <c r="J109" s="160">
        <v>0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 x14ac:dyDescent="0.3">
      <c r="A110" s="201">
        <v>800</v>
      </c>
      <c r="B110" s="202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232">
        <v>533.33333333333337</v>
      </c>
      <c r="I110" s="124" t="str">
        <f t="shared" si="3"/>
        <v>(800, 850]</v>
      </c>
      <c r="J110" s="160">
        <v>0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 x14ac:dyDescent="0.3">
      <c r="A111" s="201">
        <v>850</v>
      </c>
      <c r="B111" s="202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232">
        <v>566.66666666666663</v>
      </c>
      <c r="I111" s="124" t="str">
        <f t="shared" si="3"/>
        <v>(850, 900]</v>
      </c>
      <c r="J111" s="160">
        <v>0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 x14ac:dyDescent="0.3">
      <c r="A112" s="201">
        <v>900</v>
      </c>
      <c r="B112" s="202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 x14ac:dyDescent="0.3">
      <c r="A113" s="201">
        <v>950</v>
      </c>
      <c r="B113" s="202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 x14ac:dyDescent="0.3">
      <c r="A114" s="201">
        <v>1000</v>
      </c>
      <c r="B114" s="202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 x14ac:dyDescent="0.3">
      <c r="A115" s="201">
        <v>2000</v>
      </c>
      <c r="B115" s="202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 x14ac:dyDescent="0.3">
      <c r="A116" s="201">
        <v>3000</v>
      </c>
      <c r="B116" s="202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 x14ac:dyDescent="0.3">
      <c r="A117" s="201">
        <v>4000</v>
      </c>
      <c r="B117" s="202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232">
        <v>2666.6666666666665</v>
      </c>
      <c r="I117" s="124" t="str">
        <f t="shared" si="3"/>
        <v>(4000, 5000]</v>
      </c>
      <c r="J117" s="160">
        <v>0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 x14ac:dyDescent="0.3">
      <c r="A118" s="201">
        <v>5000</v>
      </c>
      <c r="B118" s="202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 x14ac:dyDescent="0.3">
      <c r="A119" s="201">
        <v>6000</v>
      </c>
      <c r="B119" s="202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 x14ac:dyDescent="0.35">
      <c r="A120" s="203">
        <v>7000</v>
      </c>
      <c r="B120" s="204">
        <v>8000</v>
      </c>
      <c r="C120" s="162">
        <v>16379</v>
      </c>
      <c r="D120" s="167">
        <v>15875619560</v>
      </c>
      <c r="E120" s="190">
        <f t="shared" si="2"/>
        <v>6461.7781142519898</v>
      </c>
      <c r="F120" s="191">
        <v>1.6379E-4</v>
      </c>
      <c r="G120" s="192">
        <v>1.0583746373333334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 x14ac:dyDescent="0.3">
      <c r="A121" s="242">
        <v>8000</v>
      </c>
      <c r="B121" s="246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 x14ac:dyDescent="0.3">
      <c r="A122" s="242">
        <v>9000</v>
      </c>
      <c r="B122" s="246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 x14ac:dyDescent="0.3">
      <c r="A123" s="242">
        <v>10000</v>
      </c>
      <c r="B123" s="246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 x14ac:dyDescent="0.3">
      <c r="A124" s="242">
        <v>20000</v>
      </c>
      <c r="B124" s="246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 x14ac:dyDescent="0.3">
      <c r="A125" s="242">
        <v>30000</v>
      </c>
      <c r="B125" s="246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 x14ac:dyDescent="0.35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 x14ac:dyDescent="0.35">
      <c r="O127" s="10">
        <f>SUM(O96:O120)</f>
        <v>0</v>
      </c>
    </row>
    <row r="128" spans="1:19" ht="16.8" thickBot="1" x14ac:dyDescent="0.35">
      <c r="M128" s="114"/>
      <c r="N128" s="164" t="s">
        <v>181</v>
      </c>
      <c r="O128" s="219" t="s">
        <v>180</v>
      </c>
    </row>
    <row r="129" spans="1:65" x14ac:dyDescent="0.3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 x14ac:dyDescent="0.35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0.92999953200974794</v>
      </c>
    </row>
    <row r="133" spans="1:6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 x14ac:dyDescent="0.3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79518011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0.35988799999999999</v>
      </c>
      <c r="L134" s="185" cm="1">
        <f t="array" ref="L134:L191">K134:K191*_xlfn.ANCHORARRAY(J134)*_xlfn.ANCHORARRAY(F134)</f>
        <v>0.28617577942767997</v>
      </c>
      <c r="M134" s="207" cm="1">
        <f t="array" ref="M134:M191">INT(_xlfn.ANCHORARRAY(L134)*$M$2)</f>
        <v>286175779</v>
      </c>
      <c r="N134" s="194" cm="1">
        <f t="array" ref="N134:N191">_xlfn.ANCHORARRAY(M134)/SUM(_xlfn.ANCHORARRAY(M134))</f>
        <v>0.87107487174886133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 x14ac:dyDescent="0.3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 x14ac:dyDescent="0.3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 x14ac:dyDescent="0.3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 x14ac:dyDescent="0.3">
      <c r="A138" s="201">
        <v>3</v>
      </c>
      <c r="B138" s="202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 x14ac:dyDescent="0.3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 x14ac:dyDescent="0.3">
      <c r="A140" s="201">
        <v>5</v>
      </c>
      <c r="B140" s="202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 x14ac:dyDescent="0.3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 x14ac:dyDescent="0.3">
      <c r="A142" s="201">
        <v>7</v>
      </c>
      <c r="B142" s="202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93">
        <v>0.875</v>
      </c>
      <c r="I142" s="214" t="str">
        <f t="shared" si="5"/>
        <v>(7, 8]</v>
      </c>
      <c r="J142" s="160">
        <v>1</v>
      </c>
      <c r="K142" s="205">
        <v>5</v>
      </c>
      <c r="L142" s="188">
        <v>1.08673E-2</v>
      </c>
      <c r="M142" s="208">
        <v>10867300</v>
      </c>
      <c r="N142" s="195">
        <v>3.3078382757739958E-2</v>
      </c>
      <c r="O142" s="211">
        <v>3.3078382757739958E-2</v>
      </c>
      <c r="P142" s="178"/>
      <c r="AX142" s="182"/>
      <c r="BK142" s="198"/>
      <c r="BM142" s="20"/>
    </row>
    <row r="143" spans="1:65" ht="15.6" x14ac:dyDescent="0.3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 x14ac:dyDescent="0.3">
      <c r="A144" s="201">
        <v>9</v>
      </c>
      <c r="B144" s="202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93">
        <v>1.125</v>
      </c>
      <c r="I144" s="124" t="str">
        <f t="shared" si="5"/>
        <v>(9, 10]</v>
      </c>
      <c r="J144" s="160">
        <v>1</v>
      </c>
      <c r="K144" s="205">
        <v>0.5</v>
      </c>
      <c r="L144" s="188">
        <v>1.6388150000000001E-3</v>
      </c>
      <c r="M144" s="208">
        <v>1638815</v>
      </c>
      <c r="N144" s="195">
        <v>4.9882997468668035E-3</v>
      </c>
      <c r="O144" s="211">
        <v>6.2353746835835042E-3</v>
      </c>
      <c r="P144" s="178"/>
      <c r="AV144" s="197"/>
      <c r="AW144" s="180"/>
      <c r="AX144" s="182"/>
      <c r="BK144" s="198"/>
      <c r="BM144" s="20"/>
    </row>
    <row r="145" spans="1:65" ht="15.6" x14ac:dyDescent="0.3">
      <c r="A145" s="201">
        <v>10</v>
      </c>
      <c r="B145" s="202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93">
        <v>1.25</v>
      </c>
      <c r="I145" s="214" t="str">
        <f t="shared" si="5"/>
        <v>(10, 15]</v>
      </c>
      <c r="J145" s="160">
        <v>1</v>
      </c>
      <c r="K145" s="205">
        <v>0.5</v>
      </c>
      <c r="L145" s="188">
        <v>1.30911E-3</v>
      </c>
      <c r="M145" s="208">
        <v>1309110</v>
      </c>
      <c r="N145" s="195">
        <v>3.9847286494331582E-3</v>
      </c>
      <c r="O145" s="211">
        <v>6.962680651586642E-3</v>
      </c>
      <c r="P145" s="178"/>
      <c r="AV145" s="197"/>
      <c r="AW145" s="180"/>
      <c r="AX145" s="182"/>
      <c r="BK145" s="198"/>
      <c r="BM145" s="20"/>
    </row>
    <row r="146" spans="1:65" ht="15.6" x14ac:dyDescent="0.3">
      <c r="A146" s="201">
        <v>15</v>
      </c>
      <c r="B146" s="202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93">
        <v>1.875</v>
      </c>
      <c r="I146" s="124" t="str">
        <f t="shared" si="5"/>
        <v>(15, 20]</v>
      </c>
      <c r="J146" s="160">
        <v>1</v>
      </c>
      <c r="K146" s="205">
        <v>0.5</v>
      </c>
      <c r="L146" s="188">
        <v>4.5006350000000002E-3</v>
      </c>
      <c r="M146" s="208">
        <v>4500635</v>
      </c>
      <c r="N146" s="195">
        <v>1.3699237821987151E-2</v>
      </c>
      <c r="O146" s="211">
        <v>3.2139714057070175E-2</v>
      </c>
      <c r="P146" s="178"/>
      <c r="AV146" s="197"/>
      <c r="AW146" s="180"/>
      <c r="AX146" s="182"/>
      <c r="BK146" s="198"/>
      <c r="BM146" s="20"/>
    </row>
    <row r="147" spans="1:65" ht="15.6" x14ac:dyDescent="0.3">
      <c r="A147" s="201">
        <v>20</v>
      </c>
      <c r="B147" s="202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93">
        <v>2.5</v>
      </c>
      <c r="I147" s="124" t="str">
        <f t="shared" si="5"/>
        <v>(20, 25]</v>
      </c>
      <c r="J147" s="160">
        <v>1</v>
      </c>
      <c r="K147" s="205">
        <v>0.5</v>
      </c>
      <c r="L147" s="188">
        <v>2.83716E-3</v>
      </c>
      <c r="M147" s="208">
        <v>2837160</v>
      </c>
      <c r="N147" s="195">
        <v>8.6358768438296075E-3</v>
      </c>
      <c r="O147" s="211">
        <v>2.6230877417000944E-2</v>
      </c>
      <c r="P147" s="178"/>
      <c r="AV147" s="197"/>
      <c r="AW147" s="180"/>
      <c r="AX147" s="182"/>
      <c r="BK147" s="198"/>
      <c r="BM147" s="20"/>
    </row>
    <row r="148" spans="1:65" ht="15.6" x14ac:dyDescent="0.3">
      <c r="A148" s="201">
        <v>25</v>
      </c>
      <c r="B148" s="202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93">
        <v>3.125</v>
      </c>
      <c r="I148" s="124" t="str">
        <f t="shared" si="5"/>
        <v>(25, 30]</v>
      </c>
      <c r="J148" s="160">
        <v>1</v>
      </c>
      <c r="K148" s="205">
        <v>0.5</v>
      </c>
      <c r="L148" s="188">
        <v>2.2518500000000001E-3</v>
      </c>
      <c r="M148" s="208">
        <v>2251850</v>
      </c>
      <c r="N148" s="195">
        <v>6.8542836043006747E-3</v>
      </c>
      <c r="O148" s="211">
        <v>2.5606575182447876E-2</v>
      </c>
      <c r="P148" s="178"/>
      <c r="AV148" s="197"/>
      <c r="AW148" s="180"/>
      <c r="AX148" s="182"/>
      <c r="BK148" s="198"/>
      <c r="BM148" s="20"/>
    </row>
    <row r="149" spans="1:65" ht="15.6" x14ac:dyDescent="0.3">
      <c r="A149" s="201">
        <v>30</v>
      </c>
      <c r="B149" s="202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93">
        <v>3.75</v>
      </c>
      <c r="I149" s="124" t="str">
        <f t="shared" si="5"/>
        <v>(30, 35]</v>
      </c>
      <c r="J149" s="160">
        <v>1</v>
      </c>
      <c r="K149" s="205">
        <v>0.5</v>
      </c>
      <c r="L149" s="188">
        <v>1.5074999999999999E-3</v>
      </c>
      <c r="M149" s="208">
        <v>1507500</v>
      </c>
      <c r="N149" s="195">
        <v>4.5885971683208328E-3</v>
      </c>
      <c r="O149" s="211">
        <v>1.8440742571568747E-2</v>
      </c>
      <c r="P149" s="178"/>
      <c r="AV149" s="197"/>
      <c r="AW149" s="180"/>
      <c r="AX149" s="182"/>
      <c r="BK149" s="198"/>
      <c r="BM149" s="20"/>
    </row>
    <row r="150" spans="1:65" ht="15.6" x14ac:dyDescent="0.3">
      <c r="A150" s="201">
        <v>35</v>
      </c>
      <c r="B150" s="202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93">
        <v>4.375</v>
      </c>
      <c r="I150" s="214" t="str">
        <f t="shared" si="5"/>
        <v>(35, 40]</v>
      </c>
      <c r="J150" s="160">
        <v>1</v>
      </c>
      <c r="K150" s="205">
        <v>0.1</v>
      </c>
      <c r="L150" s="188">
        <v>1.05729E-3</v>
      </c>
      <c r="M150" s="208">
        <v>1057290</v>
      </c>
      <c r="N150" s="195">
        <v>3.218227462748878E-3</v>
      </c>
      <c r="O150" s="211">
        <v>1.5811791051654759E-2</v>
      </c>
      <c r="P150" s="178"/>
      <c r="AV150" s="197"/>
      <c r="AW150" s="180"/>
      <c r="AX150" s="182"/>
      <c r="BK150" s="198"/>
      <c r="BM150" s="20"/>
    </row>
    <row r="151" spans="1:65" ht="15.6" x14ac:dyDescent="0.3">
      <c r="A151" s="201">
        <v>40</v>
      </c>
      <c r="B151" s="202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93">
        <v>5</v>
      </c>
      <c r="I151" s="124" t="str">
        <f t="shared" si="5"/>
        <v>(40, 45]</v>
      </c>
      <c r="J151" s="160">
        <v>1</v>
      </c>
      <c r="K151" s="205">
        <v>0.5</v>
      </c>
      <c r="L151" s="188">
        <v>1.1233899999999999E-3</v>
      </c>
      <c r="M151" s="208">
        <v>1123390</v>
      </c>
      <c r="N151" s="195">
        <v>3.4194256536782359E-3</v>
      </c>
      <c r="O151" s="211">
        <v>1.9078121927570836E-2</v>
      </c>
      <c r="P151" s="178"/>
      <c r="AV151" s="197"/>
      <c r="AW151" s="180"/>
      <c r="AX151" s="182"/>
      <c r="BK151" s="198"/>
      <c r="BM151" s="20"/>
    </row>
    <row r="152" spans="1:65" ht="15.6" x14ac:dyDescent="0.3">
      <c r="A152" s="201">
        <v>45</v>
      </c>
      <c r="B152" s="202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93">
        <v>5.625</v>
      </c>
      <c r="I152" s="124" t="str">
        <f t="shared" si="5"/>
        <v>(45, 50]</v>
      </c>
      <c r="J152" s="160">
        <v>1</v>
      </c>
      <c r="K152" s="205">
        <v>0.1</v>
      </c>
      <c r="L152" s="188">
        <v>7.66222E-4</v>
      </c>
      <c r="M152" s="208">
        <v>766222</v>
      </c>
      <c r="N152" s="195">
        <v>2.3322614258740465E-3</v>
      </c>
      <c r="O152" s="211">
        <v>1.4307879851660378E-2</v>
      </c>
      <c r="P152" s="178"/>
      <c r="AV152" s="197"/>
      <c r="AW152" s="180"/>
      <c r="AX152" s="182"/>
      <c r="BK152" s="198"/>
      <c r="BM152" s="20"/>
    </row>
    <row r="153" spans="1:65" ht="15.6" x14ac:dyDescent="0.3">
      <c r="A153" s="201">
        <v>50</v>
      </c>
      <c r="B153" s="202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93">
        <v>6.25</v>
      </c>
      <c r="I153" s="214" t="str">
        <f t="shared" si="5"/>
        <v>(50, 60]</v>
      </c>
      <c r="J153" s="160">
        <v>1</v>
      </c>
      <c r="K153" s="205">
        <v>0.1</v>
      </c>
      <c r="L153" s="188">
        <v>7.9595000000000002E-4</v>
      </c>
      <c r="M153" s="208">
        <v>795950</v>
      </c>
      <c r="N153" s="195">
        <v>2.4227488664178886E-3</v>
      </c>
      <c r="O153" s="211">
        <v>1.7941822803438309E-2</v>
      </c>
      <c r="P153" s="178"/>
      <c r="AV153" s="197"/>
      <c r="AW153" s="180"/>
      <c r="AX153" s="182"/>
      <c r="BK153" s="198"/>
      <c r="BM153" s="20"/>
    </row>
    <row r="154" spans="1:65" ht="15.6" x14ac:dyDescent="0.3">
      <c r="A154" s="201">
        <v>60</v>
      </c>
      <c r="B154" s="202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93">
        <v>7.5</v>
      </c>
      <c r="I154" s="124" t="str">
        <f t="shared" si="5"/>
        <v>(60, 70]</v>
      </c>
      <c r="J154" s="160">
        <v>1</v>
      </c>
      <c r="K154" s="205">
        <v>0.1</v>
      </c>
      <c r="L154" s="188">
        <v>2.17944E-4</v>
      </c>
      <c r="M154" s="208">
        <v>217944</v>
      </c>
      <c r="N154" s="195">
        <v>6.6338787479437191E-4</v>
      </c>
      <c r="O154" s="211">
        <v>5.4564530851278588E-3</v>
      </c>
      <c r="P154" s="178"/>
      <c r="AV154" s="197"/>
      <c r="AW154" s="180"/>
      <c r="AX154" s="182"/>
      <c r="BK154" s="198"/>
      <c r="BM154" s="20"/>
    </row>
    <row r="155" spans="1:65" ht="15.6" x14ac:dyDescent="0.3">
      <c r="A155" s="201">
        <v>70</v>
      </c>
      <c r="B155" s="202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93">
        <v>8.75</v>
      </c>
      <c r="I155" s="214" t="str">
        <f t="shared" si="5"/>
        <v>(70, 80]</v>
      </c>
      <c r="J155" s="160">
        <v>1</v>
      </c>
      <c r="K155" s="205">
        <v>0.1</v>
      </c>
      <c r="L155" s="188">
        <v>1.018318E-3</v>
      </c>
      <c r="M155" s="208">
        <v>1018318</v>
      </c>
      <c r="N155" s="195">
        <v>3.0996027139304373E-3</v>
      </c>
      <c r="O155" s="211">
        <v>3.0152406701256098E-2</v>
      </c>
      <c r="P155" s="178"/>
      <c r="AV155" s="197"/>
      <c r="AW155" s="180"/>
      <c r="AX155" s="182"/>
      <c r="BK155" s="198"/>
      <c r="BM155" s="20"/>
    </row>
    <row r="156" spans="1:65" ht="15.6" x14ac:dyDescent="0.3">
      <c r="A156" s="201">
        <v>80</v>
      </c>
      <c r="B156" s="202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93">
        <v>10</v>
      </c>
      <c r="I156" s="124" t="str">
        <f t="shared" si="5"/>
        <v>(80, 90]</v>
      </c>
      <c r="J156" s="160">
        <v>1</v>
      </c>
      <c r="K156" s="205">
        <v>2</v>
      </c>
      <c r="L156" s="188">
        <v>4.78562E-3</v>
      </c>
      <c r="M156" s="208">
        <v>4785620</v>
      </c>
      <c r="N156" s="195">
        <v>1.456668814637449E-2</v>
      </c>
      <c r="O156" s="211">
        <v>0.15997622007838566</v>
      </c>
      <c r="P156" s="178"/>
      <c r="AV156" s="197"/>
      <c r="AW156" s="180"/>
      <c r="AX156" s="182"/>
      <c r="BK156" s="198"/>
      <c r="BM156" s="20"/>
    </row>
    <row r="157" spans="1:65" ht="15.6" x14ac:dyDescent="0.3">
      <c r="A157" s="201">
        <v>90</v>
      </c>
      <c r="B157" s="202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93">
        <v>11.25</v>
      </c>
      <c r="I157" s="124" t="str">
        <f t="shared" si="5"/>
        <v>(90, 100]</v>
      </c>
      <c r="J157" s="160">
        <v>1</v>
      </c>
      <c r="K157" s="205">
        <v>0.1</v>
      </c>
      <c r="L157" s="188">
        <v>8.2667799999999996E-4</v>
      </c>
      <c r="M157" s="208">
        <v>826678</v>
      </c>
      <c r="N157" s="195">
        <v>2.5162801525128553E-3</v>
      </c>
      <c r="O157" s="211">
        <v>3.1173744725171655E-2</v>
      </c>
      <c r="P157" s="178"/>
      <c r="AV157" s="197"/>
      <c r="AW157" s="180"/>
      <c r="AX157" s="182"/>
      <c r="BK157" s="198"/>
      <c r="BM157" s="20"/>
    </row>
    <row r="158" spans="1:65" ht="15.6" x14ac:dyDescent="0.3">
      <c r="A158" s="201">
        <v>100</v>
      </c>
      <c r="B158" s="202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93">
        <v>12.5</v>
      </c>
      <c r="I158" s="124" t="str">
        <f t="shared" si="5"/>
        <v>(100, 120]</v>
      </c>
      <c r="J158" s="160">
        <v>1</v>
      </c>
      <c r="K158" s="205">
        <v>0.1</v>
      </c>
      <c r="L158" s="188">
        <v>6.6284300000000009E-4</v>
      </c>
      <c r="M158" s="208">
        <v>662843</v>
      </c>
      <c r="N158" s="195">
        <v>2.0175917166443025E-3</v>
      </c>
      <c r="O158" s="211">
        <v>2.9458748543417176E-2</v>
      </c>
      <c r="P158" s="178"/>
      <c r="AV158" s="197"/>
      <c r="AW158" s="180"/>
      <c r="AX158" s="182"/>
      <c r="BK158" s="198"/>
      <c r="BM158" s="20"/>
    </row>
    <row r="159" spans="1:65" ht="15.6" x14ac:dyDescent="0.3">
      <c r="A159" s="201">
        <v>120</v>
      </c>
      <c r="B159" s="202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93">
        <v>15</v>
      </c>
      <c r="I159" s="124" t="str">
        <f t="shared" si="5"/>
        <v>(120, 140]</v>
      </c>
      <c r="J159" s="160">
        <v>1</v>
      </c>
      <c r="K159" s="205">
        <v>0.1</v>
      </c>
      <c r="L159" s="188">
        <v>2.3970799999999999E-4</v>
      </c>
      <c r="M159" s="208">
        <v>239708</v>
      </c>
      <c r="N159" s="195">
        <v>7.2963412936905491E-4</v>
      </c>
      <c r="O159" s="211">
        <v>1.2078324623333777E-2</v>
      </c>
      <c r="P159" s="178"/>
      <c r="AV159" s="197"/>
      <c r="AW159" s="180"/>
      <c r="AX159" s="182"/>
      <c r="BK159" s="198"/>
      <c r="BM159" s="20"/>
    </row>
    <row r="160" spans="1:65" ht="15.6" x14ac:dyDescent="0.3">
      <c r="A160" s="201">
        <v>140</v>
      </c>
      <c r="B160" s="202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93">
        <v>17.5</v>
      </c>
      <c r="I160" s="124" t="str">
        <f t="shared" si="5"/>
        <v>(140, 160]</v>
      </c>
      <c r="J160" s="160">
        <v>1</v>
      </c>
      <c r="K160" s="205">
        <v>0.1</v>
      </c>
      <c r="L160" s="188">
        <v>7.8168200000000012E-4</v>
      </c>
      <c r="M160" s="208">
        <v>781682</v>
      </c>
      <c r="N160" s="195">
        <v>2.3793192780944381E-3</v>
      </c>
      <c r="O160" s="211">
        <v>4.6012088857850866E-2</v>
      </c>
      <c r="P160" s="178"/>
      <c r="AV160" s="197"/>
      <c r="AW160" s="180"/>
      <c r="AX160" s="182"/>
      <c r="BK160" s="198"/>
      <c r="BM160" s="20"/>
    </row>
    <row r="161" spans="1:65" ht="15.6" x14ac:dyDescent="0.3">
      <c r="A161" s="201">
        <v>160</v>
      </c>
      <c r="B161" s="202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93">
        <v>20</v>
      </c>
      <c r="I161" s="124" t="str">
        <f t="shared" si="5"/>
        <v>(160, 180]</v>
      </c>
      <c r="J161" s="160">
        <v>1</v>
      </c>
      <c r="K161" s="205">
        <v>1</v>
      </c>
      <c r="L161" s="188">
        <v>2.1941999999999999E-3</v>
      </c>
      <c r="M161" s="208">
        <v>2194200</v>
      </c>
      <c r="N161" s="195">
        <v>6.6788059082783227E-3</v>
      </c>
      <c r="O161" s="211">
        <v>0.1458575517538743</v>
      </c>
      <c r="P161" s="178"/>
      <c r="AV161" s="197"/>
      <c r="AW161" s="180"/>
      <c r="AX161" s="182"/>
      <c r="BK161" s="198"/>
      <c r="BM161" s="20"/>
    </row>
    <row r="162" spans="1:65" ht="15.6" x14ac:dyDescent="0.3">
      <c r="A162" s="201">
        <v>180</v>
      </c>
      <c r="B162" s="202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93">
        <v>22.5</v>
      </c>
      <c r="I162" s="124" t="str">
        <f t="shared" si="5"/>
        <v>(180, 200]</v>
      </c>
      <c r="J162" s="160">
        <v>1</v>
      </c>
      <c r="K162" s="205">
        <v>0.1</v>
      </c>
      <c r="L162" s="188">
        <v>7.8658400000000011E-4</v>
      </c>
      <c r="M162" s="208">
        <v>786584</v>
      </c>
      <c r="N162" s="195">
        <v>2.3942402089860526E-3</v>
      </c>
      <c r="O162" s="211">
        <v>5.9505886890133169E-2</v>
      </c>
      <c r="P162" s="178"/>
      <c r="AV162" s="197"/>
      <c r="AW162" s="180"/>
      <c r="AX162" s="182"/>
      <c r="BK162" s="198"/>
      <c r="BM162" s="20"/>
    </row>
    <row r="163" spans="1:65" ht="15.6" x14ac:dyDescent="0.3">
      <c r="A163" s="201">
        <v>200</v>
      </c>
      <c r="B163" s="202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93">
        <v>25</v>
      </c>
      <c r="I163" s="124" t="str">
        <f t="shared" si="5"/>
        <v>(200, 250]</v>
      </c>
      <c r="J163" s="160">
        <v>1</v>
      </c>
      <c r="K163" s="205">
        <v>0.342665</v>
      </c>
      <c r="L163" s="188">
        <v>2.1872032818E-3</v>
      </c>
      <c r="M163" s="208">
        <v>2187203</v>
      </c>
      <c r="N163" s="195">
        <v>6.6575081209571015E-3</v>
      </c>
      <c r="O163" s="211">
        <v>0.19449414379587535</v>
      </c>
      <c r="P163" s="178"/>
      <c r="AV163" s="197"/>
      <c r="AW163" s="180"/>
      <c r="AX163" s="182"/>
      <c r="BK163" s="198"/>
      <c r="BM163" s="20"/>
    </row>
    <row r="164" spans="1:65" ht="15.6" x14ac:dyDescent="0.3">
      <c r="A164" s="201">
        <v>250</v>
      </c>
      <c r="B164" s="202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 x14ac:dyDescent="0.3">
      <c r="A165" s="201">
        <v>300</v>
      </c>
      <c r="B165" s="202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 x14ac:dyDescent="0.3">
      <c r="A166" s="201">
        <v>350</v>
      </c>
      <c r="B166" s="202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 x14ac:dyDescent="0.3">
      <c r="A167" s="201">
        <v>400</v>
      </c>
      <c r="B167" s="202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 x14ac:dyDescent="0.3">
      <c r="A168" s="201">
        <v>450</v>
      </c>
      <c r="B168" s="202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 x14ac:dyDescent="0.3">
      <c r="A169" s="201">
        <v>500</v>
      </c>
      <c r="B169" s="202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 x14ac:dyDescent="0.3">
      <c r="A170" s="201">
        <v>550</v>
      </c>
      <c r="B170" s="202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 x14ac:dyDescent="0.3">
      <c r="A171" s="201">
        <v>600</v>
      </c>
      <c r="B171" s="202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 x14ac:dyDescent="0.3">
      <c r="A172" s="201">
        <v>650</v>
      </c>
      <c r="B172" s="202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 x14ac:dyDescent="0.3">
      <c r="A173" s="201">
        <v>700</v>
      </c>
      <c r="B173" s="202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 x14ac:dyDescent="0.3">
      <c r="A174" s="201">
        <v>750</v>
      </c>
      <c r="B174" s="202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 x14ac:dyDescent="0.3">
      <c r="A175" s="201">
        <v>800</v>
      </c>
      <c r="B175" s="202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 x14ac:dyDescent="0.3">
      <c r="A176" s="201">
        <v>850</v>
      </c>
      <c r="B176" s="202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 x14ac:dyDescent="0.3">
      <c r="A177" s="201">
        <v>900</v>
      </c>
      <c r="B177" s="202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 x14ac:dyDescent="0.3">
      <c r="A178" s="201">
        <v>950</v>
      </c>
      <c r="B178" s="202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 x14ac:dyDescent="0.3">
      <c r="A179" s="201">
        <v>1000</v>
      </c>
      <c r="B179" s="202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 x14ac:dyDescent="0.3">
      <c r="A180" s="201">
        <v>2000</v>
      </c>
      <c r="B180" s="202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 x14ac:dyDescent="0.3">
      <c r="A181" s="201">
        <v>3000</v>
      </c>
      <c r="B181" s="202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 x14ac:dyDescent="0.3">
      <c r="A182" s="201">
        <v>4000</v>
      </c>
      <c r="B182" s="202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 x14ac:dyDescent="0.3">
      <c r="A183" s="201">
        <v>5000</v>
      </c>
      <c r="B183" s="202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 x14ac:dyDescent="0.3">
      <c r="A184" s="201">
        <v>6000</v>
      </c>
      <c r="B184" s="202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 x14ac:dyDescent="0.35">
      <c r="A185" s="203">
        <v>7000</v>
      </c>
      <c r="B185" s="204">
        <v>8000</v>
      </c>
      <c r="C185" s="162">
        <v>80422</v>
      </c>
      <c r="D185" s="167">
        <v>60431077900</v>
      </c>
      <c r="E185" s="190">
        <f t="shared" si="4"/>
        <v>939.28088551640099</v>
      </c>
      <c r="F185" s="191">
        <v>8.0422000000000002E-4</v>
      </c>
      <c r="G185" s="192">
        <v>0.75538847375000007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 x14ac:dyDescent="0.3">
      <c r="A186" s="242">
        <v>8000</v>
      </c>
      <c r="B186" s="246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 x14ac:dyDescent="0.3">
      <c r="A187" s="242">
        <v>9000</v>
      </c>
      <c r="B187" s="246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 x14ac:dyDescent="0.3">
      <c r="A188" s="242">
        <v>10000</v>
      </c>
      <c r="B188" s="246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 x14ac:dyDescent="0.3">
      <c r="A189" s="242">
        <v>20000</v>
      </c>
      <c r="B189" s="246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 x14ac:dyDescent="0.3">
      <c r="A190" s="242">
        <v>30000</v>
      </c>
      <c r="B190" s="246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 x14ac:dyDescent="0.35">
      <c r="A191" s="243">
        <v>100000</v>
      </c>
      <c r="B191" s="247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 x14ac:dyDescent="0.35">
      <c r="O192" s="10">
        <f>SUM(O175:O185)</f>
        <v>0</v>
      </c>
    </row>
    <row r="193" spans="13:15" ht="16.8" thickBot="1" x14ac:dyDescent="0.35">
      <c r="M193" s="114"/>
      <c r="N193" s="164" t="s">
        <v>181</v>
      </c>
      <c r="O193" s="219" t="s">
        <v>180</v>
      </c>
    </row>
    <row r="194" spans="13:15" x14ac:dyDescent="0.3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3:15" ht="16.8" thickBot="1" x14ac:dyDescent="0.35">
      <c r="M195" s="124" t="s">
        <v>179</v>
      </c>
      <c r="N195" s="218" t="e">
        <f>1/SUM(N192)</f>
        <v>#DIV/0!</v>
      </c>
      <c r="O195" s="220" t="e">
        <v>#DIV/0!</v>
      </c>
    </row>
    <row r="196" spans="13:15" ht="16.8" thickBot="1" x14ac:dyDescent="0.35">
      <c r="M196" s="114" t="s">
        <v>177</v>
      </c>
      <c r="N196" s="184">
        <f>N131</f>
        <v>3500000</v>
      </c>
      <c r="O196" s="165"/>
    </row>
  </sheetData>
  <phoneticPr fontId="2" type="noConversion"/>
  <conditionalFormatting sqref="J4:O61 C4:G61">
    <cfRule type="cellIs" dxfId="87" priority="21" operator="equal">
      <formula>0</formula>
    </cfRule>
  </conditionalFormatting>
  <conditionalFormatting sqref="J135:O185 J134:L134 N134:O134 C135:G185 D134:G134">
    <cfRule type="cellIs" dxfId="86" priority="19" operator="equal">
      <formula>0</formula>
    </cfRule>
  </conditionalFormatting>
  <conditionalFormatting sqref="C70:D120 J70:O120 K69:L69 N69:O69 F69:G120 D69">
    <cfRule type="cellIs" dxfId="85" priority="20" operator="equal">
      <formula>0</formula>
    </cfRule>
  </conditionalFormatting>
  <conditionalFormatting sqref="M134">
    <cfRule type="cellIs" dxfId="84" priority="17" operator="equal">
      <formula>0</formula>
    </cfRule>
  </conditionalFormatting>
  <conditionalFormatting sqref="E69:E120">
    <cfRule type="cellIs" dxfId="83" priority="15" operator="equal">
      <formula>0</formula>
    </cfRule>
  </conditionalFormatting>
  <conditionalFormatting sqref="M69">
    <cfRule type="cellIs" dxfId="82" priority="14" operator="equal">
      <formula>0</formula>
    </cfRule>
  </conditionalFormatting>
  <conditionalFormatting sqref="J69">
    <cfRule type="cellIs" dxfId="81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0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79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8" priority="3" operator="equal">
      <formula>0</formula>
    </cfRule>
  </conditionalFormatting>
  <conditionalFormatting sqref="C134">
    <cfRule type="cellIs" dxfId="7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 x14ac:dyDescent="0.3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 x14ac:dyDescent="0.3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 x14ac:dyDescent="0.3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 x14ac:dyDescent="0.3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 x14ac:dyDescent="0.3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 x14ac:dyDescent="0.3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 x14ac:dyDescent="0.3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 x14ac:dyDescent="0.3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 x14ac:dyDescent="0.3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 x14ac:dyDescent="0.3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 x14ac:dyDescent="0.3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 x14ac:dyDescent="0.3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 x14ac:dyDescent="0.3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 x14ac:dyDescent="0.3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 x14ac:dyDescent="0.3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 x14ac:dyDescent="0.3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 x14ac:dyDescent="0.3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 x14ac:dyDescent="0.3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 x14ac:dyDescent="0.3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 x14ac:dyDescent="0.3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 x14ac:dyDescent="0.3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 x14ac:dyDescent="0.3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 x14ac:dyDescent="0.3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 x14ac:dyDescent="0.3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 x14ac:dyDescent="0.3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 x14ac:dyDescent="0.3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 x14ac:dyDescent="0.3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 x14ac:dyDescent="0.3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 x14ac:dyDescent="0.3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 x14ac:dyDescent="0.3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 x14ac:dyDescent="0.3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 x14ac:dyDescent="0.3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 x14ac:dyDescent="0.3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 x14ac:dyDescent="0.3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 x14ac:dyDescent="0.3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 x14ac:dyDescent="0.3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 x14ac:dyDescent="0.3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 x14ac:dyDescent="0.3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 x14ac:dyDescent="0.3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 x14ac:dyDescent="0.3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 x14ac:dyDescent="0.3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 x14ac:dyDescent="0.3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 x14ac:dyDescent="0.3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 x14ac:dyDescent="0.3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 x14ac:dyDescent="0.3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 x14ac:dyDescent="0.3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 x14ac:dyDescent="0.3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 x14ac:dyDescent="0.3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 x14ac:dyDescent="0.3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 x14ac:dyDescent="0.3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 x14ac:dyDescent="0.35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 x14ac:dyDescent="0.35">
      <c r="M258" s="114"/>
      <c r="N258" s="164" t="s">
        <v>181</v>
      </c>
      <c r="O258" s="219" t="s">
        <v>180</v>
      </c>
      <c r="Q258" s="1">
        <v>0</v>
      </c>
    </row>
    <row r="259" spans="13:17" x14ac:dyDescent="0.3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 x14ac:dyDescent="0.35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 x14ac:dyDescent="0.35">
      <c r="M261" s="114" t="s">
        <v>177</v>
      </c>
      <c r="N261" s="184">
        <f>N196/250</f>
        <v>14000</v>
      </c>
      <c r="O261" s="165"/>
      <c r="Q261" s="1">
        <v>0</v>
      </c>
    </row>
    <row r="262" spans="13:17" x14ac:dyDescent="0.3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 x14ac:dyDescent="0.3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 x14ac:dyDescent="0.3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 x14ac:dyDescent="0.3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 x14ac:dyDescent="0.3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 x14ac:dyDescent="0.3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 x14ac:dyDescent="0.3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 x14ac:dyDescent="0.3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 x14ac:dyDescent="0.3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 x14ac:dyDescent="0.3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 x14ac:dyDescent="0.3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 x14ac:dyDescent="0.3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 x14ac:dyDescent="0.3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 x14ac:dyDescent="0.3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 x14ac:dyDescent="0.3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 x14ac:dyDescent="0.3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 x14ac:dyDescent="0.3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 x14ac:dyDescent="0.3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 x14ac:dyDescent="0.3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 x14ac:dyDescent="0.3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 x14ac:dyDescent="0.3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 x14ac:dyDescent="0.3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 x14ac:dyDescent="0.3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 x14ac:dyDescent="0.3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 x14ac:dyDescent="0.3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 x14ac:dyDescent="0.3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 x14ac:dyDescent="0.3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 x14ac:dyDescent="0.3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 x14ac:dyDescent="0.3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 x14ac:dyDescent="0.3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 x14ac:dyDescent="0.3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 x14ac:dyDescent="0.3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 x14ac:dyDescent="0.3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 x14ac:dyDescent="0.3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 x14ac:dyDescent="0.3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 x14ac:dyDescent="0.3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 x14ac:dyDescent="0.3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 x14ac:dyDescent="0.3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 x14ac:dyDescent="0.3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 x14ac:dyDescent="0.3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 x14ac:dyDescent="0.3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 x14ac:dyDescent="0.3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 x14ac:dyDescent="0.3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 x14ac:dyDescent="0.3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 x14ac:dyDescent="0.3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 x14ac:dyDescent="0.3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 x14ac:dyDescent="0.3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 x14ac:dyDescent="0.3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 x14ac:dyDescent="0.3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 x14ac:dyDescent="0.3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 x14ac:dyDescent="0.3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 x14ac:dyDescent="0.3">
      <c r="Q257" s="1">
        <v>0</v>
      </c>
    </row>
    <row r="258" spans="17:17" x14ac:dyDescent="0.3">
      <c r="Q258" s="1">
        <v>0</v>
      </c>
    </row>
    <row r="259" spans="17:17" x14ac:dyDescent="0.3">
      <c r="Q259" s="1">
        <v>0</v>
      </c>
    </row>
    <row r="260" spans="17:17" x14ac:dyDescent="0.3">
      <c r="Q260" s="1">
        <v>0</v>
      </c>
    </row>
    <row r="261" spans="17:17" x14ac:dyDescent="0.3">
      <c r="Q261" s="1">
        <v>0</v>
      </c>
    </row>
    <row r="262" spans="17:17" x14ac:dyDescent="0.3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 x14ac:dyDescent="0.3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 x14ac:dyDescent="0.3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 x14ac:dyDescent="0.3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 x14ac:dyDescent="0.3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 x14ac:dyDescent="0.3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 x14ac:dyDescent="0.3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 x14ac:dyDescent="0.3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 x14ac:dyDescent="0.3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 x14ac:dyDescent="0.3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 x14ac:dyDescent="0.3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 x14ac:dyDescent="0.3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 x14ac:dyDescent="0.3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 x14ac:dyDescent="0.3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 x14ac:dyDescent="0.3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 x14ac:dyDescent="0.3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 x14ac:dyDescent="0.3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 x14ac:dyDescent="0.3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 x14ac:dyDescent="0.3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 x14ac:dyDescent="0.3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 x14ac:dyDescent="0.3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 x14ac:dyDescent="0.3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 x14ac:dyDescent="0.3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 x14ac:dyDescent="0.3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 x14ac:dyDescent="0.3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 x14ac:dyDescent="0.3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 x14ac:dyDescent="0.3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 x14ac:dyDescent="0.3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 x14ac:dyDescent="0.3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 x14ac:dyDescent="0.3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 x14ac:dyDescent="0.3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 x14ac:dyDescent="0.3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 x14ac:dyDescent="0.3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 x14ac:dyDescent="0.3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 x14ac:dyDescent="0.3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 x14ac:dyDescent="0.3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 x14ac:dyDescent="0.3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 x14ac:dyDescent="0.3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 x14ac:dyDescent="0.3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 x14ac:dyDescent="0.3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 x14ac:dyDescent="0.3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 x14ac:dyDescent="0.3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 x14ac:dyDescent="0.3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 x14ac:dyDescent="0.3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 x14ac:dyDescent="0.3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 x14ac:dyDescent="0.3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 x14ac:dyDescent="0.3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 x14ac:dyDescent="0.3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 x14ac:dyDescent="0.3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 x14ac:dyDescent="0.3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 x14ac:dyDescent="0.35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 x14ac:dyDescent="0.35">
      <c r="M258" s="114"/>
      <c r="N258" s="164" t="s">
        <v>181</v>
      </c>
      <c r="O258" s="219" t="s">
        <v>180</v>
      </c>
      <c r="Q258" s="1">
        <v>0</v>
      </c>
    </row>
    <row r="259" spans="13:17" x14ac:dyDescent="0.3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 x14ac:dyDescent="0.35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 x14ac:dyDescent="0.35">
      <c r="M261" s="114" t="s">
        <v>177</v>
      </c>
      <c r="N261" s="184">
        <f>N196/250</f>
        <v>14000</v>
      </c>
      <c r="O261" s="165"/>
      <c r="Q261" s="1">
        <v>0</v>
      </c>
    </row>
    <row r="262" spans="13:17" x14ac:dyDescent="0.3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'[6]Raw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 x14ac:dyDescent="0.3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 x14ac:dyDescent="0.3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 x14ac:dyDescent="0.3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 x14ac:dyDescent="0.3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 x14ac:dyDescent="0.3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 x14ac:dyDescent="0.3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 x14ac:dyDescent="0.3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 x14ac:dyDescent="0.3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 x14ac:dyDescent="0.3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 x14ac:dyDescent="0.3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 x14ac:dyDescent="0.3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 x14ac:dyDescent="0.3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 x14ac:dyDescent="0.3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 x14ac:dyDescent="0.3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 x14ac:dyDescent="0.3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 x14ac:dyDescent="0.3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 x14ac:dyDescent="0.3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 x14ac:dyDescent="0.3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 x14ac:dyDescent="0.3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 x14ac:dyDescent="0.3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 x14ac:dyDescent="0.3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 x14ac:dyDescent="0.3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 x14ac:dyDescent="0.3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 x14ac:dyDescent="0.3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 x14ac:dyDescent="0.3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 x14ac:dyDescent="0.3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 x14ac:dyDescent="0.3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 x14ac:dyDescent="0.3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 x14ac:dyDescent="0.3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 x14ac:dyDescent="0.3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 x14ac:dyDescent="0.3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 x14ac:dyDescent="0.3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 x14ac:dyDescent="0.3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 x14ac:dyDescent="0.3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 x14ac:dyDescent="0.3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 x14ac:dyDescent="0.3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 x14ac:dyDescent="0.3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 x14ac:dyDescent="0.3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 x14ac:dyDescent="0.3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 x14ac:dyDescent="0.3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 x14ac:dyDescent="0.3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 x14ac:dyDescent="0.3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 x14ac:dyDescent="0.3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 x14ac:dyDescent="0.3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 x14ac:dyDescent="0.3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 x14ac:dyDescent="0.3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 x14ac:dyDescent="0.3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 x14ac:dyDescent="0.3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 x14ac:dyDescent="0.3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 x14ac:dyDescent="0.3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 x14ac:dyDescent="0.3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 x14ac:dyDescent="0.3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 x14ac:dyDescent="0.3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 x14ac:dyDescent="0.3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 x14ac:dyDescent="0.3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 x14ac:dyDescent="0.3">
      <c r="Q257" s="1">
        <v>0</v>
      </c>
    </row>
    <row r="258" spans="17:17" x14ac:dyDescent="0.3">
      <c r="Q258" s="1">
        <v>0</v>
      </c>
    </row>
    <row r="259" spans="17:17" x14ac:dyDescent="0.3">
      <c r="Q259" s="1">
        <v>0</v>
      </c>
    </row>
    <row r="260" spans="17:17" x14ac:dyDescent="0.3">
      <c r="Q260" s="1">
        <v>0</v>
      </c>
    </row>
    <row r="261" spans="17:17" x14ac:dyDescent="0.3">
      <c r="Q261" s="1">
        <v>0</v>
      </c>
    </row>
    <row r="262" spans="17:17" x14ac:dyDescent="0.3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 x14ac:dyDescent="0.3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 x14ac:dyDescent="0.3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 x14ac:dyDescent="0.35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 x14ac:dyDescent="0.3">
      <c r="A4" s="199">
        <v>-1</v>
      </c>
      <c r="B4" s="200">
        <v>0</v>
      </c>
      <c r="C4" s="158" cm="1">
        <f t="array" ref="C4:D55">'[7]Raw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 x14ac:dyDescent="0.3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 x14ac:dyDescent="0.3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 x14ac:dyDescent="0.3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 x14ac:dyDescent="0.3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 x14ac:dyDescent="0.3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 x14ac:dyDescent="0.3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 x14ac:dyDescent="0.3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 x14ac:dyDescent="0.3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 x14ac:dyDescent="0.3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 x14ac:dyDescent="0.3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 x14ac:dyDescent="0.3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 x14ac:dyDescent="0.3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 x14ac:dyDescent="0.3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 x14ac:dyDescent="0.3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 x14ac:dyDescent="0.3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 x14ac:dyDescent="0.3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 x14ac:dyDescent="0.3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 x14ac:dyDescent="0.3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 x14ac:dyDescent="0.3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 x14ac:dyDescent="0.3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 x14ac:dyDescent="0.3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 x14ac:dyDescent="0.3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 x14ac:dyDescent="0.3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 x14ac:dyDescent="0.3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 x14ac:dyDescent="0.3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 x14ac:dyDescent="0.3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 x14ac:dyDescent="0.3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 x14ac:dyDescent="0.3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 x14ac:dyDescent="0.3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 x14ac:dyDescent="0.3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 x14ac:dyDescent="0.3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 x14ac:dyDescent="0.3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 x14ac:dyDescent="0.3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 x14ac:dyDescent="0.3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 x14ac:dyDescent="0.3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 x14ac:dyDescent="0.3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 x14ac:dyDescent="0.3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 x14ac:dyDescent="0.3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 x14ac:dyDescent="0.3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 x14ac:dyDescent="0.3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 x14ac:dyDescent="0.3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 x14ac:dyDescent="0.3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 x14ac:dyDescent="0.3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 x14ac:dyDescent="0.3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 x14ac:dyDescent="0.3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 x14ac:dyDescent="0.3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 x14ac:dyDescent="0.3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 x14ac:dyDescent="0.3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 x14ac:dyDescent="0.3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 x14ac:dyDescent="0.3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 x14ac:dyDescent="0.35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 x14ac:dyDescent="0.35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 x14ac:dyDescent="0.35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 x14ac:dyDescent="0.3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 x14ac:dyDescent="0.35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 x14ac:dyDescent="0.35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 x14ac:dyDescent="0.35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 x14ac:dyDescent="0.35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 x14ac:dyDescent="0.3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 x14ac:dyDescent="0.3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 x14ac:dyDescent="0.3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 x14ac:dyDescent="0.3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 x14ac:dyDescent="0.3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 x14ac:dyDescent="0.3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 x14ac:dyDescent="0.3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 x14ac:dyDescent="0.3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 x14ac:dyDescent="0.3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 x14ac:dyDescent="0.3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 x14ac:dyDescent="0.3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 x14ac:dyDescent="0.3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 x14ac:dyDescent="0.3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 x14ac:dyDescent="0.3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 x14ac:dyDescent="0.3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 x14ac:dyDescent="0.3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 x14ac:dyDescent="0.3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 x14ac:dyDescent="0.3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 x14ac:dyDescent="0.3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 x14ac:dyDescent="0.3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 x14ac:dyDescent="0.3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 x14ac:dyDescent="0.3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 x14ac:dyDescent="0.3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 x14ac:dyDescent="0.3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 x14ac:dyDescent="0.3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 x14ac:dyDescent="0.3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 x14ac:dyDescent="0.3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 x14ac:dyDescent="0.3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 x14ac:dyDescent="0.3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 x14ac:dyDescent="0.3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 x14ac:dyDescent="0.3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 x14ac:dyDescent="0.3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 x14ac:dyDescent="0.3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 x14ac:dyDescent="0.3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 x14ac:dyDescent="0.3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 x14ac:dyDescent="0.3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 x14ac:dyDescent="0.3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 x14ac:dyDescent="0.3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 x14ac:dyDescent="0.3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 x14ac:dyDescent="0.3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 x14ac:dyDescent="0.3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 x14ac:dyDescent="0.3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 x14ac:dyDescent="0.3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 x14ac:dyDescent="0.3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 x14ac:dyDescent="0.3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 x14ac:dyDescent="0.3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 x14ac:dyDescent="0.3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 x14ac:dyDescent="0.3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 x14ac:dyDescent="0.3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 x14ac:dyDescent="0.3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 x14ac:dyDescent="0.3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 x14ac:dyDescent="0.35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 x14ac:dyDescent="0.3">
      <c r="Y115" s="1">
        <v>90</v>
      </c>
      <c r="Z115" s="1">
        <v>100</v>
      </c>
    </row>
    <row r="116" spans="1:26" x14ac:dyDescent="0.3">
      <c r="Y116" s="1">
        <v>140</v>
      </c>
      <c r="Z116" s="1">
        <v>160</v>
      </c>
    </row>
    <row r="117" spans="1:26" x14ac:dyDescent="0.3">
      <c r="Y117" s="1">
        <v>160</v>
      </c>
      <c r="Z117" s="1">
        <v>180</v>
      </c>
    </row>
    <row r="119" spans="1:26" x14ac:dyDescent="0.3">
      <c r="D119" s="1" t="s">
        <v>183</v>
      </c>
      <c r="E119" s="1">
        <v>800</v>
      </c>
    </row>
    <row r="120" spans="1:26" ht="16.8" thickBot="1" x14ac:dyDescent="0.35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 x14ac:dyDescent="0.35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 x14ac:dyDescent="0.3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 x14ac:dyDescent="0.3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 x14ac:dyDescent="0.3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 x14ac:dyDescent="0.3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 x14ac:dyDescent="0.3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 x14ac:dyDescent="0.3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 x14ac:dyDescent="0.3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 x14ac:dyDescent="0.3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 x14ac:dyDescent="0.3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 x14ac:dyDescent="0.3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 x14ac:dyDescent="0.3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 x14ac:dyDescent="0.3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 x14ac:dyDescent="0.3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 x14ac:dyDescent="0.3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 x14ac:dyDescent="0.3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 x14ac:dyDescent="0.3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 x14ac:dyDescent="0.3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 x14ac:dyDescent="0.3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 x14ac:dyDescent="0.3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 x14ac:dyDescent="0.3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 x14ac:dyDescent="0.3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 x14ac:dyDescent="0.3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 x14ac:dyDescent="0.3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 x14ac:dyDescent="0.3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 x14ac:dyDescent="0.3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 x14ac:dyDescent="0.3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 x14ac:dyDescent="0.3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 x14ac:dyDescent="0.3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 x14ac:dyDescent="0.3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 x14ac:dyDescent="0.3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 x14ac:dyDescent="0.3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 x14ac:dyDescent="0.3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 x14ac:dyDescent="0.3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 x14ac:dyDescent="0.3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 x14ac:dyDescent="0.3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 x14ac:dyDescent="0.3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 x14ac:dyDescent="0.3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 x14ac:dyDescent="0.3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 x14ac:dyDescent="0.3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 x14ac:dyDescent="0.3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 x14ac:dyDescent="0.3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 x14ac:dyDescent="0.3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 x14ac:dyDescent="0.3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 x14ac:dyDescent="0.3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 x14ac:dyDescent="0.3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 x14ac:dyDescent="0.3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 x14ac:dyDescent="0.3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 x14ac:dyDescent="0.3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 x14ac:dyDescent="0.3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 x14ac:dyDescent="0.3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 x14ac:dyDescent="0.3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 x14ac:dyDescent="0.35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 x14ac:dyDescent="0.3">
      <c r="D178" s="1" t="s">
        <v>183</v>
      </c>
      <c r="E178" s="1">
        <v>800</v>
      </c>
    </row>
    <row r="179" spans="1:15" ht="16.8" thickBot="1" x14ac:dyDescent="0.35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 x14ac:dyDescent="0.35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 x14ac:dyDescent="0.3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 x14ac:dyDescent="0.3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 x14ac:dyDescent="0.3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 x14ac:dyDescent="0.3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 x14ac:dyDescent="0.3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 x14ac:dyDescent="0.3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 x14ac:dyDescent="0.3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 x14ac:dyDescent="0.3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 x14ac:dyDescent="0.3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 x14ac:dyDescent="0.3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 x14ac:dyDescent="0.3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 x14ac:dyDescent="0.3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 x14ac:dyDescent="0.3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 x14ac:dyDescent="0.3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 x14ac:dyDescent="0.3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 x14ac:dyDescent="0.3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 x14ac:dyDescent="0.3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 x14ac:dyDescent="0.3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 x14ac:dyDescent="0.3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 x14ac:dyDescent="0.3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 x14ac:dyDescent="0.3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 x14ac:dyDescent="0.3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 x14ac:dyDescent="0.3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 x14ac:dyDescent="0.3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 x14ac:dyDescent="0.3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 x14ac:dyDescent="0.3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 x14ac:dyDescent="0.3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 x14ac:dyDescent="0.3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 x14ac:dyDescent="0.3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 x14ac:dyDescent="0.3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 x14ac:dyDescent="0.3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 x14ac:dyDescent="0.3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 x14ac:dyDescent="0.3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 x14ac:dyDescent="0.3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 x14ac:dyDescent="0.3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 x14ac:dyDescent="0.3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 x14ac:dyDescent="0.3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 x14ac:dyDescent="0.3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 x14ac:dyDescent="0.3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 x14ac:dyDescent="0.3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 x14ac:dyDescent="0.3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 x14ac:dyDescent="0.3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 x14ac:dyDescent="0.3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 x14ac:dyDescent="0.3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 x14ac:dyDescent="0.3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 x14ac:dyDescent="0.3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 x14ac:dyDescent="0.3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 x14ac:dyDescent="0.3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 x14ac:dyDescent="0.3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 x14ac:dyDescent="0.3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 x14ac:dyDescent="0.3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 x14ac:dyDescent="0.35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 x14ac:dyDescent="0.3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 x14ac:dyDescent="0.35">
      <c r="A1" s="317" t="s">
        <v>138</v>
      </c>
      <c r="B1" s="317"/>
      <c r="C1" s="317"/>
      <c r="D1" s="317"/>
      <c r="E1" s="317"/>
      <c r="F1" s="317"/>
      <c r="G1" s="1"/>
      <c r="H1" s="317" t="s">
        <v>139</v>
      </c>
      <c r="I1" s="317"/>
      <c r="J1" s="317"/>
      <c r="K1" s="317"/>
      <c r="L1" s="317"/>
      <c r="M1" s="317"/>
      <c r="N1" s="1"/>
      <c r="O1" s="317" t="s">
        <v>140</v>
      </c>
      <c r="P1" s="317"/>
      <c r="Q1" s="317"/>
      <c r="R1" s="317"/>
      <c r="S1" s="317"/>
      <c r="T1" s="317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 x14ac:dyDescent="0.35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 x14ac:dyDescent="0.3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</v>
      </c>
      <c r="BL3" s="29">
        <v>1</v>
      </c>
      <c r="BM3" s="29">
        <v>1</v>
      </c>
      <c r="BN3" s="65"/>
      <c r="BO3" s="29">
        <f ca="1">OFFSET(BK$2,COUNTA(BK$3:BK$211),0)</f>
        <v>1</v>
      </c>
      <c r="BP3" s="29">
        <f t="shared" ref="BP3" ca="1" si="11">OFFSET(BL$2,COUNTA(BL$3:BL$211),0)</f>
        <v>1</v>
      </c>
      <c r="BQ3" s="29">
        <f t="shared" ref="BQ3" ca="1" si="12">OFFSET(BM$2,COUNTA(BM$3:BM$211),0)</f>
        <v>1</v>
      </c>
      <c r="BR3" s="65"/>
      <c r="BS3" s="29">
        <f ca="1">OFFSET(BK$2,COUNTA(BK$3:BK$211)-1,0)</f>
        <v>1</v>
      </c>
      <c r="BT3" s="29">
        <f t="shared" ref="BT3" ca="1" si="13">OFFSET(BL$2,COUNTA(BL$3:BL$211)-1,0)</f>
        <v>1</v>
      </c>
      <c r="BU3" s="29">
        <f t="shared" ref="BU3" ca="1" si="14">OFFSET(BM$2,COUNTA(BM$3:BM$211)-1,0)</f>
        <v>1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 x14ac:dyDescent="0.3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1</v>
      </c>
      <c r="BL4" s="29">
        <v>1</v>
      </c>
      <c r="BM4" s="29">
        <v>1</v>
      </c>
      <c r="BN4" s="65"/>
      <c r="BO4" s="29">
        <f>IF(BK3="","",BK3)</f>
        <v>1</v>
      </c>
      <c r="BP4" s="29">
        <f t="shared" ref="BP4:BP67" si="37">IF(BL3="","",BL3)</f>
        <v>1</v>
      </c>
      <c r="BQ4" s="29">
        <f t="shared" ref="BQ4:BQ67" si="38">IF(BM3="","",BM3)</f>
        <v>1</v>
      </c>
      <c r="BR4" s="65"/>
      <c r="BS4" s="29">
        <f ca="1">OFFSET(BK$2,COUNTA(BK$3:BK$211),0)</f>
        <v>1</v>
      </c>
      <c r="BT4" s="29">
        <f t="shared" ref="BT4" ca="1" si="39">OFFSET(BL$2,COUNTA(BL$3:BL$211),0)</f>
        <v>1</v>
      </c>
      <c r="BU4" s="29">
        <f t="shared" ref="BU4" ca="1" si="40">OFFSET(BM$2,COUNTA(BM$3:BM$211),0)</f>
        <v>1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 x14ac:dyDescent="0.3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1</v>
      </c>
      <c r="BL5" s="29">
        <v>1</v>
      </c>
      <c r="BM5" s="29">
        <v>1</v>
      </c>
      <c r="BN5" s="65"/>
      <c r="BO5" s="29">
        <f t="shared" ref="BO5:BO68" si="51">IF(BK4="","",BK4)</f>
        <v>1</v>
      </c>
      <c r="BP5" s="29">
        <f t="shared" si="37"/>
        <v>1</v>
      </c>
      <c r="BQ5" s="29">
        <f t="shared" si="38"/>
        <v>1</v>
      </c>
      <c r="BR5" s="65"/>
      <c r="BS5" s="29">
        <f>IF(BK3="","",BK3)</f>
        <v>1</v>
      </c>
      <c r="BT5" s="29">
        <f t="shared" ref="BT5:BT68" si="52">IF(BL3="","",BL3)</f>
        <v>1</v>
      </c>
      <c r="BU5" s="29">
        <f t="shared" ref="BU5:BU68" si="53">IF(BM3="","",BM3)</f>
        <v>1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 x14ac:dyDescent="0.3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1</v>
      </c>
      <c r="BL6" s="29">
        <v>1</v>
      </c>
      <c r="BM6" s="29">
        <v>1</v>
      </c>
      <c r="BN6" s="65"/>
      <c r="BO6" s="29">
        <f t="shared" si="51"/>
        <v>1</v>
      </c>
      <c r="BP6" s="29">
        <f t="shared" si="37"/>
        <v>1</v>
      </c>
      <c r="BQ6" s="29">
        <f t="shared" si="38"/>
        <v>1</v>
      </c>
      <c r="BR6" s="65"/>
      <c r="BS6" s="29">
        <f t="shared" ref="BS6:BS69" si="59">IF(BK4="","",BK4)</f>
        <v>1</v>
      </c>
      <c r="BT6" s="29">
        <f t="shared" si="52"/>
        <v>1</v>
      </c>
      <c r="BU6" s="29">
        <f t="shared" si="53"/>
        <v>1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 x14ac:dyDescent="0.3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1</v>
      </c>
      <c r="BL7" s="29">
        <v>1</v>
      </c>
      <c r="BM7" s="29">
        <v>1</v>
      </c>
      <c r="BN7" s="65"/>
      <c r="BO7" s="29">
        <f t="shared" si="51"/>
        <v>1</v>
      </c>
      <c r="BP7" s="29">
        <f t="shared" si="37"/>
        <v>1</v>
      </c>
      <c r="BQ7" s="29">
        <f t="shared" si="38"/>
        <v>1</v>
      </c>
      <c r="BR7" s="65"/>
      <c r="BS7" s="29">
        <f t="shared" si="59"/>
        <v>1</v>
      </c>
      <c r="BT7" s="29">
        <f t="shared" si="52"/>
        <v>1</v>
      </c>
      <c r="BU7" s="29">
        <f t="shared" si="53"/>
        <v>1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 x14ac:dyDescent="0.3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1</v>
      </c>
      <c r="BL8" s="29">
        <v>1</v>
      </c>
      <c r="BM8" s="29">
        <v>1</v>
      </c>
      <c r="BN8" s="65"/>
      <c r="BO8" s="29">
        <f t="shared" si="51"/>
        <v>1</v>
      </c>
      <c r="BP8" s="29">
        <f t="shared" si="37"/>
        <v>1</v>
      </c>
      <c r="BQ8" s="29">
        <f t="shared" si="38"/>
        <v>1</v>
      </c>
      <c r="BR8" s="65"/>
      <c r="BS8" s="29">
        <f t="shared" si="59"/>
        <v>1</v>
      </c>
      <c r="BT8" s="29">
        <f t="shared" si="52"/>
        <v>1</v>
      </c>
      <c r="BU8" s="29">
        <f t="shared" si="53"/>
        <v>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 x14ac:dyDescent="0.3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</v>
      </c>
      <c r="BL9" s="29">
        <v>1</v>
      </c>
      <c r="BM9" s="29">
        <v>1</v>
      </c>
      <c r="BN9" s="65"/>
      <c r="BO9" s="29">
        <f t="shared" si="51"/>
        <v>1</v>
      </c>
      <c r="BP9" s="29">
        <f t="shared" si="37"/>
        <v>1</v>
      </c>
      <c r="BQ9" s="29">
        <f t="shared" si="38"/>
        <v>1</v>
      </c>
      <c r="BR9" s="65"/>
      <c r="BS9" s="29">
        <f t="shared" si="59"/>
        <v>1</v>
      </c>
      <c r="BT9" s="29">
        <f t="shared" si="52"/>
        <v>1</v>
      </c>
      <c r="BU9" s="29">
        <f t="shared" si="53"/>
        <v>1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 x14ac:dyDescent="0.3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</v>
      </c>
      <c r="BL10" s="29">
        <v>1</v>
      </c>
      <c r="BM10" s="29">
        <v>1</v>
      </c>
      <c r="BN10" s="65"/>
      <c r="BO10" s="29">
        <f t="shared" si="51"/>
        <v>1</v>
      </c>
      <c r="BP10" s="29">
        <f t="shared" si="37"/>
        <v>1</v>
      </c>
      <c r="BQ10" s="29">
        <f t="shared" si="38"/>
        <v>1</v>
      </c>
      <c r="BR10" s="65"/>
      <c r="BS10" s="29">
        <f t="shared" si="59"/>
        <v>1</v>
      </c>
      <c r="BT10" s="29">
        <f t="shared" si="52"/>
        <v>1</v>
      </c>
      <c r="BU10" s="29">
        <f t="shared" si="53"/>
        <v>1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 x14ac:dyDescent="0.3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</v>
      </c>
      <c r="BL11" s="29">
        <v>1</v>
      </c>
      <c r="BM11" s="29">
        <v>1</v>
      </c>
      <c r="BN11" s="65"/>
      <c r="BO11" s="29">
        <f t="shared" si="51"/>
        <v>1</v>
      </c>
      <c r="BP11" s="29">
        <f t="shared" si="37"/>
        <v>1</v>
      </c>
      <c r="BQ11" s="29">
        <f t="shared" si="38"/>
        <v>1</v>
      </c>
      <c r="BR11" s="65"/>
      <c r="BS11" s="29">
        <f t="shared" si="59"/>
        <v>1</v>
      </c>
      <c r="BT11" s="29">
        <f t="shared" si="52"/>
        <v>1</v>
      </c>
      <c r="BU11" s="29">
        <f t="shared" si="53"/>
        <v>1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 x14ac:dyDescent="0.3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</v>
      </c>
      <c r="BL12" s="29">
        <v>1</v>
      </c>
      <c r="BM12" s="29">
        <v>1</v>
      </c>
      <c r="BN12" s="65"/>
      <c r="BO12" s="29">
        <f t="shared" si="51"/>
        <v>1</v>
      </c>
      <c r="BP12" s="29">
        <f t="shared" si="37"/>
        <v>1</v>
      </c>
      <c r="BQ12" s="29">
        <f t="shared" si="38"/>
        <v>1</v>
      </c>
      <c r="BR12" s="65"/>
      <c r="BS12" s="29">
        <f t="shared" si="59"/>
        <v>1</v>
      </c>
      <c r="BT12" s="29">
        <f t="shared" si="52"/>
        <v>1</v>
      </c>
      <c r="BU12" s="29">
        <f t="shared" si="53"/>
        <v>1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 x14ac:dyDescent="0.35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</v>
      </c>
      <c r="BL13" s="29">
        <v>1</v>
      </c>
      <c r="BM13" s="29">
        <v>1</v>
      </c>
      <c r="BN13" s="65"/>
      <c r="BO13" s="29">
        <f t="shared" si="51"/>
        <v>1</v>
      </c>
      <c r="BP13" s="29">
        <f t="shared" si="37"/>
        <v>1</v>
      </c>
      <c r="BQ13" s="29">
        <f t="shared" si="38"/>
        <v>1</v>
      </c>
      <c r="BR13" s="65"/>
      <c r="BS13" s="29">
        <f t="shared" si="59"/>
        <v>1</v>
      </c>
      <c r="BT13" s="29">
        <f t="shared" si="52"/>
        <v>1</v>
      </c>
      <c r="BU13" s="29">
        <f t="shared" si="53"/>
        <v>1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 x14ac:dyDescent="0.3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</v>
      </c>
      <c r="BL14" s="29">
        <v>1</v>
      </c>
      <c r="BM14" s="29">
        <v>1</v>
      </c>
      <c r="BN14" s="65"/>
      <c r="BO14" s="29">
        <f t="shared" si="51"/>
        <v>1</v>
      </c>
      <c r="BP14" s="29">
        <f t="shared" si="37"/>
        <v>1</v>
      </c>
      <c r="BQ14" s="29">
        <f t="shared" si="38"/>
        <v>1</v>
      </c>
      <c r="BR14" s="65"/>
      <c r="BS14" s="29">
        <f t="shared" si="59"/>
        <v>1</v>
      </c>
      <c r="BT14" s="29">
        <f t="shared" si="52"/>
        <v>1</v>
      </c>
      <c r="BU14" s="29">
        <f t="shared" si="53"/>
        <v>1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 x14ac:dyDescent="0.3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</v>
      </c>
      <c r="BL15" s="29">
        <v>1</v>
      </c>
      <c r="BM15" s="29">
        <v>1</v>
      </c>
      <c r="BN15" s="65"/>
      <c r="BO15" s="29">
        <f t="shared" si="51"/>
        <v>1</v>
      </c>
      <c r="BP15" s="29">
        <f t="shared" si="37"/>
        <v>1</v>
      </c>
      <c r="BQ15" s="29">
        <f t="shared" si="38"/>
        <v>1</v>
      </c>
      <c r="BR15" s="65"/>
      <c r="BS15" s="29">
        <f t="shared" si="59"/>
        <v>1</v>
      </c>
      <c r="BT15" s="29">
        <f t="shared" si="52"/>
        <v>1</v>
      </c>
      <c r="BU15" s="29">
        <f t="shared" si="53"/>
        <v>1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 x14ac:dyDescent="0.35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</v>
      </c>
      <c r="BL16" s="29">
        <v>1</v>
      </c>
      <c r="BM16" s="29">
        <v>1</v>
      </c>
      <c r="BN16" s="65"/>
      <c r="BO16" s="29">
        <f t="shared" si="51"/>
        <v>1</v>
      </c>
      <c r="BP16" s="29">
        <f t="shared" si="37"/>
        <v>1</v>
      </c>
      <c r="BQ16" s="29">
        <f t="shared" si="38"/>
        <v>1</v>
      </c>
      <c r="BR16" s="65"/>
      <c r="BS16" s="29">
        <f t="shared" si="59"/>
        <v>1</v>
      </c>
      <c r="BT16" s="29">
        <f t="shared" si="52"/>
        <v>1</v>
      </c>
      <c r="BU16" s="29">
        <f t="shared" si="53"/>
        <v>1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 x14ac:dyDescent="0.35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</v>
      </c>
      <c r="BL17" s="29">
        <v>1</v>
      </c>
      <c r="BM17" s="29">
        <v>1</v>
      </c>
      <c r="BN17" s="65"/>
      <c r="BO17" s="29">
        <f t="shared" si="51"/>
        <v>1</v>
      </c>
      <c r="BP17" s="29">
        <f t="shared" si="37"/>
        <v>1</v>
      </c>
      <c r="BQ17" s="29">
        <f t="shared" si="38"/>
        <v>1</v>
      </c>
      <c r="BR17" s="65"/>
      <c r="BS17" s="29">
        <f t="shared" si="59"/>
        <v>1</v>
      </c>
      <c r="BT17" s="29">
        <f t="shared" si="52"/>
        <v>1</v>
      </c>
      <c r="BU17" s="29">
        <f t="shared" si="53"/>
        <v>1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 x14ac:dyDescent="0.3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</v>
      </c>
      <c r="BL18" s="29">
        <v>1</v>
      </c>
      <c r="BM18" s="29">
        <v>1</v>
      </c>
      <c r="BN18" s="65"/>
      <c r="BO18" s="29">
        <f t="shared" si="51"/>
        <v>1</v>
      </c>
      <c r="BP18" s="29">
        <f t="shared" si="37"/>
        <v>1</v>
      </c>
      <c r="BQ18" s="29">
        <f t="shared" si="38"/>
        <v>1</v>
      </c>
      <c r="BR18" s="65"/>
      <c r="BS18" s="29">
        <f t="shared" si="59"/>
        <v>1</v>
      </c>
      <c r="BT18" s="29">
        <f t="shared" si="52"/>
        <v>1</v>
      </c>
      <c r="BU18" s="29">
        <f t="shared" si="53"/>
        <v>1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 x14ac:dyDescent="0.3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</v>
      </c>
      <c r="BL19" s="29">
        <v>1</v>
      </c>
      <c r="BM19" s="29">
        <v>1</v>
      </c>
      <c r="BN19" s="65"/>
      <c r="BO19" s="29">
        <f t="shared" si="51"/>
        <v>1</v>
      </c>
      <c r="BP19" s="29">
        <f t="shared" si="37"/>
        <v>1</v>
      </c>
      <c r="BQ19" s="29">
        <f t="shared" si="38"/>
        <v>1</v>
      </c>
      <c r="BR19" s="65"/>
      <c r="BS19" s="29">
        <f t="shared" si="59"/>
        <v>1</v>
      </c>
      <c r="BT19" s="29">
        <f t="shared" si="52"/>
        <v>1</v>
      </c>
      <c r="BU19" s="29">
        <f t="shared" si="53"/>
        <v>1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 x14ac:dyDescent="0.3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</v>
      </c>
      <c r="BL20" s="29">
        <v>1</v>
      </c>
      <c r="BM20" s="29">
        <v>1</v>
      </c>
      <c r="BN20" s="65"/>
      <c r="BO20" s="29">
        <f t="shared" si="51"/>
        <v>1</v>
      </c>
      <c r="BP20" s="29">
        <f t="shared" si="37"/>
        <v>1</v>
      </c>
      <c r="BQ20" s="29">
        <f t="shared" si="38"/>
        <v>1</v>
      </c>
      <c r="BR20" s="65"/>
      <c r="BS20" s="29">
        <f t="shared" si="59"/>
        <v>1</v>
      </c>
      <c r="BT20" s="29">
        <f t="shared" si="52"/>
        <v>1</v>
      </c>
      <c r="BU20" s="29">
        <f t="shared" si="53"/>
        <v>1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 x14ac:dyDescent="0.3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</v>
      </c>
      <c r="BL21" s="29">
        <v>1</v>
      </c>
      <c r="BM21" s="29">
        <v>1</v>
      </c>
      <c r="BN21" s="65"/>
      <c r="BO21" s="29">
        <f t="shared" si="51"/>
        <v>1</v>
      </c>
      <c r="BP21" s="29">
        <f t="shared" si="37"/>
        <v>1</v>
      </c>
      <c r="BQ21" s="29">
        <f t="shared" si="38"/>
        <v>1</v>
      </c>
      <c r="BR21" s="65"/>
      <c r="BS21" s="29">
        <f t="shared" si="59"/>
        <v>1</v>
      </c>
      <c r="BT21" s="29">
        <f t="shared" si="52"/>
        <v>1</v>
      </c>
      <c r="BU21" s="29">
        <f t="shared" si="53"/>
        <v>1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 x14ac:dyDescent="0.3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</v>
      </c>
      <c r="BL22" s="29">
        <v>1</v>
      </c>
      <c r="BM22" s="29">
        <v>1</v>
      </c>
      <c r="BN22" s="65"/>
      <c r="BO22" s="29">
        <f t="shared" si="51"/>
        <v>1</v>
      </c>
      <c r="BP22" s="29">
        <f t="shared" si="37"/>
        <v>1</v>
      </c>
      <c r="BQ22" s="29">
        <f t="shared" si="38"/>
        <v>1</v>
      </c>
      <c r="BR22" s="65"/>
      <c r="BS22" s="29">
        <f t="shared" si="59"/>
        <v>1</v>
      </c>
      <c r="BT22" s="29">
        <f t="shared" si="52"/>
        <v>1</v>
      </c>
      <c r="BU22" s="29">
        <f t="shared" si="53"/>
        <v>1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 x14ac:dyDescent="0.3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</v>
      </c>
      <c r="BL23" s="29">
        <v>1</v>
      </c>
      <c r="BM23" s="29">
        <v>1</v>
      </c>
      <c r="BN23" s="65"/>
      <c r="BO23" s="29">
        <f t="shared" si="51"/>
        <v>1</v>
      </c>
      <c r="BP23" s="29">
        <f t="shared" si="37"/>
        <v>1</v>
      </c>
      <c r="BQ23" s="29">
        <f t="shared" si="38"/>
        <v>1</v>
      </c>
      <c r="BR23" s="65"/>
      <c r="BS23" s="29">
        <f t="shared" si="59"/>
        <v>1</v>
      </c>
      <c r="BT23" s="29">
        <f t="shared" si="52"/>
        <v>1</v>
      </c>
      <c r="BU23" s="29">
        <f t="shared" si="53"/>
        <v>1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 x14ac:dyDescent="0.3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</v>
      </c>
      <c r="BL24" s="29">
        <v>1</v>
      </c>
      <c r="BM24" s="29">
        <v>1</v>
      </c>
      <c r="BN24" s="65"/>
      <c r="BO24" s="29">
        <f t="shared" si="51"/>
        <v>1</v>
      </c>
      <c r="BP24" s="29">
        <f t="shared" si="37"/>
        <v>1</v>
      </c>
      <c r="BQ24" s="29">
        <f t="shared" si="38"/>
        <v>1</v>
      </c>
      <c r="BR24" s="65"/>
      <c r="BS24" s="29">
        <f t="shared" si="59"/>
        <v>1</v>
      </c>
      <c r="BT24" s="29">
        <f t="shared" si="52"/>
        <v>1</v>
      </c>
      <c r="BU24" s="29">
        <f t="shared" si="53"/>
        <v>1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 x14ac:dyDescent="0.35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</v>
      </c>
      <c r="BL25" s="29">
        <v>1</v>
      </c>
      <c r="BM25" s="29">
        <v>1</v>
      </c>
      <c r="BN25" s="65"/>
      <c r="BO25" s="29">
        <f t="shared" si="51"/>
        <v>1</v>
      </c>
      <c r="BP25" s="29">
        <f t="shared" si="37"/>
        <v>1</v>
      </c>
      <c r="BQ25" s="29">
        <f t="shared" si="38"/>
        <v>1</v>
      </c>
      <c r="BR25" s="65"/>
      <c r="BS25" s="29">
        <f t="shared" si="59"/>
        <v>1</v>
      </c>
      <c r="BT25" s="29">
        <f t="shared" si="52"/>
        <v>1</v>
      </c>
      <c r="BU25" s="29">
        <f t="shared" si="53"/>
        <v>1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 x14ac:dyDescent="0.3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</v>
      </c>
      <c r="BL26" s="29">
        <v>1</v>
      </c>
      <c r="BM26" s="29">
        <v>1</v>
      </c>
      <c r="BN26" s="65"/>
      <c r="BO26" s="29">
        <f t="shared" si="51"/>
        <v>1</v>
      </c>
      <c r="BP26" s="29">
        <f t="shared" si="37"/>
        <v>1</v>
      </c>
      <c r="BQ26" s="29">
        <f t="shared" si="38"/>
        <v>1</v>
      </c>
      <c r="BR26" s="65"/>
      <c r="BS26" s="29">
        <f t="shared" si="59"/>
        <v>1</v>
      </c>
      <c r="BT26" s="29">
        <f t="shared" si="52"/>
        <v>1</v>
      </c>
      <c r="BU26" s="29">
        <f t="shared" si="53"/>
        <v>1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 x14ac:dyDescent="0.35">
      <c r="A27" s="318" t="s">
        <v>145</v>
      </c>
      <c r="B27" s="318"/>
      <c r="C27" s="318"/>
      <c r="D27" s="318"/>
      <c r="E27" s="318"/>
      <c r="F27" s="318"/>
      <c r="H27" s="318" t="s">
        <v>146</v>
      </c>
      <c r="I27" s="318"/>
      <c r="J27" s="318"/>
      <c r="K27" s="318"/>
      <c r="L27" s="318"/>
      <c r="M27" s="318"/>
      <c r="O27" s="318" t="s">
        <v>147</v>
      </c>
      <c r="P27" s="318"/>
      <c r="Q27" s="318"/>
      <c r="R27" s="318"/>
      <c r="S27" s="318"/>
      <c r="T27" s="318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</v>
      </c>
      <c r="BL27" s="29">
        <v>1</v>
      </c>
      <c r="BM27" s="29">
        <v>1</v>
      </c>
      <c r="BN27" s="65"/>
      <c r="BO27" s="29">
        <f t="shared" si="51"/>
        <v>1</v>
      </c>
      <c r="BP27" s="29">
        <f t="shared" si="37"/>
        <v>1</v>
      </c>
      <c r="BQ27" s="29">
        <f t="shared" si="38"/>
        <v>1</v>
      </c>
      <c r="BR27" s="65"/>
      <c r="BS27" s="29">
        <f t="shared" si="59"/>
        <v>1</v>
      </c>
      <c r="BT27" s="29">
        <f t="shared" si="52"/>
        <v>1</v>
      </c>
      <c r="BU27" s="29">
        <f t="shared" si="53"/>
        <v>1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 x14ac:dyDescent="0.35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</v>
      </c>
      <c r="BL28" s="29">
        <v>1</v>
      </c>
      <c r="BM28" s="29">
        <v>1</v>
      </c>
      <c r="BN28" s="65"/>
      <c r="BO28" s="29">
        <f t="shared" si="51"/>
        <v>1</v>
      </c>
      <c r="BP28" s="29">
        <f t="shared" si="37"/>
        <v>1</v>
      </c>
      <c r="BQ28" s="29">
        <f t="shared" si="38"/>
        <v>1</v>
      </c>
      <c r="BR28" s="65"/>
      <c r="BS28" s="29">
        <f t="shared" si="59"/>
        <v>1</v>
      </c>
      <c r="BT28" s="29">
        <f t="shared" si="52"/>
        <v>1</v>
      </c>
      <c r="BU28" s="29">
        <f t="shared" si="53"/>
        <v>1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 x14ac:dyDescent="0.3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</v>
      </c>
      <c r="BL29" s="29">
        <v>1</v>
      </c>
      <c r="BM29" s="29">
        <v>1</v>
      </c>
      <c r="BN29" s="65"/>
      <c r="BO29" s="29">
        <f t="shared" si="51"/>
        <v>1</v>
      </c>
      <c r="BP29" s="29">
        <f t="shared" si="37"/>
        <v>1</v>
      </c>
      <c r="BQ29" s="29">
        <f t="shared" si="38"/>
        <v>1</v>
      </c>
      <c r="BR29" s="65"/>
      <c r="BS29" s="29">
        <f t="shared" si="59"/>
        <v>1</v>
      </c>
      <c r="BT29" s="29">
        <f t="shared" si="52"/>
        <v>1</v>
      </c>
      <c r="BU29" s="29">
        <f t="shared" si="53"/>
        <v>1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 x14ac:dyDescent="0.3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</v>
      </c>
      <c r="BL30" s="29">
        <v>1</v>
      </c>
      <c r="BM30" s="29">
        <v>1</v>
      </c>
      <c r="BN30" s="65"/>
      <c r="BO30" s="29">
        <f t="shared" si="51"/>
        <v>1</v>
      </c>
      <c r="BP30" s="29">
        <f t="shared" si="37"/>
        <v>1</v>
      </c>
      <c r="BQ30" s="29">
        <f t="shared" si="38"/>
        <v>1</v>
      </c>
      <c r="BR30" s="65"/>
      <c r="BS30" s="29">
        <f t="shared" si="59"/>
        <v>1</v>
      </c>
      <c r="BT30" s="29">
        <f t="shared" si="52"/>
        <v>1</v>
      </c>
      <c r="BU30" s="29">
        <f t="shared" si="53"/>
        <v>1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 x14ac:dyDescent="0.3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</v>
      </c>
      <c r="BL31" s="29">
        <v>1</v>
      </c>
      <c r="BM31" s="29">
        <v>1</v>
      </c>
      <c r="BN31" s="65"/>
      <c r="BO31" s="29">
        <f t="shared" si="51"/>
        <v>1</v>
      </c>
      <c r="BP31" s="29">
        <f t="shared" si="37"/>
        <v>1</v>
      </c>
      <c r="BQ31" s="29">
        <f t="shared" si="38"/>
        <v>1</v>
      </c>
      <c r="BR31" s="65"/>
      <c r="BS31" s="29">
        <f t="shared" si="59"/>
        <v>1</v>
      </c>
      <c r="BT31" s="29">
        <f t="shared" si="52"/>
        <v>1</v>
      </c>
      <c r="BU31" s="29">
        <f t="shared" si="53"/>
        <v>1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 x14ac:dyDescent="0.3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</v>
      </c>
      <c r="BL32" s="29">
        <v>1</v>
      </c>
      <c r="BM32" s="29">
        <v>1</v>
      </c>
      <c r="BN32" s="65"/>
      <c r="BO32" s="29">
        <f t="shared" si="51"/>
        <v>1</v>
      </c>
      <c r="BP32" s="29">
        <f t="shared" si="37"/>
        <v>1</v>
      </c>
      <c r="BQ32" s="29">
        <f t="shared" si="38"/>
        <v>1</v>
      </c>
      <c r="BR32" s="65"/>
      <c r="BS32" s="29">
        <f t="shared" si="59"/>
        <v>1</v>
      </c>
      <c r="BT32" s="29">
        <f t="shared" si="52"/>
        <v>1</v>
      </c>
      <c r="BU32" s="29">
        <f t="shared" si="53"/>
        <v>1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 x14ac:dyDescent="0.3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</v>
      </c>
      <c r="BL33" s="29">
        <v>1</v>
      </c>
      <c r="BM33" s="29">
        <v>1</v>
      </c>
      <c r="BN33" s="65"/>
      <c r="BO33" s="29">
        <f t="shared" si="51"/>
        <v>1</v>
      </c>
      <c r="BP33" s="29">
        <f t="shared" si="37"/>
        <v>1</v>
      </c>
      <c r="BQ33" s="29">
        <f t="shared" si="38"/>
        <v>1</v>
      </c>
      <c r="BR33" s="65"/>
      <c r="BS33" s="29">
        <f t="shared" si="59"/>
        <v>1</v>
      </c>
      <c r="BT33" s="29">
        <f t="shared" si="52"/>
        <v>1</v>
      </c>
      <c r="BU33" s="29">
        <f t="shared" si="53"/>
        <v>1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 x14ac:dyDescent="0.3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</v>
      </c>
      <c r="BL34" s="29">
        <v>1</v>
      </c>
      <c r="BM34" s="29">
        <v>1</v>
      </c>
      <c r="BN34" s="65"/>
      <c r="BO34" s="29">
        <f t="shared" si="51"/>
        <v>1</v>
      </c>
      <c r="BP34" s="29">
        <f t="shared" si="37"/>
        <v>1</v>
      </c>
      <c r="BQ34" s="29">
        <f t="shared" si="38"/>
        <v>1</v>
      </c>
      <c r="BR34" s="65"/>
      <c r="BS34" s="29">
        <f t="shared" si="59"/>
        <v>1</v>
      </c>
      <c r="BT34" s="29">
        <f t="shared" si="52"/>
        <v>1</v>
      </c>
      <c r="BU34" s="29">
        <f t="shared" si="53"/>
        <v>1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 x14ac:dyDescent="0.3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</v>
      </c>
      <c r="BL35" s="29">
        <v>1</v>
      </c>
      <c r="BM35" s="29">
        <v>1</v>
      </c>
      <c r="BN35" s="65"/>
      <c r="BO35" s="29">
        <f t="shared" si="51"/>
        <v>1</v>
      </c>
      <c r="BP35" s="29">
        <f t="shared" si="37"/>
        <v>1</v>
      </c>
      <c r="BQ35" s="29">
        <f t="shared" si="38"/>
        <v>1</v>
      </c>
      <c r="BR35" s="65"/>
      <c r="BS35" s="29">
        <f t="shared" si="59"/>
        <v>1</v>
      </c>
      <c r="BT35" s="29">
        <f t="shared" si="52"/>
        <v>1</v>
      </c>
      <c r="BU35" s="29">
        <f t="shared" si="53"/>
        <v>1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 x14ac:dyDescent="0.3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</v>
      </c>
      <c r="BL36" s="29">
        <v>1</v>
      </c>
      <c r="BM36" s="29">
        <v>1</v>
      </c>
      <c r="BN36" s="65"/>
      <c r="BO36" s="29">
        <f t="shared" si="51"/>
        <v>1</v>
      </c>
      <c r="BP36" s="29">
        <f t="shared" si="37"/>
        <v>1</v>
      </c>
      <c r="BQ36" s="29">
        <f t="shared" si="38"/>
        <v>1</v>
      </c>
      <c r="BR36" s="65"/>
      <c r="BS36" s="29">
        <f t="shared" si="59"/>
        <v>1</v>
      </c>
      <c r="BT36" s="29">
        <f t="shared" si="52"/>
        <v>1</v>
      </c>
      <c r="BU36" s="29">
        <f t="shared" si="53"/>
        <v>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 x14ac:dyDescent="0.3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</v>
      </c>
      <c r="BL37" s="29">
        <v>1</v>
      </c>
      <c r="BM37" s="29">
        <v>1</v>
      </c>
      <c r="BN37" s="65"/>
      <c r="BO37" s="29">
        <f t="shared" si="51"/>
        <v>1</v>
      </c>
      <c r="BP37" s="29">
        <f t="shared" si="37"/>
        <v>1</v>
      </c>
      <c r="BQ37" s="29">
        <f t="shared" si="38"/>
        <v>1</v>
      </c>
      <c r="BR37" s="65"/>
      <c r="BS37" s="29">
        <f t="shared" si="59"/>
        <v>1</v>
      </c>
      <c r="BT37" s="29">
        <f t="shared" si="52"/>
        <v>1</v>
      </c>
      <c r="BU37" s="29">
        <f t="shared" si="53"/>
        <v>1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 x14ac:dyDescent="0.3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</v>
      </c>
      <c r="BL38" s="29">
        <v>1</v>
      </c>
      <c r="BM38" s="29">
        <v>1</v>
      </c>
      <c r="BN38" s="65"/>
      <c r="BO38" s="29">
        <f t="shared" si="51"/>
        <v>1</v>
      </c>
      <c r="BP38" s="29">
        <f t="shared" si="37"/>
        <v>1</v>
      </c>
      <c r="BQ38" s="29">
        <f t="shared" si="38"/>
        <v>1</v>
      </c>
      <c r="BR38" s="65"/>
      <c r="BS38" s="29">
        <f t="shared" si="59"/>
        <v>1</v>
      </c>
      <c r="BT38" s="29">
        <f t="shared" si="52"/>
        <v>1</v>
      </c>
      <c r="BU38" s="29">
        <f t="shared" si="53"/>
        <v>1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 x14ac:dyDescent="0.35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</v>
      </c>
      <c r="BL39" s="29">
        <v>1</v>
      </c>
      <c r="BM39" s="29">
        <v>1</v>
      </c>
      <c r="BN39" s="65"/>
      <c r="BO39" s="29">
        <f t="shared" si="51"/>
        <v>1</v>
      </c>
      <c r="BP39" s="29">
        <f t="shared" si="37"/>
        <v>1</v>
      </c>
      <c r="BQ39" s="29">
        <f t="shared" si="38"/>
        <v>1</v>
      </c>
      <c r="BR39" s="65"/>
      <c r="BS39" s="29">
        <f t="shared" si="59"/>
        <v>1</v>
      </c>
      <c r="BT39" s="29">
        <f t="shared" si="52"/>
        <v>1</v>
      </c>
      <c r="BU39" s="29">
        <f t="shared" si="53"/>
        <v>1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 x14ac:dyDescent="0.3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</v>
      </c>
      <c r="BL40" s="29">
        <v>1</v>
      </c>
      <c r="BM40" s="29">
        <v>1</v>
      </c>
      <c r="BN40" s="65"/>
      <c r="BO40" s="29">
        <f t="shared" si="51"/>
        <v>1</v>
      </c>
      <c r="BP40" s="29">
        <f t="shared" si="37"/>
        <v>1</v>
      </c>
      <c r="BQ40" s="29">
        <f t="shared" si="38"/>
        <v>1</v>
      </c>
      <c r="BR40" s="65"/>
      <c r="BS40" s="29">
        <f t="shared" si="59"/>
        <v>1</v>
      </c>
      <c r="BT40" s="29">
        <f t="shared" si="52"/>
        <v>1</v>
      </c>
      <c r="BU40" s="29">
        <f t="shared" si="53"/>
        <v>1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 x14ac:dyDescent="0.3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</v>
      </c>
      <c r="BL41" s="29">
        <v>1</v>
      </c>
      <c r="BM41" s="29">
        <v>1</v>
      </c>
      <c r="BN41" s="65"/>
      <c r="BO41" s="29">
        <f t="shared" si="51"/>
        <v>1</v>
      </c>
      <c r="BP41" s="29">
        <f t="shared" si="37"/>
        <v>1</v>
      </c>
      <c r="BQ41" s="29">
        <f t="shared" si="38"/>
        <v>1</v>
      </c>
      <c r="BR41" s="65"/>
      <c r="BS41" s="29">
        <f t="shared" si="59"/>
        <v>1</v>
      </c>
      <c r="BT41" s="29">
        <f t="shared" si="52"/>
        <v>1</v>
      </c>
      <c r="BU41" s="29">
        <f t="shared" si="53"/>
        <v>1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 x14ac:dyDescent="0.35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</v>
      </c>
      <c r="BL42" s="29">
        <v>1</v>
      </c>
      <c r="BM42" s="29">
        <v>1</v>
      </c>
      <c r="BN42" s="65"/>
      <c r="BO42" s="29">
        <f t="shared" si="51"/>
        <v>1</v>
      </c>
      <c r="BP42" s="29">
        <f t="shared" si="37"/>
        <v>1</v>
      </c>
      <c r="BQ42" s="29">
        <f t="shared" si="38"/>
        <v>1</v>
      </c>
      <c r="BR42" s="65"/>
      <c r="BS42" s="29">
        <f t="shared" si="59"/>
        <v>1</v>
      </c>
      <c r="BT42" s="29">
        <f t="shared" si="52"/>
        <v>1</v>
      </c>
      <c r="BU42" s="29">
        <f t="shared" si="53"/>
        <v>1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 x14ac:dyDescent="0.35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</v>
      </c>
      <c r="BL43" s="29">
        <v>1</v>
      </c>
      <c r="BM43" s="29">
        <v>1</v>
      </c>
      <c r="BN43" s="65"/>
      <c r="BO43" s="29">
        <f t="shared" si="51"/>
        <v>1</v>
      </c>
      <c r="BP43" s="29">
        <f t="shared" si="37"/>
        <v>1</v>
      </c>
      <c r="BQ43" s="29">
        <f t="shared" si="38"/>
        <v>1</v>
      </c>
      <c r="BR43" s="65"/>
      <c r="BS43" s="29">
        <f t="shared" si="59"/>
        <v>1</v>
      </c>
      <c r="BT43" s="29">
        <f t="shared" si="52"/>
        <v>1</v>
      </c>
      <c r="BU43" s="29">
        <f t="shared" si="53"/>
        <v>1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 x14ac:dyDescent="0.3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</v>
      </c>
      <c r="BL44" s="29">
        <v>1</v>
      </c>
      <c r="BM44" s="29">
        <v>1</v>
      </c>
      <c r="BN44" s="65"/>
      <c r="BO44" s="29">
        <f t="shared" si="51"/>
        <v>1</v>
      </c>
      <c r="BP44" s="29">
        <f t="shared" si="37"/>
        <v>1</v>
      </c>
      <c r="BQ44" s="29">
        <f t="shared" si="38"/>
        <v>1</v>
      </c>
      <c r="BR44" s="65"/>
      <c r="BS44" s="29">
        <f t="shared" si="59"/>
        <v>1</v>
      </c>
      <c r="BT44" s="29">
        <f t="shared" si="52"/>
        <v>1</v>
      </c>
      <c r="BU44" s="29">
        <f t="shared" si="53"/>
        <v>1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 x14ac:dyDescent="0.3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</v>
      </c>
      <c r="BL45" s="29">
        <v>1</v>
      </c>
      <c r="BM45" s="29">
        <v>1</v>
      </c>
      <c r="BN45" s="65"/>
      <c r="BO45" s="29">
        <f t="shared" si="51"/>
        <v>1</v>
      </c>
      <c r="BP45" s="29">
        <f t="shared" si="37"/>
        <v>1</v>
      </c>
      <c r="BQ45" s="29">
        <f t="shared" si="38"/>
        <v>1</v>
      </c>
      <c r="BR45" s="65"/>
      <c r="BS45" s="29">
        <f t="shared" si="59"/>
        <v>1</v>
      </c>
      <c r="BT45" s="29">
        <f t="shared" si="52"/>
        <v>1</v>
      </c>
      <c r="BU45" s="29">
        <f t="shared" si="53"/>
        <v>1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 x14ac:dyDescent="0.3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</v>
      </c>
      <c r="BL46" s="29">
        <v>1</v>
      </c>
      <c r="BM46" s="29">
        <v>1</v>
      </c>
      <c r="BN46" s="65"/>
      <c r="BO46" s="29">
        <f t="shared" si="51"/>
        <v>1</v>
      </c>
      <c r="BP46" s="29">
        <f t="shared" si="37"/>
        <v>1</v>
      </c>
      <c r="BQ46" s="29">
        <f t="shared" si="38"/>
        <v>1</v>
      </c>
      <c r="BR46" s="65"/>
      <c r="BS46" s="29">
        <f t="shared" si="59"/>
        <v>1</v>
      </c>
      <c r="BT46" s="29">
        <f t="shared" si="52"/>
        <v>1</v>
      </c>
      <c r="BU46" s="29">
        <f t="shared" si="53"/>
        <v>1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 x14ac:dyDescent="0.3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</v>
      </c>
      <c r="BL47" s="29">
        <v>1</v>
      </c>
      <c r="BM47" s="29">
        <v>1</v>
      </c>
      <c r="BN47" s="65"/>
      <c r="BO47" s="29">
        <f t="shared" si="51"/>
        <v>1</v>
      </c>
      <c r="BP47" s="29">
        <f t="shared" si="37"/>
        <v>1</v>
      </c>
      <c r="BQ47" s="29">
        <f t="shared" si="38"/>
        <v>1</v>
      </c>
      <c r="BR47" s="65"/>
      <c r="BS47" s="29">
        <f t="shared" si="59"/>
        <v>1</v>
      </c>
      <c r="BT47" s="29">
        <f t="shared" si="52"/>
        <v>1</v>
      </c>
      <c r="BU47" s="29">
        <f t="shared" si="53"/>
        <v>1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 x14ac:dyDescent="0.3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</v>
      </c>
      <c r="BL48" s="29">
        <v>1</v>
      </c>
      <c r="BM48" s="29">
        <v>1</v>
      </c>
      <c r="BN48" s="65"/>
      <c r="BO48" s="29">
        <f t="shared" si="51"/>
        <v>1</v>
      </c>
      <c r="BP48" s="29">
        <f t="shared" si="37"/>
        <v>1</v>
      </c>
      <c r="BQ48" s="29">
        <f t="shared" si="38"/>
        <v>1</v>
      </c>
      <c r="BR48" s="65"/>
      <c r="BS48" s="29">
        <f t="shared" si="59"/>
        <v>1</v>
      </c>
      <c r="BT48" s="29">
        <f t="shared" si="52"/>
        <v>1</v>
      </c>
      <c r="BU48" s="29">
        <f t="shared" si="53"/>
        <v>1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 x14ac:dyDescent="0.3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</v>
      </c>
      <c r="BL49" s="29">
        <v>1</v>
      </c>
      <c r="BM49" s="29">
        <v>1</v>
      </c>
      <c r="BN49" s="65"/>
      <c r="BO49" s="29">
        <f t="shared" si="51"/>
        <v>1</v>
      </c>
      <c r="BP49" s="29">
        <f t="shared" si="37"/>
        <v>1</v>
      </c>
      <c r="BQ49" s="29">
        <f t="shared" si="38"/>
        <v>1</v>
      </c>
      <c r="BR49" s="65"/>
      <c r="BS49" s="29">
        <f t="shared" si="59"/>
        <v>1</v>
      </c>
      <c r="BT49" s="29">
        <f t="shared" si="52"/>
        <v>1</v>
      </c>
      <c r="BU49" s="29">
        <f t="shared" si="53"/>
        <v>1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 x14ac:dyDescent="0.3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</v>
      </c>
      <c r="BL50" s="29">
        <v>1</v>
      </c>
      <c r="BM50" s="29">
        <v>1</v>
      </c>
      <c r="BN50" s="65"/>
      <c r="BO50" s="29">
        <f t="shared" si="51"/>
        <v>1</v>
      </c>
      <c r="BP50" s="29">
        <f t="shared" si="37"/>
        <v>1</v>
      </c>
      <c r="BQ50" s="29">
        <f t="shared" si="38"/>
        <v>1</v>
      </c>
      <c r="BR50" s="65"/>
      <c r="BS50" s="29">
        <f t="shared" si="59"/>
        <v>1</v>
      </c>
      <c r="BT50" s="29">
        <f t="shared" si="52"/>
        <v>1</v>
      </c>
      <c r="BU50" s="29">
        <f t="shared" si="53"/>
        <v>1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 x14ac:dyDescent="0.35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1</v>
      </c>
      <c r="BL51" s="29">
        <v>1</v>
      </c>
      <c r="BM51" s="29">
        <v>1</v>
      </c>
      <c r="BN51" s="65"/>
      <c r="BO51" s="29">
        <f t="shared" si="51"/>
        <v>1</v>
      </c>
      <c r="BP51" s="29">
        <f t="shared" si="37"/>
        <v>1</v>
      </c>
      <c r="BQ51" s="29">
        <f t="shared" si="38"/>
        <v>1</v>
      </c>
      <c r="BR51" s="65"/>
      <c r="BS51" s="29">
        <f t="shared" si="59"/>
        <v>1</v>
      </c>
      <c r="BT51" s="29">
        <f t="shared" si="52"/>
        <v>1</v>
      </c>
      <c r="BU51" s="29">
        <f t="shared" si="53"/>
        <v>1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 x14ac:dyDescent="0.3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1</v>
      </c>
      <c r="BL52" s="29">
        <v>1</v>
      </c>
      <c r="BM52" s="29">
        <v>1</v>
      </c>
      <c r="BN52" s="65"/>
      <c r="BO52" s="29">
        <f t="shared" si="51"/>
        <v>1</v>
      </c>
      <c r="BP52" s="29">
        <f t="shared" si="37"/>
        <v>1</v>
      </c>
      <c r="BQ52" s="29">
        <f t="shared" si="38"/>
        <v>1</v>
      </c>
      <c r="BR52" s="65"/>
      <c r="BS52" s="29">
        <f t="shared" si="59"/>
        <v>1</v>
      </c>
      <c r="BT52" s="29">
        <f t="shared" si="52"/>
        <v>1</v>
      </c>
      <c r="BU52" s="29">
        <f t="shared" si="53"/>
        <v>1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 x14ac:dyDescent="0.35">
      <c r="A53" s="319" t="s">
        <v>148</v>
      </c>
      <c r="B53" s="319"/>
      <c r="C53" s="319"/>
      <c r="D53" s="319"/>
      <c r="E53" s="319"/>
      <c r="F53" s="319"/>
      <c r="H53" s="319" t="s">
        <v>149</v>
      </c>
      <c r="I53" s="319"/>
      <c r="J53" s="319"/>
      <c r="K53" s="319"/>
      <c r="L53" s="319"/>
      <c r="M53" s="319"/>
      <c r="O53" s="319" t="s">
        <v>150</v>
      </c>
      <c r="P53" s="319"/>
      <c r="Q53" s="319"/>
      <c r="R53" s="319"/>
      <c r="S53" s="319"/>
      <c r="T53" s="319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1</v>
      </c>
      <c r="BL53" s="29">
        <v>1</v>
      </c>
      <c r="BM53" s="29">
        <v>1</v>
      </c>
      <c r="BN53" s="65"/>
      <c r="BO53" s="29">
        <f t="shared" si="51"/>
        <v>1</v>
      </c>
      <c r="BP53" s="29">
        <f t="shared" si="37"/>
        <v>1</v>
      </c>
      <c r="BQ53" s="29">
        <f t="shared" si="38"/>
        <v>1</v>
      </c>
      <c r="BR53" s="65"/>
      <c r="BS53" s="29">
        <f t="shared" si="59"/>
        <v>1</v>
      </c>
      <c r="BT53" s="29">
        <f t="shared" si="52"/>
        <v>1</v>
      </c>
      <c r="BU53" s="29">
        <f t="shared" si="53"/>
        <v>1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 x14ac:dyDescent="0.35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1</v>
      </c>
      <c r="BL54" s="29">
        <v>1</v>
      </c>
      <c r="BM54" s="29">
        <v>1</v>
      </c>
      <c r="BN54" s="65"/>
      <c r="BO54" s="29">
        <f t="shared" si="51"/>
        <v>1</v>
      </c>
      <c r="BP54" s="29">
        <f t="shared" si="37"/>
        <v>1</v>
      </c>
      <c r="BQ54" s="29">
        <f t="shared" si="38"/>
        <v>1</v>
      </c>
      <c r="BR54" s="65"/>
      <c r="BS54" s="29">
        <f t="shared" si="59"/>
        <v>1</v>
      </c>
      <c r="BT54" s="29">
        <f t="shared" si="52"/>
        <v>1</v>
      </c>
      <c r="BU54" s="29">
        <f t="shared" si="53"/>
        <v>1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 x14ac:dyDescent="0.3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1</v>
      </c>
      <c r="BL55" s="29">
        <v>1</v>
      </c>
      <c r="BM55" s="29">
        <v>1</v>
      </c>
      <c r="BN55" s="65"/>
      <c r="BO55" s="29">
        <f t="shared" si="51"/>
        <v>1</v>
      </c>
      <c r="BP55" s="29">
        <f t="shared" si="37"/>
        <v>1</v>
      </c>
      <c r="BQ55" s="29">
        <f t="shared" si="38"/>
        <v>1</v>
      </c>
      <c r="BR55" s="65"/>
      <c r="BS55" s="29">
        <f t="shared" si="59"/>
        <v>1</v>
      </c>
      <c r="BT55" s="29">
        <f t="shared" si="52"/>
        <v>1</v>
      </c>
      <c r="BU55" s="29">
        <f t="shared" si="53"/>
        <v>1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 x14ac:dyDescent="0.3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</v>
      </c>
      <c r="BL56" s="29">
        <v>1</v>
      </c>
      <c r="BM56" s="29">
        <v>1</v>
      </c>
      <c r="BN56" s="65"/>
      <c r="BO56" s="29">
        <f t="shared" si="51"/>
        <v>1</v>
      </c>
      <c r="BP56" s="29">
        <f t="shared" si="37"/>
        <v>1</v>
      </c>
      <c r="BQ56" s="29">
        <f t="shared" si="38"/>
        <v>1</v>
      </c>
      <c r="BR56" s="65"/>
      <c r="BS56" s="29">
        <f t="shared" si="59"/>
        <v>1</v>
      </c>
      <c r="BT56" s="29">
        <f t="shared" si="52"/>
        <v>1</v>
      </c>
      <c r="BU56" s="29">
        <f t="shared" si="53"/>
        <v>1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 x14ac:dyDescent="0.3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</v>
      </c>
      <c r="BL57" s="29">
        <v>1</v>
      </c>
      <c r="BM57" s="29">
        <v>1</v>
      </c>
      <c r="BN57" s="65"/>
      <c r="BO57" s="29">
        <f t="shared" si="51"/>
        <v>1</v>
      </c>
      <c r="BP57" s="29">
        <f t="shared" si="37"/>
        <v>1</v>
      </c>
      <c r="BQ57" s="29">
        <f t="shared" si="38"/>
        <v>1</v>
      </c>
      <c r="BR57" s="65"/>
      <c r="BS57" s="29">
        <f t="shared" si="59"/>
        <v>1</v>
      </c>
      <c r="BT57" s="29">
        <f t="shared" si="52"/>
        <v>1</v>
      </c>
      <c r="BU57" s="29">
        <f t="shared" si="53"/>
        <v>1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 x14ac:dyDescent="0.3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</v>
      </c>
      <c r="BL58" s="29">
        <v>1</v>
      </c>
      <c r="BM58" s="29">
        <v>1</v>
      </c>
      <c r="BN58" s="65"/>
      <c r="BO58" s="29">
        <f t="shared" si="51"/>
        <v>1</v>
      </c>
      <c r="BP58" s="29">
        <f t="shared" si="37"/>
        <v>1</v>
      </c>
      <c r="BQ58" s="29">
        <f t="shared" si="38"/>
        <v>1</v>
      </c>
      <c r="BR58" s="65"/>
      <c r="BS58" s="29">
        <f t="shared" si="59"/>
        <v>1</v>
      </c>
      <c r="BT58" s="29">
        <f t="shared" si="52"/>
        <v>1</v>
      </c>
      <c r="BU58" s="29">
        <f t="shared" si="53"/>
        <v>1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 x14ac:dyDescent="0.3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</v>
      </c>
      <c r="BL59" s="29">
        <v>1</v>
      </c>
      <c r="BM59" s="29">
        <v>1</v>
      </c>
      <c r="BN59" s="65"/>
      <c r="BO59" s="29">
        <f t="shared" si="51"/>
        <v>1</v>
      </c>
      <c r="BP59" s="29">
        <f t="shared" si="37"/>
        <v>1</v>
      </c>
      <c r="BQ59" s="29">
        <f t="shared" si="38"/>
        <v>1</v>
      </c>
      <c r="BR59" s="65"/>
      <c r="BS59" s="29">
        <f t="shared" si="59"/>
        <v>1</v>
      </c>
      <c r="BT59" s="29">
        <f t="shared" si="52"/>
        <v>1</v>
      </c>
      <c r="BU59" s="29">
        <f t="shared" si="53"/>
        <v>1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 x14ac:dyDescent="0.3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</v>
      </c>
      <c r="BL60" s="29">
        <v>1</v>
      </c>
      <c r="BM60" s="29">
        <v>1</v>
      </c>
      <c r="BN60" s="65"/>
      <c r="BO60" s="29">
        <f t="shared" si="51"/>
        <v>1</v>
      </c>
      <c r="BP60" s="29">
        <f t="shared" si="37"/>
        <v>1</v>
      </c>
      <c r="BQ60" s="29">
        <f t="shared" si="38"/>
        <v>1</v>
      </c>
      <c r="BR60" s="65"/>
      <c r="BS60" s="29">
        <f t="shared" si="59"/>
        <v>1</v>
      </c>
      <c r="BT60" s="29">
        <f t="shared" si="52"/>
        <v>1</v>
      </c>
      <c r="BU60" s="29">
        <f t="shared" si="53"/>
        <v>1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 x14ac:dyDescent="0.3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</v>
      </c>
      <c r="BL61" s="29">
        <v>1</v>
      </c>
      <c r="BM61" s="29">
        <v>1</v>
      </c>
      <c r="BN61" s="65"/>
      <c r="BO61" s="29">
        <f t="shared" si="51"/>
        <v>1</v>
      </c>
      <c r="BP61" s="29">
        <f t="shared" si="37"/>
        <v>1</v>
      </c>
      <c r="BQ61" s="29">
        <f t="shared" si="38"/>
        <v>1</v>
      </c>
      <c r="BR61" s="65"/>
      <c r="BS61" s="29">
        <f t="shared" si="59"/>
        <v>1</v>
      </c>
      <c r="BT61" s="29">
        <f t="shared" si="52"/>
        <v>1</v>
      </c>
      <c r="BU61" s="29">
        <f t="shared" si="53"/>
        <v>1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 x14ac:dyDescent="0.3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</v>
      </c>
      <c r="BL62" s="29">
        <v>1</v>
      </c>
      <c r="BM62" s="29">
        <v>1</v>
      </c>
      <c r="BN62" s="65"/>
      <c r="BO62" s="29">
        <f t="shared" si="51"/>
        <v>1</v>
      </c>
      <c r="BP62" s="29">
        <f t="shared" si="37"/>
        <v>1</v>
      </c>
      <c r="BQ62" s="29">
        <f t="shared" si="38"/>
        <v>1</v>
      </c>
      <c r="BR62" s="65"/>
      <c r="BS62" s="29">
        <f t="shared" si="59"/>
        <v>1</v>
      </c>
      <c r="BT62" s="29">
        <f t="shared" si="52"/>
        <v>1</v>
      </c>
      <c r="BU62" s="29">
        <f t="shared" si="53"/>
        <v>1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 x14ac:dyDescent="0.3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</v>
      </c>
      <c r="BL63" s="29">
        <v>1</v>
      </c>
      <c r="BM63" s="29">
        <v>1</v>
      </c>
      <c r="BN63" s="65"/>
      <c r="BO63" s="29">
        <f t="shared" si="51"/>
        <v>1</v>
      </c>
      <c r="BP63" s="29">
        <f t="shared" si="37"/>
        <v>1</v>
      </c>
      <c r="BQ63" s="29">
        <f t="shared" si="38"/>
        <v>1</v>
      </c>
      <c r="BR63" s="65"/>
      <c r="BS63" s="29">
        <f t="shared" si="59"/>
        <v>1</v>
      </c>
      <c r="BT63" s="29">
        <f t="shared" si="52"/>
        <v>1</v>
      </c>
      <c r="BU63" s="29">
        <f t="shared" si="53"/>
        <v>1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 x14ac:dyDescent="0.3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</v>
      </c>
      <c r="BL64" s="29">
        <v>1</v>
      </c>
      <c r="BM64" s="29">
        <v>1</v>
      </c>
      <c r="BN64" s="65"/>
      <c r="BO64" s="29">
        <f t="shared" si="51"/>
        <v>1</v>
      </c>
      <c r="BP64" s="29">
        <f t="shared" si="37"/>
        <v>1</v>
      </c>
      <c r="BQ64" s="29">
        <f t="shared" si="38"/>
        <v>1</v>
      </c>
      <c r="BR64" s="65"/>
      <c r="BS64" s="29">
        <f t="shared" si="59"/>
        <v>1</v>
      </c>
      <c r="BT64" s="29">
        <f t="shared" si="52"/>
        <v>1</v>
      </c>
      <c r="BU64" s="29">
        <f t="shared" si="53"/>
        <v>1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 x14ac:dyDescent="0.35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</v>
      </c>
      <c r="BL65" s="29">
        <v>1</v>
      </c>
      <c r="BM65" s="29">
        <v>1</v>
      </c>
      <c r="BN65" s="65"/>
      <c r="BO65" s="29">
        <f t="shared" si="51"/>
        <v>1</v>
      </c>
      <c r="BP65" s="29">
        <f t="shared" si="37"/>
        <v>1</v>
      </c>
      <c r="BQ65" s="29">
        <f t="shared" si="38"/>
        <v>1</v>
      </c>
      <c r="BR65" s="65"/>
      <c r="BS65" s="29">
        <f t="shared" si="59"/>
        <v>1</v>
      </c>
      <c r="BT65" s="29">
        <f t="shared" si="52"/>
        <v>1</v>
      </c>
      <c r="BU65" s="29">
        <f t="shared" si="53"/>
        <v>1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 x14ac:dyDescent="0.3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</v>
      </c>
      <c r="BL66" s="29">
        <v>1</v>
      </c>
      <c r="BM66" s="29">
        <v>1</v>
      </c>
      <c r="BO66" s="29">
        <f t="shared" si="51"/>
        <v>1</v>
      </c>
      <c r="BP66" s="29">
        <f t="shared" si="37"/>
        <v>1</v>
      </c>
      <c r="BQ66" s="29">
        <f t="shared" si="38"/>
        <v>1</v>
      </c>
      <c r="BR66" s="65"/>
      <c r="BS66" s="29">
        <f t="shared" si="59"/>
        <v>1</v>
      </c>
      <c r="BT66" s="29">
        <f t="shared" si="52"/>
        <v>1</v>
      </c>
      <c r="BU66" s="29">
        <f t="shared" si="53"/>
        <v>1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 x14ac:dyDescent="0.3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</v>
      </c>
      <c r="BL67" s="29">
        <v>1</v>
      </c>
      <c r="BM67" s="29">
        <v>1</v>
      </c>
      <c r="BO67" s="29">
        <f t="shared" si="51"/>
        <v>1</v>
      </c>
      <c r="BP67" s="29">
        <f t="shared" si="37"/>
        <v>1</v>
      </c>
      <c r="BQ67" s="29">
        <f t="shared" si="38"/>
        <v>1</v>
      </c>
      <c r="BR67" s="65"/>
      <c r="BS67" s="29">
        <f t="shared" si="59"/>
        <v>1</v>
      </c>
      <c r="BT67" s="29">
        <f t="shared" si="52"/>
        <v>1</v>
      </c>
      <c r="BU67" s="29">
        <f t="shared" si="53"/>
        <v>1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 x14ac:dyDescent="0.35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</v>
      </c>
      <c r="BL68" s="29">
        <v>1</v>
      </c>
      <c r="BM68" s="29">
        <v>1</v>
      </c>
      <c r="BO68" s="29">
        <f t="shared" si="51"/>
        <v>1</v>
      </c>
      <c r="BP68" s="29">
        <f t="shared" ref="BP68:BP131" si="86">IF(BL67="","",BL67)</f>
        <v>1</v>
      </c>
      <c r="BQ68" s="29">
        <f t="shared" ref="BQ68:BQ131" si="87">IF(BM67="","",BM67)</f>
        <v>1</v>
      </c>
      <c r="BR68" s="65"/>
      <c r="BS68" s="29">
        <f t="shared" si="59"/>
        <v>1</v>
      </c>
      <c r="BT68" s="29">
        <f t="shared" si="52"/>
        <v>1</v>
      </c>
      <c r="BU68" s="29">
        <f t="shared" si="53"/>
        <v>1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 x14ac:dyDescent="0.35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</v>
      </c>
      <c r="BL69" s="29">
        <v>1</v>
      </c>
      <c r="BM69" s="29">
        <v>1</v>
      </c>
      <c r="BO69" s="29">
        <f t="shared" ref="BO69:BO132" si="97">IF(BK68="","",BK68)</f>
        <v>1</v>
      </c>
      <c r="BP69" s="29">
        <f t="shared" si="86"/>
        <v>1</v>
      </c>
      <c r="BQ69" s="29">
        <f t="shared" si="87"/>
        <v>1</v>
      </c>
      <c r="BR69" s="65"/>
      <c r="BS69" s="29">
        <f t="shared" si="59"/>
        <v>1</v>
      </c>
      <c r="BT69" s="29">
        <f t="shared" ref="BT69:BT132" si="98">IF(BL67="","",BL67)</f>
        <v>1</v>
      </c>
      <c r="BU69" s="29">
        <f t="shared" ref="BU69:BU132" si="99">IF(BM67="","",BM67)</f>
        <v>1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 x14ac:dyDescent="0.3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</v>
      </c>
      <c r="BL70" s="29">
        <v>1</v>
      </c>
      <c r="BM70" s="29">
        <v>1</v>
      </c>
      <c r="BO70" s="29">
        <f t="shared" si="97"/>
        <v>1</v>
      </c>
      <c r="BP70" s="29">
        <f t="shared" si="86"/>
        <v>1</v>
      </c>
      <c r="BQ70" s="29">
        <f t="shared" si="87"/>
        <v>1</v>
      </c>
      <c r="BR70" s="65"/>
      <c r="BS70" s="29">
        <f t="shared" ref="BS70:BS133" si="105">IF(BK68="","",BK68)</f>
        <v>1</v>
      </c>
      <c r="BT70" s="29">
        <f t="shared" si="98"/>
        <v>1</v>
      </c>
      <c r="BU70" s="29">
        <f t="shared" si="99"/>
        <v>1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 x14ac:dyDescent="0.3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</v>
      </c>
      <c r="BL71" s="29">
        <v>1</v>
      </c>
      <c r="BM71" s="29">
        <v>1</v>
      </c>
      <c r="BO71" s="29">
        <f t="shared" si="97"/>
        <v>1</v>
      </c>
      <c r="BP71" s="29">
        <f t="shared" si="86"/>
        <v>1</v>
      </c>
      <c r="BQ71" s="29">
        <f t="shared" si="87"/>
        <v>1</v>
      </c>
      <c r="BR71" s="65"/>
      <c r="BS71" s="29">
        <f t="shared" si="105"/>
        <v>1</v>
      </c>
      <c r="BT71" s="29">
        <f t="shared" si="98"/>
        <v>1</v>
      </c>
      <c r="BU71" s="29">
        <f t="shared" si="99"/>
        <v>1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 x14ac:dyDescent="0.3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</v>
      </c>
      <c r="BL72" s="29">
        <v>1</v>
      </c>
      <c r="BM72" s="29">
        <v>1</v>
      </c>
      <c r="BO72" s="29">
        <f t="shared" si="97"/>
        <v>1</v>
      </c>
      <c r="BP72" s="29">
        <f t="shared" si="86"/>
        <v>1</v>
      </c>
      <c r="BQ72" s="29">
        <f t="shared" si="87"/>
        <v>1</v>
      </c>
      <c r="BR72" s="65"/>
      <c r="BS72" s="29">
        <f t="shared" si="105"/>
        <v>1</v>
      </c>
      <c r="BT72" s="29">
        <f t="shared" si="98"/>
        <v>1</v>
      </c>
      <c r="BU72" s="29">
        <f t="shared" si="99"/>
        <v>1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 x14ac:dyDescent="0.3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</v>
      </c>
      <c r="BL73" s="29">
        <v>1</v>
      </c>
      <c r="BM73" s="29">
        <v>1</v>
      </c>
      <c r="BO73" s="29">
        <f t="shared" si="97"/>
        <v>1</v>
      </c>
      <c r="BP73" s="29">
        <f t="shared" si="86"/>
        <v>1</v>
      </c>
      <c r="BQ73" s="29">
        <f t="shared" si="87"/>
        <v>1</v>
      </c>
      <c r="BR73" s="65"/>
      <c r="BS73" s="29">
        <f t="shared" si="105"/>
        <v>1</v>
      </c>
      <c r="BT73" s="29">
        <f t="shared" si="98"/>
        <v>1</v>
      </c>
      <c r="BU73" s="29">
        <f t="shared" si="99"/>
        <v>1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 x14ac:dyDescent="0.3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</v>
      </c>
      <c r="BL74" s="29">
        <v>1</v>
      </c>
      <c r="BM74" s="29">
        <v>1</v>
      </c>
      <c r="BO74" s="29">
        <f t="shared" si="97"/>
        <v>1</v>
      </c>
      <c r="BP74" s="29">
        <f t="shared" si="86"/>
        <v>1</v>
      </c>
      <c r="BQ74" s="29">
        <f t="shared" si="87"/>
        <v>1</v>
      </c>
      <c r="BR74" s="65"/>
      <c r="BS74" s="29">
        <f t="shared" si="105"/>
        <v>1</v>
      </c>
      <c r="BT74" s="29">
        <f t="shared" si="98"/>
        <v>1</v>
      </c>
      <c r="BU74" s="29">
        <f t="shared" si="99"/>
        <v>1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 x14ac:dyDescent="0.3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</v>
      </c>
      <c r="BL75" s="29">
        <v>1</v>
      </c>
      <c r="BM75" s="29">
        <v>1</v>
      </c>
      <c r="BO75" s="29">
        <f t="shared" si="97"/>
        <v>1</v>
      </c>
      <c r="BP75" s="29">
        <f t="shared" si="86"/>
        <v>1</v>
      </c>
      <c r="BQ75" s="29">
        <f t="shared" si="87"/>
        <v>1</v>
      </c>
      <c r="BR75" s="65"/>
      <c r="BS75" s="29">
        <f t="shared" si="105"/>
        <v>1</v>
      </c>
      <c r="BT75" s="29">
        <f t="shared" si="98"/>
        <v>1</v>
      </c>
      <c r="BU75" s="29">
        <f t="shared" si="99"/>
        <v>1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 x14ac:dyDescent="0.3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</v>
      </c>
      <c r="BL76" s="29">
        <v>1</v>
      </c>
      <c r="BM76" s="29">
        <v>1</v>
      </c>
      <c r="BO76" s="29">
        <f t="shared" si="97"/>
        <v>1</v>
      </c>
      <c r="BP76" s="29">
        <f t="shared" si="86"/>
        <v>1</v>
      </c>
      <c r="BQ76" s="29">
        <f t="shared" si="87"/>
        <v>1</v>
      </c>
      <c r="BR76" s="65"/>
      <c r="BS76" s="29">
        <f t="shared" si="105"/>
        <v>1</v>
      </c>
      <c r="BT76" s="29">
        <f t="shared" si="98"/>
        <v>1</v>
      </c>
      <c r="BU76" s="29">
        <f t="shared" si="99"/>
        <v>1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 x14ac:dyDescent="0.35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</v>
      </c>
      <c r="BL77" s="29">
        <v>1</v>
      </c>
      <c r="BM77" s="29">
        <v>1</v>
      </c>
      <c r="BO77" s="29">
        <f t="shared" si="97"/>
        <v>1</v>
      </c>
      <c r="BP77" s="29">
        <f t="shared" si="86"/>
        <v>1</v>
      </c>
      <c r="BQ77" s="29">
        <f t="shared" si="87"/>
        <v>1</v>
      </c>
      <c r="BR77" s="65"/>
      <c r="BS77" s="29">
        <f t="shared" si="105"/>
        <v>1</v>
      </c>
      <c r="BT77" s="29">
        <f t="shared" si="98"/>
        <v>1</v>
      </c>
      <c r="BU77" s="29">
        <f t="shared" si="99"/>
        <v>1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 x14ac:dyDescent="0.3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</v>
      </c>
      <c r="BL78" s="29">
        <v>1</v>
      </c>
      <c r="BM78" s="29">
        <v>1</v>
      </c>
      <c r="BO78" s="29">
        <f t="shared" si="97"/>
        <v>1</v>
      </c>
      <c r="BP78" s="29">
        <f t="shared" si="86"/>
        <v>1</v>
      </c>
      <c r="BQ78" s="29">
        <f t="shared" si="87"/>
        <v>1</v>
      </c>
      <c r="BR78" s="65"/>
      <c r="BS78" s="29">
        <f t="shared" si="105"/>
        <v>1</v>
      </c>
      <c r="BT78" s="29">
        <f t="shared" si="98"/>
        <v>1</v>
      </c>
      <c r="BU78" s="29">
        <f t="shared" si="99"/>
        <v>1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 x14ac:dyDescent="0.35">
      <c r="A79" s="320" t="s">
        <v>151</v>
      </c>
      <c r="B79" s="320"/>
      <c r="C79" s="320"/>
      <c r="D79" s="320"/>
      <c r="E79" s="320"/>
      <c r="F79" s="320"/>
      <c r="H79" s="320" t="s">
        <v>152</v>
      </c>
      <c r="I79" s="320"/>
      <c r="J79" s="320"/>
      <c r="K79" s="320"/>
      <c r="L79" s="320"/>
      <c r="M79" s="320"/>
      <c r="O79" s="320" t="s">
        <v>153</v>
      </c>
      <c r="P79" s="320"/>
      <c r="Q79" s="320"/>
      <c r="R79" s="320"/>
      <c r="S79" s="320"/>
      <c r="T79" s="320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</v>
      </c>
      <c r="BL79" s="29">
        <v>1</v>
      </c>
      <c r="BM79" s="29">
        <v>1</v>
      </c>
      <c r="BO79" s="29">
        <f t="shared" si="97"/>
        <v>1</v>
      </c>
      <c r="BP79" s="29">
        <f t="shared" si="86"/>
        <v>1</v>
      </c>
      <c r="BQ79" s="29">
        <f t="shared" si="87"/>
        <v>1</v>
      </c>
      <c r="BR79" s="65"/>
      <c r="BS79" s="29">
        <f t="shared" si="105"/>
        <v>1</v>
      </c>
      <c r="BT79" s="29">
        <f t="shared" si="98"/>
        <v>1</v>
      </c>
      <c r="BU79" s="29">
        <f t="shared" si="99"/>
        <v>1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 x14ac:dyDescent="0.35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</v>
      </c>
      <c r="BL80" s="29">
        <v>1</v>
      </c>
      <c r="BM80" s="29">
        <v>1</v>
      </c>
      <c r="BO80" s="29">
        <f t="shared" si="97"/>
        <v>1</v>
      </c>
      <c r="BP80" s="29">
        <f t="shared" si="86"/>
        <v>1</v>
      </c>
      <c r="BQ80" s="29">
        <f t="shared" si="87"/>
        <v>1</v>
      </c>
      <c r="BR80" s="65"/>
      <c r="BS80" s="29">
        <f t="shared" si="105"/>
        <v>1</v>
      </c>
      <c r="BT80" s="29">
        <f t="shared" si="98"/>
        <v>1</v>
      </c>
      <c r="BU80" s="29">
        <f t="shared" si="99"/>
        <v>1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 x14ac:dyDescent="0.3">
      <c r="A81" s="75" t="s">
        <v>15</v>
      </c>
      <c r="B81" s="57" t="s">
        <v>54</v>
      </c>
      <c r="C81" s="76">
        <f>SUMIF(W$3:W$211, $A81, BK$3:BK$211)</f>
        <v>9</v>
      </c>
      <c r="D81" s="77">
        <f t="shared" ref="D81:E81" si="106">SUMIF(X$3:X$211, $A81, BL$3:BL$211)</f>
        <v>21</v>
      </c>
      <c r="E81" s="77">
        <f t="shared" si="106"/>
        <v>21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9</v>
      </c>
      <c r="K81" s="77">
        <f t="shared" ref="K81:L81" ca="1" si="107">SUMIF(X$3:X$211, $H81, BP$3:BP$211)</f>
        <v>21</v>
      </c>
      <c r="L81" s="77">
        <f t="shared" si="107"/>
        <v>21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9</v>
      </c>
      <c r="R81" s="77">
        <f t="shared" ref="R81:S81" ca="1" si="108">SUMIF(X$3:X$211, $H81, BT$3:BT$211)</f>
        <v>21</v>
      </c>
      <c r="S81" s="77">
        <f t="shared" si="108"/>
        <v>21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</v>
      </c>
      <c r="BL81" s="29">
        <v>1</v>
      </c>
      <c r="BM81" s="29">
        <v>1</v>
      </c>
      <c r="BO81" s="29">
        <f t="shared" si="97"/>
        <v>1</v>
      </c>
      <c r="BP81" s="29">
        <f t="shared" si="86"/>
        <v>1</v>
      </c>
      <c r="BQ81" s="29">
        <f t="shared" si="87"/>
        <v>1</v>
      </c>
      <c r="BR81" s="65"/>
      <c r="BS81" s="29">
        <f t="shared" si="105"/>
        <v>1</v>
      </c>
      <c r="BT81" s="29">
        <f t="shared" si="98"/>
        <v>1</v>
      </c>
      <c r="BU81" s="29">
        <f t="shared" si="99"/>
        <v>1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 x14ac:dyDescent="0.3">
      <c r="A82" s="78" t="s">
        <v>16</v>
      </c>
      <c r="B82" s="155" t="s">
        <v>26</v>
      </c>
      <c r="C82" s="79">
        <f t="shared" ref="C82:C88" si="109">SUMIF(W$3:W$211, $A82, BK$3:BK$211)</f>
        <v>14</v>
      </c>
      <c r="D82" s="70">
        <f t="shared" ref="D82:D88" si="110">SUMIF(X$3:X$211, $A82, BL$3:BL$211)</f>
        <v>24</v>
      </c>
      <c r="E82" s="70">
        <f t="shared" ref="E82:E88" si="111">SUMIF(Y$3:Y$211, $A82, BM$3:BM$211)</f>
        <v>23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</v>
      </c>
      <c r="K82" s="70">
        <f t="shared" ref="K82:K88" si="113">SUMIF(X$3:X$211, $H82, BP$3:BP$211)</f>
        <v>24</v>
      </c>
      <c r="L82" s="70">
        <f t="shared" ref="L82:L88" ca="1" si="114">SUMIF(Y$3:Y$211, $H82, BQ$3:BQ$211)</f>
        <v>23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</v>
      </c>
      <c r="R82" s="70">
        <f t="shared" ref="R82:R88" si="116">SUMIF(X$3:X$211, $H82, BT$3:BT$211)</f>
        <v>24</v>
      </c>
      <c r="S82" s="70">
        <f t="shared" ref="S82:S88" ca="1" si="117">SUMIF(Y$3:Y$211, $H82, BU$3:BU$211)</f>
        <v>23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</v>
      </c>
      <c r="BL82" s="29">
        <v>1</v>
      </c>
      <c r="BM82" s="29">
        <v>1</v>
      </c>
      <c r="BO82" s="29">
        <f t="shared" si="97"/>
        <v>1</v>
      </c>
      <c r="BP82" s="29">
        <f t="shared" si="86"/>
        <v>1</v>
      </c>
      <c r="BQ82" s="29">
        <f t="shared" si="87"/>
        <v>1</v>
      </c>
      <c r="BR82" s="65"/>
      <c r="BS82" s="29">
        <f t="shared" si="105"/>
        <v>1</v>
      </c>
      <c r="BT82" s="29">
        <f t="shared" si="98"/>
        <v>1</v>
      </c>
      <c r="BU82" s="29">
        <f t="shared" si="99"/>
        <v>1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 x14ac:dyDescent="0.3">
      <c r="A83" s="78" t="s">
        <v>17</v>
      </c>
      <c r="B83" s="58" t="s">
        <v>27</v>
      </c>
      <c r="C83" s="79">
        <f t="shared" si="109"/>
        <v>13</v>
      </c>
      <c r="D83" s="70">
        <f t="shared" si="110"/>
        <v>26</v>
      </c>
      <c r="E83" s="70">
        <f t="shared" si="111"/>
        <v>27</v>
      </c>
      <c r="F83" s="58">
        <v>2</v>
      </c>
      <c r="H83" s="78" t="str">
        <v>M2</v>
      </c>
      <c r="I83" s="58" t="str">
        <v>M2</v>
      </c>
      <c r="J83" s="79">
        <f t="shared" si="112"/>
        <v>13</v>
      </c>
      <c r="K83" s="70">
        <f t="shared" si="113"/>
        <v>26</v>
      </c>
      <c r="L83" s="70">
        <f t="shared" si="114"/>
        <v>27</v>
      </c>
      <c r="M83" s="58">
        <v>2</v>
      </c>
      <c r="O83" s="78" t="str">
        <v>M2</v>
      </c>
      <c r="P83" s="58" t="str">
        <v>M2</v>
      </c>
      <c r="Q83" s="79">
        <f t="shared" si="115"/>
        <v>13</v>
      </c>
      <c r="R83" s="70">
        <f t="shared" si="116"/>
        <v>26</v>
      </c>
      <c r="S83" s="70">
        <f t="shared" si="117"/>
        <v>27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</v>
      </c>
      <c r="BL83" s="29">
        <v>1</v>
      </c>
      <c r="BM83" s="29">
        <v>1</v>
      </c>
      <c r="BO83" s="29">
        <f t="shared" si="97"/>
        <v>1</v>
      </c>
      <c r="BP83" s="29">
        <f t="shared" si="86"/>
        <v>1</v>
      </c>
      <c r="BQ83" s="29">
        <f t="shared" si="87"/>
        <v>1</v>
      </c>
      <c r="BR83" s="65"/>
      <c r="BS83" s="29">
        <f t="shared" si="105"/>
        <v>1</v>
      </c>
      <c r="BT83" s="29">
        <f t="shared" si="98"/>
        <v>1</v>
      </c>
      <c r="BU83" s="29">
        <f t="shared" si="99"/>
        <v>1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 x14ac:dyDescent="0.3">
      <c r="A84" s="78" t="s">
        <v>18</v>
      </c>
      <c r="B84" s="58" t="s">
        <v>28</v>
      </c>
      <c r="C84" s="79">
        <f t="shared" si="109"/>
        <v>14</v>
      </c>
      <c r="D84" s="70">
        <f t="shared" si="110"/>
        <v>25</v>
      </c>
      <c r="E84" s="70">
        <f t="shared" si="111"/>
        <v>28</v>
      </c>
      <c r="F84" s="58">
        <v>3</v>
      </c>
      <c r="H84" s="78" t="str">
        <v>M3</v>
      </c>
      <c r="I84" s="58" t="str">
        <v>M3</v>
      </c>
      <c r="J84" s="79">
        <f t="shared" si="112"/>
        <v>14</v>
      </c>
      <c r="K84" s="70">
        <f t="shared" si="113"/>
        <v>25</v>
      </c>
      <c r="L84" s="70">
        <f t="shared" si="114"/>
        <v>28</v>
      </c>
      <c r="M84" s="58">
        <v>3</v>
      </c>
      <c r="O84" s="78" t="str">
        <v>M3</v>
      </c>
      <c r="P84" s="58" t="str">
        <v>M3</v>
      </c>
      <c r="Q84" s="79">
        <f t="shared" si="115"/>
        <v>14</v>
      </c>
      <c r="R84" s="70">
        <f t="shared" si="116"/>
        <v>25</v>
      </c>
      <c r="S84" s="70">
        <f t="shared" si="117"/>
        <v>28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</v>
      </c>
      <c r="BL84" s="29">
        <v>1</v>
      </c>
      <c r="BM84" s="29">
        <v>1</v>
      </c>
      <c r="BO84" s="29">
        <f t="shared" si="97"/>
        <v>1</v>
      </c>
      <c r="BP84" s="29">
        <f t="shared" si="86"/>
        <v>1</v>
      </c>
      <c r="BQ84" s="29">
        <f t="shared" si="87"/>
        <v>1</v>
      </c>
      <c r="BR84" s="65"/>
      <c r="BS84" s="29">
        <f t="shared" si="105"/>
        <v>1</v>
      </c>
      <c r="BT84" s="29">
        <f t="shared" si="98"/>
        <v>1</v>
      </c>
      <c r="BU84" s="29">
        <f t="shared" si="99"/>
        <v>1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 x14ac:dyDescent="0.3">
      <c r="A85" s="78" t="s">
        <v>41</v>
      </c>
      <c r="B85" s="58" t="s">
        <v>41</v>
      </c>
      <c r="C85" s="79">
        <f t="shared" si="109"/>
        <v>18</v>
      </c>
      <c r="D85" s="70">
        <f t="shared" si="110"/>
        <v>30</v>
      </c>
      <c r="E85" s="70">
        <f t="shared" si="111"/>
        <v>23</v>
      </c>
      <c r="F85" s="58">
        <v>4</v>
      </c>
      <c r="H85" s="78" t="str">
        <v>A</v>
      </c>
      <c r="I85" s="58" t="str">
        <v>A</v>
      </c>
      <c r="J85" s="79">
        <f t="shared" si="112"/>
        <v>18</v>
      </c>
      <c r="K85" s="70">
        <f t="shared" si="113"/>
        <v>30</v>
      </c>
      <c r="L85" s="70">
        <f t="shared" si="114"/>
        <v>23</v>
      </c>
      <c r="M85" s="58">
        <v>4</v>
      </c>
      <c r="O85" s="78" t="str">
        <v>A</v>
      </c>
      <c r="P85" s="58" t="str">
        <v>A</v>
      </c>
      <c r="Q85" s="79">
        <f t="shared" si="115"/>
        <v>18</v>
      </c>
      <c r="R85" s="70">
        <f t="shared" si="116"/>
        <v>30</v>
      </c>
      <c r="S85" s="70">
        <f t="shared" si="117"/>
        <v>23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</v>
      </c>
      <c r="BL85" s="29">
        <v>1</v>
      </c>
      <c r="BM85" s="29">
        <v>1</v>
      </c>
      <c r="BO85" s="29">
        <f t="shared" si="97"/>
        <v>1</v>
      </c>
      <c r="BP85" s="29">
        <f t="shared" si="86"/>
        <v>1</v>
      </c>
      <c r="BQ85" s="29">
        <f t="shared" si="87"/>
        <v>1</v>
      </c>
      <c r="BR85" s="65"/>
      <c r="BS85" s="29">
        <f t="shared" si="105"/>
        <v>1</v>
      </c>
      <c r="BT85" s="29">
        <f t="shared" si="98"/>
        <v>1</v>
      </c>
      <c r="BU85" s="29">
        <f t="shared" si="99"/>
        <v>1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 x14ac:dyDescent="0.3">
      <c r="A86" s="78" t="s">
        <v>38</v>
      </c>
      <c r="B86" s="58" t="s">
        <v>38</v>
      </c>
      <c r="C86" s="79">
        <f t="shared" si="109"/>
        <v>19</v>
      </c>
      <c r="D86" s="70">
        <f t="shared" si="110"/>
        <v>28</v>
      </c>
      <c r="E86" s="70">
        <f t="shared" si="111"/>
        <v>27</v>
      </c>
      <c r="F86" s="58">
        <v>5</v>
      </c>
      <c r="H86" s="78" t="str">
        <v>K</v>
      </c>
      <c r="I86" s="58" t="str">
        <v>K</v>
      </c>
      <c r="J86" s="79">
        <f t="shared" si="112"/>
        <v>19</v>
      </c>
      <c r="K86" s="70">
        <f t="shared" si="113"/>
        <v>28</v>
      </c>
      <c r="L86" s="70">
        <f t="shared" si="114"/>
        <v>27</v>
      </c>
      <c r="M86" s="58">
        <v>5</v>
      </c>
      <c r="O86" s="78" t="str">
        <v>K</v>
      </c>
      <c r="P86" s="58" t="str">
        <v>K</v>
      </c>
      <c r="Q86" s="79">
        <f t="shared" ca="1" si="115"/>
        <v>19</v>
      </c>
      <c r="R86" s="70">
        <f t="shared" si="116"/>
        <v>28</v>
      </c>
      <c r="S86" s="70">
        <f t="shared" si="117"/>
        <v>27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</v>
      </c>
      <c r="BL86" s="29">
        <v>1</v>
      </c>
      <c r="BM86" s="29">
        <v>1</v>
      </c>
      <c r="BO86" s="29">
        <f t="shared" si="97"/>
        <v>1</v>
      </c>
      <c r="BP86" s="29">
        <f t="shared" si="86"/>
        <v>1</v>
      </c>
      <c r="BQ86" s="29">
        <f t="shared" si="87"/>
        <v>1</v>
      </c>
      <c r="BR86" s="65"/>
      <c r="BS86" s="29">
        <f t="shared" si="105"/>
        <v>1</v>
      </c>
      <c r="BT86" s="29">
        <f t="shared" si="98"/>
        <v>1</v>
      </c>
      <c r="BU86" s="29">
        <f t="shared" si="99"/>
        <v>1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 x14ac:dyDescent="0.3">
      <c r="A87" s="78" t="s">
        <v>40</v>
      </c>
      <c r="B87" s="58" t="s">
        <v>40</v>
      </c>
      <c r="C87" s="79">
        <f t="shared" si="109"/>
        <v>17</v>
      </c>
      <c r="D87" s="70">
        <f t="shared" si="110"/>
        <v>29</v>
      </c>
      <c r="E87" s="70">
        <f t="shared" si="111"/>
        <v>27</v>
      </c>
      <c r="F87" s="58">
        <v>6</v>
      </c>
      <c r="H87" s="78" t="str">
        <v>Q</v>
      </c>
      <c r="I87" s="58" t="str">
        <v>Q</v>
      </c>
      <c r="J87" s="79">
        <f t="shared" si="112"/>
        <v>17</v>
      </c>
      <c r="K87" s="70">
        <f t="shared" si="113"/>
        <v>29</v>
      </c>
      <c r="L87" s="70">
        <f t="shared" si="114"/>
        <v>27</v>
      </c>
      <c r="M87" s="58">
        <v>6</v>
      </c>
      <c r="O87" s="78" t="str">
        <v>Q</v>
      </c>
      <c r="P87" s="58" t="str">
        <v>Q</v>
      </c>
      <c r="Q87" s="79">
        <f t="shared" si="115"/>
        <v>17</v>
      </c>
      <c r="R87" s="70">
        <f t="shared" si="116"/>
        <v>29</v>
      </c>
      <c r="S87" s="70">
        <f t="shared" si="117"/>
        <v>27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</v>
      </c>
      <c r="BL87" s="29">
        <v>1</v>
      </c>
      <c r="BM87" s="29">
        <v>1</v>
      </c>
      <c r="BO87" s="29">
        <f t="shared" si="97"/>
        <v>1</v>
      </c>
      <c r="BP87" s="29">
        <f t="shared" si="86"/>
        <v>1</v>
      </c>
      <c r="BQ87" s="29">
        <f t="shared" si="87"/>
        <v>1</v>
      </c>
      <c r="BR87" s="65"/>
      <c r="BS87" s="29">
        <f t="shared" si="105"/>
        <v>1</v>
      </c>
      <c r="BT87" s="29">
        <f t="shared" si="98"/>
        <v>1</v>
      </c>
      <c r="BU87" s="29">
        <f t="shared" si="99"/>
        <v>1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 x14ac:dyDescent="0.3">
      <c r="A88" s="78" t="s">
        <v>39</v>
      </c>
      <c r="B88" s="58" t="s">
        <v>39</v>
      </c>
      <c r="C88" s="79">
        <f t="shared" si="109"/>
        <v>19</v>
      </c>
      <c r="D88" s="70">
        <f t="shared" si="110"/>
        <v>26</v>
      </c>
      <c r="E88" s="70">
        <f t="shared" si="111"/>
        <v>27</v>
      </c>
      <c r="F88" s="58">
        <v>7</v>
      </c>
      <c r="H88" s="78" t="str">
        <v>J</v>
      </c>
      <c r="I88" s="58" t="str">
        <v>J</v>
      </c>
      <c r="J88" s="79">
        <f t="shared" ca="1" si="112"/>
        <v>19</v>
      </c>
      <c r="K88" s="70">
        <f t="shared" si="113"/>
        <v>26</v>
      </c>
      <c r="L88" s="70">
        <f t="shared" si="114"/>
        <v>27</v>
      </c>
      <c r="M88" s="58">
        <v>7</v>
      </c>
      <c r="O88" s="78" t="str">
        <v>J</v>
      </c>
      <c r="P88" s="58" t="str">
        <v>J</v>
      </c>
      <c r="Q88" s="79">
        <f t="shared" ca="1" si="115"/>
        <v>19</v>
      </c>
      <c r="R88" s="70">
        <f t="shared" si="116"/>
        <v>26</v>
      </c>
      <c r="S88" s="70">
        <f t="shared" si="117"/>
        <v>27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</v>
      </c>
      <c r="BL88" s="29">
        <v>1</v>
      </c>
      <c r="BM88" s="29">
        <v>1</v>
      </c>
      <c r="BO88" s="29">
        <f t="shared" si="97"/>
        <v>1</v>
      </c>
      <c r="BP88" s="29">
        <f t="shared" si="86"/>
        <v>1</v>
      </c>
      <c r="BQ88" s="29">
        <f t="shared" si="87"/>
        <v>1</v>
      </c>
      <c r="BR88" s="65"/>
      <c r="BS88" s="29">
        <f t="shared" si="105"/>
        <v>1</v>
      </c>
      <c r="BT88" s="29">
        <f t="shared" si="98"/>
        <v>1</v>
      </c>
      <c r="BU88" s="29">
        <f t="shared" si="99"/>
        <v>1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 x14ac:dyDescent="0.3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</v>
      </c>
      <c r="BL89" s="29">
        <v>1</v>
      </c>
      <c r="BM89" s="29">
        <v>1</v>
      </c>
      <c r="BO89" s="29">
        <f t="shared" si="97"/>
        <v>1</v>
      </c>
      <c r="BP89" s="29">
        <f t="shared" si="86"/>
        <v>1</v>
      </c>
      <c r="BQ89" s="29">
        <f t="shared" si="87"/>
        <v>1</v>
      </c>
      <c r="BR89" s="65"/>
      <c r="BS89" s="29">
        <f t="shared" si="105"/>
        <v>1</v>
      </c>
      <c r="BT89" s="29">
        <f t="shared" si="98"/>
        <v>1</v>
      </c>
      <c r="BU89" s="29">
        <f t="shared" si="99"/>
        <v>1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 x14ac:dyDescent="0.3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</v>
      </c>
      <c r="BL90" s="29">
        <v>1</v>
      </c>
      <c r="BM90" s="29">
        <v>1</v>
      </c>
      <c r="BO90" s="29">
        <f t="shared" si="97"/>
        <v>1</v>
      </c>
      <c r="BP90" s="29">
        <f t="shared" si="86"/>
        <v>1</v>
      </c>
      <c r="BQ90" s="29">
        <f t="shared" si="87"/>
        <v>1</v>
      </c>
      <c r="BR90" s="65"/>
      <c r="BS90" s="29">
        <f t="shared" si="105"/>
        <v>1</v>
      </c>
      <c r="BT90" s="29">
        <f t="shared" si="98"/>
        <v>1</v>
      </c>
      <c r="BU90" s="29">
        <f t="shared" si="99"/>
        <v>1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 x14ac:dyDescent="0.35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</v>
      </c>
      <c r="BL91" s="29">
        <v>1</v>
      </c>
      <c r="BM91" s="29">
        <v>1</v>
      </c>
      <c r="BO91" s="29">
        <f t="shared" si="97"/>
        <v>1</v>
      </c>
      <c r="BP91" s="29">
        <f t="shared" si="86"/>
        <v>1</v>
      </c>
      <c r="BQ91" s="29">
        <f t="shared" si="87"/>
        <v>1</v>
      </c>
      <c r="BR91" s="65"/>
      <c r="BS91" s="29">
        <f t="shared" si="105"/>
        <v>1</v>
      </c>
      <c r="BT91" s="29">
        <f t="shared" si="98"/>
        <v>1</v>
      </c>
      <c r="BU91" s="29">
        <f t="shared" si="99"/>
        <v>1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 x14ac:dyDescent="0.3">
      <c r="A92" s="60" t="s">
        <v>10</v>
      </c>
      <c r="B92" s="155"/>
      <c r="C92" s="155">
        <f>SUM(C81:C91)</f>
        <v>123</v>
      </c>
      <c r="D92" s="155">
        <f>SUM(D81:D91)</f>
        <v>209</v>
      </c>
      <c r="E92" s="155">
        <f>SUM(E81:E91)</f>
        <v>203</v>
      </c>
      <c r="F92" s="155"/>
      <c r="H92" s="60" t="s">
        <v>10</v>
      </c>
      <c r="I92" s="155"/>
      <c r="J92" s="155">
        <f ca="1">SUM(J81:J91)</f>
        <v>123</v>
      </c>
      <c r="K92" s="155">
        <f ca="1">SUM(K81:K91)</f>
        <v>209</v>
      </c>
      <c r="L92" s="155">
        <f ca="1">SUM(L81:L91)</f>
        <v>203</v>
      </c>
      <c r="M92" s="155"/>
      <c r="O92" s="60" t="s">
        <v>10</v>
      </c>
      <c r="P92" s="155"/>
      <c r="Q92" s="155">
        <f ca="1">SUM(Q81:Q91)</f>
        <v>123</v>
      </c>
      <c r="R92" s="155">
        <f ca="1">SUM(R81:R91)</f>
        <v>209</v>
      </c>
      <c r="S92" s="155">
        <f ca="1">SUM(S81:S91)</f>
        <v>203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</v>
      </c>
      <c r="BL92" s="29">
        <v>1</v>
      </c>
      <c r="BM92" s="29">
        <v>1</v>
      </c>
      <c r="BO92" s="29">
        <f t="shared" si="97"/>
        <v>1</v>
      </c>
      <c r="BP92" s="29">
        <f t="shared" si="86"/>
        <v>1</v>
      </c>
      <c r="BQ92" s="29">
        <f t="shared" si="87"/>
        <v>1</v>
      </c>
      <c r="BR92" s="65"/>
      <c r="BS92" s="29">
        <f t="shared" si="105"/>
        <v>1</v>
      </c>
      <c r="BT92" s="29">
        <f t="shared" si="98"/>
        <v>1</v>
      </c>
      <c r="BU92" s="29">
        <f t="shared" si="99"/>
        <v>1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 x14ac:dyDescent="0.3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</v>
      </c>
      <c r="BL93" s="29">
        <v>1</v>
      </c>
      <c r="BM93" s="29">
        <v>1</v>
      </c>
      <c r="BO93" s="29">
        <f t="shared" si="97"/>
        <v>1</v>
      </c>
      <c r="BP93" s="29">
        <f t="shared" si="86"/>
        <v>1</v>
      </c>
      <c r="BQ93" s="29">
        <f t="shared" si="87"/>
        <v>1</v>
      </c>
      <c r="BR93" s="65"/>
      <c r="BS93" s="29">
        <f t="shared" si="105"/>
        <v>1</v>
      </c>
      <c r="BT93" s="29">
        <f t="shared" si="98"/>
        <v>1</v>
      </c>
      <c r="BU93" s="29">
        <f t="shared" si="99"/>
        <v>1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 x14ac:dyDescent="0.35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</v>
      </c>
      <c r="BL94" s="29">
        <v>1</v>
      </c>
      <c r="BM94" s="29">
        <v>1</v>
      </c>
      <c r="BO94" s="29">
        <f t="shared" si="97"/>
        <v>1</v>
      </c>
      <c r="BP94" s="29">
        <f t="shared" si="86"/>
        <v>1</v>
      </c>
      <c r="BQ94" s="29">
        <f t="shared" si="87"/>
        <v>1</v>
      </c>
      <c r="BR94" s="65"/>
      <c r="BS94" s="29">
        <f t="shared" si="105"/>
        <v>1</v>
      </c>
      <c r="BT94" s="29">
        <f t="shared" si="98"/>
        <v>1</v>
      </c>
      <c r="BU94" s="29">
        <f t="shared" si="99"/>
        <v>1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 x14ac:dyDescent="0.35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</v>
      </c>
      <c r="BL95" s="29">
        <v>1</v>
      </c>
      <c r="BM95" s="29">
        <v>1</v>
      </c>
      <c r="BO95" s="29">
        <f t="shared" si="97"/>
        <v>1</v>
      </c>
      <c r="BP95" s="29">
        <f t="shared" si="86"/>
        <v>1</v>
      </c>
      <c r="BQ95" s="29">
        <f t="shared" si="87"/>
        <v>1</v>
      </c>
      <c r="BR95" s="65"/>
      <c r="BS95" s="29">
        <f t="shared" si="105"/>
        <v>1</v>
      </c>
      <c r="BT95" s="29">
        <f t="shared" si="98"/>
        <v>1</v>
      </c>
      <c r="BU95" s="29">
        <f t="shared" si="99"/>
        <v>1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 x14ac:dyDescent="0.3">
      <c r="A96" s="41" t="s">
        <v>6</v>
      </c>
      <c r="B96" s="43" t="s">
        <v>33</v>
      </c>
      <c r="C96" s="155">
        <f>SUM(C81:C91)</f>
        <v>123</v>
      </c>
      <c r="D96" s="155">
        <f>SUM(D81:D91)</f>
        <v>209</v>
      </c>
      <c r="E96" s="84">
        <f>SUM(E81:E91)</f>
        <v>203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123</v>
      </c>
      <c r="K96" s="155">
        <f ca="1">SUM(K81:K91)</f>
        <v>209</v>
      </c>
      <c r="L96" s="84">
        <f ca="1">SUM(L81:L91)</f>
        <v>203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123</v>
      </c>
      <c r="R96" s="155">
        <f ca="1">SUM(R81:R91)</f>
        <v>209</v>
      </c>
      <c r="S96" s="84">
        <f ca="1">SUM(S81:S91)</f>
        <v>203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</v>
      </c>
      <c r="BL96" s="29">
        <v>1</v>
      </c>
      <c r="BM96" s="29">
        <v>1</v>
      </c>
      <c r="BO96" s="29">
        <f t="shared" si="97"/>
        <v>1</v>
      </c>
      <c r="BP96" s="29">
        <f t="shared" si="86"/>
        <v>1</v>
      </c>
      <c r="BQ96" s="29">
        <f t="shared" si="87"/>
        <v>1</v>
      </c>
      <c r="BR96" s="65"/>
      <c r="BS96" s="29">
        <f t="shared" si="105"/>
        <v>1</v>
      </c>
      <c r="BT96" s="29">
        <f t="shared" si="98"/>
        <v>1</v>
      </c>
      <c r="BU96" s="29">
        <f t="shared" si="99"/>
        <v>1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 x14ac:dyDescent="0.3">
      <c r="A97" s="78" t="s">
        <v>19</v>
      </c>
      <c r="B97" s="48" t="s">
        <v>20</v>
      </c>
      <c r="C97" s="155">
        <f>C$3+C$4</f>
        <v>23</v>
      </c>
      <c r="D97" s="155">
        <f>D$3+D$4</f>
        <v>45</v>
      </c>
      <c r="E97" s="84">
        <f>E$3+E$4</f>
        <v>44</v>
      </c>
      <c r="F97" s="69"/>
      <c r="H97" s="78" t="str">
        <v>W1</v>
      </c>
      <c r="I97" s="48" t="str">
        <v>WW,M1</v>
      </c>
      <c r="J97" s="155">
        <f>J$3+J$4</f>
        <v>23</v>
      </c>
      <c r="K97" s="155">
        <f ca="1">K$3+K$4</f>
        <v>45</v>
      </c>
      <c r="L97" s="84">
        <f ca="1">L$3+L$4</f>
        <v>44</v>
      </c>
      <c r="M97" s="69"/>
      <c r="O97" s="78" t="str">
        <v>W1</v>
      </c>
      <c r="P97" s="48" t="str">
        <v>WW,M1</v>
      </c>
      <c r="Q97" s="155">
        <f>Q$3+Q$4</f>
        <v>23</v>
      </c>
      <c r="R97" s="155">
        <f ca="1">R$3+R$4</f>
        <v>45</v>
      </c>
      <c r="S97" s="84">
        <f ca="1">S$3+S$4</f>
        <v>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</v>
      </c>
      <c r="BL97" s="29">
        <v>1</v>
      </c>
      <c r="BM97" s="29">
        <v>1</v>
      </c>
      <c r="BO97" s="29">
        <f t="shared" si="97"/>
        <v>1</v>
      </c>
      <c r="BP97" s="29">
        <f t="shared" si="86"/>
        <v>1</v>
      </c>
      <c r="BQ97" s="29">
        <f t="shared" si="87"/>
        <v>1</v>
      </c>
      <c r="BR97" s="65"/>
      <c r="BS97" s="29">
        <f t="shared" si="105"/>
        <v>1</v>
      </c>
      <c r="BT97" s="29">
        <f t="shared" si="98"/>
        <v>1</v>
      </c>
      <c r="BU97" s="29">
        <f t="shared" si="99"/>
        <v>1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 x14ac:dyDescent="0.3">
      <c r="A98" s="78" t="s">
        <v>21</v>
      </c>
      <c r="B98" s="48" t="s">
        <v>22</v>
      </c>
      <c r="C98" s="155">
        <f>C$3+C$5</f>
        <v>22</v>
      </c>
      <c r="D98" s="155">
        <f>D$3+D$5</f>
        <v>47</v>
      </c>
      <c r="E98" s="84">
        <f>E$3+E$5</f>
        <v>48</v>
      </c>
      <c r="F98" s="69"/>
      <c r="H98" s="78" t="str">
        <v>W2</v>
      </c>
      <c r="I98" s="48" t="str">
        <v>WW,M2</v>
      </c>
      <c r="J98" s="155">
        <f>J$3+J$5</f>
        <v>22</v>
      </c>
      <c r="K98" s="155">
        <f ca="1">K$3+K$5</f>
        <v>47</v>
      </c>
      <c r="L98" s="84">
        <f>L$3+L$5</f>
        <v>48</v>
      </c>
      <c r="M98" s="69"/>
      <c r="O98" s="78" t="str">
        <v>W2</v>
      </c>
      <c r="P98" s="48" t="str">
        <v>WW,M2</v>
      </c>
      <c r="Q98" s="155">
        <f>Q$3+Q$5</f>
        <v>22</v>
      </c>
      <c r="R98" s="155">
        <f ca="1">R$3+R$5</f>
        <v>47</v>
      </c>
      <c r="S98" s="84">
        <f>S$3+S$5</f>
        <v>48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</v>
      </c>
      <c r="BL98" s="29">
        <v>1</v>
      </c>
      <c r="BM98" s="29">
        <v>1</v>
      </c>
      <c r="BO98" s="29">
        <f t="shared" si="97"/>
        <v>1</v>
      </c>
      <c r="BP98" s="29">
        <f t="shared" si="86"/>
        <v>1</v>
      </c>
      <c r="BQ98" s="29">
        <f t="shared" si="87"/>
        <v>1</v>
      </c>
      <c r="BR98" s="65"/>
      <c r="BS98" s="29">
        <f t="shared" si="105"/>
        <v>1</v>
      </c>
      <c r="BT98" s="29">
        <f t="shared" si="98"/>
        <v>1</v>
      </c>
      <c r="BU98" s="29">
        <f t="shared" si="99"/>
        <v>1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 x14ac:dyDescent="0.3">
      <c r="A99" s="78" t="s">
        <v>23</v>
      </c>
      <c r="B99" s="48" t="s">
        <v>24</v>
      </c>
      <c r="C99" s="155">
        <f>C$3+C$6</f>
        <v>23</v>
      </c>
      <c r="D99" s="155">
        <f>D$3+D$6</f>
        <v>46</v>
      </c>
      <c r="E99" s="84">
        <f>E$3+E$6</f>
        <v>49</v>
      </c>
      <c r="F99" s="69"/>
      <c r="H99" s="78" t="str">
        <v>W3</v>
      </c>
      <c r="I99" s="48" t="str">
        <v>WW,M3</v>
      </c>
      <c r="J99" s="155">
        <f>J$3+J$6</f>
        <v>23</v>
      </c>
      <c r="K99" s="155">
        <f ca="1">K$3+K$6</f>
        <v>46</v>
      </c>
      <c r="L99" s="84">
        <f>L$3+L$6</f>
        <v>49</v>
      </c>
      <c r="M99" s="69"/>
      <c r="O99" s="78" t="str">
        <v>W3</v>
      </c>
      <c r="P99" s="48" t="str">
        <v>WW,M3</v>
      </c>
      <c r="Q99" s="155">
        <f>Q$3+Q$6</f>
        <v>23</v>
      </c>
      <c r="R99" s="155">
        <f ca="1">R$3+R$6</f>
        <v>46</v>
      </c>
      <c r="S99" s="84">
        <f>S$3+S$6</f>
        <v>49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</v>
      </c>
      <c r="BL99" s="29">
        <v>1</v>
      </c>
      <c r="BM99" s="29">
        <v>1</v>
      </c>
      <c r="BO99" s="29">
        <f t="shared" si="97"/>
        <v>1</v>
      </c>
      <c r="BP99" s="29">
        <f t="shared" si="86"/>
        <v>1</v>
      </c>
      <c r="BQ99" s="29">
        <f t="shared" si="87"/>
        <v>1</v>
      </c>
      <c r="BR99" s="65"/>
      <c r="BS99" s="29">
        <f t="shared" si="105"/>
        <v>1</v>
      </c>
      <c r="BT99" s="29">
        <f t="shared" si="98"/>
        <v>1</v>
      </c>
      <c r="BU99" s="29">
        <f t="shared" si="99"/>
        <v>1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 x14ac:dyDescent="0.3">
      <c r="A100" s="78" t="s">
        <v>55</v>
      </c>
      <c r="B100" s="48" t="s">
        <v>34</v>
      </c>
      <c r="C100" s="155">
        <f>C$3+C$7</f>
        <v>27</v>
      </c>
      <c r="D100" s="155">
        <f>D$3+D$7</f>
        <v>51</v>
      </c>
      <c r="E100" s="84">
        <f>E$3+E$7</f>
        <v>44</v>
      </c>
      <c r="F100" s="69"/>
      <c r="H100" s="78" t="str">
        <v>WA</v>
      </c>
      <c r="I100" s="48" t="str">
        <v>WW,A</v>
      </c>
      <c r="J100" s="155">
        <f>J$3+J$7</f>
        <v>27</v>
      </c>
      <c r="K100" s="155">
        <f ca="1">K$3+K$7</f>
        <v>51</v>
      </c>
      <c r="L100" s="84">
        <f>L$3+L$7</f>
        <v>44</v>
      </c>
      <c r="M100" s="69"/>
      <c r="O100" s="78" t="str">
        <v>WA</v>
      </c>
      <c r="P100" s="48" t="str">
        <v>WW,A</v>
      </c>
      <c r="Q100" s="155">
        <f>Q$3+Q$7</f>
        <v>27</v>
      </c>
      <c r="R100" s="155">
        <f ca="1">R$3+R$7</f>
        <v>51</v>
      </c>
      <c r="S100" s="84">
        <f>S$3+S$7</f>
        <v>44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</v>
      </c>
      <c r="BL100" s="29">
        <v>1</v>
      </c>
      <c r="BM100" s="29">
        <v>1</v>
      </c>
      <c r="BO100" s="29">
        <f t="shared" si="97"/>
        <v>1</v>
      </c>
      <c r="BP100" s="29">
        <f t="shared" si="86"/>
        <v>1</v>
      </c>
      <c r="BQ100" s="29">
        <f t="shared" si="87"/>
        <v>1</v>
      </c>
      <c r="BR100" s="65"/>
      <c r="BS100" s="29">
        <f t="shared" si="105"/>
        <v>1</v>
      </c>
      <c r="BT100" s="29">
        <f t="shared" si="98"/>
        <v>1</v>
      </c>
      <c r="BU100" s="29">
        <f t="shared" si="99"/>
        <v>1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 x14ac:dyDescent="0.3">
      <c r="A101" s="78" t="s">
        <v>56</v>
      </c>
      <c r="B101" s="48" t="s">
        <v>35</v>
      </c>
      <c r="C101" s="155">
        <f>C$3+C$8</f>
        <v>28</v>
      </c>
      <c r="D101" s="155">
        <f>D$3+D$8</f>
        <v>49</v>
      </c>
      <c r="E101" s="84">
        <f>E$3+E$8</f>
        <v>48</v>
      </c>
      <c r="F101" s="69"/>
      <c r="H101" s="78" t="str">
        <v>WK</v>
      </c>
      <c r="I101" s="48" t="str">
        <v>WW,K</v>
      </c>
      <c r="J101" s="155">
        <f>J$3+J$8</f>
        <v>28</v>
      </c>
      <c r="K101" s="155">
        <f ca="1">K$3+K$8</f>
        <v>49</v>
      </c>
      <c r="L101" s="84">
        <f>L$3+L$8</f>
        <v>48</v>
      </c>
      <c r="M101" s="69"/>
      <c r="O101" s="78" t="str">
        <v>WK</v>
      </c>
      <c r="P101" s="48" t="str">
        <v>WW,K</v>
      </c>
      <c r="Q101" s="155">
        <f ca="1">Q$3+Q$8</f>
        <v>28</v>
      </c>
      <c r="R101" s="155">
        <f ca="1">R$3+R$8</f>
        <v>49</v>
      </c>
      <c r="S101" s="84">
        <f>S$3+S$8</f>
        <v>48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</v>
      </c>
      <c r="BL101" s="29">
        <v>1</v>
      </c>
      <c r="BM101" s="29">
        <v>1</v>
      </c>
      <c r="BO101" s="29">
        <f t="shared" si="97"/>
        <v>1</v>
      </c>
      <c r="BP101" s="29">
        <f t="shared" si="86"/>
        <v>1</v>
      </c>
      <c r="BQ101" s="29">
        <f t="shared" si="87"/>
        <v>1</v>
      </c>
      <c r="BR101" s="65"/>
      <c r="BS101" s="29">
        <f t="shared" si="105"/>
        <v>1</v>
      </c>
      <c r="BT101" s="29">
        <f t="shared" si="98"/>
        <v>1</v>
      </c>
      <c r="BU101" s="29">
        <f t="shared" si="99"/>
        <v>1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 x14ac:dyDescent="0.3">
      <c r="A102" s="78" t="s">
        <v>57</v>
      </c>
      <c r="B102" s="48" t="s">
        <v>36</v>
      </c>
      <c r="C102" s="155">
        <f>C$3+C$9</f>
        <v>26</v>
      </c>
      <c r="D102" s="155">
        <f>D$3+D$9</f>
        <v>50</v>
      </c>
      <c r="E102" s="84">
        <f>E$3+E$9</f>
        <v>48</v>
      </c>
      <c r="F102" s="69"/>
      <c r="H102" s="78" t="str">
        <v>WQ</v>
      </c>
      <c r="I102" s="48" t="str">
        <v>WW,Q</v>
      </c>
      <c r="J102" s="155">
        <f>J$3+J$9</f>
        <v>26</v>
      </c>
      <c r="K102" s="155">
        <f ca="1">K$3+K$9</f>
        <v>50</v>
      </c>
      <c r="L102" s="84">
        <f>L$3+L$9</f>
        <v>48</v>
      </c>
      <c r="M102" s="69"/>
      <c r="O102" s="78" t="str">
        <v>WQ</v>
      </c>
      <c r="P102" s="48" t="str">
        <v>WW,Q</v>
      </c>
      <c r="Q102" s="155">
        <f>Q$3+Q$9</f>
        <v>26</v>
      </c>
      <c r="R102" s="155">
        <f ca="1">R$3+R$9</f>
        <v>50</v>
      </c>
      <c r="S102" s="84">
        <f>S$3+S$9</f>
        <v>48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</v>
      </c>
      <c r="BL102" s="29">
        <v>1</v>
      </c>
      <c r="BM102" s="29">
        <v>1</v>
      </c>
      <c r="BO102" s="29">
        <f t="shared" si="97"/>
        <v>1</v>
      </c>
      <c r="BP102" s="29">
        <f t="shared" si="86"/>
        <v>1</v>
      </c>
      <c r="BQ102" s="29">
        <f t="shared" si="87"/>
        <v>1</v>
      </c>
      <c r="BR102" s="65"/>
      <c r="BS102" s="29">
        <f t="shared" si="105"/>
        <v>1</v>
      </c>
      <c r="BT102" s="29">
        <f t="shared" si="98"/>
        <v>1</v>
      </c>
      <c r="BU102" s="29">
        <f t="shared" si="99"/>
        <v>1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 x14ac:dyDescent="0.35">
      <c r="A103" s="73" t="s">
        <v>58</v>
      </c>
      <c r="B103" s="53" t="s">
        <v>37</v>
      </c>
      <c r="C103" s="154">
        <f>C$3+C$10</f>
        <v>28</v>
      </c>
      <c r="D103" s="154">
        <f>D$3+D$10</f>
        <v>47</v>
      </c>
      <c r="E103" s="17">
        <f>E$3+E$10</f>
        <v>48</v>
      </c>
      <c r="F103" s="69"/>
      <c r="H103" s="73" t="str">
        <v>WJ</v>
      </c>
      <c r="I103" s="53" t="str">
        <v>WW,J</v>
      </c>
      <c r="J103" s="154">
        <f ca="1">J$3+J$10</f>
        <v>28</v>
      </c>
      <c r="K103" s="154">
        <f ca="1">K$3+K$10</f>
        <v>47</v>
      </c>
      <c r="L103" s="17">
        <f>L$3+L$10</f>
        <v>48</v>
      </c>
      <c r="M103" s="69"/>
      <c r="O103" s="73" t="str">
        <v>WJ</v>
      </c>
      <c r="P103" s="53" t="str">
        <v>WW,J</v>
      </c>
      <c r="Q103" s="154">
        <f ca="1">Q$3+Q$10</f>
        <v>28</v>
      </c>
      <c r="R103" s="154">
        <f ca="1">R$3+R$10</f>
        <v>47</v>
      </c>
      <c r="S103" s="17">
        <f>S$3+S$10</f>
        <v>48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</v>
      </c>
      <c r="BL103" s="29">
        <v>1</v>
      </c>
      <c r="BM103" s="29">
        <v>1</v>
      </c>
      <c r="BO103" s="29">
        <f t="shared" si="97"/>
        <v>1</v>
      </c>
      <c r="BP103" s="29">
        <f t="shared" si="86"/>
        <v>1</v>
      </c>
      <c r="BQ103" s="29">
        <f t="shared" si="87"/>
        <v>1</v>
      </c>
      <c r="BR103" s="65"/>
      <c r="BS103" s="29">
        <f t="shared" si="105"/>
        <v>1</v>
      </c>
      <c r="BT103" s="29">
        <f t="shared" si="98"/>
        <v>1</v>
      </c>
      <c r="BU103" s="29">
        <f t="shared" si="99"/>
        <v>1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 x14ac:dyDescent="0.3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</v>
      </c>
      <c r="BL104" s="29">
        <v>1</v>
      </c>
      <c r="BM104" s="29">
        <v>1</v>
      </c>
      <c r="BO104" s="29">
        <f t="shared" si="97"/>
        <v>1</v>
      </c>
      <c r="BP104" s="29">
        <f t="shared" si="86"/>
        <v>1</v>
      </c>
      <c r="BQ104" s="29">
        <f t="shared" si="87"/>
        <v>1</v>
      </c>
      <c r="BR104" s="65"/>
      <c r="BS104" s="29">
        <f t="shared" si="105"/>
        <v>1</v>
      </c>
      <c r="BT104" s="29">
        <f t="shared" si="98"/>
        <v>1</v>
      </c>
      <c r="BU104" s="29">
        <f t="shared" si="99"/>
        <v>1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 x14ac:dyDescent="0.3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</v>
      </c>
      <c r="BL105" s="29">
        <v>1</v>
      </c>
      <c r="BM105" s="29">
        <v>1</v>
      </c>
      <c r="BO105" s="29">
        <f t="shared" si="97"/>
        <v>1</v>
      </c>
      <c r="BP105" s="29">
        <f t="shared" si="86"/>
        <v>1</v>
      </c>
      <c r="BQ105" s="29">
        <f t="shared" si="87"/>
        <v>1</v>
      </c>
      <c r="BR105" s="65"/>
      <c r="BS105" s="29">
        <f t="shared" si="105"/>
        <v>1</v>
      </c>
      <c r="BT105" s="29">
        <f t="shared" si="98"/>
        <v>1</v>
      </c>
      <c r="BU105" s="29">
        <f t="shared" si="99"/>
        <v>1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 x14ac:dyDescent="0.3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</v>
      </c>
      <c r="BL106" s="29">
        <v>1</v>
      </c>
      <c r="BM106" s="29">
        <v>1</v>
      </c>
      <c r="BO106" s="29">
        <f t="shared" si="97"/>
        <v>1</v>
      </c>
      <c r="BP106" s="29">
        <f t="shared" si="86"/>
        <v>1</v>
      </c>
      <c r="BQ106" s="29">
        <f t="shared" si="87"/>
        <v>1</v>
      </c>
      <c r="BR106" s="65"/>
      <c r="BS106" s="29">
        <f t="shared" si="105"/>
        <v>1</v>
      </c>
      <c r="BT106" s="29">
        <f t="shared" si="98"/>
        <v>1</v>
      </c>
      <c r="BU106" s="29">
        <f t="shared" si="99"/>
        <v>1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 x14ac:dyDescent="0.3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</v>
      </c>
      <c r="BL107" s="29">
        <v>1</v>
      </c>
      <c r="BM107" s="29">
        <v>1</v>
      </c>
      <c r="BO107" s="29">
        <f t="shared" si="97"/>
        <v>1</v>
      </c>
      <c r="BP107" s="29">
        <f t="shared" si="86"/>
        <v>1</v>
      </c>
      <c r="BQ107" s="29">
        <f t="shared" si="87"/>
        <v>1</v>
      </c>
      <c r="BR107" s="65"/>
      <c r="BS107" s="29">
        <f t="shared" si="105"/>
        <v>1</v>
      </c>
      <c r="BT107" s="29">
        <f t="shared" si="98"/>
        <v>1</v>
      </c>
      <c r="BU107" s="29">
        <f t="shared" si="99"/>
        <v>1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 x14ac:dyDescent="0.3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</v>
      </c>
      <c r="BL108" s="29">
        <v>1</v>
      </c>
      <c r="BM108" s="29">
        <v>1</v>
      </c>
      <c r="BO108" s="29">
        <f t="shared" si="97"/>
        <v>1</v>
      </c>
      <c r="BP108" s="29">
        <f t="shared" si="86"/>
        <v>1</v>
      </c>
      <c r="BQ108" s="29">
        <f t="shared" si="87"/>
        <v>1</v>
      </c>
      <c r="BR108" s="65"/>
      <c r="BS108" s="29">
        <f t="shared" si="105"/>
        <v>1</v>
      </c>
      <c r="BT108" s="29">
        <f t="shared" si="98"/>
        <v>1</v>
      </c>
      <c r="BU108" s="29">
        <f t="shared" si="99"/>
        <v>1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 x14ac:dyDescent="0.3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</v>
      </c>
      <c r="BL109" s="29">
        <v>1</v>
      </c>
      <c r="BM109" s="29">
        <v>1</v>
      </c>
      <c r="BO109" s="29">
        <f t="shared" si="97"/>
        <v>1</v>
      </c>
      <c r="BP109" s="29">
        <f t="shared" si="86"/>
        <v>1</v>
      </c>
      <c r="BQ109" s="29">
        <f t="shared" si="87"/>
        <v>1</v>
      </c>
      <c r="BR109" s="65"/>
      <c r="BS109" s="29">
        <f t="shared" si="105"/>
        <v>1</v>
      </c>
      <c r="BT109" s="29">
        <f t="shared" si="98"/>
        <v>1</v>
      </c>
      <c r="BU109" s="29">
        <f t="shared" si="99"/>
        <v>1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 x14ac:dyDescent="0.3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</v>
      </c>
      <c r="BL110" s="29">
        <v>1</v>
      </c>
      <c r="BM110" s="29">
        <v>1</v>
      </c>
      <c r="BO110" s="29">
        <f t="shared" si="97"/>
        <v>1</v>
      </c>
      <c r="BP110" s="29">
        <f t="shared" si="86"/>
        <v>1</v>
      </c>
      <c r="BQ110" s="29">
        <f t="shared" si="87"/>
        <v>1</v>
      </c>
      <c r="BR110" s="65"/>
      <c r="BS110" s="29">
        <f t="shared" si="105"/>
        <v>1</v>
      </c>
      <c r="BT110" s="29">
        <f t="shared" si="98"/>
        <v>1</v>
      </c>
      <c r="BU110" s="29">
        <f t="shared" si="99"/>
        <v>1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 x14ac:dyDescent="0.3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</v>
      </c>
      <c r="BL111" s="29">
        <v>1</v>
      </c>
      <c r="BM111" s="29">
        <v>1</v>
      </c>
      <c r="BO111" s="29">
        <f t="shared" si="97"/>
        <v>1</v>
      </c>
      <c r="BP111" s="29">
        <f t="shared" si="86"/>
        <v>1</v>
      </c>
      <c r="BQ111" s="29">
        <f t="shared" si="87"/>
        <v>1</v>
      </c>
      <c r="BR111" s="65"/>
      <c r="BS111" s="29">
        <f t="shared" si="105"/>
        <v>1</v>
      </c>
      <c r="BT111" s="29">
        <f t="shared" si="98"/>
        <v>1</v>
      </c>
      <c r="BU111" s="29">
        <f t="shared" si="99"/>
        <v>1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 x14ac:dyDescent="0.3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</v>
      </c>
      <c r="BL112" s="29">
        <v>1</v>
      </c>
      <c r="BM112" s="29">
        <v>1</v>
      </c>
      <c r="BO112" s="29">
        <f t="shared" si="97"/>
        <v>1</v>
      </c>
      <c r="BP112" s="29">
        <f t="shared" si="86"/>
        <v>1</v>
      </c>
      <c r="BQ112" s="29">
        <f t="shared" si="87"/>
        <v>1</v>
      </c>
      <c r="BR112" s="65"/>
      <c r="BS112" s="29">
        <f t="shared" si="105"/>
        <v>1</v>
      </c>
      <c r="BT112" s="29">
        <f t="shared" si="98"/>
        <v>1</v>
      </c>
      <c r="BU112" s="29">
        <f t="shared" si="99"/>
        <v>1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 x14ac:dyDescent="0.3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</v>
      </c>
      <c r="BL113" s="29">
        <v>1</v>
      </c>
      <c r="BM113" s="29">
        <v>1</v>
      </c>
      <c r="BO113" s="29">
        <f t="shared" si="97"/>
        <v>1</v>
      </c>
      <c r="BP113" s="29">
        <f t="shared" si="86"/>
        <v>1</v>
      </c>
      <c r="BQ113" s="29">
        <f t="shared" si="87"/>
        <v>1</v>
      </c>
      <c r="BR113" s="65"/>
      <c r="BS113" s="29">
        <f t="shared" si="105"/>
        <v>1</v>
      </c>
      <c r="BT113" s="29">
        <f t="shared" si="98"/>
        <v>1</v>
      </c>
      <c r="BU113" s="29">
        <f t="shared" si="99"/>
        <v>1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 x14ac:dyDescent="0.3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</v>
      </c>
      <c r="BL114" s="29">
        <v>1</v>
      </c>
      <c r="BM114" s="29">
        <v>1</v>
      </c>
      <c r="BO114" s="29">
        <f t="shared" si="97"/>
        <v>1</v>
      </c>
      <c r="BP114" s="29">
        <f t="shared" si="86"/>
        <v>1</v>
      </c>
      <c r="BQ114" s="29">
        <f t="shared" si="87"/>
        <v>1</v>
      </c>
      <c r="BR114" s="65"/>
      <c r="BS114" s="29">
        <f t="shared" si="105"/>
        <v>1</v>
      </c>
      <c r="BT114" s="29">
        <f t="shared" si="98"/>
        <v>1</v>
      </c>
      <c r="BU114" s="29">
        <f t="shared" si="99"/>
        <v>1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 x14ac:dyDescent="0.3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</v>
      </c>
      <c r="BL115" s="29">
        <v>1</v>
      </c>
      <c r="BM115" s="29">
        <v>1</v>
      </c>
      <c r="BO115" s="29">
        <f t="shared" si="97"/>
        <v>1</v>
      </c>
      <c r="BP115" s="29">
        <f t="shared" si="86"/>
        <v>1</v>
      </c>
      <c r="BQ115" s="29">
        <f t="shared" si="87"/>
        <v>1</v>
      </c>
      <c r="BR115" s="65"/>
      <c r="BS115" s="29">
        <f t="shared" si="105"/>
        <v>1</v>
      </c>
      <c r="BT115" s="29">
        <f t="shared" si="98"/>
        <v>1</v>
      </c>
      <c r="BU115" s="29">
        <f t="shared" si="99"/>
        <v>1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 x14ac:dyDescent="0.3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</v>
      </c>
      <c r="BL116" s="29">
        <v>1</v>
      </c>
      <c r="BM116" s="29">
        <v>1</v>
      </c>
      <c r="BO116" s="29">
        <f t="shared" si="97"/>
        <v>1</v>
      </c>
      <c r="BP116" s="29">
        <f t="shared" si="86"/>
        <v>1</v>
      </c>
      <c r="BQ116" s="29">
        <f t="shared" si="87"/>
        <v>1</v>
      </c>
      <c r="BR116" s="65"/>
      <c r="BS116" s="29">
        <f t="shared" si="105"/>
        <v>1</v>
      </c>
      <c r="BT116" s="29">
        <f t="shared" si="98"/>
        <v>1</v>
      </c>
      <c r="BU116" s="29">
        <f t="shared" si="99"/>
        <v>1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 x14ac:dyDescent="0.3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</v>
      </c>
      <c r="BL117" s="29">
        <v>1</v>
      </c>
      <c r="BM117" s="29">
        <v>1</v>
      </c>
      <c r="BO117" s="29">
        <f t="shared" si="97"/>
        <v>1</v>
      </c>
      <c r="BP117" s="29">
        <f t="shared" si="86"/>
        <v>1</v>
      </c>
      <c r="BQ117" s="29">
        <f t="shared" si="87"/>
        <v>1</v>
      </c>
      <c r="BR117" s="65"/>
      <c r="BS117" s="29">
        <f t="shared" si="105"/>
        <v>1</v>
      </c>
      <c r="BT117" s="29">
        <f t="shared" si="98"/>
        <v>1</v>
      </c>
      <c r="BU117" s="29">
        <f t="shared" si="99"/>
        <v>1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 x14ac:dyDescent="0.3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</v>
      </c>
      <c r="BL118" s="29">
        <v>1</v>
      </c>
      <c r="BM118" s="29">
        <v>1</v>
      </c>
      <c r="BO118" s="29">
        <f t="shared" si="97"/>
        <v>1</v>
      </c>
      <c r="BP118" s="29">
        <f t="shared" si="86"/>
        <v>1</v>
      </c>
      <c r="BQ118" s="29">
        <f t="shared" si="87"/>
        <v>1</v>
      </c>
      <c r="BR118" s="65"/>
      <c r="BS118" s="29">
        <f t="shared" si="105"/>
        <v>1</v>
      </c>
      <c r="BT118" s="29">
        <f t="shared" si="98"/>
        <v>1</v>
      </c>
      <c r="BU118" s="29">
        <f t="shared" si="99"/>
        <v>1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 x14ac:dyDescent="0.3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</v>
      </c>
      <c r="BL119" s="29">
        <v>1</v>
      </c>
      <c r="BM119" s="29">
        <v>1</v>
      </c>
      <c r="BO119" s="29">
        <f t="shared" si="97"/>
        <v>1</v>
      </c>
      <c r="BP119" s="29">
        <f t="shared" si="86"/>
        <v>1</v>
      </c>
      <c r="BQ119" s="29">
        <f t="shared" si="87"/>
        <v>1</v>
      </c>
      <c r="BR119" s="65"/>
      <c r="BS119" s="29">
        <f t="shared" si="105"/>
        <v>1</v>
      </c>
      <c r="BT119" s="29">
        <f t="shared" si="98"/>
        <v>1</v>
      </c>
      <c r="BU119" s="29">
        <f t="shared" si="99"/>
        <v>1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 x14ac:dyDescent="0.3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1</v>
      </c>
      <c r="BL120" s="29">
        <v>1</v>
      </c>
      <c r="BM120" s="29">
        <v>1</v>
      </c>
      <c r="BO120" s="29">
        <f t="shared" si="97"/>
        <v>1</v>
      </c>
      <c r="BP120" s="29">
        <f t="shared" si="86"/>
        <v>1</v>
      </c>
      <c r="BQ120" s="29">
        <f t="shared" si="87"/>
        <v>1</v>
      </c>
      <c r="BR120" s="65"/>
      <c r="BS120" s="29">
        <f t="shared" si="105"/>
        <v>1</v>
      </c>
      <c r="BT120" s="29">
        <f t="shared" si="98"/>
        <v>1</v>
      </c>
      <c r="BU120" s="29">
        <f t="shared" si="99"/>
        <v>1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 x14ac:dyDescent="0.3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1</v>
      </c>
      <c r="BL121" s="29">
        <v>1</v>
      </c>
      <c r="BM121" s="29">
        <v>1</v>
      </c>
      <c r="BO121" s="29">
        <f t="shared" si="97"/>
        <v>1</v>
      </c>
      <c r="BP121" s="29">
        <f t="shared" si="86"/>
        <v>1</v>
      </c>
      <c r="BQ121" s="29">
        <f t="shared" si="87"/>
        <v>1</v>
      </c>
      <c r="BR121" s="65"/>
      <c r="BS121" s="29">
        <f t="shared" si="105"/>
        <v>1</v>
      </c>
      <c r="BT121" s="29">
        <f t="shared" si="98"/>
        <v>1</v>
      </c>
      <c r="BU121" s="29">
        <f t="shared" si="99"/>
        <v>1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 x14ac:dyDescent="0.3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1</v>
      </c>
      <c r="BL122" s="29">
        <v>1</v>
      </c>
      <c r="BM122" s="29">
        <v>1</v>
      </c>
      <c r="BO122" s="29">
        <f t="shared" si="97"/>
        <v>1</v>
      </c>
      <c r="BP122" s="29">
        <f t="shared" si="86"/>
        <v>1</v>
      </c>
      <c r="BQ122" s="29">
        <f t="shared" si="87"/>
        <v>1</v>
      </c>
      <c r="BR122" s="65"/>
      <c r="BS122" s="29">
        <f t="shared" si="105"/>
        <v>1</v>
      </c>
      <c r="BT122" s="29">
        <f t="shared" si="98"/>
        <v>1</v>
      </c>
      <c r="BU122" s="29">
        <f t="shared" si="99"/>
        <v>1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 x14ac:dyDescent="0.3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1</v>
      </c>
      <c r="BL123" s="29">
        <v>1</v>
      </c>
      <c r="BM123" s="29">
        <v>1</v>
      </c>
      <c r="BO123" s="29">
        <f t="shared" si="97"/>
        <v>1</v>
      </c>
      <c r="BP123" s="29">
        <f t="shared" si="86"/>
        <v>1</v>
      </c>
      <c r="BQ123" s="29">
        <f t="shared" si="87"/>
        <v>1</v>
      </c>
      <c r="BR123" s="65"/>
      <c r="BS123" s="29">
        <f t="shared" si="105"/>
        <v>1</v>
      </c>
      <c r="BT123" s="29">
        <f t="shared" si="98"/>
        <v>1</v>
      </c>
      <c r="BU123" s="29">
        <f t="shared" si="99"/>
        <v>1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 x14ac:dyDescent="0.3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1</v>
      </c>
      <c r="BL124" s="29">
        <v>1</v>
      </c>
      <c r="BM124" s="29">
        <v>1</v>
      </c>
      <c r="BO124" s="29">
        <f t="shared" si="97"/>
        <v>1</v>
      </c>
      <c r="BP124" s="29">
        <f t="shared" si="86"/>
        <v>1</v>
      </c>
      <c r="BQ124" s="29">
        <f t="shared" si="87"/>
        <v>1</v>
      </c>
      <c r="BR124" s="65"/>
      <c r="BS124" s="29">
        <f t="shared" si="105"/>
        <v>1</v>
      </c>
      <c r="BT124" s="29">
        <f t="shared" si="98"/>
        <v>1</v>
      </c>
      <c r="BU124" s="29">
        <f t="shared" si="99"/>
        <v>1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 x14ac:dyDescent="0.3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</v>
      </c>
      <c r="BL125" s="29">
        <v>1</v>
      </c>
      <c r="BM125" s="29">
        <v>1</v>
      </c>
      <c r="BO125" s="29">
        <f t="shared" si="97"/>
        <v>1</v>
      </c>
      <c r="BP125" s="29">
        <f t="shared" si="86"/>
        <v>1</v>
      </c>
      <c r="BQ125" s="29">
        <f t="shared" si="87"/>
        <v>1</v>
      </c>
      <c r="BR125" s="65"/>
      <c r="BS125" s="29">
        <f t="shared" si="105"/>
        <v>1</v>
      </c>
      <c r="BT125" s="29">
        <f t="shared" si="98"/>
        <v>1</v>
      </c>
      <c r="BU125" s="29">
        <f t="shared" si="99"/>
        <v>1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 x14ac:dyDescent="0.3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</v>
      </c>
      <c r="BM126" s="29">
        <v>1</v>
      </c>
      <c r="BO126" s="29">
        <f t="shared" si="97"/>
        <v>1</v>
      </c>
      <c r="BP126" s="29">
        <f t="shared" si="86"/>
        <v>1</v>
      </c>
      <c r="BQ126" s="29">
        <f t="shared" si="87"/>
        <v>1</v>
      </c>
      <c r="BR126" s="65"/>
      <c r="BS126" s="29">
        <f t="shared" si="105"/>
        <v>1</v>
      </c>
      <c r="BT126" s="29">
        <f t="shared" si="98"/>
        <v>1</v>
      </c>
      <c r="BU126" s="29">
        <f t="shared" si="99"/>
        <v>1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 x14ac:dyDescent="0.3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</v>
      </c>
      <c r="BM127" s="29">
        <v>1</v>
      </c>
      <c r="BO127" s="29" t="str">
        <f t="shared" si="97"/>
        <v/>
      </c>
      <c r="BP127" s="29">
        <f t="shared" si="86"/>
        <v>1</v>
      </c>
      <c r="BQ127" s="29">
        <f t="shared" si="87"/>
        <v>1</v>
      </c>
      <c r="BR127" s="65"/>
      <c r="BS127" s="29">
        <f t="shared" si="105"/>
        <v>1</v>
      </c>
      <c r="BT127" s="29">
        <f t="shared" si="98"/>
        <v>1</v>
      </c>
      <c r="BU127" s="29">
        <f t="shared" si="99"/>
        <v>1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 x14ac:dyDescent="0.3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</v>
      </c>
      <c r="BM128" s="29">
        <v>1</v>
      </c>
      <c r="BO128" s="29" t="str">
        <f t="shared" si="97"/>
        <v/>
      </c>
      <c r="BP128" s="29">
        <f t="shared" si="86"/>
        <v>1</v>
      </c>
      <c r="BQ128" s="29">
        <f t="shared" si="87"/>
        <v>1</v>
      </c>
      <c r="BR128" s="65"/>
      <c r="BS128" s="29" t="str">
        <f t="shared" si="105"/>
        <v/>
      </c>
      <c r="BT128" s="29">
        <f t="shared" si="98"/>
        <v>1</v>
      </c>
      <c r="BU128" s="29">
        <f t="shared" si="99"/>
        <v>1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 x14ac:dyDescent="0.3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</v>
      </c>
      <c r="BM129" s="29">
        <v>1</v>
      </c>
      <c r="BO129" s="29" t="str">
        <f t="shared" si="97"/>
        <v/>
      </c>
      <c r="BP129" s="29">
        <f t="shared" si="86"/>
        <v>1</v>
      </c>
      <c r="BQ129" s="29">
        <f t="shared" si="87"/>
        <v>1</v>
      </c>
      <c r="BR129" s="65"/>
      <c r="BS129" s="29" t="str">
        <f t="shared" si="105"/>
        <v/>
      </c>
      <c r="BT129" s="29">
        <f t="shared" si="98"/>
        <v>1</v>
      </c>
      <c r="BU129" s="29">
        <f t="shared" si="99"/>
        <v>1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 x14ac:dyDescent="0.3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</v>
      </c>
      <c r="BM130" s="29">
        <v>1</v>
      </c>
      <c r="BO130" s="29" t="str">
        <f t="shared" si="97"/>
        <v/>
      </c>
      <c r="BP130" s="29">
        <f t="shared" si="86"/>
        <v>1</v>
      </c>
      <c r="BQ130" s="29">
        <f t="shared" si="87"/>
        <v>1</v>
      </c>
      <c r="BR130" s="65"/>
      <c r="BS130" s="29" t="str">
        <f t="shared" si="105"/>
        <v/>
      </c>
      <c r="BT130" s="29">
        <f t="shared" si="98"/>
        <v>1</v>
      </c>
      <c r="BU130" s="29">
        <f t="shared" si="99"/>
        <v>1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 x14ac:dyDescent="0.3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</v>
      </c>
      <c r="BM131" s="29">
        <v>1</v>
      </c>
      <c r="BO131" s="29" t="str">
        <f t="shared" si="97"/>
        <v/>
      </c>
      <c r="BP131" s="29">
        <f t="shared" si="86"/>
        <v>1</v>
      </c>
      <c r="BQ131" s="29">
        <f t="shared" si="87"/>
        <v>1</v>
      </c>
      <c r="BR131" s="65"/>
      <c r="BS131" s="29" t="str">
        <f t="shared" si="105"/>
        <v/>
      </c>
      <c r="BT131" s="29">
        <f t="shared" si="98"/>
        <v>1</v>
      </c>
      <c r="BU131" s="29">
        <f t="shared" si="99"/>
        <v>1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 x14ac:dyDescent="0.3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</v>
      </c>
      <c r="BM132" s="29">
        <v>1</v>
      </c>
      <c r="BO132" s="29" t="str">
        <f t="shared" si="97"/>
        <v/>
      </c>
      <c r="BP132" s="29">
        <f t="shared" ref="BP132:BP195" si="125">IF(BL131="","",BL131)</f>
        <v>1</v>
      </c>
      <c r="BQ132" s="29">
        <f t="shared" ref="BQ132:BQ195" si="126">IF(BM131="","",BM131)</f>
        <v>1</v>
      </c>
      <c r="BR132" s="65"/>
      <c r="BS132" s="29" t="str">
        <f t="shared" si="105"/>
        <v/>
      </c>
      <c r="BT132" s="29">
        <f t="shared" si="98"/>
        <v>1</v>
      </c>
      <c r="BU132" s="29">
        <f t="shared" si="99"/>
        <v>1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 x14ac:dyDescent="0.3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</v>
      </c>
      <c r="BM133" s="29">
        <v>1</v>
      </c>
      <c r="BO133" s="29" t="str">
        <f t="shared" ref="BO133:BO196" si="136">IF(BK132="","",BK132)</f>
        <v/>
      </c>
      <c r="BP133" s="29">
        <f t="shared" si="125"/>
        <v>1</v>
      </c>
      <c r="BQ133" s="29">
        <f t="shared" si="126"/>
        <v>1</v>
      </c>
      <c r="BR133" s="65"/>
      <c r="BS133" s="29" t="str">
        <f t="shared" si="105"/>
        <v/>
      </c>
      <c r="BT133" s="29">
        <f t="shared" ref="BT133:BT196" si="137">IF(BL131="","",BL131)</f>
        <v>1</v>
      </c>
      <c r="BU133" s="29">
        <f t="shared" ref="BU133:BU196" si="138">IF(BM131="","",BM131)</f>
        <v>1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 x14ac:dyDescent="0.3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</v>
      </c>
      <c r="BM134" s="29">
        <v>1</v>
      </c>
      <c r="BO134" s="29" t="str">
        <f t="shared" si="136"/>
        <v/>
      </c>
      <c r="BP134" s="29">
        <f t="shared" si="125"/>
        <v>1</v>
      </c>
      <c r="BQ134" s="29">
        <f t="shared" si="126"/>
        <v>1</v>
      </c>
      <c r="BR134" s="65"/>
      <c r="BS134" s="29" t="str">
        <f t="shared" ref="BS134:BS197" si="144">IF(BK132="","",BK132)</f>
        <v/>
      </c>
      <c r="BT134" s="29">
        <f t="shared" si="137"/>
        <v>1</v>
      </c>
      <c r="BU134" s="29">
        <f t="shared" si="138"/>
        <v>1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 x14ac:dyDescent="0.3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</v>
      </c>
      <c r="BM135" s="29">
        <v>1</v>
      </c>
      <c r="BO135" s="29" t="str">
        <f t="shared" si="136"/>
        <v/>
      </c>
      <c r="BP135" s="29">
        <f t="shared" si="125"/>
        <v>1</v>
      </c>
      <c r="BQ135" s="29">
        <f t="shared" si="126"/>
        <v>1</v>
      </c>
      <c r="BR135" s="65"/>
      <c r="BS135" s="29" t="str">
        <f t="shared" si="144"/>
        <v/>
      </c>
      <c r="BT135" s="29">
        <f t="shared" si="137"/>
        <v>1</v>
      </c>
      <c r="BU135" s="29">
        <f t="shared" si="138"/>
        <v>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 x14ac:dyDescent="0.3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</v>
      </c>
      <c r="BM136" s="29">
        <v>1</v>
      </c>
      <c r="BO136" s="29" t="str">
        <f t="shared" si="136"/>
        <v/>
      </c>
      <c r="BP136" s="29">
        <f t="shared" si="125"/>
        <v>1</v>
      </c>
      <c r="BQ136" s="29">
        <f t="shared" si="126"/>
        <v>1</v>
      </c>
      <c r="BR136" s="65"/>
      <c r="BS136" s="29" t="str">
        <f t="shared" si="144"/>
        <v/>
      </c>
      <c r="BT136" s="29">
        <f t="shared" si="137"/>
        <v>1</v>
      </c>
      <c r="BU136" s="29">
        <f t="shared" si="138"/>
        <v>1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 x14ac:dyDescent="0.3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</v>
      </c>
      <c r="BM137" s="29">
        <v>1</v>
      </c>
      <c r="BO137" s="29" t="str">
        <f t="shared" si="136"/>
        <v/>
      </c>
      <c r="BP137" s="29">
        <f t="shared" si="125"/>
        <v>1</v>
      </c>
      <c r="BQ137" s="29">
        <f t="shared" si="126"/>
        <v>1</v>
      </c>
      <c r="BR137" s="65"/>
      <c r="BS137" s="29" t="str">
        <f t="shared" si="144"/>
        <v/>
      </c>
      <c r="BT137" s="29">
        <f t="shared" si="137"/>
        <v>1</v>
      </c>
      <c r="BU137" s="29">
        <f t="shared" si="138"/>
        <v>1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 x14ac:dyDescent="0.3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</v>
      </c>
      <c r="BM138" s="29">
        <v>1</v>
      </c>
      <c r="BO138" s="29" t="str">
        <f t="shared" si="136"/>
        <v/>
      </c>
      <c r="BP138" s="29">
        <f t="shared" si="125"/>
        <v>1</v>
      </c>
      <c r="BQ138" s="29">
        <f t="shared" si="126"/>
        <v>1</v>
      </c>
      <c r="BR138" s="65"/>
      <c r="BS138" s="29" t="str">
        <f t="shared" si="144"/>
        <v/>
      </c>
      <c r="BT138" s="29">
        <f t="shared" si="137"/>
        <v>1</v>
      </c>
      <c r="BU138" s="29">
        <f t="shared" si="138"/>
        <v>1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 x14ac:dyDescent="0.3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</v>
      </c>
      <c r="BM139" s="29">
        <v>1</v>
      </c>
      <c r="BO139" s="29" t="str">
        <f t="shared" si="136"/>
        <v/>
      </c>
      <c r="BP139" s="29">
        <f t="shared" si="125"/>
        <v>1</v>
      </c>
      <c r="BQ139" s="29">
        <f t="shared" si="126"/>
        <v>1</v>
      </c>
      <c r="BR139" s="65"/>
      <c r="BS139" s="29" t="str">
        <f t="shared" si="144"/>
        <v/>
      </c>
      <c r="BT139" s="29">
        <f t="shared" si="137"/>
        <v>1</v>
      </c>
      <c r="BU139" s="29">
        <f t="shared" si="138"/>
        <v>1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 x14ac:dyDescent="0.3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</v>
      </c>
      <c r="BM140" s="29">
        <v>1</v>
      </c>
      <c r="BO140" s="29" t="str">
        <f t="shared" si="136"/>
        <v/>
      </c>
      <c r="BP140" s="29">
        <f t="shared" si="125"/>
        <v>1</v>
      </c>
      <c r="BQ140" s="29">
        <f t="shared" si="126"/>
        <v>1</v>
      </c>
      <c r="BR140" s="65"/>
      <c r="BS140" s="29" t="str">
        <f t="shared" si="144"/>
        <v/>
      </c>
      <c r="BT140" s="29">
        <f t="shared" si="137"/>
        <v>1</v>
      </c>
      <c r="BU140" s="29">
        <f t="shared" si="138"/>
        <v>1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 x14ac:dyDescent="0.3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</v>
      </c>
      <c r="BM141" s="29">
        <v>1</v>
      </c>
      <c r="BO141" s="29" t="str">
        <f t="shared" si="136"/>
        <v/>
      </c>
      <c r="BP141" s="29">
        <f t="shared" si="125"/>
        <v>1</v>
      </c>
      <c r="BQ141" s="29">
        <f t="shared" si="126"/>
        <v>1</v>
      </c>
      <c r="BR141" s="65"/>
      <c r="BS141" s="29" t="str">
        <f t="shared" si="144"/>
        <v/>
      </c>
      <c r="BT141" s="29">
        <f t="shared" si="137"/>
        <v>1</v>
      </c>
      <c r="BU141" s="29">
        <f t="shared" si="138"/>
        <v>1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 x14ac:dyDescent="0.3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1</v>
      </c>
      <c r="BM142" s="29">
        <v>1</v>
      </c>
      <c r="BO142" s="29" t="str">
        <f t="shared" si="136"/>
        <v/>
      </c>
      <c r="BP142" s="29">
        <f t="shared" si="125"/>
        <v>1</v>
      </c>
      <c r="BQ142" s="29">
        <f t="shared" si="126"/>
        <v>1</v>
      </c>
      <c r="BR142" s="65"/>
      <c r="BS142" s="29" t="str">
        <f t="shared" si="144"/>
        <v/>
      </c>
      <c r="BT142" s="29">
        <f t="shared" si="137"/>
        <v>1</v>
      </c>
      <c r="BU142" s="29">
        <f t="shared" si="138"/>
        <v>1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 x14ac:dyDescent="0.3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1</v>
      </c>
      <c r="BM143" s="29">
        <v>1</v>
      </c>
      <c r="BO143" s="29" t="str">
        <f t="shared" si="136"/>
        <v/>
      </c>
      <c r="BP143" s="29">
        <f t="shared" si="125"/>
        <v>1</v>
      </c>
      <c r="BQ143" s="29">
        <f t="shared" si="126"/>
        <v>1</v>
      </c>
      <c r="BR143" s="65"/>
      <c r="BS143" s="29" t="str">
        <f t="shared" si="144"/>
        <v/>
      </c>
      <c r="BT143" s="29">
        <f t="shared" si="137"/>
        <v>1</v>
      </c>
      <c r="BU143" s="29">
        <f t="shared" si="138"/>
        <v>1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 x14ac:dyDescent="0.3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1</v>
      </c>
      <c r="BM144" s="29">
        <v>1</v>
      </c>
      <c r="BO144" s="29" t="str">
        <f t="shared" si="136"/>
        <v/>
      </c>
      <c r="BP144" s="29">
        <f t="shared" si="125"/>
        <v>1</v>
      </c>
      <c r="BQ144" s="29">
        <f t="shared" si="126"/>
        <v>1</v>
      </c>
      <c r="BR144" s="65"/>
      <c r="BS144" s="29" t="str">
        <f t="shared" si="144"/>
        <v/>
      </c>
      <c r="BT144" s="29">
        <f t="shared" si="137"/>
        <v>1</v>
      </c>
      <c r="BU144" s="29">
        <f t="shared" si="138"/>
        <v>1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 x14ac:dyDescent="0.3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1</v>
      </c>
      <c r="BM145" s="29">
        <v>1</v>
      </c>
      <c r="BO145" s="29" t="str">
        <f t="shared" si="136"/>
        <v/>
      </c>
      <c r="BP145" s="29">
        <f t="shared" si="125"/>
        <v>1</v>
      </c>
      <c r="BQ145" s="29">
        <f t="shared" si="126"/>
        <v>1</v>
      </c>
      <c r="BR145" s="65"/>
      <c r="BS145" s="29" t="str">
        <f t="shared" si="144"/>
        <v/>
      </c>
      <c r="BT145" s="29">
        <f t="shared" si="137"/>
        <v>1</v>
      </c>
      <c r="BU145" s="29">
        <f t="shared" si="138"/>
        <v>1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 x14ac:dyDescent="0.3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1</v>
      </c>
      <c r="BM146" s="29">
        <v>1</v>
      </c>
      <c r="BO146" s="29" t="str">
        <f t="shared" si="136"/>
        <v/>
      </c>
      <c r="BP146" s="29">
        <f t="shared" si="125"/>
        <v>1</v>
      </c>
      <c r="BQ146" s="29">
        <f t="shared" si="126"/>
        <v>1</v>
      </c>
      <c r="BR146" s="65"/>
      <c r="BS146" s="29" t="str">
        <f t="shared" si="144"/>
        <v/>
      </c>
      <c r="BT146" s="29">
        <f t="shared" si="137"/>
        <v>1</v>
      </c>
      <c r="BU146" s="29">
        <f t="shared" si="138"/>
        <v>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 x14ac:dyDescent="0.3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</v>
      </c>
      <c r="BM147" s="29">
        <v>1</v>
      </c>
      <c r="BO147" s="29" t="str">
        <f t="shared" si="136"/>
        <v/>
      </c>
      <c r="BP147" s="29">
        <f t="shared" si="125"/>
        <v>1</v>
      </c>
      <c r="BQ147" s="29">
        <f t="shared" si="126"/>
        <v>1</v>
      </c>
      <c r="BR147" s="65"/>
      <c r="BS147" s="29" t="str">
        <f t="shared" si="144"/>
        <v/>
      </c>
      <c r="BT147" s="29">
        <f t="shared" si="137"/>
        <v>1</v>
      </c>
      <c r="BU147" s="29">
        <f t="shared" si="138"/>
        <v>1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 x14ac:dyDescent="0.3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</v>
      </c>
      <c r="BM148" s="29">
        <v>1</v>
      </c>
      <c r="BO148" s="29" t="str">
        <f t="shared" si="136"/>
        <v/>
      </c>
      <c r="BP148" s="29">
        <f t="shared" si="125"/>
        <v>1</v>
      </c>
      <c r="BQ148" s="29">
        <f t="shared" si="126"/>
        <v>1</v>
      </c>
      <c r="BR148" s="65"/>
      <c r="BS148" s="29" t="str">
        <f t="shared" si="144"/>
        <v/>
      </c>
      <c r="BT148" s="29">
        <f t="shared" si="137"/>
        <v>1</v>
      </c>
      <c r="BU148" s="29">
        <f t="shared" si="138"/>
        <v>1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 x14ac:dyDescent="0.3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</v>
      </c>
      <c r="BM149" s="29">
        <v>1</v>
      </c>
      <c r="BO149" s="29" t="str">
        <f t="shared" si="136"/>
        <v/>
      </c>
      <c r="BP149" s="29">
        <f t="shared" si="125"/>
        <v>1</v>
      </c>
      <c r="BQ149" s="29">
        <f t="shared" si="126"/>
        <v>1</v>
      </c>
      <c r="BR149" s="65"/>
      <c r="BS149" s="29" t="str">
        <f t="shared" si="144"/>
        <v/>
      </c>
      <c r="BT149" s="29">
        <f t="shared" si="137"/>
        <v>1</v>
      </c>
      <c r="BU149" s="29">
        <f t="shared" si="138"/>
        <v>1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 x14ac:dyDescent="0.3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</v>
      </c>
      <c r="BM150" s="29">
        <v>1</v>
      </c>
      <c r="BO150" s="29" t="str">
        <f t="shared" si="136"/>
        <v/>
      </c>
      <c r="BP150" s="29">
        <f t="shared" si="125"/>
        <v>1</v>
      </c>
      <c r="BQ150" s="29">
        <f t="shared" si="126"/>
        <v>1</v>
      </c>
      <c r="BR150" s="65"/>
      <c r="BS150" s="29" t="str">
        <f t="shared" si="144"/>
        <v/>
      </c>
      <c r="BT150" s="29">
        <f t="shared" si="137"/>
        <v>1</v>
      </c>
      <c r="BU150" s="29">
        <f t="shared" si="138"/>
        <v>1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 x14ac:dyDescent="0.3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</v>
      </c>
      <c r="BM151" s="29">
        <v>1</v>
      </c>
      <c r="BO151" s="29" t="str">
        <f t="shared" si="136"/>
        <v/>
      </c>
      <c r="BP151" s="29">
        <f t="shared" si="125"/>
        <v>1</v>
      </c>
      <c r="BQ151" s="29">
        <f t="shared" si="126"/>
        <v>1</v>
      </c>
      <c r="BR151" s="65"/>
      <c r="BS151" s="29" t="str">
        <f t="shared" si="144"/>
        <v/>
      </c>
      <c r="BT151" s="29">
        <f t="shared" si="137"/>
        <v>1</v>
      </c>
      <c r="BU151" s="29">
        <f t="shared" si="138"/>
        <v>1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 x14ac:dyDescent="0.3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</v>
      </c>
      <c r="BM152" s="29">
        <v>1</v>
      </c>
      <c r="BO152" s="29" t="str">
        <f t="shared" si="136"/>
        <v/>
      </c>
      <c r="BP152" s="29">
        <f t="shared" si="125"/>
        <v>1</v>
      </c>
      <c r="BQ152" s="29">
        <f t="shared" si="126"/>
        <v>1</v>
      </c>
      <c r="BR152" s="65"/>
      <c r="BS152" s="29" t="str">
        <f t="shared" si="144"/>
        <v/>
      </c>
      <c r="BT152" s="29">
        <f t="shared" si="137"/>
        <v>1</v>
      </c>
      <c r="BU152" s="29">
        <f t="shared" si="138"/>
        <v>1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 x14ac:dyDescent="0.3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</v>
      </c>
      <c r="BM153" s="29">
        <v>1</v>
      </c>
      <c r="BO153" s="29" t="str">
        <f t="shared" si="136"/>
        <v/>
      </c>
      <c r="BP153" s="29">
        <f t="shared" si="125"/>
        <v>1</v>
      </c>
      <c r="BQ153" s="29">
        <f t="shared" si="126"/>
        <v>1</v>
      </c>
      <c r="BR153" s="65"/>
      <c r="BS153" s="29" t="str">
        <f t="shared" si="144"/>
        <v/>
      </c>
      <c r="BT153" s="29">
        <f t="shared" si="137"/>
        <v>1</v>
      </c>
      <c r="BU153" s="29">
        <f t="shared" si="138"/>
        <v>1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 x14ac:dyDescent="0.3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</v>
      </c>
      <c r="BM154" s="29">
        <v>1</v>
      </c>
      <c r="BO154" s="29" t="str">
        <f t="shared" si="136"/>
        <v/>
      </c>
      <c r="BP154" s="29">
        <f t="shared" si="125"/>
        <v>1</v>
      </c>
      <c r="BQ154" s="29">
        <f t="shared" si="126"/>
        <v>1</v>
      </c>
      <c r="BR154" s="65"/>
      <c r="BS154" s="29" t="str">
        <f t="shared" si="144"/>
        <v/>
      </c>
      <c r="BT154" s="29">
        <f t="shared" si="137"/>
        <v>1</v>
      </c>
      <c r="BU154" s="29">
        <f t="shared" si="138"/>
        <v>1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 x14ac:dyDescent="0.3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</v>
      </c>
      <c r="BM155" s="29">
        <v>1</v>
      </c>
      <c r="BO155" s="29" t="str">
        <f t="shared" si="136"/>
        <v/>
      </c>
      <c r="BP155" s="29">
        <f t="shared" si="125"/>
        <v>1</v>
      </c>
      <c r="BQ155" s="29">
        <f t="shared" si="126"/>
        <v>1</v>
      </c>
      <c r="BR155" s="65"/>
      <c r="BS155" s="29" t="str">
        <f t="shared" si="144"/>
        <v/>
      </c>
      <c r="BT155" s="29">
        <f t="shared" si="137"/>
        <v>1</v>
      </c>
      <c r="BU155" s="29">
        <f t="shared" si="138"/>
        <v>1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 x14ac:dyDescent="0.3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</v>
      </c>
      <c r="BM156" s="29">
        <v>1</v>
      </c>
      <c r="BO156" s="29" t="str">
        <f t="shared" si="136"/>
        <v/>
      </c>
      <c r="BP156" s="29">
        <f t="shared" si="125"/>
        <v>1</v>
      </c>
      <c r="BQ156" s="29">
        <f t="shared" si="126"/>
        <v>1</v>
      </c>
      <c r="BR156" s="65"/>
      <c r="BS156" s="29" t="str">
        <f t="shared" si="144"/>
        <v/>
      </c>
      <c r="BT156" s="29">
        <f t="shared" si="137"/>
        <v>1</v>
      </c>
      <c r="BU156" s="29">
        <f t="shared" si="138"/>
        <v>1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 x14ac:dyDescent="0.3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</v>
      </c>
      <c r="BM157" s="29">
        <v>1</v>
      </c>
      <c r="BO157" s="29" t="str">
        <f t="shared" si="136"/>
        <v/>
      </c>
      <c r="BP157" s="29">
        <f t="shared" si="125"/>
        <v>1</v>
      </c>
      <c r="BQ157" s="29">
        <f t="shared" si="126"/>
        <v>1</v>
      </c>
      <c r="BR157" s="65"/>
      <c r="BS157" s="29" t="str">
        <f t="shared" si="144"/>
        <v/>
      </c>
      <c r="BT157" s="29">
        <f t="shared" si="137"/>
        <v>1</v>
      </c>
      <c r="BU157" s="29">
        <f t="shared" si="138"/>
        <v>1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 x14ac:dyDescent="0.3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</v>
      </c>
      <c r="BM158" s="29">
        <v>1</v>
      </c>
      <c r="BO158" s="29" t="str">
        <f t="shared" si="136"/>
        <v/>
      </c>
      <c r="BP158" s="29">
        <f t="shared" si="125"/>
        <v>1</v>
      </c>
      <c r="BQ158" s="29">
        <f t="shared" si="126"/>
        <v>1</v>
      </c>
      <c r="BR158" s="65"/>
      <c r="BS158" s="29" t="str">
        <f t="shared" si="144"/>
        <v/>
      </c>
      <c r="BT158" s="29">
        <f t="shared" si="137"/>
        <v>1</v>
      </c>
      <c r="BU158" s="29">
        <f t="shared" si="138"/>
        <v>1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 x14ac:dyDescent="0.3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</v>
      </c>
      <c r="BM159" s="29">
        <v>1</v>
      </c>
      <c r="BO159" s="29" t="str">
        <f t="shared" si="136"/>
        <v/>
      </c>
      <c r="BP159" s="29">
        <f t="shared" si="125"/>
        <v>1</v>
      </c>
      <c r="BQ159" s="29">
        <f t="shared" si="126"/>
        <v>1</v>
      </c>
      <c r="BR159" s="65"/>
      <c r="BS159" s="29" t="str">
        <f t="shared" si="144"/>
        <v/>
      </c>
      <c r="BT159" s="29">
        <f t="shared" si="137"/>
        <v>1</v>
      </c>
      <c r="BU159" s="29">
        <f t="shared" si="138"/>
        <v>1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 x14ac:dyDescent="0.3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</v>
      </c>
      <c r="BM160" s="29">
        <v>1</v>
      </c>
      <c r="BO160" s="29" t="str">
        <f t="shared" si="136"/>
        <v/>
      </c>
      <c r="BP160" s="29">
        <f t="shared" si="125"/>
        <v>1</v>
      </c>
      <c r="BQ160" s="29">
        <f t="shared" si="126"/>
        <v>1</v>
      </c>
      <c r="BR160" s="65"/>
      <c r="BS160" s="29" t="str">
        <f t="shared" si="144"/>
        <v/>
      </c>
      <c r="BT160" s="29">
        <f t="shared" si="137"/>
        <v>1</v>
      </c>
      <c r="BU160" s="29">
        <f t="shared" si="138"/>
        <v>1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 x14ac:dyDescent="0.3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</v>
      </c>
      <c r="BM161" s="29">
        <v>1</v>
      </c>
      <c r="BO161" s="29" t="str">
        <f t="shared" si="136"/>
        <v/>
      </c>
      <c r="BP161" s="29">
        <f t="shared" si="125"/>
        <v>1</v>
      </c>
      <c r="BQ161" s="29">
        <f t="shared" si="126"/>
        <v>1</v>
      </c>
      <c r="BR161" s="65"/>
      <c r="BS161" s="29" t="str">
        <f t="shared" si="144"/>
        <v/>
      </c>
      <c r="BT161" s="29">
        <f t="shared" si="137"/>
        <v>1</v>
      </c>
      <c r="BU161" s="29">
        <f t="shared" si="138"/>
        <v>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 x14ac:dyDescent="0.3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</v>
      </c>
      <c r="BM162" s="29">
        <v>1</v>
      </c>
      <c r="BO162" s="29" t="str">
        <f t="shared" si="136"/>
        <v/>
      </c>
      <c r="BP162" s="29">
        <f t="shared" si="125"/>
        <v>1</v>
      </c>
      <c r="BQ162" s="29">
        <f t="shared" si="126"/>
        <v>1</v>
      </c>
      <c r="BR162" s="65"/>
      <c r="BS162" s="29" t="str">
        <f t="shared" si="144"/>
        <v/>
      </c>
      <c r="BT162" s="29">
        <f t="shared" si="137"/>
        <v>1</v>
      </c>
      <c r="BU162" s="29">
        <f t="shared" si="138"/>
        <v>1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 x14ac:dyDescent="0.3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</v>
      </c>
      <c r="BM163" s="29">
        <v>1</v>
      </c>
      <c r="BO163" s="29" t="str">
        <f t="shared" si="136"/>
        <v/>
      </c>
      <c r="BP163" s="29">
        <f t="shared" si="125"/>
        <v>1</v>
      </c>
      <c r="BQ163" s="29">
        <f t="shared" si="126"/>
        <v>1</v>
      </c>
      <c r="BR163" s="65"/>
      <c r="BS163" s="29" t="str">
        <f t="shared" si="144"/>
        <v/>
      </c>
      <c r="BT163" s="29">
        <f t="shared" si="137"/>
        <v>1</v>
      </c>
      <c r="BU163" s="29">
        <f t="shared" si="138"/>
        <v>1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 x14ac:dyDescent="0.3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</v>
      </c>
      <c r="BM164" s="29">
        <v>1</v>
      </c>
      <c r="BO164" s="29" t="str">
        <f t="shared" si="136"/>
        <v/>
      </c>
      <c r="BP164" s="29">
        <f t="shared" si="125"/>
        <v>1</v>
      </c>
      <c r="BQ164" s="29">
        <f t="shared" si="126"/>
        <v>1</v>
      </c>
      <c r="BR164" s="65"/>
      <c r="BS164" s="29" t="str">
        <f t="shared" si="144"/>
        <v/>
      </c>
      <c r="BT164" s="29">
        <f t="shared" si="137"/>
        <v>1</v>
      </c>
      <c r="BU164" s="29">
        <f t="shared" si="138"/>
        <v>1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 x14ac:dyDescent="0.3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</v>
      </c>
      <c r="BM165" s="29">
        <v>1</v>
      </c>
      <c r="BO165" s="29" t="str">
        <f t="shared" si="136"/>
        <v/>
      </c>
      <c r="BP165" s="29">
        <f t="shared" si="125"/>
        <v>1</v>
      </c>
      <c r="BQ165" s="29">
        <f t="shared" si="126"/>
        <v>1</v>
      </c>
      <c r="BR165" s="65"/>
      <c r="BS165" s="29" t="str">
        <f t="shared" si="144"/>
        <v/>
      </c>
      <c r="BT165" s="29">
        <f t="shared" si="137"/>
        <v>1</v>
      </c>
      <c r="BU165" s="29">
        <f t="shared" si="138"/>
        <v>1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 x14ac:dyDescent="0.3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</v>
      </c>
      <c r="BM166" s="29">
        <v>1</v>
      </c>
      <c r="BO166" s="29" t="str">
        <f t="shared" si="136"/>
        <v/>
      </c>
      <c r="BP166" s="29">
        <f t="shared" si="125"/>
        <v>1</v>
      </c>
      <c r="BQ166" s="29">
        <f t="shared" si="126"/>
        <v>1</v>
      </c>
      <c r="BR166" s="65"/>
      <c r="BS166" s="29" t="str">
        <f t="shared" si="144"/>
        <v/>
      </c>
      <c r="BT166" s="29">
        <f t="shared" si="137"/>
        <v>1</v>
      </c>
      <c r="BU166" s="29">
        <f t="shared" si="138"/>
        <v>1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 x14ac:dyDescent="0.3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</v>
      </c>
      <c r="BM167" s="29">
        <v>1</v>
      </c>
      <c r="BO167" s="29" t="str">
        <f t="shared" si="136"/>
        <v/>
      </c>
      <c r="BP167" s="29">
        <f t="shared" si="125"/>
        <v>1</v>
      </c>
      <c r="BQ167" s="29">
        <f t="shared" si="126"/>
        <v>1</v>
      </c>
      <c r="BR167" s="65"/>
      <c r="BS167" s="29" t="str">
        <f t="shared" si="144"/>
        <v/>
      </c>
      <c r="BT167" s="29">
        <f t="shared" si="137"/>
        <v>1</v>
      </c>
      <c r="BU167" s="29">
        <f t="shared" si="138"/>
        <v>1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 x14ac:dyDescent="0.3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</v>
      </c>
      <c r="BM168" s="29">
        <v>1</v>
      </c>
      <c r="BO168" s="29" t="str">
        <f t="shared" si="136"/>
        <v/>
      </c>
      <c r="BP168" s="29">
        <f t="shared" si="125"/>
        <v>1</v>
      </c>
      <c r="BQ168" s="29">
        <f t="shared" si="126"/>
        <v>1</v>
      </c>
      <c r="BR168" s="65"/>
      <c r="BS168" s="29" t="str">
        <f t="shared" si="144"/>
        <v/>
      </c>
      <c r="BT168" s="29">
        <f t="shared" si="137"/>
        <v>1</v>
      </c>
      <c r="BU168" s="29">
        <f t="shared" si="138"/>
        <v>1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 x14ac:dyDescent="0.3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</v>
      </c>
      <c r="BM169" s="29">
        <v>1</v>
      </c>
      <c r="BO169" s="29" t="str">
        <f t="shared" si="136"/>
        <v/>
      </c>
      <c r="BP169" s="29">
        <f t="shared" si="125"/>
        <v>1</v>
      </c>
      <c r="BQ169" s="29">
        <f t="shared" si="126"/>
        <v>1</v>
      </c>
      <c r="BR169" s="65"/>
      <c r="BS169" s="29" t="str">
        <f t="shared" si="144"/>
        <v/>
      </c>
      <c r="BT169" s="29">
        <f t="shared" si="137"/>
        <v>1</v>
      </c>
      <c r="BU169" s="29">
        <f t="shared" si="138"/>
        <v>1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 x14ac:dyDescent="0.3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</v>
      </c>
      <c r="BM170" s="29">
        <v>1</v>
      </c>
      <c r="BO170" s="29" t="str">
        <f t="shared" si="136"/>
        <v/>
      </c>
      <c r="BP170" s="29">
        <f t="shared" si="125"/>
        <v>1</v>
      </c>
      <c r="BQ170" s="29">
        <f t="shared" si="126"/>
        <v>1</v>
      </c>
      <c r="BR170" s="65"/>
      <c r="BS170" s="29" t="str">
        <f t="shared" si="144"/>
        <v/>
      </c>
      <c r="BT170" s="29">
        <f t="shared" si="137"/>
        <v>1</v>
      </c>
      <c r="BU170" s="29">
        <f t="shared" si="138"/>
        <v>1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 x14ac:dyDescent="0.3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</v>
      </c>
      <c r="BM171" s="29">
        <v>1</v>
      </c>
      <c r="BO171" s="29" t="str">
        <f t="shared" si="136"/>
        <v/>
      </c>
      <c r="BP171" s="29">
        <f t="shared" si="125"/>
        <v>1</v>
      </c>
      <c r="BQ171" s="29">
        <f t="shared" si="126"/>
        <v>1</v>
      </c>
      <c r="BR171" s="65"/>
      <c r="BS171" s="29" t="str">
        <f t="shared" si="144"/>
        <v/>
      </c>
      <c r="BT171" s="29">
        <f t="shared" si="137"/>
        <v>1</v>
      </c>
      <c r="BU171" s="29">
        <f t="shared" si="138"/>
        <v>1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 x14ac:dyDescent="0.3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</v>
      </c>
      <c r="BM172" s="29">
        <v>1</v>
      </c>
      <c r="BO172" s="29" t="str">
        <f t="shared" si="136"/>
        <v/>
      </c>
      <c r="BP172" s="29">
        <f t="shared" si="125"/>
        <v>1</v>
      </c>
      <c r="BQ172" s="29">
        <f t="shared" si="126"/>
        <v>1</v>
      </c>
      <c r="BR172" s="65"/>
      <c r="BS172" s="29" t="str">
        <f t="shared" si="144"/>
        <v/>
      </c>
      <c r="BT172" s="29">
        <f t="shared" si="137"/>
        <v>1</v>
      </c>
      <c r="BU172" s="29">
        <f t="shared" si="138"/>
        <v>1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 x14ac:dyDescent="0.3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</v>
      </c>
      <c r="BM173" s="29">
        <v>1</v>
      </c>
      <c r="BO173" s="29" t="str">
        <f t="shared" si="136"/>
        <v/>
      </c>
      <c r="BP173" s="29">
        <f t="shared" si="125"/>
        <v>1</v>
      </c>
      <c r="BQ173" s="29">
        <f t="shared" si="126"/>
        <v>1</v>
      </c>
      <c r="BR173" s="65"/>
      <c r="BS173" s="29" t="str">
        <f t="shared" si="144"/>
        <v/>
      </c>
      <c r="BT173" s="29">
        <f t="shared" si="137"/>
        <v>1</v>
      </c>
      <c r="BU173" s="29">
        <f t="shared" si="138"/>
        <v>1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 x14ac:dyDescent="0.3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</v>
      </c>
      <c r="BM174" s="29">
        <v>1</v>
      </c>
      <c r="BO174" s="29" t="str">
        <f t="shared" si="136"/>
        <v/>
      </c>
      <c r="BP174" s="29">
        <f t="shared" si="125"/>
        <v>1</v>
      </c>
      <c r="BQ174" s="29">
        <f t="shared" si="126"/>
        <v>1</v>
      </c>
      <c r="BR174" s="65"/>
      <c r="BS174" s="29" t="str">
        <f t="shared" si="144"/>
        <v/>
      </c>
      <c r="BT174" s="29">
        <f t="shared" si="137"/>
        <v>1</v>
      </c>
      <c r="BU174" s="29">
        <f t="shared" si="138"/>
        <v>1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 x14ac:dyDescent="0.3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</v>
      </c>
      <c r="BM175" s="29">
        <v>1</v>
      </c>
      <c r="BO175" s="29" t="str">
        <f t="shared" si="136"/>
        <v/>
      </c>
      <c r="BP175" s="29">
        <f t="shared" si="125"/>
        <v>1</v>
      </c>
      <c r="BQ175" s="29">
        <f t="shared" si="126"/>
        <v>1</v>
      </c>
      <c r="BR175" s="65"/>
      <c r="BS175" s="29" t="str">
        <f t="shared" si="144"/>
        <v/>
      </c>
      <c r="BT175" s="29">
        <f t="shared" si="137"/>
        <v>1</v>
      </c>
      <c r="BU175" s="29">
        <f t="shared" si="138"/>
        <v>1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 x14ac:dyDescent="0.3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</v>
      </c>
      <c r="BM176" s="29">
        <v>1</v>
      </c>
      <c r="BO176" s="29" t="str">
        <f t="shared" si="136"/>
        <v/>
      </c>
      <c r="BP176" s="29">
        <f t="shared" si="125"/>
        <v>1</v>
      </c>
      <c r="BQ176" s="29">
        <f t="shared" si="126"/>
        <v>1</v>
      </c>
      <c r="BR176" s="65"/>
      <c r="BS176" s="29" t="str">
        <f t="shared" si="144"/>
        <v/>
      </c>
      <c r="BT176" s="29">
        <f t="shared" si="137"/>
        <v>1</v>
      </c>
      <c r="BU176" s="29">
        <f t="shared" si="138"/>
        <v>1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 x14ac:dyDescent="0.3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</v>
      </c>
      <c r="BM177" s="29">
        <v>1</v>
      </c>
      <c r="BO177" s="29" t="str">
        <f t="shared" si="136"/>
        <v/>
      </c>
      <c r="BP177" s="29">
        <f t="shared" si="125"/>
        <v>1</v>
      </c>
      <c r="BQ177" s="29">
        <f t="shared" si="126"/>
        <v>1</v>
      </c>
      <c r="BR177" s="65"/>
      <c r="BS177" s="29" t="str">
        <f t="shared" si="144"/>
        <v/>
      </c>
      <c r="BT177" s="29">
        <f t="shared" si="137"/>
        <v>1</v>
      </c>
      <c r="BU177" s="29">
        <f t="shared" si="138"/>
        <v>1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 x14ac:dyDescent="0.3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</v>
      </c>
      <c r="BM178" s="29">
        <v>1</v>
      </c>
      <c r="BO178" s="29" t="str">
        <f t="shared" si="136"/>
        <v/>
      </c>
      <c r="BP178" s="29">
        <f t="shared" si="125"/>
        <v>1</v>
      </c>
      <c r="BQ178" s="29">
        <f t="shared" si="126"/>
        <v>1</v>
      </c>
      <c r="BR178" s="65"/>
      <c r="BS178" s="29" t="str">
        <f t="shared" si="144"/>
        <v/>
      </c>
      <c r="BT178" s="29">
        <f t="shared" si="137"/>
        <v>1</v>
      </c>
      <c r="BU178" s="29">
        <f t="shared" si="138"/>
        <v>1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 x14ac:dyDescent="0.3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</v>
      </c>
      <c r="BM179" s="29">
        <v>1</v>
      </c>
      <c r="BO179" s="29" t="str">
        <f t="shared" si="136"/>
        <v/>
      </c>
      <c r="BP179" s="29">
        <f t="shared" si="125"/>
        <v>1</v>
      </c>
      <c r="BQ179" s="29">
        <f t="shared" si="126"/>
        <v>1</v>
      </c>
      <c r="BR179" s="65"/>
      <c r="BS179" s="29" t="str">
        <f t="shared" si="144"/>
        <v/>
      </c>
      <c r="BT179" s="29">
        <f t="shared" si="137"/>
        <v>1</v>
      </c>
      <c r="BU179" s="29">
        <f t="shared" si="138"/>
        <v>1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 x14ac:dyDescent="0.3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</v>
      </c>
      <c r="BM180" s="29">
        <v>1</v>
      </c>
      <c r="BO180" s="29" t="str">
        <f t="shared" si="136"/>
        <v/>
      </c>
      <c r="BP180" s="29">
        <f t="shared" si="125"/>
        <v>1</v>
      </c>
      <c r="BQ180" s="29">
        <f t="shared" si="126"/>
        <v>1</v>
      </c>
      <c r="BR180" s="65"/>
      <c r="BS180" s="29" t="str">
        <f t="shared" si="144"/>
        <v/>
      </c>
      <c r="BT180" s="29">
        <f t="shared" si="137"/>
        <v>1</v>
      </c>
      <c r="BU180" s="29">
        <f t="shared" si="138"/>
        <v>1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 x14ac:dyDescent="0.3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1</v>
      </c>
      <c r="BM181" s="29">
        <v>1</v>
      </c>
      <c r="BO181" s="29" t="str">
        <f t="shared" si="136"/>
        <v/>
      </c>
      <c r="BP181" s="29">
        <f t="shared" si="125"/>
        <v>1</v>
      </c>
      <c r="BQ181" s="29">
        <f t="shared" si="126"/>
        <v>1</v>
      </c>
      <c r="BR181" s="65"/>
      <c r="BS181" s="29" t="str">
        <f t="shared" si="144"/>
        <v/>
      </c>
      <c r="BT181" s="29">
        <f t="shared" si="137"/>
        <v>1</v>
      </c>
      <c r="BU181" s="29">
        <f t="shared" si="138"/>
        <v>1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 x14ac:dyDescent="0.3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1</v>
      </c>
      <c r="BM182" s="29">
        <v>1</v>
      </c>
      <c r="BO182" s="29" t="str">
        <f t="shared" si="136"/>
        <v/>
      </c>
      <c r="BP182" s="29">
        <f t="shared" si="125"/>
        <v>1</v>
      </c>
      <c r="BQ182" s="29">
        <f t="shared" si="126"/>
        <v>1</v>
      </c>
      <c r="BR182" s="65"/>
      <c r="BS182" s="29" t="str">
        <f t="shared" si="144"/>
        <v/>
      </c>
      <c r="BT182" s="29">
        <f t="shared" si="137"/>
        <v>1</v>
      </c>
      <c r="BU182" s="29">
        <f t="shared" si="138"/>
        <v>1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 x14ac:dyDescent="0.3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1</v>
      </c>
      <c r="BM183" s="29">
        <v>1</v>
      </c>
      <c r="BO183" s="29" t="str">
        <f t="shared" si="136"/>
        <v/>
      </c>
      <c r="BP183" s="29">
        <f t="shared" si="125"/>
        <v>1</v>
      </c>
      <c r="BQ183" s="29">
        <f t="shared" si="126"/>
        <v>1</v>
      </c>
      <c r="BR183" s="65"/>
      <c r="BS183" s="29" t="str">
        <f t="shared" si="144"/>
        <v/>
      </c>
      <c r="BT183" s="29">
        <f t="shared" si="137"/>
        <v>1</v>
      </c>
      <c r="BU183" s="29">
        <f t="shared" si="138"/>
        <v>1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 x14ac:dyDescent="0.3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1</v>
      </c>
      <c r="BM184" s="29">
        <v>1</v>
      </c>
      <c r="BO184" s="29" t="str">
        <f t="shared" si="136"/>
        <v/>
      </c>
      <c r="BP184" s="29">
        <f t="shared" si="125"/>
        <v>1</v>
      </c>
      <c r="BQ184" s="29">
        <f t="shared" si="126"/>
        <v>1</v>
      </c>
      <c r="BR184" s="65"/>
      <c r="BS184" s="29" t="str">
        <f t="shared" si="144"/>
        <v/>
      </c>
      <c r="BT184" s="29">
        <f t="shared" si="137"/>
        <v>1</v>
      </c>
      <c r="BU184" s="29">
        <f t="shared" si="138"/>
        <v>1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 x14ac:dyDescent="0.3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1</v>
      </c>
      <c r="BM185" s="29">
        <v>1</v>
      </c>
      <c r="BO185" s="29" t="str">
        <f t="shared" si="136"/>
        <v/>
      </c>
      <c r="BP185" s="29">
        <f t="shared" si="125"/>
        <v>1</v>
      </c>
      <c r="BQ185" s="29">
        <f t="shared" si="126"/>
        <v>1</v>
      </c>
      <c r="BR185" s="65"/>
      <c r="BS185" s="29" t="str">
        <f t="shared" si="144"/>
        <v/>
      </c>
      <c r="BT185" s="29">
        <f t="shared" si="137"/>
        <v>1</v>
      </c>
      <c r="BU185" s="29">
        <f t="shared" si="138"/>
        <v>1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 x14ac:dyDescent="0.3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</v>
      </c>
      <c r="BM186" s="29">
        <v>1</v>
      </c>
      <c r="BO186" s="29" t="str">
        <f t="shared" si="136"/>
        <v/>
      </c>
      <c r="BP186" s="29">
        <f t="shared" si="125"/>
        <v>1</v>
      </c>
      <c r="BQ186" s="29">
        <f t="shared" si="126"/>
        <v>1</v>
      </c>
      <c r="BR186" s="65"/>
      <c r="BS186" s="29" t="str">
        <f t="shared" si="144"/>
        <v/>
      </c>
      <c r="BT186" s="29">
        <f t="shared" si="137"/>
        <v>1</v>
      </c>
      <c r="BU186" s="29">
        <f t="shared" si="138"/>
        <v>1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 x14ac:dyDescent="0.3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</v>
      </c>
      <c r="BM187" s="29">
        <v>1</v>
      </c>
      <c r="BO187" s="29" t="str">
        <f t="shared" si="136"/>
        <v/>
      </c>
      <c r="BP187" s="29">
        <f t="shared" si="125"/>
        <v>1</v>
      </c>
      <c r="BQ187" s="29">
        <f t="shared" si="126"/>
        <v>1</v>
      </c>
      <c r="BR187" s="65"/>
      <c r="BS187" s="29" t="str">
        <f t="shared" si="144"/>
        <v/>
      </c>
      <c r="BT187" s="29">
        <f t="shared" si="137"/>
        <v>1</v>
      </c>
      <c r="BU187" s="29">
        <f t="shared" si="138"/>
        <v>1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 x14ac:dyDescent="0.3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</v>
      </c>
      <c r="BM188" s="29">
        <v>1</v>
      </c>
      <c r="BO188" s="29" t="str">
        <f t="shared" si="136"/>
        <v/>
      </c>
      <c r="BP188" s="29">
        <f t="shared" si="125"/>
        <v>1</v>
      </c>
      <c r="BQ188" s="29">
        <f t="shared" si="126"/>
        <v>1</v>
      </c>
      <c r="BR188" s="65"/>
      <c r="BS188" s="29" t="str">
        <f t="shared" si="144"/>
        <v/>
      </c>
      <c r="BT188" s="29">
        <f t="shared" si="137"/>
        <v>1</v>
      </c>
      <c r="BU188" s="29">
        <f t="shared" si="138"/>
        <v>1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 x14ac:dyDescent="0.3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</v>
      </c>
      <c r="BM189" s="29">
        <v>1</v>
      </c>
      <c r="BO189" s="29" t="str">
        <f t="shared" si="136"/>
        <v/>
      </c>
      <c r="BP189" s="29">
        <f t="shared" si="125"/>
        <v>1</v>
      </c>
      <c r="BQ189" s="29">
        <f t="shared" si="126"/>
        <v>1</v>
      </c>
      <c r="BR189" s="65"/>
      <c r="BS189" s="29" t="str">
        <f t="shared" si="144"/>
        <v/>
      </c>
      <c r="BT189" s="29">
        <f t="shared" si="137"/>
        <v>1</v>
      </c>
      <c r="BU189" s="29">
        <f t="shared" si="138"/>
        <v>1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 x14ac:dyDescent="0.3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</v>
      </c>
      <c r="BM190" s="29">
        <v>1</v>
      </c>
      <c r="BO190" s="29" t="str">
        <f t="shared" si="136"/>
        <v/>
      </c>
      <c r="BP190" s="29">
        <f t="shared" si="125"/>
        <v>1</v>
      </c>
      <c r="BQ190" s="29">
        <f t="shared" si="126"/>
        <v>1</v>
      </c>
      <c r="BR190" s="65"/>
      <c r="BS190" s="29" t="str">
        <f t="shared" si="144"/>
        <v/>
      </c>
      <c r="BT190" s="29">
        <f t="shared" si="137"/>
        <v>1</v>
      </c>
      <c r="BU190" s="29">
        <f t="shared" si="138"/>
        <v>1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 x14ac:dyDescent="0.3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</v>
      </c>
      <c r="BM191" s="29">
        <v>1</v>
      </c>
      <c r="BO191" s="29" t="str">
        <f t="shared" si="136"/>
        <v/>
      </c>
      <c r="BP191" s="29">
        <f t="shared" si="125"/>
        <v>1</v>
      </c>
      <c r="BQ191" s="29">
        <f t="shared" si="126"/>
        <v>1</v>
      </c>
      <c r="BR191" s="65"/>
      <c r="BS191" s="29" t="str">
        <f t="shared" si="144"/>
        <v/>
      </c>
      <c r="BT191" s="29">
        <f t="shared" si="137"/>
        <v>1</v>
      </c>
      <c r="BU191" s="29">
        <f t="shared" si="138"/>
        <v>1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 x14ac:dyDescent="0.3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</v>
      </c>
      <c r="BM192" s="29">
        <v>1</v>
      </c>
      <c r="BO192" s="29" t="str">
        <f t="shared" si="136"/>
        <v/>
      </c>
      <c r="BP192" s="29">
        <f t="shared" si="125"/>
        <v>1</v>
      </c>
      <c r="BQ192" s="29">
        <f t="shared" si="126"/>
        <v>1</v>
      </c>
      <c r="BR192" s="65"/>
      <c r="BS192" s="29" t="str">
        <f t="shared" si="144"/>
        <v/>
      </c>
      <c r="BT192" s="29">
        <f t="shared" si="137"/>
        <v>1</v>
      </c>
      <c r="BU192" s="29">
        <f t="shared" si="138"/>
        <v>1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 x14ac:dyDescent="0.3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</v>
      </c>
      <c r="BM193" s="29">
        <v>1</v>
      </c>
      <c r="BO193" s="29" t="str">
        <f t="shared" si="136"/>
        <v/>
      </c>
      <c r="BP193" s="29">
        <f t="shared" si="125"/>
        <v>1</v>
      </c>
      <c r="BQ193" s="29">
        <f t="shared" si="126"/>
        <v>1</v>
      </c>
      <c r="BR193" s="65"/>
      <c r="BS193" s="29" t="str">
        <f t="shared" si="144"/>
        <v/>
      </c>
      <c r="BT193" s="29">
        <f t="shared" si="137"/>
        <v>1</v>
      </c>
      <c r="BU193" s="29">
        <f t="shared" si="138"/>
        <v>1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 x14ac:dyDescent="0.3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</v>
      </c>
      <c r="BM194" s="29">
        <v>1</v>
      </c>
      <c r="BO194" s="29" t="str">
        <f t="shared" si="136"/>
        <v/>
      </c>
      <c r="BP194" s="29">
        <f t="shared" si="125"/>
        <v>1</v>
      </c>
      <c r="BQ194" s="29">
        <f t="shared" si="126"/>
        <v>1</v>
      </c>
      <c r="BR194" s="65"/>
      <c r="BS194" s="29" t="str">
        <f t="shared" si="144"/>
        <v/>
      </c>
      <c r="BT194" s="29">
        <f t="shared" si="137"/>
        <v>1</v>
      </c>
      <c r="BU194" s="29">
        <f t="shared" si="138"/>
        <v>1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 x14ac:dyDescent="0.3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</v>
      </c>
      <c r="BM195" s="29">
        <v>1</v>
      </c>
      <c r="BO195" s="29" t="str">
        <f t="shared" si="136"/>
        <v/>
      </c>
      <c r="BP195" s="29">
        <f t="shared" si="125"/>
        <v>1</v>
      </c>
      <c r="BQ195" s="29">
        <f t="shared" si="126"/>
        <v>1</v>
      </c>
      <c r="BR195" s="65"/>
      <c r="BS195" s="29" t="str">
        <f t="shared" si="144"/>
        <v/>
      </c>
      <c r="BT195" s="29">
        <f t="shared" si="137"/>
        <v>1</v>
      </c>
      <c r="BU195" s="29">
        <f t="shared" si="138"/>
        <v>1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 x14ac:dyDescent="0.3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</v>
      </c>
      <c r="BM196" s="29">
        <v>1</v>
      </c>
      <c r="BO196" s="29" t="str">
        <f t="shared" si="136"/>
        <v/>
      </c>
      <c r="BP196" s="29">
        <f t="shared" ref="BP196:BP211" si="152">IF(BL195="","",BL195)</f>
        <v>1</v>
      </c>
      <c r="BQ196" s="29">
        <f t="shared" ref="BQ196:BQ211" si="153">IF(BM195="","",BM195)</f>
        <v>1</v>
      </c>
      <c r="BR196" s="65"/>
      <c r="BS196" s="29" t="str">
        <f t="shared" si="144"/>
        <v/>
      </c>
      <c r="BT196" s="29">
        <f t="shared" si="137"/>
        <v>1</v>
      </c>
      <c r="BU196" s="29">
        <f t="shared" si="138"/>
        <v>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 x14ac:dyDescent="0.3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</v>
      </c>
      <c r="BM197" s="29">
        <v>1</v>
      </c>
      <c r="BO197" s="29" t="str">
        <f t="shared" ref="BO197:BO211" si="163">IF(BK196="","",BK196)</f>
        <v/>
      </c>
      <c r="BP197" s="29">
        <f t="shared" si="152"/>
        <v>1</v>
      </c>
      <c r="BQ197" s="29">
        <f t="shared" si="153"/>
        <v>1</v>
      </c>
      <c r="BR197" s="65"/>
      <c r="BS197" s="29" t="str">
        <f t="shared" si="144"/>
        <v/>
      </c>
      <c r="BT197" s="29">
        <f t="shared" ref="BT197:BT211" si="164">IF(BL195="","",BL195)</f>
        <v>1</v>
      </c>
      <c r="BU197" s="29">
        <f t="shared" ref="BU197:BU211" si="165">IF(BM195="","",BM195)</f>
        <v>1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 x14ac:dyDescent="0.3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</v>
      </c>
      <c r="BM198" s="29">
        <v>1</v>
      </c>
      <c r="BO198" s="29" t="str">
        <f t="shared" si="163"/>
        <v/>
      </c>
      <c r="BP198" s="29">
        <f t="shared" si="152"/>
        <v>1</v>
      </c>
      <c r="BQ198" s="29">
        <f t="shared" si="153"/>
        <v>1</v>
      </c>
      <c r="BR198" s="65"/>
      <c r="BS198" s="29" t="str">
        <f t="shared" ref="BS198:BS211" si="171">IF(BK196="","",BK196)</f>
        <v/>
      </c>
      <c r="BT198" s="29">
        <f t="shared" si="164"/>
        <v>1</v>
      </c>
      <c r="BU198" s="29">
        <f t="shared" si="165"/>
        <v>1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 x14ac:dyDescent="0.3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</v>
      </c>
      <c r="BM199" s="29">
        <v>1</v>
      </c>
      <c r="BO199" s="29" t="str">
        <f t="shared" si="163"/>
        <v/>
      </c>
      <c r="BP199" s="29">
        <f t="shared" si="152"/>
        <v>1</v>
      </c>
      <c r="BQ199" s="29">
        <f t="shared" si="153"/>
        <v>1</v>
      </c>
      <c r="BR199" s="65"/>
      <c r="BS199" s="29" t="str">
        <f t="shared" si="171"/>
        <v/>
      </c>
      <c r="BT199" s="29">
        <f t="shared" si="164"/>
        <v>1</v>
      </c>
      <c r="BU199" s="29">
        <f t="shared" si="165"/>
        <v>1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 x14ac:dyDescent="0.3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</v>
      </c>
      <c r="BM200" s="29">
        <v>1</v>
      </c>
      <c r="BO200" s="29" t="str">
        <f t="shared" si="163"/>
        <v/>
      </c>
      <c r="BP200" s="29">
        <f t="shared" si="152"/>
        <v>1</v>
      </c>
      <c r="BQ200" s="29">
        <f t="shared" si="153"/>
        <v>1</v>
      </c>
      <c r="BR200" s="65"/>
      <c r="BS200" s="29" t="str">
        <f t="shared" si="171"/>
        <v/>
      </c>
      <c r="BT200" s="29">
        <f t="shared" si="164"/>
        <v>1</v>
      </c>
      <c r="BU200" s="29">
        <f t="shared" si="165"/>
        <v>1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 x14ac:dyDescent="0.3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1</v>
      </c>
      <c r="BM201" s="29">
        <v>1</v>
      </c>
      <c r="BO201" s="29" t="str">
        <f t="shared" si="163"/>
        <v/>
      </c>
      <c r="BP201" s="29">
        <f t="shared" si="152"/>
        <v>1</v>
      </c>
      <c r="BQ201" s="29">
        <f t="shared" si="153"/>
        <v>1</v>
      </c>
      <c r="BR201" s="65"/>
      <c r="BS201" s="29" t="str">
        <f t="shared" si="171"/>
        <v/>
      </c>
      <c r="BT201" s="29">
        <f t="shared" si="164"/>
        <v>1</v>
      </c>
      <c r="BU201" s="29">
        <f t="shared" si="165"/>
        <v>1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 x14ac:dyDescent="0.3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1</v>
      </c>
      <c r="BM202" s="29">
        <v>1</v>
      </c>
      <c r="BO202" s="29" t="str">
        <f t="shared" si="163"/>
        <v/>
      </c>
      <c r="BP202" s="29">
        <f t="shared" si="152"/>
        <v>1</v>
      </c>
      <c r="BQ202" s="29">
        <f t="shared" si="153"/>
        <v>1</v>
      </c>
      <c r="BR202" s="65"/>
      <c r="BS202" s="29" t="str">
        <f t="shared" si="171"/>
        <v/>
      </c>
      <c r="BT202" s="29">
        <f t="shared" si="164"/>
        <v>1</v>
      </c>
      <c r="BU202" s="29">
        <f t="shared" si="165"/>
        <v>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 x14ac:dyDescent="0.3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1</v>
      </c>
      <c r="BM203" s="29">
        <v>1</v>
      </c>
      <c r="BO203" s="29" t="str">
        <f t="shared" si="163"/>
        <v/>
      </c>
      <c r="BP203" s="29">
        <f t="shared" si="152"/>
        <v>1</v>
      </c>
      <c r="BQ203" s="29">
        <f t="shared" si="153"/>
        <v>1</v>
      </c>
      <c r="BR203" s="65"/>
      <c r="BS203" s="29" t="str">
        <f t="shared" si="171"/>
        <v/>
      </c>
      <c r="BT203" s="29">
        <f t="shared" si="164"/>
        <v>1</v>
      </c>
      <c r="BU203" s="29">
        <f t="shared" si="165"/>
        <v>1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 x14ac:dyDescent="0.3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1</v>
      </c>
      <c r="BM204" s="29">
        <v>1</v>
      </c>
      <c r="BO204" s="29" t="str">
        <f t="shared" si="163"/>
        <v/>
      </c>
      <c r="BP204" s="29">
        <f t="shared" si="152"/>
        <v>1</v>
      </c>
      <c r="BQ204" s="29">
        <f t="shared" si="153"/>
        <v>1</v>
      </c>
      <c r="BR204" s="65"/>
      <c r="BS204" s="29" t="str">
        <f t="shared" si="171"/>
        <v/>
      </c>
      <c r="BT204" s="29">
        <f t="shared" si="164"/>
        <v>1</v>
      </c>
      <c r="BU204" s="29">
        <f t="shared" si="165"/>
        <v>1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 x14ac:dyDescent="0.3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1</v>
      </c>
      <c r="BM205" s="29">
        <v>1</v>
      </c>
      <c r="BO205" s="29" t="str">
        <f t="shared" si="163"/>
        <v/>
      </c>
      <c r="BP205" s="29">
        <f t="shared" si="152"/>
        <v>1</v>
      </c>
      <c r="BQ205" s="29">
        <f t="shared" si="153"/>
        <v>1</v>
      </c>
      <c r="BR205" s="65"/>
      <c r="BS205" s="29" t="str">
        <f t="shared" si="171"/>
        <v/>
      </c>
      <c r="BT205" s="29">
        <f t="shared" si="164"/>
        <v>1</v>
      </c>
      <c r="BU205" s="29">
        <f t="shared" si="165"/>
        <v>1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 x14ac:dyDescent="0.3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</v>
      </c>
      <c r="BM206" s="29"/>
      <c r="BO206" s="29" t="str">
        <f t="shared" si="163"/>
        <v/>
      </c>
      <c r="BP206" s="29">
        <f t="shared" si="152"/>
        <v>1</v>
      </c>
      <c r="BQ206" s="29">
        <f t="shared" si="153"/>
        <v>1</v>
      </c>
      <c r="BR206" s="65"/>
      <c r="BS206" s="29" t="str">
        <f t="shared" si="171"/>
        <v/>
      </c>
      <c r="BT206" s="29">
        <f t="shared" si="164"/>
        <v>1</v>
      </c>
      <c r="BU206" s="29">
        <f t="shared" si="165"/>
        <v>1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 x14ac:dyDescent="0.3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</v>
      </c>
      <c r="BM207" s="29"/>
      <c r="BO207" s="29" t="str">
        <f t="shared" si="163"/>
        <v/>
      </c>
      <c r="BP207" s="29">
        <f t="shared" si="152"/>
        <v>1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1</v>
      </c>
      <c r="BU207" s="29">
        <f t="shared" si="165"/>
        <v>1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 x14ac:dyDescent="0.3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</v>
      </c>
      <c r="BM208" s="29"/>
      <c r="BO208" s="29" t="str">
        <f t="shared" si="163"/>
        <v/>
      </c>
      <c r="BP208" s="29">
        <f t="shared" si="152"/>
        <v>1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 x14ac:dyDescent="0.3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</v>
      </c>
      <c r="BM209" s="29"/>
      <c r="BO209" s="29" t="str">
        <f t="shared" si="163"/>
        <v/>
      </c>
      <c r="BP209" s="29">
        <f t="shared" si="152"/>
        <v>1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 x14ac:dyDescent="0.3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1</v>
      </c>
      <c r="BM210" s="29"/>
      <c r="BO210" s="29" t="str">
        <f t="shared" si="163"/>
        <v/>
      </c>
      <c r="BP210" s="29">
        <f t="shared" si="152"/>
        <v>1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 x14ac:dyDescent="0.3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1</v>
      </c>
      <c r="BM211" s="29"/>
      <c r="BO211" s="29" t="str">
        <f t="shared" si="163"/>
        <v/>
      </c>
      <c r="BP211" s="29">
        <f t="shared" si="152"/>
        <v>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 x14ac:dyDescent="0.3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 x14ac:dyDescent="0.35">
      <c r="A1" s="317" t="s">
        <v>113</v>
      </c>
      <c r="B1" s="317"/>
      <c r="C1" s="317"/>
      <c r="D1" s="317"/>
      <c r="E1" s="317"/>
      <c r="F1" s="1"/>
      <c r="G1" s="318" t="s">
        <v>114</v>
      </c>
      <c r="H1" s="318"/>
      <c r="I1" s="318"/>
      <c r="J1" s="318"/>
      <c r="K1" s="318"/>
      <c r="L1" s="1"/>
      <c r="M1" s="319" t="s">
        <v>115</v>
      </c>
      <c r="N1" s="319"/>
      <c r="O1" s="319"/>
      <c r="P1" s="319"/>
      <c r="Q1" s="319"/>
      <c r="R1" s="60"/>
      <c r="S1" s="320" t="s">
        <v>129</v>
      </c>
      <c r="T1" s="320"/>
      <c r="U1" s="320"/>
      <c r="V1" s="320"/>
      <c r="W1" s="320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 x14ac:dyDescent="0.35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 x14ac:dyDescent="0.3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 x14ac:dyDescent="0.3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 x14ac:dyDescent="0.3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 x14ac:dyDescent="0.3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 x14ac:dyDescent="0.3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 x14ac:dyDescent="0.3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 x14ac:dyDescent="0.3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 x14ac:dyDescent="0.3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 x14ac:dyDescent="0.3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 x14ac:dyDescent="0.3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 x14ac:dyDescent="0.3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 x14ac:dyDescent="0.35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 x14ac:dyDescent="0.3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 x14ac:dyDescent="0.3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 x14ac:dyDescent="0.3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 x14ac:dyDescent="0.3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 x14ac:dyDescent="0.3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 x14ac:dyDescent="0.3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 x14ac:dyDescent="0.3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 x14ac:dyDescent="0.3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 x14ac:dyDescent="0.3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 x14ac:dyDescent="0.3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 x14ac:dyDescent="0.35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 x14ac:dyDescent="0.3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 x14ac:dyDescent="0.3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 x14ac:dyDescent="0.3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 x14ac:dyDescent="0.3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 x14ac:dyDescent="0.3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 x14ac:dyDescent="0.3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 x14ac:dyDescent="0.3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 x14ac:dyDescent="0.3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 x14ac:dyDescent="0.3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 x14ac:dyDescent="0.3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 x14ac:dyDescent="0.3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 x14ac:dyDescent="0.3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 x14ac:dyDescent="0.3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 x14ac:dyDescent="0.3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 x14ac:dyDescent="0.3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 x14ac:dyDescent="0.3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 x14ac:dyDescent="0.3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 x14ac:dyDescent="0.3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 x14ac:dyDescent="0.3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 x14ac:dyDescent="0.3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 x14ac:dyDescent="0.3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 x14ac:dyDescent="0.3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 x14ac:dyDescent="0.3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 x14ac:dyDescent="0.3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 x14ac:dyDescent="0.3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 x14ac:dyDescent="0.3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 x14ac:dyDescent="0.3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 x14ac:dyDescent="0.3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 x14ac:dyDescent="0.3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 x14ac:dyDescent="0.3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 x14ac:dyDescent="0.3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 x14ac:dyDescent="0.3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 x14ac:dyDescent="0.3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 x14ac:dyDescent="0.3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 x14ac:dyDescent="0.3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 x14ac:dyDescent="0.3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 x14ac:dyDescent="0.3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 x14ac:dyDescent="0.3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 x14ac:dyDescent="0.3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 x14ac:dyDescent="0.3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 x14ac:dyDescent="0.3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 x14ac:dyDescent="0.3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 x14ac:dyDescent="0.3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 x14ac:dyDescent="0.3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 x14ac:dyDescent="0.3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 x14ac:dyDescent="0.3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 x14ac:dyDescent="0.3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 x14ac:dyDescent="0.3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 x14ac:dyDescent="0.3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 x14ac:dyDescent="0.3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 x14ac:dyDescent="0.3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 x14ac:dyDescent="0.3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 x14ac:dyDescent="0.3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 x14ac:dyDescent="0.3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 x14ac:dyDescent="0.3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 x14ac:dyDescent="0.3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 x14ac:dyDescent="0.3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 x14ac:dyDescent="0.3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 x14ac:dyDescent="0.3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 x14ac:dyDescent="0.3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 x14ac:dyDescent="0.3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 x14ac:dyDescent="0.3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 x14ac:dyDescent="0.3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 x14ac:dyDescent="0.3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 x14ac:dyDescent="0.3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 x14ac:dyDescent="0.3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 x14ac:dyDescent="0.3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 x14ac:dyDescent="0.3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 x14ac:dyDescent="0.3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 x14ac:dyDescent="0.3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 x14ac:dyDescent="0.3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 x14ac:dyDescent="0.3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 x14ac:dyDescent="0.3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 x14ac:dyDescent="0.3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 x14ac:dyDescent="0.3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 x14ac:dyDescent="0.3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 x14ac:dyDescent="0.3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 x14ac:dyDescent="0.3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 x14ac:dyDescent="0.3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 x14ac:dyDescent="0.3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 x14ac:dyDescent="0.3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 x14ac:dyDescent="0.3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 x14ac:dyDescent="0.3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 x14ac:dyDescent="0.3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 x14ac:dyDescent="0.3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 x14ac:dyDescent="0.3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 x14ac:dyDescent="0.3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 x14ac:dyDescent="0.3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 x14ac:dyDescent="0.3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 x14ac:dyDescent="0.3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 x14ac:dyDescent="0.3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 x14ac:dyDescent="0.3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 x14ac:dyDescent="0.3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 x14ac:dyDescent="0.3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 x14ac:dyDescent="0.3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 x14ac:dyDescent="0.3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 x14ac:dyDescent="0.3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 x14ac:dyDescent="0.3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 x14ac:dyDescent="0.3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 x14ac:dyDescent="0.3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 x14ac:dyDescent="0.3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 x14ac:dyDescent="0.3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 x14ac:dyDescent="0.3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 x14ac:dyDescent="0.3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 x14ac:dyDescent="0.3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 x14ac:dyDescent="0.3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 x14ac:dyDescent="0.3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 x14ac:dyDescent="0.3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 x14ac:dyDescent="0.3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 x14ac:dyDescent="0.3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 x14ac:dyDescent="0.3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 x14ac:dyDescent="0.3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 x14ac:dyDescent="0.3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 x14ac:dyDescent="0.3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 x14ac:dyDescent="0.3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 x14ac:dyDescent="0.3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 x14ac:dyDescent="0.3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 x14ac:dyDescent="0.3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 x14ac:dyDescent="0.3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 x14ac:dyDescent="0.3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 x14ac:dyDescent="0.3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 x14ac:dyDescent="0.3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 x14ac:dyDescent="0.3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 x14ac:dyDescent="0.3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 x14ac:dyDescent="0.3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 x14ac:dyDescent="0.3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 x14ac:dyDescent="0.3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 x14ac:dyDescent="0.3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 x14ac:dyDescent="0.3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 x14ac:dyDescent="0.3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 x14ac:dyDescent="0.3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 x14ac:dyDescent="0.3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 x14ac:dyDescent="0.3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 x14ac:dyDescent="0.3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 x14ac:dyDescent="0.3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 x14ac:dyDescent="0.3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 x14ac:dyDescent="0.3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 x14ac:dyDescent="0.3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 x14ac:dyDescent="0.3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 x14ac:dyDescent="0.3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 x14ac:dyDescent="0.3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 x14ac:dyDescent="0.3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 x14ac:dyDescent="0.3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 x14ac:dyDescent="0.3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 x14ac:dyDescent="0.3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 x14ac:dyDescent="0.3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 x14ac:dyDescent="0.3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 x14ac:dyDescent="0.3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 x14ac:dyDescent="0.3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 x14ac:dyDescent="0.3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 x14ac:dyDescent="0.3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 x14ac:dyDescent="0.3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 x14ac:dyDescent="0.3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 x14ac:dyDescent="0.3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 x14ac:dyDescent="0.3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 x14ac:dyDescent="0.3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 x14ac:dyDescent="0.3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 x14ac:dyDescent="0.3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 x14ac:dyDescent="0.3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 x14ac:dyDescent="0.3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 x14ac:dyDescent="0.3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 x14ac:dyDescent="0.3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 x14ac:dyDescent="0.3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 x14ac:dyDescent="0.3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 x14ac:dyDescent="0.3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 x14ac:dyDescent="0.3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 x14ac:dyDescent="0.3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 x14ac:dyDescent="0.3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 x14ac:dyDescent="0.3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 x14ac:dyDescent="0.3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 x14ac:dyDescent="0.3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 x14ac:dyDescent="0.3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 x14ac:dyDescent="0.3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 x14ac:dyDescent="0.3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 x14ac:dyDescent="0.3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 x14ac:dyDescent="0.3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 x14ac:dyDescent="0.3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 x14ac:dyDescent="0.3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 x14ac:dyDescent="0.3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 x14ac:dyDescent="0.3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 x14ac:dyDescent="0.3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 x14ac:dyDescent="0.3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 x14ac:dyDescent="0.3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 x14ac:dyDescent="0.3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 x14ac:dyDescent="0.3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 x14ac:dyDescent="0.3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 x14ac:dyDescent="0.3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 x14ac:dyDescent="0.35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 x14ac:dyDescent="0.3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 x14ac:dyDescent="0.3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 x14ac:dyDescent="0.3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 x14ac:dyDescent="0.3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 x14ac:dyDescent="0.35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 x14ac:dyDescent="0.3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 x14ac:dyDescent="0.35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B11" s="61" t="s">
        <v>53</v>
      </c>
      <c r="C11" s="321">
        <f>PRODUCT('Regular Symbol'!C18:E18)</f>
        <v>5218521</v>
      </c>
      <c r="D11" s="321"/>
      <c r="E11" s="321"/>
      <c r="F11" s="321"/>
      <c r="G11" s="321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 x14ac:dyDescent="0.3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 x14ac:dyDescent="0.35">
      <c r="L22" s="124">
        <v>3</v>
      </c>
      <c r="M22" s="108">
        <v>2.9292209999999999E-2</v>
      </c>
      <c r="N22" s="264">
        <v>34.138769317849352</v>
      </c>
    </row>
    <row r="23" spans="1:19" ht="16.8" thickBot="1" x14ac:dyDescent="0.35">
      <c r="B23" s="61" t="s">
        <v>53</v>
      </c>
      <c r="C23" s="321">
        <f>PRODUCT('Regular Symbol'!C18:E18)</f>
        <v>5218521</v>
      </c>
      <c r="D23" s="321"/>
      <c r="E23" s="321"/>
      <c r="F23" s="321"/>
      <c r="G23" s="321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 x14ac:dyDescent="0.35"/>
    <row r="35" spans="1:10" ht="16.8" thickBot="1" x14ac:dyDescent="0.35">
      <c r="B35" s="61" t="s">
        <v>53</v>
      </c>
      <c r="C35" s="321">
        <f>PRODUCT('Regular Symbol'!C18:E18)</f>
        <v>5218521</v>
      </c>
      <c r="D35" s="321"/>
      <c r="E35" s="321"/>
      <c r="F35" s="321"/>
      <c r="G35" s="321"/>
      <c r="I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 x14ac:dyDescent="0.35"/>
    <row r="47" spans="1:10" ht="16.8" thickBot="1" x14ac:dyDescent="0.35">
      <c r="B47" s="61" t="s">
        <v>53</v>
      </c>
      <c r="C47" s="321">
        <f>PRODUCT('Regular Symbol'!C18:E18)</f>
        <v>5218521</v>
      </c>
      <c r="D47" s="321"/>
      <c r="E47" s="321"/>
      <c r="F47" s="321"/>
      <c r="G47" s="321"/>
      <c r="I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 x14ac:dyDescent="0.35"/>
    <row r="59" spans="1:10" ht="16.8" thickBot="1" x14ac:dyDescent="0.35">
      <c r="B59" s="61" t="s">
        <v>53</v>
      </c>
      <c r="C59" s="321">
        <f>PRODUCT('Regular Symbol'!C18:E18)</f>
        <v>5218521</v>
      </c>
      <c r="D59" s="321"/>
      <c r="E59" s="321"/>
      <c r="F59" s="321"/>
      <c r="G59" s="321"/>
      <c r="I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A11" s="1"/>
      <c r="B11" s="61" t="s">
        <v>53</v>
      </c>
      <c r="C11" s="321">
        <f>PRODUCT('Regular Symbol'!C44:E44)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 x14ac:dyDescent="0.35">
      <c r="A23" s="1"/>
      <c r="B23" s="61" t="s">
        <v>53</v>
      </c>
      <c r="C23" s="321">
        <f>PRODUCT('Regular Symbol'!C44:E44)</f>
        <v>5218521</v>
      </c>
      <c r="D23" s="321"/>
      <c r="E23" s="321"/>
      <c r="F23" s="321"/>
      <c r="G23" s="321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1">
        <f>PRODUCT('Regular Symbol'!C44:E44)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1">
        <f>PRODUCT('Regular Symbol'!C44:E44)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Symbol'!C44:E44)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A11" s="1"/>
      <c r="B11" s="61" t="s">
        <v>53</v>
      </c>
      <c r="C11" s="321">
        <f>PRODUCT('Regular Symbol'!C70:E70)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Symbol'!C70:E70)</f>
        <v>5218521</v>
      </c>
      <c r="D23" s="321"/>
      <c r="E23" s="321"/>
      <c r="F23" s="321"/>
      <c r="G23" s="321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1">
        <f>PRODUCT('Regular Symbol'!C70:E70)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1">
        <f>PRODUCT('Regular Symbol'!C70:E70)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Symbol'!C70:E70)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2.8068527462091269E-3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1.8532863592875257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2.8340080971659919E-2</v>
      </c>
      <c r="N4" s="170">
        <v>7000000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4.048582995951417E-2</v>
      </c>
      <c r="N5" s="170">
        <v>10000000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6.0728744939271252E-2</v>
      </c>
      <c r="N6" s="170">
        <v>15000000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6.0728744939271252E-2</v>
      </c>
      <c r="N7" s="170">
        <v>15000000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6.0728744939271252E-2</v>
      </c>
      <c r="N8" s="170">
        <v>15000000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6.0728744939271252E-2</v>
      </c>
      <c r="N9" s="170">
        <v>15000000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2.0242914979757085E-2</v>
      </c>
      <c r="N10" s="170">
        <v>5000000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2.0242914979757085E-2</v>
      </c>
      <c r="N11" s="170">
        <v>5000000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2.0242914979757085E-2</v>
      </c>
      <c r="N12" s="170">
        <v>5000000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2.0242914979757085E-2</v>
      </c>
      <c r="N13" s="170">
        <v>5000000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0.60728744939271251</v>
      </c>
      <c r="N14" s="171">
        <v>150000000</v>
      </c>
      <c r="O14" s="130">
        <f>T16</f>
        <v>126.47783824647155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93.686946303525218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126.47783824647155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2.8068527462091269E-3</v>
      </c>
      <c r="N21" s="288">
        <f>$O$15</f>
        <v>93.686946303525218</v>
      </c>
      <c r="O21" s="186" cm="1">
        <f t="array" aca="1" ref="O21:O25" ca="1">M21:M25*N21:N25</f>
        <v>0.26296546251599678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2.8068527462091269E-3</v>
      </c>
      <c r="N22" s="290">
        <f>$O$15+1*$O$15*_xlfn.BINOM.DIST(1,1,$I$4,FALSE)</f>
        <v>112.87067610320113</v>
      </c>
      <c r="O22" s="189">
        <f ca="1"/>
        <v>0.31681136718675096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2.8068527462091269E-3</v>
      </c>
      <c r="N23" s="290">
        <f>$O$15+1*$O$15*_xlfn.BINOM.DIST(1,2,$I$4,FALSE)+2*$O$15*_xlfn.BINOM.DIST(2,2,$I$4,FALSE)</f>
        <v>132.05440590287702</v>
      </c>
      <c r="O23" s="189">
        <f ca="1"/>
        <v>0.37065727185750513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2.8068527462091269E-3</v>
      </c>
      <c r="N24" s="290">
        <f>$O$15+1*$O$15*_xlfn.BINOM.DIST(1,3,$I$4,FALSE)+2*$O$15*_xlfn.BINOM.DIST(2,3,$I$4,FALSE)+3*$O$15*_xlfn.BINOM.DIST(3,3,$I$4,FALSE)</f>
        <v>151.23813570255294</v>
      </c>
      <c r="O24" s="189">
        <f ca="1"/>
        <v>0.42450317652825931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1.521120639353564E-5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2.8068527462091269E-3</v>
      </c>
      <c r="N25" s="292">
        <f>$O$15+1*$O$15*_xlfn.BINOM.DIST(1,4,$I$4,FALSE)+2*$O$15*_xlfn.BINOM.DIST(2,4,$I$4,FALSE)+3*$O$15*_xlfn.BINOM.DIST(3,4,$I$4,FALSE)+4*$O$15*_xlfn.BINOM.DIST(4,4,$I$4,FALSE)</f>
        <v>170.42186550222885</v>
      </c>
      <c r="O25" s="192">
        <f ca="1"/>
        <v>0.47834908119901354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1.2745680241585693E-4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1.050021644063519E-4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8.8067251238425594E-5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8.6797006278215607E-5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7.5898286123597103E-5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4.4787402407693678E-5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1.8150429978148983E-5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1.521120639353564E-5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1.2745680241585693E-4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1.050021644063519E-4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8.8067251238425594E-5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8.6797006278215607E-5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7.5898286123597103E-5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4.4787402407693678E-5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1.8150429978148983E-5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1.521120639353564E-5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1.2745680241585693E-4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1.050021644063519E-4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8.8067251238425594E-5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8.6797006278215607E-5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7.5898286123597103E-5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4.4787402407693678E-5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1.8150429978148983E-5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1.521120639353564E-5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1.2745680241585693E-4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1.050021644063519E-4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8.8067251238425594E-5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8.6797006278215607E-5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7.5898286123597103E-5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4.4787402407693678E-5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1.8150429978148983E-5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5.3695078914329581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7.0171318655228168E-3</v>
      </c>
      <c r="N21" s="288">
        <f>$O$15</f>
        <v>108.57529814106596</v>
      </c>
      <c r="O21" s="186" cm="1">
        <f t="array" aca="1" ref="O21:O25" ca="1">M21:M25*N21:N25</f>
        <v>0.76188718439431424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7.0171318655228168E-3</v>
      </c>
      <c r="N22" s="290">
        <f>$O$15+1*$O$15*_xlfn.BINOM.DIST(1,1,$I$4,FALSE)</f>
        <v>130.80762894742386</v>
      </c>
      <c r="O22" s="189">
        <f ca="1"/>
        <v>0.91789438134045287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7.0171318655228168E-3</v>
      </c>
      <c r="N23" s="290">
        <f>$O$15+1*$O$15*_xlfn.BINOM.DIST(1,2,$I$4,FALSE)+2*$O$15*_xlfn.BINOM.DIST(2,2,$I$4,FALSE)</f>
        <v>153.03995975378177</v>
      </c>
      <c r="O23" s="189">
        <f ca="1"/>
        <v>1.0739015782865915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1.2299087752327305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1.3859159721788687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9.1233660753214103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7.0171318655228168E-3</v>
      </c>
      <c r="N21" s="288">
        <f>$O$15</f>
        <v>184.48100118421755</v>
      </c>
      <c r="O21" s="186" cm="1">
        <f t="array" aca="1" ref="O21:O25" ca="1">M21:M25*N21:N25</f>
        <v>1.2945275119933255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7.0171318655228168E-3</v>
      </c>
      <c r="N22" s="290">
        <f>$O$15+1*$O$15*_xlfn.BINOM.DIST(1,1,$I$4,FALSE)</f>
        <v>222.25610027247288</v>
      </c>
      <c r="O22" s="189">
        <f ca="1"/>
        <v>1.5596003635288038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285"/>
      <c r="K23" s="34"/>
      <c r="L23" s="51" t="s">
        <v>279</v>
      </c>
      <c r="M23" s="289">
        <f t="shared" ca="1" si="4"/>
        <v>7.0171318655228168E-3</v>
      </c>
      <c r="N23" s="290">
        <f>$O$15+1*$O$15*_xlfn.BINOM.DIST(1,2,$I$4,FALSE)+2*$O$15*_xlfn.BINOM.DIST(2,2,$I$4,FALSE)</f>
        <v>260.03119936072818</v>
      </c>
      <c r="O23" s="189">
        <f ca="1"/>
        <v>1.8246732150642819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2.0897460665997607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281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2.3548189181352384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4.3078039467504284E-2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(I1/I3)*O15*I3</f>
        <v>3.9750023423649816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x14ac:dyDescent="0.3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0.14359346489168093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(I1/I3)*O15*I3</f>
        <v>5.3073921716142252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1">
        <f>PRODUCT('Regular Symbol'!C96:E96)</f>
        <v>5218521</v>
      </c>
      <c r="D11" s="321"/>
      <c r="E11" s="321"/>
      <c r="F11" s="321"/>
      <c r="G11" s="321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x14ac:dyDescent="0.3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1">
        <f>PRODUCT('Regular Symbol'!C96:E96)</f>
        <v>5218521</v>
      </c>
      <c r="D23" s="321"/>
      <c r="E23" s="321"/>
      <c r="F23" s="321"/>
      <c r="G23" s="321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1">
        <f>PRODUCT('Regular Symbol'!C96:E96)</f>
        <v>5218521</v>
      </c>
      <c r="D35" s="321"/>
      <c r="E35" s="321"/>
      <c r="F35" s="321"/>
      <c r="G35" s="321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1">
        <f>PRODUCT('Regular Symbol'!C96:E96)</f>
        <v>5218521</v>
      </c>
      <c r="D47" s="321"/>
      <c r="E47" s="321"/>
      <c r="F47" s="321"/>
      <c r="G47" s="321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1">
        <f>PRODUCT('Regular Symbol'!C96:E96)</f>
        <v>5218521</v>
      </c>
      <c r="D59" s="321"/>
      <c r="E59" s="321"/>
      <c r="F59" s="321"/>
      <c r="G59" s="321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魏昶泰</cp:lastModifiedBy>
  <cp:lastPrinted>2009-07-16T02:13:50Z</cp:lastPrinted>
  <dcterms:created xsi:type="dcterms:W3CDTF">2006-10-09T15:31:11Z</dcterms:created>
  <dcterms:modified xsi:type="dcterms:W3CDTF">2026-04-30T06:30:05Z</dcterms:modified>
</cp:coreProperties>
</file>