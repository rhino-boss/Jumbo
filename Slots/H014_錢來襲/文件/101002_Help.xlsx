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Desktop\"/>
    </mc:Choice>
  </mc:AlternateContent>
  <xr:revisionPtr revIDLastSave="0" documentId="13_ncr:1_{078B2F04-6E6D-44D0-9D63-BE39480B3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.Math" sheetId="5" r:id="rId1"/>
    <sheet name="7.Help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" i="5" l="1"/>
  <c r="M32" i="5"/>
  <c r="I32" i="5"/>
  <c r="X31" i="5"/>
  <c r="X32" i="5" s="1"/>
  <c r="W31" i="5"/>
  <c r="W32" i="5" s="1"/>
  <c r="V31" i="5"/>
  <c r="V32" i="5" s="1"/>
  <c r="U31" i="5"/>
  <c r="U32" i="5" s="1"/>
  <c r="T31" i="5"/>
  <c r="T32" i="5" s="1"/>
  <c r="S31" i="5"/>
  <c r="S32" i="5" s="1"/>
  <c r="R31" i="5"/>
  <c r="R32" i="5" s="1"/>
  <c r="Q31" i="5"/>
  <c r="Q32" i="5" s="1"/>
  <c r="P31" i="5"/>
  <c r="P32" i="5" s="1"/>
  <c r="O31" i="5"/>
  <c r="O32" i="5" s="1"/>
  <c r="N31" i="5"/>
  <c r="M31" i="5"/>
  <c r="L31" i="5"/>
  <c r="L32" i="5" s="1"/>
  <c r="K31" i="5"/>
  <c r="K32" i="5" s="1"/>
  <c r="J31" i="5"/>
  <c r="J32" i="5" s="1"/>
  <c r="I31" i="5"/>
  <c r="H31" i="5"/>
  <c r="H32" i="5" s="1"/>
  <c r="G31" i="5"/>
  <c r="G32" i="5" s="1"/>
  <c r="F31" i="5"/>
  <c r="F32" i="5" s="1"/>
  <c r="E31" i="5"/>
  <c r="E32" i="5" s="1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Q20" i="5"/>
  <c r="X19" i="5"/>
  <c r="X20" i="5" s="1"/>
  <c r="W19" i="5"/>
  <c r="W20" i="5" s="1"/>
  <c r="V19" i="5"/>
  <c r="V20" i="5" s="1"/>
  <c r="U19" i="5"/>
  <c r="U20" i="5" s="1"/>
  <c r="T19" i="5"/>
  <c r="T20" i="5" s="1"/>
  <c r="S19" i="5"/>
  <c r="S20" i="5" s="1"/>
  <c r="R19" i="5"/>
  <c r="R20" i="5" s="1"/>
  <c r="Q19" i="5"/>
  <c r="P19" i="5"/>
  <c r="P20" i="5" s="1"/>
  <c r="O19" i="5"/>
  <c r="O20" i="5" s="1"/>
  <c r="N19" i="5"/>
  <c r="N20" i="5" s="1"/>
  <c r="M19" i="5"/>
  <c r="M20" i="5" s="1"/>
  <c r="L19" i="5"/>
  <c r="L20" i="5" s="1"/>
  <c r="K19" i="5"/>
  <c r="K20" i="5" s="1"/>
  <c r="J19" i="5"/>
  <c r="J20" i="5" s="1"/>
  <c r="I19" i="5"/>
  <c r="I20" i="5" s="1"/>
  <c r="H19" i="5"/>
  <c r="H20" i="5" s="1"/>
  <c r="G19" i="5"/>
  <c r="G20" i="5" s="1"/>
  <c r="F19" i="5"/>
  <c r="F20" i="5" s="1"/>
  <c r="E19" i="5"/>
  <c r="E20" i="5" s="1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</calcChain>
</file>

<file path=xl/sharedStrings.xml><?xml version="1.0" encoding="utf-8"?>
<sst xmlns="http://schemas.openxmlformats.org/spreadsheetml/2006/main" count="173" uniqueCount="127">
  <si>
    <t>項目</t>
  </si>
  <si>
    <t>5.Math (數學)</t>
  </si>
  <si>
    <t>英文</t>
  </si>
  <si>
    <t>版本: 0.0.0.4</t>
  </si>
  <si>
    <t>數學文件路徑連結</t>
  </si>
  <si>
    <r>
      <rPr>
        <u/>
        <sz val="10"/>
        <color rgb="FF1155CC"/>
        <rFont val="Arial"/>
        <family val="2"/>
      </rPr>
      <t>http://subversion.jumbo.net/math/Slot/IGaming/H014</t>
    </r>
    <r>
      <rPr>
        <sz val="10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http://subversion.jumbo.net/math/Math_Release/IGaming/H014</t>
    </r>
  </si>
  <si>
    <t>Bet Currency</t>
  </si>
  <si>
    <t>Normal Bet</t>
  </si>
  <si>
    <t>最小押分</t>
  </si>
  <si>
    <t>倍數
設定</t>
  </si>
  <si>
    <t>JP Option</t>
  </si>
  <si>
    <t>Denom</t>
  </si>
  <si>
    <r>
      <rPr>
        <sz val="12"/>
        <color theme="1"/>
        <rFont val="Arial"/>
        <family val="2"/>
      </rPr>
      <t>共</t>
    </r>
    <r>
      <rPr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組</t>
    </r>
  </si>
  <si>
    <t>第 1 組</t>
  </si>
  <si>
    <t>第 2 組</t>
  </si>
  <si>
    <t>第 3 組</t>
  </si>
  <si>
    <t>第 4 組</t>
  </si>
  <si>
    <t>第 5 組</t>
  </si>
  <si>
    <t>第 6 組</t>
  </si>
  <si>
    <t>第 7 組</t>
  </si>
  <si>
    <t>第 8 組</t>
  </si>
  <si>
    <t>第 9 組</t>
  </si>
  <si>
    <t>第 10 組</t>
  </si>
  <si>
    <t>第 11 組</t>
  </si>
  <si>
    <t>第 12 組</t>
  </si>
  <si>
    <t>第 13 組</t>
  </si>
  <si>
    <t>第 14 組</t>
  </si>
  <si>
    <t>第 15 組</t>
  </si>
  <si>
    <t>第 16 組</t>
  </si>
  <si>
    <t>第 17 組</t>
  </si>
  <si>
    <t>第 18 組</t>
  </si>
  <si>
    <t>第 19 組</t>
  </si>
  <si>
    <t>第 20 組</t>
  </si>
  <si>
    <r>
      <rPr>
        <sz val="12"/>
        <color theme="1"/>
        <rFont val="Arial"/>
        <family val="2"/>
      </rPr>
      <t>組數</t>
    </r>
  </si>
  <si>
    <r>
      <rPr>
        <sz val="12"/>
        <color theme="1"/>
        <rFont val="Arial"/>
        <family val="2"/>
      </rPr>
      <t>金額</t>
    </r>
  </si>
  <si>
    <t>Club</t>
  </si>
  <si>
    <r>
      <rPr>
        <sz val="12"/>
        <color theme="1"/>
        <rFont val="Arial"/>
        <family val="2"/>
      </rPr>
      <t>組數</t>
    </r>
  </si>
  <si>
    <r>
      <rPr>
        <sz val="12"/>
        <color theme="1"/>
        <rFont val="Arial"/>
        <family val="2"/>
      </rPr>
      <t>金額</t>
    </r>
  </si>
  <si>
    <t>Extra Bet</t>
  </si>
  <si>
    <r>
      <rPr>
        <sz val="12"/>
        <color theme="1"/>
        <rFont val="Arial"/>
        <family val="2"/>
      </rPr>
      <t>共</t>
    </r>
    <r>
      <rPr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組</t>
    </r>
  </si>
  <si>
    <r>
      <rPr>
        <sz val="12"/>
        <color theme="1"/>
        <rFont val="Arial"/>
        <family val="2"/>
      </rPr>
      <t>組數</t>
    </r>
  </si>
  <si>
    <r>
      <rPr>
        <sz val="12"/>
        <color theme="1"/>
        <rFont val="Arial"/>
        <family val="2"/>
      </rPr>
      <t>金額</t>
    </r>
  </si>
  <si>
    <r>
      <rPr>
        <sz val="12"/>
        <color theme="1"/>
        <rFont val="Arial"/>
        <family val="2"/>
      </rPr>
      <t>組數</t>
    </r>
  </si>
  <si>
    <r>
      <rPr>
        <sz val="12"/>
        <color theme="1"/>
        <rFont val="Arial"/>
        <family val="2"/>
      </rPr>
      <t>金額</t>
    </r>
  </si>
  <si>
    <t>11.Help</t>
  </si>
  <si>
    <t>說明頁</t>
  </si>
  <si>
    <t>PayTable</t>
  </si>
  <si>
    <t>NO</t>
  </si>
  <si>
    <t>簡中</t>
  </si>
  <si>
    <t>主要標題</t>
  </si>
  <si>
    <t>符号赔付值</t>
  </si>
  <si>
    <t>SYMBOL PAYOUT VALUES</t>
  </si>
  <si>
    <t>規則說明</t>
  </si>
  <si>
    <t>▪ 盘面组合数字符号，由左至右组合排列，即为该局胜分。</t>
  </si>
  <si>
    <t>▪ THE SYMBOLS ON THE REELS ARE COMBINED AND ARRANGED FROM LEFT TO RIGHT TO DETERMINE THE WINNING COMBINATION FOR THE ROUND.</t>
  </si>
  <si>
    <t>▪ 空白不影响数字排列。</t>
  </si>
  <si>
    <t>▪ BLANK SPACES DO NOT AFFECT THE NUMBER SEQUENCE.</t>
  </si>
  <si>
    <t>▪ 转轮符号包含 [10]、[00]、[5]、[1]与[0]。</t>
  </si>
  <si>
    <t>▪ THE REEL SYMBOL INCLUDE [10], [00], [5], [1]AND[0].</t>
  </si>
  <si>
    <t>▪ {提高投注}可解锁{更多游戏特色}，并提高{最大赢分}！</t>
  </si>
  <si>
    <t>▪ {RAISING THE BET} CAN UNLOCK {MORE GAME FEATURES} AND INCREASE THE {MAXIMUM WINNING POINTS}!</t>
  </si>
  <si>
    <t>副標題</t>
  </si>
  <si>
    <t>特色转轮</t>
  </si>
  <si>
    <t>FEATURE REEL</t>
  </si>
  <si>
    <t>▪ 左方转轮不用达成连线得奖，特色转轮转中的符号将会给予对应的特殊效果！</t>
  </si>
  <si>
    <t>▪ WINNING COMBINATIONS DO NOT NEED TO BE ACHIEVED ON THE LEFT REELS; SYMBOLS ON THE SPECIAL FEATURE REEL WILL GRANT CORRESPONDING SPECIAL EFFECTS WHEN SPINNING.</t>
  </si>
  <si>
    <t>[前3轮没得奖＋第4轮中红色BONUS报奖 示意图]</t>
  </si>
  <si>
    <t>▪ [10X] [5X] [2X]：左方转轮赢分乘上该倍数。</t>
  </si>
  <si>
    <t>▪ [10X] [5X] [2X]：THE WINNINGS ON THE LEFT WILL BE MULTIPLIED BY THE ODDS OF THE SYMBOL.</t>
  </si>
  <si>
    <t>▪ [RESPIN]：左方转轮全部免费重转。</t>
  </si>
  <si>
    <t>▪ [RESPIN]：FREE RESPINS FOR ALL REELS ON THE LEFT SIDE.</t>
  </si>
  <si>
    <t>▪ [红BONUS] [绿BONUS]：可获得幸运转盘挑战机会。</t>
  </si>
  <si>
    <t>▪ [紅BONUS] [綠BONUS]：THE PLAYER COULD WIN A CHANCE TO PLAY THE LUCKY WHEEL.</t>
  </si>
  <si>
    <t>遊戲特色</t>
  </si>
  <si>
    <t>繁中</t>
  </si>
  <si>
    <t>游戏特色</t>
  </si>
  <si>
    <t>GAME FEATURE</t>
  </si>
  <si>
    <t>重转特色</t>
  </si>
  <si>
    <t>RESPIN FEATURE</t>
  </si>
  <si>
    <t>规则说明</t>
  </si>
  <si>
    <t>▪ 特色转轮触发[RESPIN]时，有机会再次获得奖金。</t>
  </si>
  <si>
    <t>▪ TRIGGERING THE FEATURE REEL [RESPIN] GRANTS ANOTHER CHANCE FOR A PRIZE.</t>
  </si>
  <si>
    <t>[RESPIN转动效果 示意图]</t>
  </si>
  <si>
    <t>幸运转盘特色</t>
  </si>
  <si>
    <t>LUCKY WHEEL FEATURE</t>
  </si>
  <si>
    <t>▪ 特色转轮触发[绿BONUS]或[红BONUS]时，获得幸运转盘挑战机会，必定获奖！</t>
  </si>
  <si>
    <t>▪ TRIGGERING THE FEATURE REEL [綠色BONUS]OR[紅色BONUS] GRANTS A CHANCE TO PLAY THE LUCKY WHEEL, GUARANTEED TO WIN A PRIZE!</t>
  </si>
  <si>
    <t>[红色转盘得奖 示意图]</t>
  </si>
  <si>
    <t>额外投注</t>
  </si>
  <si>
    <t>EXTRA BET MODE</t>
  </si>
  <si>
    <t>▪ 额外投注需额外支付投注分数的 {50%} ， 启动额外投注下：</t>
  </si>
  <si>
    <t>▪ PAY AN ADDITIONAL {50%} AMOUNT OF THE BET TO TRIGGER THE EXTRA BET. DURING THE EXTRA BET MODE:</t>
  </si>
  <si>
    <r>
      <rPr>
        <sz val="10"/>
        <color rgb="FF000000"/>
        <rFont val="Microsoft JhengHei"/>
        <family val="2"/>
        <charset val="136"/>
      </rPr>
      <t>▪ 保证在</t>
    </r>
    <r>
      <rPr>
        <sz val="10"/>
        <color rgb="FF000000"/>
        <rFont val="Microsoft JhengHei"/>
        <family val="2"/>
        <charset val="136"/>
      </rPr>
      <t>特色转轮</t>
    </r>
    <r>
      <rPr>
        <sz val="10"/>
        <color rgb="FF000000"/>
        <rFont val="Microsoft JhengHei"/>
        <family val="2"/>
        <charset val="136"/>
      </rPr>
      <t>出现特色。</t>
    </r>
  </si>
  <si>
    <t>▪ GUARANTEES A FEATURE ON THE FEATURE REEL.</t>
  </si>
  <si>
    <t>OP JACKPOT</t>
  </si>
  <si>
    <t>標題</t>
  </si>
  <si>
    <t xml:space="preserve">
規則</t>
  </si>
  <si>
    <t>▪ 在游戏中，OP JACKPOT 特色由特色转轮上 [RESPIN]、[绿BONUS] 或 [红BONUS] 随机触发。</t>
  </si>
  <si>
    <t>▪ OP JACKPOT FEATURE IS TRIGGERED RANDOMLY BY [RESPIN], [绿BONUS] OR [红BONUS]  ON THE FEATURE REEL.</t>
  </si>
  <si>
    <t>▪ OP JACKPOT 特色会在画面中出现 {12} 个 [幣]，其中包括 [GRAND]、[MAJOR]、[MINOR] 及 [MINI]。</t>
  </si>
  <si>
    <t>▪ DURING OP JACKPOT FEATURE, THERE ARE {12} [幣] WHICH CONSIST OF [GRAND], [MAJOR], [MINOR] AND [MINI].</t>
  </si>
  <si>
    <t>▪ 选择 {1} 个 [幣] 以揭示 [GRAND]、[MAJOR]、[MINOR] 或 [MINI]。</t>
  </si>
  <si>
    <t>▪ SELECT A [幣] TO REVEAL [GRAND], [MAJOR], [MINOR],OR [MINI].</t>
  </si>
  <si>
    <t>▪ 当玩家获得 {3} 个相同的 OP JACKPOT 特色符号即可获得该 OP JACKPOT 并结算总奖金。</t>
  </si>
  <si>
    <t>▪ IF PLAYER GETS {3} SAME JACKPOT SYMBOLS WILL WIN THE JACKPOT AND CALCULATE TOTAL WINNINGS.</t>
  </si>
  <si>
    <t>▪  [GRAND] 为连机累进彩金。单场游戏中，投注选项选择 {2.00} 以上即可解锁 [GRAND]。</t>
  </si>
  <si>
    <t>▪ [GRAND] IS LINKED PROGRESSIVE JACKPOT. IF THE SINGLE GAME BET OPTION IS {2.00} OR ABOVE, THE PLAYER WILL UNLOCK [GRAND].</t>
  </si>
  <si>
    <t>▪  [MAJOR] 为连机累进彩金。单场游戏中，投注选项选择 {2.00} 以上即可解锁 [MAJOR]。</t>
  </si>
  <si>
    <t>▪ [MAJOR] IS LINKED PROGRESSIVE JACKPOT. IF THE SINGLE GAME BET OPTION IS {2.00} OR ABOVE, THE PLAYER WILL UNLOCK [MAJOR].</t>
  </si>
  <si>
    <t>▪  [MINOR] 为红利彩金，依照投注选项改变。</t>
  </si>
  <si>
    <t>▪ [MINOR] WILL CHANGE IF THE PLAYER SELECTS DIFFERENT BET OPTION.</t>
  </si>
  <si>
    <t>▪  [MINI] 为红利彩金，依照投注选项改变。</t>
  </si>
  <si>
    <t>▪ [MINI] WILL CHANGE IF THE PLAYER SELECTS DIFFERENT BET OPTION.</t>
  </si>
  <si>
    <t>▪ 玩家投注越高触发 OP JACKPOT 特色的机会越高。</t>
  </si>
  <si>
    <t>▪ THE HIGHER BET, THE HIGHER CHANCES TO TRIGGER OP JACKPOT FEATURE.</t>
  </si>
  <si>
    <t>遊戲規則</t>
  </si>
  <si>
    <t>游戏规则</t>
  </si>
  <si>
    <t>GAME RULES</t>
  </si>
  <si>
    <t>規則</t>
  </si>
  <si>
    <t>▪ 选择您想要玩的投注选项。</t>
  </si>
  <si>
    <t>▪ SELECT BET OPTION YOU WISH TO PLAY.</t>
  </si>
  <si>
    <t>▪ 所有中奖金额均乘以投注选项，除非是累积奖。</t>
  </si>
  <si>
    <t>▪ ALL WINS ARE MULTIPLIED BY BET OPTION EXCEPT PROGRESSIVES BONUSES.</t>
  </si>
  <si>
    <t>▪ 游戏出现故障，所有赔付和游戏都视为无效。</t>
  </si>
  <si>
    <t>▪ MALFUNCTION VOIDS ALL PAYS AND PLAYS.</t>
  </si>
  <si>
    <t>▪ 若玩家在特色游戏期间中断游戏，系统将会自动计算游戏结果，并将获奖金额加入至余额中。</t>
  </si>
  <si>
    <t>▪ IF THE PLAYER LOSES CONNECTION DURING THE FEATURE GAME, THE SYSTEM WILL CALCULATE THE GAME RESULTS AUTOMATICALLY AND THE WINNING PRIZES WILL BE ADDED INTO THE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</si>
</sst>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第&quot;\ #\ &quot;組&quot;"/>
    <numFmt numFmtId="177" formatCode="0.0%"/>
    <numFmt numFmtId="178" formatCode="0.000"/>
    <numFmt numFmtId="179" formatCode="0.0"/>
  </numFmts>
  <fonts count="24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Microsoft JhengHei"/>
      <family val="2"/>
      <charset val="136"/>
    </font>
    <font>
      <sz val="12"/>
      <color rgb="FFFFFFFF"/>
      <name val="Microsoft JhengHei"/>
      <family val="2"/>
      <charset val="136"/>
    </font>
    <font>
      <sz val="10"/>
      <color rgb="FFFFFFFF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10"/>
      <color theme="1"/>
      <name val="Calibri"/>
    </font>
    <font>
      <b/>
      <sz val="18"/>
      <color theme="1"/>
      <name val="Arial"/>
    </font>
    <font>
      <sz val="12"/>
      <color rgb="FF000000"/>
      <name val="Arial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000000"/>
      <name val="Arial"/>
      <family val="2"/>
      <scheme val="minor"/>
    </font>
    <font>
      <sz val="10"/>
      <color theme="1"/>
      <name val="Microsoft JhengHei"/>
      <family val="2"/>
      <charset val="136"/>
    </font>
    <font>
      <sz val="18"/>
      <color rgb="FF000000"/>
      <name val="Microsoft JhengHei"/>
      <family val="2"/>
      <charset val="136"/>
    </font>
    <font>
      <sz val="10"/>
      <color rgb="FFFFFFFF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9"/>
      <name val="Arial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666666"/>
        <bgColor rgb="FF666666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8" fillId="0" borderId="0" xfId="0" applyFont="1" applyAlignment="1">
      <alignment vertical="top"/>
    </xf>
    <xf numFmtId="0" fontId="8" fillId="2" borderId="4" xfId="0" applyFont="1" applyFill="1" applyBorder="1"/>
    <xf numFmtId="0" fontId="12" fillId="3" borderId="0" xfId="0" applyFont="1" applyFill="1" applyAlignment="1"/>
    <xf numFmtId="0" fontId="13" fillId="3" borderId="0" xfId="0" applyFont="1" applyFill="1" applyAlignment="1"/>
    <xf numFmtId="176" fontId="12" fillId="3" borderId="0" xfId="0" applyNumberFormat="1" applyFont="1" applyFill="1" applyAlignment="1"/>
    <xf numFmtId="0" fontId="12" fillId="0" borderId="0" xfId="0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176" fontId="1" fillId="0" borderId="0" xfId="0" applyNumberFormat="1" applyFont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177" fontId="12" fillId="0" borderId="0" xfId="0" applyNumberFormat="1" applyFont="1" applyAlignment="1"/>
    <xf numFmtId="178" fontId="12" fillId="0" borderId="0" xfId="0" applyNumberFormat="1" applyFont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9" fontId="1" fillId="7" borderId="1" xfId="0" applyNumberFormat="1" applyFont="1" applyFill="1" applyBorder="1" applyAlignment="1">
      <alignment horizont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0" borderId="3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1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3" xfId="0" applyFont="1" applyBorder="1"/>
    <xf numFmtId="0" fontId="3" fillId="0" borderId="21" xfId="0" applyFont="1" applyBorder="1"/>
    <xf numFmtId="0" fontId="3" fillId="0" borderId="17" xfId="0" applyFont="1" applyBorder="1"/>
    <xf numFmtId="0" fontId="3" fillId="0" borderId="16" xfId="0" applyFont="1" applyBorder="1"/>
    <xf numFmtId="0" fontId="4" fillId="0" borderId="5" xfId="0" applyFont="1" applyBorder="1" applyAlignment="1">
      <alignment vertical="center" wrapText="1"/>
    </xf>
    <xf numFmtId="0" fontId="9" fillId="0" borderId="0" xfId="0" applyFont="1" applyAlignment="1">
      <alignment vertical="top"/>
    </xf>
    <xf numFmtId="0" fontId="10" fillId="4" borderId="8" xfId="0" applyFont="1" applyFill="1" applyBorder="1" applyAlignment="1">
      <alignment vertical="center"/>
    </xf>
    <xf numFmtId="0" fontId="8" fillId="4" borderId="2" xfId="0" applyFont="1" applyFill="1" applyBorder="1"/>
    <xf numFmtId="0" fontId="2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 wrapText="1"/>
    </xf>
    <xf numFmtId="0" fontId="11" fillId="0" borderId="15" xfId="0" applyFont="1" applyBorder="1" applyAlignment="1"/>
    <xf numFmtId="0" fontId="10" fillId="4" borderId="8" xfId="0" applyFont="1" applyFill="1" applyBorder="1"/>
    <xf numFmtId="0" fontId="1" fillId="0" borderId="14" xfId="0" applyFont="1" applyBorder="1" applyAlignment="1">
      <alignment horizontal="center" wrapText="1"/>
    </xf>
    <xf numFmtId="0" fontId="1" fillId="6" borderId="14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0" fontId="17" fillId="8" borderId="5" xfId="0" applyFont="1" applyFill="1" applyBorder="1" applyAlignment="1">
      <alignment vertical="center"/>
    </xf>
    <xf numFmtId="0" fontId="15" fillId="4" borderId="5" xfId="0" applyFont="1" applyFill="1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5" fillId="8" borderId="8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18" fillId="0" borderId="5" xfId="0" applyFont="1" applyBorder="1" applyAlignment="1">
      <alignment horizontal="left" vertical="center" wrapText="1"/>
    </xf>
    <xf numFmtId="0" fontId="18" fillId="4" borderId="5" xfId="0" applyFont="1" applyFill="1" applyBorder="1" applyAlignment="1">
      <alignment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vertical="center" wrapText="1"/>
    </xf>
    <xf numFmtId="0" fontId="18" fillId="0" borderId="5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ubversion.jumbo.net/math/Slot/IGaming/H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  <outlinePr summaryBelow="0" summaryRight="0"/>
  </sheetPr>
  <dimension ref="A1:AJ1003"/>
  <sheetViews>
    <sheetView tabSelected="1" workbookViewId="0"/>
  </sheetViews>
  <sheetFormatPr defaultColWidth="12.6640625" defaultRowHeight="15" customHeight="1"/>
  <cols>
    <col min="1" max="1" width="2.33203125" customWidth="1"/>
    <col min="2" max="2" width="15.44140625" customWidth="1"/>
    <col min="3" max="3" width="14.6640625" customWidth="1"/>
    <col min="4" max="36" width="11.109375" customWidth="1"/>
  </cols>
  <sheetData>
    <row r="1" spans="1:36" ht="15.75" customHeight="1">
      <c r="A1" s="1"/>
      <c r="B1" s="47" t="s">
        <v>1</v>
      </c>
      <c r="C1" s="32"/>
      <c r="D1" s="32"/>
      <c r="E1" s="32"/>
      <c r="F1" s="32"/>
      <c r="G1" s="32"/>
      <c r="H1" s="32"/>
      <c r="I1" s="32"/>
      <c r="J1" s="32"/>
    </row>
    <row r="2" spans="1:36" ht="15.75" customHeight="1">
      <c r="A2" s="1"/>
      <c r="B2" s="32"/>
      <c r="C2" s="32"/>
      <c r="D2" s="32"/>
      <c r="E2" s="32"/>
      <c r="F2" s="32"/>
      <c r="G2" s="32"/>
      <c r="H2" s="32"/>
      <c r="I2" s="32"/>
      <c r="J2" s="32"/>
    </row>
    <row r="3" spans="1:36" ht="15.75" customHeight="1">
      <c r="A3" s="2"/>
      <c r="B3" s="48"/>
      <c r="C3" s="40"/>
      <c r="D3" s="40"/>
      <c r="E3" s="40"/>
      <c r="F3" s="40"/>
      <c r="G3" s="40"/>
      <c r="H3" s="40"/>
      <c r="I3" s="41"/>
      <c r="J3" s="49"/>
    </row>
    <row r="4" spans="1:36" ht="15.75" customHeight="1">
      <c r="A4" s="2"/>
      <c r="B4" s="50" t="s">
        <v>3</v>
      </c>
      <c r="C4" s="51" t="s">
        <v>4</v>
      </c>
      <c r="D4" s="52" t="s">
        <v>5</v>
      </c>
      <c r="E4" s="45"/>
      <c r="F4" s="45"/>
      <c r="G4" s="45"/>
      <c r="H4" s="45"/>
      <c r="I4" s="44"/>
      <c r="J4" s="33"/>
    </row>
    <row r="5" spans="1:36" ht="15.75" customHeight="1">
      <c r="A5" s="2"/>
      <c r="B5" s="37"/>
      <c r="C5" s="37"/>
      <c r="D5" s="38"/>
      <c r="E5" s="42"/>
      <c r="F5" s="42"/>
      <c r="G5" s="42"/>
      <c r="H5" s="42"/>
      <c r="I5" s="43"/>
      <c r="J5" s="33"/>
    </row>
    <row r="6" spans="1:36" ht="15.75" customHeight="1">
      <c r="A6" s="2"/>
      <c r="B6" s="53"/>
      <c r="C6" s="40"/>
      <c r="D6" s="40"/>
      <c r="E6" s="40"/>
      <c r="F6" s="40"/>
      <c r="G6" s="40"/>
      <c r="H6" s="40"/>
      <c r="I6" s="41"/>
      <c r="J6" s="34"/>
    </row>
    <row r="7" spans="1:36" ht="15.75" customHeight="1"/>
    <row r="9" spans="1:36" ht="17.399999999999999">
      <c r="A9" s="3"/>
      <c r="B9" s="4" t="s">
        <v>6</v>
      </c>
      <c r="C9" s="3"/>
      <c r="D9" s="3"/>
      <c r="E9" s="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ht="13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>
      <c r="A11" s="6"/>
      <c r="B11" s="7" t="s">
        <v>7</v>
      </c>
      <c r="C11" s="6"/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6"/>
      <c r="AJ11" s="6"/>
    </row>
    <row r="12" spans="1:36">
      <c r="A12" s="6"/>
      <c r="B12" s="54" t="s">
        <v>8</v>
      </c>
      <c r="C12" s="55">
        <v>500</v>
      </c>
      <c r="D12" s="54" t="s">
        <v>9</v>
      </c>
      <c r="E12" s="10">
        <v>1</v>
      </c>
      <c r="F12" s="10">
        <v>2</v>
      </c>
      <c r="G12" s="10">
        <v>3</v>
      </c>
      <c r="H12" s="10">
        <v>4</v>
      </c>
      <c r="I12" s="10">
        <v>5</v>
      </c>
      <c r="J12" s="10">
        <v>6</v>
      </c>
      <c r="K12" s="10">
        <v>7</v>
      </c>
      <c r="L12" s="10">
        <v>8</v>
      </c>
      <c r="M12" s="10">
        <v>9</v>
      </c>
      <c r="N12" s="10">
        <v>10</v>
      </c>
      <c r="O12" s="10">
        <v>11</v>
      </c>
      <c r="P12" s="10">
        <v>12</v>
      </c>
      <c r="Q12" s="10">
        <v>13</v>
      </c>
      <c r="R12" s="10">
        <v>14</v>
      </c>
      <c r="S12" s="10">
        <v>15</v>
      </c>
      <c r="T12" s="10">
        <v>16</v>
      </c>
      <c r="U12" s="10">
        <v>17</v>
      </c>
      <c r="V12" s="10">
        <v>18</v>
      </c>
      <c r="W12" s="10">
        <v>19</v>
      </c>
      <c r="X12" s="10">
        <v>20</v>
      </c>
      <c r="Y12" s="10">
        <v>21</v>
      </c>
      <c r="Z12" s="10">
        <v>22</v>
      </c>
      <c r="AA12" s="10">
        <v>23</v>
      </c>
      <c r="AB12" s="10">
        <v>24</v>
      </c>
      <c r="AC12" s="10">
        <v>25</v>
      </c>
      <c r="AD12" s="10">
        <v>26</v>
      </c>
      <c r="AE12" s="10">
        <v>27</v>
      </c>
      <c r="AF12" s="10">
        <v>28</v>
      </c>
      <c r="AG12" s="10">
        <v>29</v>
      </c>
      <c r="AH12" s="10">
        <v>30</v>
      </c>
      <c r="AI12" s="6"/>
      <c r="AJ12" s="6"/>
    </row>
    <row r="13" spans="1:36">
      <c r="A13" s="6"/>
      <c r="B13" s="37"/>
      <c r="C13" s="37"/>
      <c r="D13" s="37"/>
      <c r="E13" s="11">
        <v>5</v>
      </c>
      <c r="F13" s="11">
        <v>25</v>
      </c>
      <c r="G13" s="11">
        <v>50</v>
      </c>
      <c r="H13" s="11">
        <v>250</v>
      </c>
      <c r="I13" s="11">
        <v>500</v>
      </c>
      <c r="J13" s="11">
        <v>500</v>
      </c>
      <c r="K13" s="11">
        <v>500</v>
      </c>
      <c r="L13" s="11">
        <v>500</v>
      </c>
      <c r="M13" s="11">
        <v>500</v>
      </c>
      <c r="N13" s="11">
        <v>500</v>
      </c>
      <c r="O13" s="11">
        <v>500</v>
      </c>
      <c r="P13" s="11">
        <v>500</v>
      </c>
      <c r="Q13" s="11">
        <v>500</v>
      </c>
      <c r="R13" s="11">
        <v>500</v>
      </c>
      <c r="S13" s="11">
        <v>500</v>
      </c>
      <c r="T13" s="11">
        <v>500</v>
      </c>
      <c r="U13" s="11">
        <v>500</v>
      </c>
      <c r="V13" s="11">
        <v>500</v>
      </c>
      <c r="W13" s="11">
        <v>500</v>
      </c>
      <c r="X13" s="11">
        <v>500</v>
      </c>
      <c r="Y13" s="11">
        <v>500</v>
      </c>
      <c r="Z13" s="11">
        <v>500</v>
      </c>
      <c r="AA13" s="11">
        <v>500</v>
      </c>
      <c r="AB13" s="11">
        <v>500</v>
      </c>
      <c r="AC13" s="11">
        <v>500</v>
      </c>
      <c r="AD13" s="11">
        <v>500</v>
      </c>
      <c r="AE13" s="11">
        <v>500</v>
      </c>
      <c r="AF13" s="11">
        <v>500</v>
      </c>
      <c r="AG13" s="11">
        <v>500</v>
      </c>
      <c r="AH13" s="11">
        <v>500</v>
      </c>
      <c r="AI13" s="6"/>
      <c r="AJ13" s="6"/>
    </row>
    <row r="14" spans="1:36" ht="13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12"/>
    </row>
    <row r="15" spans="1:36" ht="13.2">
      <c r="A15" s="6"/>
      <c r="B15" s="6"/>
      <c r="C15" s="6"/>
      <c r="D15" s="6"/>
      <c r="E15" s="6"/>
      <c r="F15" s="1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>
      <c r="A16" s="6"/>
      <c r="B16" s="14" t="s">
        <v>10</v>
      </c>
      <c r="C16" s="14" t="s">
        <v>11</v>
      </c>
      <c r="D16" s="15" t="s">
        <v>12</v>
      </c>
      <c r="E16" s="14" t="s">
        <v>13</v>
      </c>
      <c r="F16" s="14" t="s">
        <v>14</v>
      </c>
      <c r="G16" s="14" t="s">
        <v>15</v>
      </c>
      <c r="H16" s="14" t="s">
        <v>16</v>
      </c>
      <c r="I16" s="14" t="s">
        <v>17</v>
      </c>
      <c r="J16" s="14" t="s">
        <v>18</v>
      </c>
      <c r="K16" s="14" t="s">
        <v>19</v>
      </c>
      <c r="L16" s="14" t="s">
        <v>20</v>
      </c>
      <c r="M16" s="14" t="s">
        <v>21</v>
      </c>
      <c r="N16" s="14" t="s">
        <v>22</v>
      </c>
      <c r="O16" s="14" t="s">
        <v>23</v>
      </c>
      <c r="P16" s="14" t="s">
        <v>24</v>
      </c>
      <c r="Q16" s="14" t="s">
        <v>25</v>
      </c>
      <c r="R16" s="14" t="s">
        <v>26</v>
      </c>
      <c r="S16" s="14" t="s">
        <v>27</v>
      </c>
      <c r="T16" s="14" t="s">
        <v>28</v>
      </c>
      <c r="U16" s="14" t="s">
        <v>29</v>
      </c>
      <c r="V16" s="14" t="s">
        <v>30</v>
      </c>
      <c r="W16" s="14" t="s">
        <v>31</v>
      </c>
      <c r="X16" s="14" t="s">
        <v>32</v>
      </c>
      <c r="Y16" s="6"/>
      <c r="Z16" s="6"/>
      <c r="AA16" s="6"/>
      <c r="AB16" s="6"/>
      <c r="AC16" s="6"/>
      <c r="AD16" s="6"/>
      <c r="AE16" s="6"/>
      <c r="AF16" s="6"/>
      <c r="AG16" s="12"/>
      <c r="AH16" s="6"/>
      <c r="AI16" s="6"/>
      <c r="AJ16" s="6"/>
    </row>
    <row r="17" spans="1:36">
      <c r="A17" s="6"/>
      <c r="B17" s="56">
        <v>1</v>
      </c>
      <c r="C17" s="56">
        <v>2E-3</v>
      </c>
      <c r="D17" s="15" t="s">
        <v>33</v>
      </c>
      <c r="E17" s="16">
        <v>1</v>
      </c>
      <c r="F17" s="16">
        <v>2</v>
      </c>
      <c r="G17" s="16">
        <v>3</v>
      </c>
      <c r="H17" s="16">
        <v>4</v>
      </c>
      <c r="I17" s="16">
        <v>5</v>
      </c>
      <c r="J17" s="16">
        <v>6</v>
      </c>
      <c r="K17" s="16">
        <v>7</v>
      </c>
      <c r="L17" s="16">
        <v>8</v>
      </c>
      <c r="M17" s="16">
        <v>9</v>
      </c>
      <c r="N17" s="16">
        <v>10</v>
      </c>
      <c r="O17" s="16">
        <v>10</v>
      </c>
      <c r="P17" s="16">
        <v>10</v>
      </c>
      <c r="Q17" s="16">
        <v>10</v>
      </c>
      <c r="R17" s="16">
        <v>10</v>
      </c>
      <c r="S17" s="16">
        <v>10</v>
      </c>
      <c r="T17" s="16">
        <v>10</v>
      </c>
      <c r="U17" s="16">
        <v>10</v>
      </c>
      <c r="V17" s="16">
        <v>10</v>
      </c>
      <c r="W17" s="16">
        <v>10</v>
      </c>
      <c r="X17" s="16">
        <v>10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>
      <c r="A18" s="6"/>
      <c r="B18" s="37"/>
      <c r="C18" s="37"/>
      <c r="D18" s="15" t="s">
        <v>34</v>
      </c>
      <c r="E18" s="17">
        <f t="shared" ref="E18:X18" si="0">HLOOKUP(E17, $12:$13, 2, 0)*$C$12*$C$17</f>
        <v>5</v>
      </c>
      <c r="F18" s="17">
        <f t="shared" si="0"/>
        <v>25</v>
      </c>
      <c r="G18" s="17">
        <f t="shared" si="0"/>
        <v>50</v>
      </c>
      <c r="H18" s="17">
        <f t="shared" si="0"/>
        <v>250</v>
      </c>
      <c r="I18" s="17">
        <f t="shared" si="0"/>
        <v>500</v>
      </c>
      <c r="J18" s="17">
        <f t="shared" si="0"/>
        <v>500</v>
      </c>
      <c r="K18" s="17">
        <f t="shared" si="0"/>
        <v>500</v>
      </c>
      <c r="L18" s="17">
        <f t="shared" si="0"/>
        <v>500</v>
      </c>
      <c r="M18" s="17">
        <f t="shared" si="0"/>
        <v>500</v>
      </c>
      <c r="N18" s="17">
        <f t="shared" si="0"/>
        <v>500</v>
      </c>
      <c r="O18" s="17">
        <f t="shared" si="0"/>
        <v>500</v>
      </c>
      <c r="P18" s="17">
        <f t="shared" si="0"/>
        <v>500</v>
      </c>
      <c r="Q18" s="17">
        <f t="shared" si="0"/>
        <v>500</v>
      </c>
      <c r="R18" s="17">
        <f t="shared" si="0"/>
        <v>500</v>
      </c>
      <c r="S18" s="17">
        <f t="shared" si="0"/>
        <v>500</v>
      </c>
      <c r="T18" s="17">
        <f t="shared" si="0"/>
        <v>500</v>
      </c>
      <c r="U18" s="17">
        <f t="shared" si="0"/>
        <v>500</v>
      </c>
      <c r="V18" s="17">
        <f t="shared" si="0"/>
        <v>500</v>
      </c>
      <c r="W18" s="17">
        <f t="shared" si="0"/>
        <v>500</v>
      </c>
      <c r="X18" s="17">
        <f t="shared" si="0"/>
        <v>500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>
      <c r="A19" s="6"/>
      <c r="B19" s="56" t="s">
        <v>35</v>
      </c>
      <c r="C19" s="56">
        <v>2E-3</v>
      </c>
      <c r="D19" s="15" t="s">
        <v>36</v>
      </c>
      <c r="E19" s="14">
        <f t="shared" ref="E19:X19" si="1">E17</f>
        <v>1</v>
      </c>
      <c r="F19" s="14">
        <f t="shared" si="1"/>
        <v>2</v>
      </c>
      <c r="G19" s="14">
        <f t="shared" si="1"/>
        <v>3</v>
      </c>
      <c r="H19" s="14">
        <f t="shared" si="1"/>
        <v>4</v>
      </c>
      <c r="I19" s="14">
        <f t="shared" si="1"/>
        <v>5</v>
      </c>
      <c r="J19" s="14">
        <f t="shared" si="1"/>
        <v>6</v>
      </c>
      <c r="K19" s="14">
        <f t="shared" si="1"/>
        <v>7</v>
      </c>
      <c r="L19" s="14">
        <f t="shared" si="1"/>
        <v>8</v>
      </c>
      <c r="M19" s="14">
        <f t="shared" si="1"/>
        <v>9</v>
      </c>
      <c r="N19" s="14">
        <f t="shared" si="1"/>
        <v>10</v>
      </c>
      <c r="O19" s="14">
        <f t="shared" si="1"/>
        <v>10</v>
      </c>
      <c r="P19" s="14">
        <f t="shared" si="1"/>
        <v>10</v>
      </c>
      <c r="Q19" s="14">
        <f t="shared" si="1"/>
        <v>10</v>
      </c>
      <c r="R19" s="14">
        <f t="shared" si="1"/>
        <v>10</v>
      </c>
      <c r="S19" s="14">
        <f t="shared" si="1"/>
        <v>10</v>
      </c>
      <c r="T19" s="14">
        <f t="shared" si="1"/>
        <v>10</v>
      </c>
      <c r="U19" s="14">
        <f t="shared" si="1"/>
        <v>10</v>
      </c>
      <c r="V19" s="14">
        <f t="shared" si="1"/>
        <v>10</v>
      </c>
      <c r="W19" s="14">
        <f t="shared" si="1"/>
        <v>10</v>
      </c>
      <c r="X19" s="14">
        <f t="shared" si="1"/>
        <v>10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>
      <c r="A20" s="6"/>
      <c r="B20" s="37"/>
      <c r="C20" s="37"/>
      <c r="D20" s="15" t="s">
        <v>37</v>
      </c>
      <c r="E20" s="17">
        <f t="shared" ref="E20:X20" si="2">HLOOKUP(E19, $12:$13, 2, 0)*$C$12*$C$19</f>
        <v>5</v>
      </c>
      <c r="F20" s="17">
        <f t="shared" si="2"/>
        <v>25</v>
      </c>
      <c r="G20" s="17">
        <f t="shared" si="2"/>
        <v>50</v>
      </c>
      <c r="H20" s="17">
        <f t="shared" si="2"/>
        <v>250</v>
      </c>
      <c r="I20" s="17">
        <f t="shared" si="2"/>
        <v>500</v>
      </c>
      <c r="J20" s="17">
        <f t="shared" si="2"/>
        <v>500</v>
      </c>
      <c r="K20" s="17">
        <f t="shared" si="2"/>
        <v>500</v>
      </c>
      <c r="L20" s="17">
        <f t="shared" si="2"/>
        <v>500</v>
      </c>
      <c r="M20" s="17">
        <f t="shared" si="2"/>
        <v>500</v>
      </c>
      <c r="N20" s="17">
        <f t="shared" si="2"/>
        <v>500</v>
      </c>
      <c r="O20" s="17">
        <f t="shared" si="2"/>
        <v>500</v>
      </c>
      <c r="P20" s="17">
        <f t="shared" si="2"/>
        <v>500</v>
      </c>
      <c r="Q20" s="17">
        <f t="shared" si="2"/>
        <v>500</v>
      </c>
      <c r="R20" s="17">
        <f t="shared" si="2"/>
        <v>500</v>
      </c>
      <c r="S20" s="17">
        <f t="shared" si="2"/>
        <v>500</v>
      </c>
      <c r="T20" s="17">
        <f t="shared" si="2"/>
        <v>500</v>
      </c>
      <c r="U20" s="17">
        <f t="shared" si="2"/>
        <v>500</v>
      </c>
      <c r="V20" s="17">
        <f t="shared" si="2"/>
        <v>500</v>
      </c>
      <c r="W20" s="17">
        <f t="shared" si="2"/>
        <v>500</v>
      </c>
      <c r="X20" s="17">
        <f t="shared" si="2"/>
        <v>500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13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>
      <c r="A22" s="6"/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6"/>
      <c r="AJ22" s="6"/>
    </row>
    <row r="23" spans="1:36">
      <c r="A23" s="6"/>
      <c r="B23" s="7" t="s">
        <v>38</v>
      </c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6"/>
      <c r="AJ23" s="6"/>
    </row>
    <row r="24" spans="1:36">
      <c r="A24" s="6"/>
      <c r="B24" s="54" t="s">
        <v>8</v>
      </c>
      <c r="C24" s="55">
        <v>750</v>
      </c>
      <c r="D24" s="54" t="s">
        <v>9</v>
      </c>
      <c r="E24" s="10">
        <v>1</v>
      </c>
      <c r="F24" s="10">
        <v>2</v>
      </c>
      <c r="G24" s="10">
        <v>3</v>
      </c>
      <c r="H24" s="10">
        <v>4</v>
      </c>
      <c r="I24" s="10">
        <v>5</v>
      </c>
      <c r="J24" s="10">
        <v>6</v>
      </c>
      <c r="K24" s="10">
        <v>7</v>
      </c>
      <c r="L24" s="10">
        <v>8</v>
      </c>
      <c r="M24" s="10">
        <v>9</v>
      </c>
      <c r="N24" s="10">
        <v>10</v>
      </c>
      <c r="O24" s="10">
        <v>11</v>
      </c>
      <c r="P24" s="10">
        <v>12</v>
      </c>
      <c r="Q24" s="10">
        <v>13</v>
      </c>
      <c r="R24" s="10">
        <v>14</v>
      </c>
      <c r="S24" s="10">
        <v>15</v>
      </c>
      <c r="T24" s="10">
        <v>16</v>
      </c>
      <c r="U24" s="10">
        <v>17</v>
      </c>
      <c r="V24" s="10">
        <v>18</v>
      </c>
      <c r="W24" s="10">
        <v>19</v>
      </c>
      <c r="X24" s="10">
        <v>20</v>
      </c>
      <c r="Y24" s="10">
        <v>21</v>
      </c>
      <c r="Z24" s="10">
        <v>22</v>
      </c>
      <c r="AA24" s="10">
        <v>23</v>
      </c>
      <c r="AB24" s="10">
        <v>24</v>
      </c>
      <c r="AC24" s="10">
        <v>25</v>
      </c>
      <c r="AD24" s="10">
        <v>26</v>
      </c>
      <c r="AE24" s="10">
        <v>27</v>
      </c>
      <c r="AF24" s="10">
        <v>28</v>
      </c>
      <c r="AG24" s="10">
        <v>29</v>
      </c>
      <c r="AH24" s="10">
        <v>30</v>
      </c>
      <c r="AI24" s="6"/>
      <c r="AJ24" s="6"/>
    </row>
    <row r="25" spans="1:36">
      <c r="A25" s="6"/>
      <c r="B25" s="37"/>
      <c r="C25" s="37"/>
      <c r="D25" s="37"/>
      <c r="E25" s="11">
        <v>5</v>
      </c>
      <c r="F25" s="11">
        <v>25</v>
      </c>
      <c r="G25" s="11">
        <v>50</v>
      </c>
      <c r="H25" s="11">
        <v>250</v>
      </c>
      <c r="I25" s="11">
        <v>500</v>
      </c>
      <c r="J25" s="11">
        <v>500</v>
      </c>
      <c r="K25" s="11">
        <v>500</v>
      </c>
      <c r="L25" s="11">
        <v>500</v>
      </c>
      <c r="M25" s="11">
        <v>500</v>
      </c>
      <c r="N25" s="11">
        <v>500</v>
      </c>
      <c r="O25" s="11">
        <v>500</v>
      </c>
      <c r="P25" s="11">
        <v>500</v>
      </c>
      <c r="Q25" s="11">
        <v>500</v>
      </c>
      <c r="R25" s="11">
        <v>500</v>
      </c>
      <c r="S25" s="11">
        <v>500</v>
      </c>
      <c r="T25" s="11">
        <v>500</v>
      </c>
      <c r="U25" s="11">
        <v>500</v>
      </c>
      <c r="V25" s="11">
        <v>500</v>
      </c>
      <c r="W25" s="11">
        <v>500</v>
      </c>
      <c r="X25" s="11">
        <v>500</v>
      </c>
      <c r="Y25" s="11">
        <v>500</v>
      </c>
      <c r="Z25" s="11">
        <v>500</v>
      </c>
      <c r="AA25" s="11">
        <v>500</v>
      </c>
      <c r="AB25" s="11">
        <v>500</v>
      </c>
      <c r="AC25" s="11">
        <v>500</v>
      </c>
      <c r="AD25" s="11">
        <v>500</v>
      </c>
      <c r="AE25" s="11">
        <v>500</v>
      </c>
      <c r="AF25" s="11">
        <v>500</v>
      </c>
      <c r="AG25" s="11">
        <v>500</v>
      </c>
      <c r="AH25" s="11">
        <v>500</v>
      </c>
      <c r="AI25" s="6"/>
      <c r="AJ25" s="6"/>
    </row>
    <row r="26" spans="1:36" ht="13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12"/>
    </row>
    <row r="27" spans="1:36" ht="13.2">
      <c r="A27" s="6"/>
      <c r="B27" s="6"/>
      <c r="C27" s="6"/>
      <c r="D27" s="6"/>
      <c r="E27" s="6"/>
      <c r="F27" s="1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>
      <c r="A28" s="6"/>
      <c r="B28" s="14" t="s">
        <v>10</v>
      </c>
      <c r="C28" s="14" t="s">
        <v>11</v>
      </c>
      <c r="D28" s="15" t="s">
        <v>39</v>
      </c>
      <c r="E28" s="14" t="s">
        <v>13</v>
      </c>
      <c r="F28" s="14" t="s">
        <v>14</v>
      </c>
      <c r="G28" s="14" t="s">
        <v>15</v>
      </c>
      <c r="H28" s="14" t="s">
        <v>16</v>
      </c>
      <c r="I28" s="14" t="s">
        <v>17</v>
      </c>
      <c r="J28" s="14" t="s">
        <v>18</v>
      </c>
      <c r="K28" s="14" t="s">
        <v>19</v>
      </c>
      <c r="L28" s="14" t="s">
        <v>20</v>
      </c>
      <c r="M28" s="14" t="s">
        <v>21</v>
      </c>
      <c r="N28" s="14" t="s">
        <v>22</v>
      </c>
      <c r="O28" s="14" t="s">
        <v>23</v>
      </c>
      <c r="P28" s="14" t="s">
        <v>24</v>
      </c>
      <c r="Q28" s="14" t="s">
        <v>25</v>
      </c>
      <c r="R28" s="14" t="s">
        <v>26</v>
      </c>
      <c r="S28" s="14" t="s">
        <v>27</v>
      </c>
      <c r="T28" s="14" t="s">
        <v>28</v>
      </c>
      <c r="U28" s="14" t="s">
        <v>29</v>
      </c>
      <c r="V28" s="14" t="s">
        <v>30</v>
      </c>
      <c r="W28" s="14" t="s">
        <v>31</v>
      </c>
      <c r="X28" s="14" t="s">
        <v>32</v>
      </c>
      <c r="Y28" s="6"/>
      <c r="Z28" s="6"/>
      <c r="AA28" s="6"/>
      <c r="AB28" s="6"/>
      <c r="AC28" s="6"/>
      <c r="AD28" s="6"/>
      <c r="AE28" s="6"/>
      <c r="AF28" s="6"/>
      <c r="AG28" s="12"/>
      <c r="AH28" s="6"/>
      <c r="AI28" s="6"/>
      <c r="AJ28" s="6"/>
    </row>
    <row r="29" spans="1:36">
      <c r="A29" s="6"/>
      <c r="B29" s="56">
        <v>1</v>
      </c>
      <c r="C29" s="56">
        <v>2E-3</v>
      </c>
      <c r="D29" s="15" t="s">
        <v>40</v>
      </c>
      <c r="E29" s="16">
        <v>1</v>
      </c>
      <c r="F29" s="16">
        <v>2</v>
      </c>
      <c r="G29" s="16">
        <v>3</v>
      </c>
      <c r="H29" s="16">
        <v>4</v>
      </c>
      <c r="I29" s="16">
        <v>5</v>
      </c>
      <c r="J29" s="16">
        <v>6</v>
      </c>
      <c r="K29" s="16">
        <v>7</v>
      </c>
      <c r="L29" s="16">
        <v>8</v>
      </c>
      <c r="M29" s="16">
        <v>9</v>
      </c>
      <c r="N29" s="16">
        <v>10</v>
      </c>
      <c r="O29" s="16">
        <v>10</v>
      </c>
      <c r="P29" s="16">
        <v>10</v>
      </c>
      <c r="Q29" s="16">
        <v>10</v>
      </c>
      <c r="R29" s="16">
        <v>10</v>
      </c>
      <c r="S29" s="16">
        <v>10</v>
      </c>
      <c r="T29" s="16">
        <v>10</v>
      </c>
      <c r="U29" s="16">
        <v>10</v>
      </c>
      <c r="V29" s="16">
        <v>10</v>
      </c>
      <c r="W29" s="16">
        <v>10</v>
      </c>
      <c r="X29" s="16">
        <v>10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>
      <c r="A30" s="6"/>
      <c r="B30" s="37"/>
      <c r="C30" s="37"/>
      <c r="D30" s="15" t="s">
        <v>41</v>
      </c>
      <c r="E30" s="17">
        <f t="shared" ref="E30:X30" si="3">HLOOKUP(E29, $24:$25, 2, 0)*$C$24*$C$29</f>
        <v>7.5</v>
      </c>
      <c r="F30" s="17">
        <f t="shared" si="3"/>
        <v>37.5</v>
      </c>
      <c r="G30" s="17">
        <f t="shared" si="3"/>
        <v>75</v>
      </c>
      <c r="H30" s="17">
        <f t="shared" si="3"/>
        <v>375</v>
      </c>
      <c r="I30" s="17">
        <f t="shared" si="3"/>
        <v>750</v>
      </c>
      <c r="J30" s="17">
        <f t="shared" si="3"/>
        <v>750</v>
      </c>
      <c r="K30" s="17">
        <f t="shared" si="3"/>
        <v>750</v>
      </c>
      <c r="L30" s="17">
        <f t="shared" si="3"/>
        <v>750</v>
      </c>
      <c r="M30" s="17">
        <f t="shared" si="3"/>
        <v>750</v>
      </c>
      <c r="N30" s="17">
        <f t="shared" si="3"/>
        <v>750</v>
      </c>
      <c r="O30" s="17">
        <f t="shared" si="3"/>
        <v>750</v>
      </c>
      <c r="P30" s="17">
        <f t="shared" si="3"/>
        <v>750</v>
      </c>
      <c r="Q30" s="17">
        <f t="shared" si="3"/>
        <v>750</v>
      </c>
      <c r="R30" s="17">
        <f t="shared" si="3"/>
        <v>750</v>
      </c>
      <c r="S30" s="17">
        <f t="shared" si="3"/>
        <v>750</v>
      </c>
      <c r="T30" s="17">
        <f t="shared" si="3"/>
        <v>750</v>
      </c>
      <c r="U30" s="17">
        <f t="shared" si="3"/>
        <v>750</v>
      </c>
      <c r="V30" s="17">
        <f t="shared" si="3"/>
        <v>750</v>
      </c>
      <c r="W30" s="17">
        <f t="shared" si="3"/>
        <v>750</v>
      </c>
      <c r="X30" s="17">
        <f t="shared" si="3"/>
        <v>750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>
      <c r="A31" s="6"/>
      <c r="B31" s="56" t="s">
        <v>35</v>
      </c>
      <c r="C31" s="56">
        <v>2E-3</v>
      </c>
      <c r="D31" s="15" t="s">
        <v>42</v>
      </c>
      <c r="E31" s="14">
        <f t="shared" ref="E31:X31" si="4">E29</f>
        <v>1</v>
      </c>
      <c r="F31" s="14">
        <f t="shared" si="4"/>
        <v>2</v>
      </c>
      <c r="G31" s="14">
        <f t="shared" si="4"/>
        <v>3</v>
      </c>
      <c r="H31" s="14">
        <f t="shared" si="4"/>
        <v>4</v>
      </c>
      <c r="I31" s="14">
        <f t="shared" si="4"/>
        <v>5</v>
      </c>
      <c r="J31" s="14">
        <f t="shared" si="4"/>
        <v>6</v>
      </c>
      <c r="K31" s="14">
        <f t="shared" si="4"/>
        <v>7</v>
      </c>
      <c r="L31" s="14">
        <f t="shared" si="4"/>
        <v>8</v>
      </c>
      <c r="M31" s="14">
        <f t="shared" si="4"/>
        <v>9</v>
      </c>
      <c r="N31" s="14">
        <f t="shared" si="4"/>
        <v>10</v>
      </c>
      <c r="O31" s="14">
        <f t="shared" si="4"/>
        <v>10</v>
      </c>
      <c r="P31" s="14">
        <f t="shared" si="4"/>
        <v>10</v>
      </c>
      <c r="Q31" s="14">
        <f t="shared" si="4"/>
        <v>10</v>
      </c>
      <c r="R31" s="14">
        <f t="shared" si="4"/>
        <v>10</v>
      </c>
      <c r="S31" s="14">
        <f t="shared" si="4"/>
        <v>10</v>
      </c>
      <c r="T31" s="14">
        <f t="shared" si="4"/>
        <v>10</v>
      </c>
      <c r="U31" s="14">
        <f t="shared" si="4"/>
        <v>10</v>
      </c>
      <c r="V31" s="14">
        <f t="shared" si="4"/>
        <v>10</v>
      </c>
      <c r="W31" s="14">
        <f t="shared" si="4"/>
        <v>10</v>
      </c>
      <c r="X31" s="14">
        <f t="shared" si="4"/>
        <v>10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>
      <c r="A32" s="6"/>
      <c r="B32" s="37"/>
      <c r="C32" s="37"/>
      <c r="D32" s="15" t="s">
        <v>43</v>
      </c>
      <c r="E32" s="17">
        <f t="shared" ref="E32:X32" si="5">HLOOKUP(E31, $24:$25, 2, 0)*$C$24*$C$29</f>
        <v>7.5</v>
      </c>
      <c r="F32" s="17">
        <f t="shared" si="5"/>
        <v>37.5</v>
      </c>
      <c r="G32" s="17">
        <f t="shared" si="5"/>
        <v>75</v>
      </c>
      <c r="H32" s="17">
        <f t="shared" si="5"/>
        <v>375</v>
      </c>
      <c r="I32" s="17">
        <f t="shared" si="5"/>
        <v>750</v>
      </c>
      <c r="J32" s="17">
        <f t="shared" si="5"/>
        <v>750</v>
      </c>
      <c r="K32" s="17">
        <f t="shared" si="5"/>
        <v>750</v>
      </c>
      <c r="L32" s="17">
        <f t="shared" si="5"/>
        <v>750</v>
      </c>
      <c r="M32" s="17">
        <f t="shared" si="5"/>
        <v>750</v>
      </c>
      <c r="N32" s="17">
        <f t="shared" si="5"/>
        <v>750</v>
      </c>
      <c r="O32" s="17">
        <f t="shared" si="5"/>
        <v>750</v>
      </c>
      <c r="P32" s="17">
        <f t="shared" si="5"/>
        <v>750</v>
      </c>
      <c r="Q32" s="17">
        <f t="shared" si="5"/>
        <v>750</v>
      </c>
      <c r="R32" s="17">
        <f t="shared" si="5"/>
        <v>750</v>
      </c>
      <c r="S32" s="17">
        <f t="shared" si="5"/>
        <v>750</v>
      </c>
      <c r="T32" s="17">
        <f t="shared" si="5"/>
        <v>750</v>
      </c>
      <c r="U32" s="17">
        <f t="shared" si="5"/>
        <v>750</v>
      </c>
      <c r="V32" s="17">
        <f t="shared" si="5"/>
        <v>750</v>
      </c>
      <c r="W32" s="17">
        <f t="shared" si="5"/>
        <v>750</v>
      </c>
      <c r="X32" s="17">
        <f t="shared" si="5"/>
        <v>750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1">
    <mergeCell ref="B31:B32"/>
    <mergeCell ref="C31:C32"/>
    <mergeCell ref="B12:B13"/>
    <mergeCell ref="C12:C13"/>
    <mergeCell ref="D12:D13"/>
    <mergeCell ref="B17:B18"/>
    <mergeCell ref="C17:C18"/>
    <mergeCell ref="B19:B20"/>
    <mergeCell ref="C19:C20"/>
    <mergeCell ref="B24:B25"/>
    <mergeCell ref="C24:C25"/>
    <mergeCell ref="D24:D25"/>
    <mergeCell ref="B29:B30"/>
    <mergeCell ref="C29:C30"/>
    <mergeCell ref="B1:J2"/>
    <mergeCell ref="B3:I3"/>
    <mergeCell ref="J3:J6"/>
    <mergeCell ref="B4:B5"/>
    <mergeCell ref="C4:C5"/>
    <mergeCell ref="D4:I5"/>
    <mergeCell ref="B6:I6"/>
  </mergeCells>
  <phoneticPr fontId="23" type="noConversion"/>
  <hyperlinks>
    <hyperlink ref="D4" r:id="rId1" xr:uid="{00000000-0004-0000-04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D966"/>
    <outlinePr summaryBelow="0" summaryRight="0"/>
  </sheetPr>
  <dimension ref="A1:P998"/>
  <sheetViews>
    <sheetView workbookViewId="0">
      <selection sqref="A1:I2"/>
    </sheetView>
  </sheetViews>
  <sheetFormatPr defaultColWidth="12.6640625" defaultRowHeight="15" customHeight="1"/>
  <cols>
    <col min="1" max="1" width="2.33203125" customWidth="1"/>
    <col min="2" max="2" width="6.88671875" customWidth="1"/>
    <col min="3" max="3" width="17.6640625" customWidth="1"/>
    <col min="4" max="6" width="23" customWidth="1"/>
    <col min="7" max="9" width="26.77734375" customWidth="1"/>
    <col min="10" max="16" width="17.6640625" customWidth="1"/>
  </cols>
  <sheetData>
    <row r="1" spans="1:16" ht="15" customHeight="1">
      <c r="A1" s="60" t="s">
        <v>44</v>
      </c>
      <c r="B1" s="32"/>
      <c r="C1" s="32"/>
      <c r="D1" s="32"/>
      <c r="E1" s="32"/>
      <c r="F1" s="32"/>
      <c r="G1" s="32"/>
      <c r="H1" s="32"/>
      <c r="I1" s="32"/>
      <c r="J1" s="18"/>
      <c r="K1" s="19"/>
      <c r="L1" s="19"/>
      <c r="M1" s="19"/>
      <c r="N1" s="19"/>
      <c r="O1" s="19"/>
      <c r="P1" s="19"/>
    </row>
    <row r="2" spans="1:16" ht="15" customHeight="1">
      <c r="A2" s="32"/>
      <c r="B2" s="32"/>
      <c r="C2" s="32"/>
      <c r="D2" s="32"/>
      <c r="E2" s="32"/>
      <c r="F2" s="32"/>
      <c r="G2" s="32"/>
      <c r="H2" s="32"/>
      <c r="I2" s="32"/>
      <c r="J2" s="18"/>
      <c r="K2" s="20"/>
      <c r="L2" s="20"/>
      <c r="M2" s="20"/>
      <c r="N2" s="20"/>
      <c r="O2" s="20"/>
      <c r="P2" s="20"/>
    </row>
    <row r="3" spans="1:16" ht="15.75" customHeight="1">
      <c r="A3" s="61" t="s">
        <v>45</v>
      </c>
      <c r="B3" s="40"/>
      <c r="C3" s="40"/>
      <c r="D3" s="40"/>
      <c r="E3" s="40"/>
      <c r="F3" s="40"/>
      <c r="G3" s="40"/>
      <c r="H3" s="40"/>
      <c r="I3" s="41"/>
      <c r="J3" s="18"/>
      <c r="K3" s="20"/>
      <c r="L3" s="20"/>
      <c r="M3" s="20"/>
      <c r="N3" s="20"/>
      <c r="O3" s="20"/>
      <c r="P3" s="20"/>
    </row>
    <row r="4" spans="1:16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5.75" customHeight="1">
      <c r="A5" s="21"/>
      <c r="B5" s="62" t="s">
        <v>46</v>
      </c>
      <c r="C5" s="35"/>
      <c r="D5" s="35"/>
      <c r="E5" s="35"/>
      <c r="F5" s="35"/>
      <c r="G5" s="35"/>
      <c r="H5" s="35"/>
      <c r="I5" s="36"/>
      <c r="J5" s="18"/>
      <c r="K5" s="20"/>
      <c r="L5" s="20"/>
      <c r="M5" s="20"/>
      <c r="N5" s="20"/>
      <c r="O5" s="20"/>
      <c r="P5" s="20"/>
    </row>
    <row r="6" spans="1:16" ht="15.75" customHeight="1">
      <c r="A6" s="20"/>
      <c r="B6" s="22" t="s">
        <v>47</v>
      </c>
      <c r="C6" s="23" t="s">
        <v>0</v>
      </c>
      <c r="D6" s="59" t="s">
        <v>48</v>
      </c>
      <c r="E6" s="35"/>
      <c r="F6" s="36"/>
      <c r="G6" s="63" t="s">
        <v>2</v>
      </c>
      <c r="H6" s="35"/>
      <c r="I6" s="36"/>
      <c r="J6" s="18"/>
      <c r="K6" s="20"/>
      <c r="L6" s="20"/>
      <c r="M6" s="20"/>
      <c r="N6" s="20"/>
      <c r="O6" s="20"/>
      <c r="P6" s="20"/>
    </row>
    <row r="7" spans="1:16" ht="13.8">
      <c r="A7" s="20"/>
      <c r="B7" s="24">
        <v>1</v>
      </c>
      <c r="C7" s="23" t="s">
        <v>49</v>
      </c>
      <c r="D7" s="64" t="s">
        <v>50</v>
      </c>
      <c r="E7" s="35"/>
      <c r="F7" s="36"/>
      <c r="G7" s="57" t="s">
        <v>51</v>
      </c>
      <c r="H7" s="35"/>
      <c r="I7" s="36"/>
      <c r="J7" s="18"/>
      <c r="K7" s="20"/>
      <c r="L7" s="20"/>
      <c r="M7" s="20"/>
      <c r="N7" s="20"/>
      <c r="O7" s="20"/>
      <c r="P7" s="20"/>
    </row>
    <row r="8" spans="1:16" ht="13.8">
      <c r="A8" s="20"/>
      <c r="B8" s="65">
        <v>2</v>
      </c>
      <c r="C8" s="67" t="s">
        <v>52</v>
      </c>
      <c r="D8" s="46" t="s">
        <v>53</v>
      </c>
      <c r="E8" s="35"/>
      <c r="F8" s="36"/>
      <c r="G8" s="57" t="s">
        <v>54</v>
      </c>
      <c r="H8" s="35"/>
      <c r="I8" s="36"/>
      <c r="J8" s="18"/>
      <c r="K8" s="20"/>
      <c r="L8" s="20"/>
      <c r="M8" s="20"/>
      <c r="N8" s="20"/>
      <c r="O8" s="20"/>
      <c r="P8" s="20"/>
    </row>
    <row r="9" spans="1:16" ht="13.8">
      <c r="A9" s="25"/>
      <c r="B9" s="39"/>
      <c r="C9" s="39"/>
      <c r="D9" s="46" t="s">
        <v>55</v>
      </c>
      <c r="E9" s="35"/>
      <c r="F9" s="36"/>
      <c r="G9" s="57" t="s">
        <v>56</v>
      </c>
      <c r="H9" s="35"/>
      <c r="I9" s="36"/>
      <c r="J9" s="18"/>
      <c r="K9" s="20"/>
      <c r="L9" s="20"/>
      <c r="M9" s="20"/>
      <c r="N9" s="20"/>
      <c r="O9" s="20"/>
      <c r="P9" s="20"/>
    </row>
    <row r="10" spans="1:16" ht="13.8">
      <c r="A10" s="25"/>
      <c r="B10" s="39"/>
      <c r="C10" s="39"/>
      <c r="D10" s="46" t="s">
        <v>57</v>
      </c>
      <c r="E10" s="35"/>
      <c r="F10" s="36"/>
      <c r="G10" s="57" t="s">
        <v>58</v>
      </c>
      <c r="H10" s="35"/>
      <c r="I10" s="36"/>
      <c r="J10" s="18"/>
      <c r="K10" s="20"/>
      <c r="L10" s="20"/>
      <c r="M10" s="20"/>
      <c r="N10" s="20"/>
      <c r="O10" s="20"/>
      <c r="P10" s="20"/>
    </row>
    <row r="11" spans="1:16" ht="13.8">
      <c r="A11" s="26"/>
      <c r="B11" s="37"/>
      <c r="C11" s="37"/>
      <c r="D11" s="46" t="s">
        <v>59</v>
      </c>
      <c r="E11" s="35"/>
      <c r="F11" s="36"/>
      <c r="G11" s="57" t="s">
        <v>60</v>
      </c>
      <c r="H11" s="35"/>
      <c r="I11" s="36"/>
      <c r="J11" s="18"/>
      <c r="K11" s="20"/>
      <c r="L11" s="20"/>
      <c r="M11" s="20"/>
      <c r="N11" s="20"/>
      <c r="O11" s="20"/>
      <c r="P11" s="20"/>
    </row>
    <row r="12" spans="1:16" ht="13.8">
      <c r="A12" s="25"/>
      <c r="B12" s="24">
        <v>3</v>
      </c>
      <c r="C12" s="23" t="s">
        <v>61</v>
      </c>
      <c r="D12" s="46" t="s">
        <v>62</v>
      </c>
      <c r="E12" s="35"/>
      <c r="F12" s="36"/>
      <c r="G12" s="57" t="s">
        <v>63</v>
      </c>
      <c r="H12" s="35"/>
      <c r="I12" s="36"/>
      <c r="J12" s="18"/>
      <c r="K12" s="20"/>
      <c r="L12" s="20"/>
      <c r="M12" s="20"/>
      <c r="N12" s="20"/>
      <c r="O12" s="20"/>
      <c r="P12" s="20"/>
    </row>
    <row r="13" spans="1:16" ht="41.25" customHeight="1">
      <c r="A13" s="20"/>
      <c r="B13" s="65">
        <v>4</v>
      </c>
      <c r="C13" s="67" t="s">
        <v>52</v>
      </c>
      <c r="D13" s="46" t="s">
        <v>64</v>
      </c>
      <c r="E13" s="35"/>
      <c r="F13" s="36"/>
      <c r="G13" s="57" t="s">
        <v>65</v>
      </c>
      <c r="H13" s="35"/>
      <c r="I13" s="36"/>
      <c r="J13" s="18"/>
      <c r="K13" s="20"/>
      <c r="L13" s="20"/>
      <c r="M13" s="20"/>
      <c r="N13" s="20"/>
      <c r="O13" s="20"/>
      <c r="P13" s="20"/>
    </row>
    <row r="14" spans="1:16" ht="13.8">
      <c r="A14" s="20"/>
      <c r="B14" s="39"/>
      <c r="C14" s="39"/>
      <c r="D14" s="46" t="s">
        <v>66</v>
      </c>
      <c r="E14" s="35"/>
      <c r="F14" s="36"/>
      <c r="G14" s="46" t="s">
        <v>66</v>
      </c>
      <c r="H14" s="35"/>
      <c r="I14" s="36"/>
      <c r="J14" s="18"/>
      <c r="K14" s="20"/>
      <c r="L14" s="20"/>
      <c r="M14" s="20"/>
      <c r="N14" s="20"/>
      <c r="O14" s="20"/>
      <c r="P14" s="20"/>
    </row>
    <row r="15" spans="1:16" ht="13.8">
      <c r="A15" s="20"/>
      <c r="B15" s="39"/>
      <c r="C15" s="39"/>
      <c r="D15" s="46" t="s">
        <v>67</v>
      </c>
      <c r="E15" s="35"/>
      <c r="F15" s="36"/>
      <c r="G15" s="57" t="s">
        <v>68</v>
      </c>
      <c r="H15" s="35"/>
      <c r="I15" s="36"/>
      <c r="J15" s="18"/>
      <c r="K15" s="20"/>
      <c r="L15" s="20"/>
      <c r="M15" s="20"/>
      <c r="N15" s="20"/>
      <c r="O15" s="20"/>
      <c r="P15" s="20"/>
    </row>
    <row r="16" spans="1:16" ht="13.8">
      <c r="A16" s="20"/>
      <c r="B16" s="39"/>
      <c r="C16" s="39"/>
      <c r="D16" s="46" t="s">
        <v>69</v>
      </c>
      <c r="E16" s="35"/>
      <c r="F16" s="36"/>
      <c r="G16" s="57" t="s">
        <v>70</v>
      </c>
      <c r="H16" s="35"/>
      <c r="I16" s="36"/>
      <c r="J16" s="18"/>
      <c r="K16" s="20"/>
      <c r="L16" s="20"/>
      <c r="M16" s="20"/>
      <c r="N16" s="20"/>
      <c r="O16" s="20"/>
      <c r="P16" s="20"/>
    </row>
    <row r="17" spans="1:16" ht="13.8">
      <c r="A17" s="20"/>
      <c r="B17" s="37"/>
      <c r="C17" s="37"/>
      <c r="D17" s="46" t="s">
        <v>71</v>
      </c>
      <c r="E17" s="35"/>
      <c r="F17" s="36"/>
      <c r="G17" s="57" t="s">
        <v>72</v>
      </c>
      <c r="H17" s="35"/>
      <c r="I17" s="36"/>
      <c r="J17" s="18"/>
      <c r="K17" s="20"/>
      <c r="L17" s="20"/>
      <c r="M17" s="20"/>
      <c r="N17" s="20"/>
      <c r="O17" s="20"/>
      <c r="P17" s="20"/>
    </row>
    <row r="18" spans="1:16" ht="13.8">
      <c r="A18" s="20"/>
      <c r="B18" s="18"/>
      <c r="C18" s="20"/>
      <c r="D18" s="20"/>
      <c r="E18" s="20"/>
      <c r="F18" s="20"/>
      <c r="G18" s="20"/>
      <c r="H18" s="20"/>
      <c r="I18" s="20"/>
      <c r="J18" s="18"/>
      <c r="K18" s="20"/>
      <c r="L18" s="20"/>
      <c r="M18" s="20"/>
      <c r="N18" s="20"/>
      <c r="O18" s="20"/>
      <c r="P18" s="20"/>
    </row>
    <row r="19" spans="1:16" ht="15.75" customHeight="1">
      <c r="A19" s="21"/>
      <c r="B19" s="62" t="s">
        <v>73</v>
      </c>
      <c r="C19" s="35"/>
      <c r="D19" s="35"/>
      <c r="E19" s="35"/>
      <c r="F19" s="35"/>
      <c r="G19" s="35"/>
      <c r="H19" s="35"/>
      <c r="I19" s="36"/>
      <c r="J19" s="18"/>
      <c r="K19" s="20"/>
      <c r="L19" s="20"/>
      <c r="M19" s="20"/>
      <c r="N19" s="20"/>
      <c r="O19" s="20"/>
      <c r="P19" s="20"/>
    </row>
    <row r="20" spans="1:16" ht="15.75" customHeight="1">
      <c r="A20" s="20"/>
      <c r="B20" s="22" t="s">
        <v>47</v>
      </c>
      <c r="C20" s="23" t="s">
        <v>0</v>
      </c>
      <c r="D20" s="63" t="s">
        <v>74</v>
      </c>
      <c r="E20" s="35"/>
      <c r="F20" s="36"/>
      <c r="G20" s="63" t="s">
        <v>2</v>
      </c>
      <c r="H20" s="35"/>
      <c r="I20" s="36"/>
      <c r="J20" s="18"/>
      <c r="K20" s="20"/>
      <c r="L20" s="20"/>
      <c r="M20" s="20"/>
      <c r="N20" s="20"/>
      <c r="O20" s="20"/>
      <c r="P20" s="20"/>
    </row>
    <row r="21" spans="1:16" ht="13.8">
      <c r="A21" s="20"/>
      <c r="B21" s="24">
        <v>1</v>
      </c>
      <c r="C21" s="23" t="s">
        <v>49</v>
      </c>
      <c r="D21" s="46" t="s">
        <v>75</v>
      </c>
      <c r="E21" s="35"/>
      <c r="F21" s="36"/>
      <c r="G21" s="57" t="s">
        <v>76</v>
      </c>
      <c r="H21" s="35"/>
      <c r="I21" s="36"/>
      <c r="J21" s="18"/>
      <c r="K21" s="20"/>
      <c r="L21" s="20"/>
      <c r="M21" s="20"/>
      <c r="N21" s="20"/>
      <c r="O21" s="20"/>
      <c r="P21" s="20"/>
    </row>
    <row r="22" spans="1:16" ht="15.75" customHeight="1">
      <c r="A22" s="20"/>
      <c r="B22" s="24">
        <v>2</v>
      </c>
      <c r="C22" s="23" t="s">
        <v>61</v>
      </c>
      <c r="D22" s="46" t="s">
        <v>77</v>
      </c>
      <c r="E22" s="35"/>
      <c r="F22" s="36"/>
      <c r="G22" s="57" t="s">
        <v>78</v>
      </c>
      <c r="H22" s="35"/>
      <c r="I22" s="36"/>
      <c r="J22" s="18"/>
      <c r="K22" s="20"/>
      <c r="L22" s="20"/>
      <c r="M22" s="20"/>
      <c r="N22" s="20"/>
      <c r="O22" s="20"/>
      <c r="P22" s="20"/>
    </row>
    <row r="23" spans="1:16" ht="15.75" customHeight="1">
      <c r="A23" s="20"/>
      <c r="B23" s="65">
        <v>3</v>
      </c>
      <c r="C23" s="67" t="s">
        <v>79</v>
      </c>
      <c r="D23" s="46" t="s">
        <v>80</v>
      </c>
      <c r="E23" s="35"/>
      <c r="F23" s="36"/>
      <c r="G23" s="57" t="s">
        <v>81</v>
      </c>
      <c r="H23" s="35"/>
      <c r="I23" s="36"/>
      <c r="J23" s="18"/>
      <c r="K23" s="20"/>
      <c r="L23" s="20"/>
      <c r="M23" s="20"/>
      <c r="N23" s="20"/>
      <c r="O23" s="20"/>
      <c r="P23" s="20"/>
    </row>
    <row r="24" spans="1:16" ht="15.75" customHeight="1">
      <c r="A24" s="20"/>
      <c r="B24" s="37"/>
      <c r="C24" s="37"/>
      <c r="D24" s="46" t="s">
        <v>82</v>
      </c>
      <c r="E24" s="35"/>
      <c r="F24" s="36"/>
      <c r="G24" s="57" t="s">
        <v>82</v>
      </c>
      <c r="H24" s="35"/>
      <c r="I24" s="36"/>
      <c r="J24" s="18"/>
      <c r="K24" s="20"/>
      <c r="L24" s="20"/>
      <c r="M24" s="20"/>
      <c r="N24" s="20"/>
      <c r="O24" s="20"/>
      <c r="P24" s="20"/>
    </row>
    <row r="25" spans="1:16" ht="15.75" customHeight="1">
      <c r="A25" s="20"/>
      <c r="B25" s="24">
        <v>4</v>
      </c>
      <c r="C25" s="23" t="s">
        <v>61</v>
      </c>
      <c r="D25" s="46" t="s">
        <v>83</v>
      </c>
      <c r="E25" s="35"/>
      <c r="F25" s="36"/>
      <c r="G25" s="57" t="s">
        <v>84</v>
      </c>
      <c r="H25" s="35"/>
      <c r="I25" s="36"/>
      <c r="J25" s="18"/>
      <c r="K25" s="20"/>
      <c r="L25" s="20"/>
      <c r="M25" s="20"/>
      <c r="N25" s="20"/>
      <c r="O25" s="20"/>
      <c r="P25" s="20"/>
    </row>
    <row r="26" spans="1:16" ht="15.75" customHeight="1">
      <c r="A26" s="20"/>
      <c r="B26" s="65">
        <v>5</v>
      </c>
      <c r="C26" s="67" t="s">
        <v>79</v>
      </c>
      <c r="D26" s="46" t="s">
        <v>85</v>
      </c>
      <c r="E26" s="35"/>
      <c r="F26" s="36"/>
      <c r="G26" s="57" t="s">
        <v>86</v>
      </c>
      <c r="H26" s="35"/>
      <c r="I26" s="36"/>
      <c r="J26" s="18"/>
      <c r="K26" s="20"/>
      <c r="L26" s="20"/>
      <c r="M26" s="20"/>
      <c r="N26" s="20"/>
      <c r="O26" s="20"/>
      <c r="P26" s="20"/>
    </row>
    <row r="27" spans="1:16" ht="15.75" customHeight="1">
      <c r="A27" s="20"/>
      <c r="B27" s="37"/>
      <c r="C27" s="37"/>
      <c r="D27" s="46" t="s">
        <v>87</v>
      </c>
      <c r="E27" s="35"/>
      <c r="F27" s="36"/>
      <c r="G27" s="57" t="s">
        <v>87</v>
      </c>
      <c r="H27" s="35"/>
      <c r="I27" s="36"/>
      <c r="J27" s="18"/>
      <c r="K27" s="20"/>
      <c r="L27" s="20"/>
      <c r="M27" s="20"/>
      <c r="N27" s="20"/>
      <c r="O27" s="20"/>
      <c r="P27" s="20"/>
    </row>
    <row r="28" spans="1:16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ht="15.75" customHeight="1">
      <c r="A29" s="27"/>
      <c r="B29" s="58" t="s">
        <v>38</v>
      </c>
      <c r="C29" s="35"/>
      <c r="D29" s="35"/>
      <c r="E29" s="35"/>
      <c r="F29" s="35"/>
      <c r="G29" s="35"/>
      <c r="H29" s="35"/>
      <c r="I29" s="36"/>
      <c r="J29" s="28"/>
      <c r="K29" s="20"/>
      <c r="L29" s="20"/>
      <c r="M29" s="20"/>
      <c r="N29" s="20"/>
      <c r="O29" s="20"/>
      <c r="P29" s="20"/>
    </row>
    <row r="30" spans="1:16" ht="15.75" customHeight="1">
      <c r="A30" s="28"/>
      <c r="B30" s="22" t="s">
        <v>47</v>
      </c>
      <c r="C30" s="29" t="s">
        <v>0</v>
      </c>
      <c r="D30" s="59" t="s">
        <v>48</v>
      </c>
      <c r="E30" s="35"/>
      <c r="F30" s="36"/>
      <c r="G30" s="59" t="s">
        <v>2</v>
      </c>
      <c r="H30" s="35"/>
      <c r="I30" s="36"/>
      <c r="J30" s="28"/>
      <c r="K30" s="20"/>
      <c r="L30" s="20"/>
      <c r="M30" s="20"/>
      <c r="N30" s="20"/>
      <c r="O30" s="20"/>
      <c r="P30" s="20"/>
    </row>
    <row r="31" spans="1:16" ht="15.75" customHeight="1">
      <c r="A31" s="27"/>
      <c r="B31" s="22">
        <v>1</v>
      </c>
      <c r="C31" s="29" t="s">
        <v>49</v>
      </c>
      <c r="D31" s="64" t="s">
        <v>88</v>
      </c>
      <c r="E31" s="35"/>
      <c r="F31" s="36"/>
      <c r="G31" s="64" t="s">
        <v>89</v>
      </c>
      <c r="H31" s="35"/>
      <c r="I31" s="36"/>
      <c r="J31" s="28"/>
      <c r="K31" s="20"/>
      <c r="L31" s="20"/>
      <c r="M31" s="20"/>
      <c r="N31" s="20"/>
      <c r="O31" s="20"/>
      <c r="P31" s="20"/>
    </row>
    <row r="32" spans="1:16" ht="15.75" customHeight="1">
      <c r="A32" s="27"/>
      <c r="B32" s="65">
        <v>2</v>
      </c>
      <c r="C32" s="66" t="s">
        <v>52</v>
      </c>
      <c r="D32" s="64" t="s">
        <v>90</v>
      </c>
      <c r="E32" s="35"/>
      <c r="F32" s="36"/>
      <c r="G32" s="64" t="s">
        <v>91</v>
      </c>
      <c r="H32" s="35"/>
      <c r="I32" s="36"/>
      <c r="J32" s="28"/>
      <c r="K32" s="20"/>
      <c r="L32" s="20"/>
      <c r="M32" s="20"/>
      <c r="N32" s="20"/>
      <c r="O32" s="20"/>
      <c r="P32" s="20"/>
    </row>
    <row r="33" spans="1:16" ht="15.75" customHeight="1">
      <c r="A33" s="27"/>
      <c r="B33" s="37"/>
      <c r="C33" s="37"/>
      <c r="D33" s="73" t="s">
        <v>92</v>
      </c>
      <c r="E33" s="35"/>
      <c r="F33" s="36"/>
      <c r="G33" s="64" t="s">
        <v>93</v>
      </c>
      <c r="H33" s="35"/>
      <c r="I33" s="36"/>
      <c r="J33" s="28"/>
      <c r="K33" s="20"/>
      <c r="L33" s="20"/>
      <c r="M33" s="20"/>
      <c r="N33" s="20"/>
      <c r="O33" s="20"/>
      <c r="P33" s="20"/>
    </row>
    <row r="34" spans="1:16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26"/>
      <c r="K34" s="26"/>
      <c r="L34" s="26"/>
      <c r="M34" s="26"/>
      <c r="N34" s="26"/>
      <c r="O34" s="26"/>
      <c r="P34" s="26"/>
    </row>
    <row r="35" spans="1:16" ht="15.75" customHeight="1">
      <c r="A35" s="18"/>
      <c r="B35" s="72" t="s">
        <v>94</v>
      </c>
      <c r="C35" s="35"/>
      <c r="D35" s="35"/>
      <c r="E35" s="35"/>
      <c r="F35" s="35"/>
      <c r="G35" s="35"/>
      <c r="H35" s="35"/>
      <c r="I35" s="35"/>
      <c r="J35" s="26"/>
      <c r="K35" s="26"/>
      <c r="L35" s="26"/>
      <c r="M35" s="26"/>
      <c r="N35" s="26"/>
      <c r="O35" s="26"/>
      <c r="P35" s="26"/>
    </row>
    <row r="36" spans="1:16" ht="15.75" customHeight="1">
      <c r="A36" s="18"/>
      <c r="B36" s="30">
        <v>1</v>
      </c>
      <c r="C36" s="30" t="s">
        <v>95</v>
      </c>
      <c r="D36" s="69" t="s">
        <v>94</v>
      </c>
      <c r="E36" s="35"/>
      <c r="F36" s="36"/>
      <c r="G36" s="69" t="s">
        <v>94</v>
      </c>
      <c r="H36" s="35"/>
      <c r="I36" s="36"/>
      <c r="J36" s="26"/>
      <c r="K36" s="26"/>
      <c r="L36" s="26"/>
      <c r="M36" s="26"/>
      <c r="N36" s="26"/>
      <c r="O36" s="26"/>
      <c r="P36" s="26"/>
    </row>
    <row r="37" spans="1:16" ht="15.75" customHeight="1">
      <c r="A37" s="18"/>
      <c r="B37" s="70">
        <v>2</v>
      </c>
      <c r="C37" s="71" t="s">
        <v>96</v>
      </c>
      <c r="D37" s="68" t="s">
        <v>97</v>
      </c>
      <c r="E37" s="35"/>
      <c r="F37" s="36"/>
      <c r="G37" s="68" t="s">
        <v>98</v>
      </c>
      <c r="H37" s="35"/>
      <c r="I37" s="36"/>
      <c r="J37" s="26"/>
      <c r="K37" s="26"/>
      <c r="L37" s="26"/>
      <c r="M37" s="26"/>
      <c r="N37" s="26"/>
      <c r="O37" s="26"/>
      <c r="P37" s="26"/>
    </row>
    <row r="38" spans="1:16" ht="15.75" customHeight="1">
      <c r="A38" s="18"/>
      <c r="B38" s="39"/>
      <c r="C38" s="39"/>
      <c r="D38" s="68" t="s">
        <v>99</v>
      </c>
      <c r="E38" s="35"/>
      <c r="F38" s="36"/>
      <c r="G38" s="68" t="s">
        <v>100</v>
      </c>
      <c r="H38" s="35"/>
      <c r="I38" s="36"/>
      <c r="J38" s="26"/>
      <c r="K38" s="26"/>
      <c r="L38" s="26"/>
      <c r="M38" s="26"/>
      <c r="N38" s="26"/>
      <c r="O38" s="26"/>
      <c r="P38" s="26"/>
    </row>
    <row r="39" spans="1:16" ht="15.75" customHeight="1">
      <c r="A39" s="18"/>
      <c r="B39" s="39"/>
      <c r="C39" s="39"/>
      <c r="D39" s="68" t="s">
        <v>101</v>
      </c>
      <c r="E39" s="35"/>
      <c r="F39" s="36"/>
      <c r="G39" s="68" t="s">
        <v>102</v>
      </c>
      <c r="H39" s="35"/>
      <c r="I39" s="36"/>
      <c r="J39" s="26"/>
      <c r="K39" s="26"/>
      <c r="L39" s="26"/>
      <c r="M39" s="26"/>
      <c r="N39" s="26"/>
      <c r="O39" s="26"/>
      <c r="P39" s="26"/>
    </row>
    <row r="40" spans="1:16" ht="15.75" customHeight="1">
      <c r="A40" s="18"/>
      <c r="B40" s="39"/>
      <c r="C40" s="39"/>
      <c r="D40" s="68" t="s">
        <v>103</v>
      </c>
      <c r="E40" s="35"/>
      <c r="F40" s="36"/>
      <c r="G40" s="68" t="s">
        <v>104</v>
      </c>
      <c r="H40" s="35"/>
      <c r="I40" s="36"/>
      <c r="J40" s="26"/>
      <c r="K40" s="26"/>
      <c r="L40" s="26"/>
      <c r="M40" s="26"/>
      <c r="N40" s="26"/>
      <c r="O40" s="26"/>
      <c r="P40" s="26"/>
    </row>
    <row r="41" spans="1:16" ht="15.75" customHeight="1">
      <c r="A41" s="18"/>
      <c r="B41" s="39"/>
      <c r="C41" s="39"/>
      <c r="D41" s="68" t="s">
        <v>105</v>
      </c>
      <c r="E41" s="35"/>
      <c r="F41" s="36"/>
      <c r="G41" s="68" t="s">
        <v>106</v>
      </c>
      <c r="H41" s="35"/>
      <c r="I41" s="36"/>
      <c r="J41" s="26"/>
      <c r="K41" s="26"/>
      <c r="L41" s="26"/>
      <c r="M41" s="26"/>
      <c r="N41" s="26"/>
      <c r="O41" s="26"/>
      <c r="P41" s="26"/>
    </row>
    <row r="42" spans="1:16" ht="15.75" customHeight="1">
      <c r="A42" s="18"/>
      <c r="B42" s="39"/>
      <c r="C42" s="39"/>
      <c r="D42" s="68" t="s">
        <v>107</v>
      </c>
      <c r="E42" s="35"/>
      <c r="F42" s="36"/>
      <c r="G42" s="68" t="s">
        <v>108</v>
      </c>
      <c r="H42" s="35"/>
      <c r="I42" s="36"/>
      <c r="J42" s="26"/>
      <c r="K42" s="26"/>
      <c r="L42" s="26"/>
      <c r="M42" s="26"/>
      <c r="N42" s="26"/>
      <c r="O42" s="26"/>
      <c r="P42" s="26"/>
    </row>
    <row r="43" spans="1:16" ht="15.75" customHeight="1">
      <c r="A43" s="18"/>
      <c r="B43" s="39"/>
      <c r="C43" s="39"/>
      <c r="D43" s="68" t="s">
        <v>109</v>
      </c>
      <c r="E43" s="35"/>
      <c r="F43" s="36"/>
      <c r="G43" s="68" t="s">
        <v>110</v>
      </c>
      <c r="H43" s="35"/>
      <c r="I43" s="36"/>
      <c r="J43" s="26"/>
      <c r="K43" s="26"/>
      <c r="L43" s="26"/>
      <c r="M43" s="26"/>
      <c r="N43" s="26"/>
      <c r="O43" s="26"/>
      <c r="P43" s="26"/>
    </row>
    <row r="44" spans="1:16" ht="15.75" customHeight="1">
      <c r="A44" s="18"/>
      <c r="B44" s="39"/>
      <c r="C44" s="39"/>
      <c r="D44" s="68" t="s">
        <v>111</v>
      </c>
      <c r="E44" s="35"/>
      <c r="F44" s="36"/>
      <c r="G44" s="68" t="s">
        <v>112</v>
      </c>
      <c r="H44" s="35"/>
      <c r="I44" s="36"/>
      <c r="J44" s="26"/>
      <c r="K44" s="26"/>
      <c r="L44" s="26"/>
      <c r="M44" s="26"/>
      <c r="N44" s="26"/>
      <c r="O44" s="26"/>
      <c r="P44" s="26"/>
    </row>
    <row r="45" spans="1:16" ht="15.75" customHeight="1">
      <c r="A45" s="18"/>
      <c r="B45" s="37"/>
      <c r="C45" s="37"/>
      <c r="D45" s="68" t="s">
        <v>113</v>
      </c>
      <c r="E45" s="35"/>
      <c r="F45" s="36"/>
      <c r="G45" s="68" t="s">
        <v>114</v>
      </c>
      <c r="H45" s="35"/>
      <c r="I45" s="36"/>
      <c r="J45" s="26"/>
      <c r="K45" s="26"/>
      <c r="L45" s="26"/>
      <c r="M45" s="26"/>
      <c r="N45" s="26"/>
      <c r="O45" s="26"/>
      <c r="P45" s="26"/>
    </row>
    <row r="46" spans="1:1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26"/>
      <c r="K46" s="26"/>
      <c r="L46" s="26"/>
      <c r="M46" s="26"/>
      <c r="N46" s="26"/>
      <c r="O46" s="26"/>
      <c r="P46" s="26"/>
    </row>
    <row r="47" spans="1:16" ht="15.75" customHeight="1">
      <c r="A47" s="18"/>
      <c r="B47" s="72" t="s">
        <v>115</v>
      </c>
      <c r="C47" s="35"/>
      <c r="D47" s="35"/>
      <c r="E47" s="35"/>
      <c r="F47" s="35"/>
      <c r="G47" s="35"/>
      <c r="H47" s="35"/>
      <c r="I47" s="36"/>
      <c r="J47" s="26"/>
      <c r="K47" s="26"/>
      <c r="L47" s="26"/>
      <c r="M47" s="26"/>
      <c r="N47" s="26"/>
      <c r="O47" s="26"/>
      <c r="P47" s="26"/>
    </row>
    <row r="48" spans="1:16" ht="15.75" customHeight="1">
      <c r="A48" s="18"/>
      <c r="B48" s="31">
        <v>1</v>
      </c>
      <c r="C48" s="31" t="s">
        <v>95</v>
      </c>
      <c r="D48" s="59" t="s">
        <v>116</v>
      </c>
      <c r="E48" s="35"/>
      <c r="F48" s="36"/>
      <c r="G48" s="59" t="s">
        <v>117</v>
      </c>
      <c r="H48" s="35"/>
      <c r="I48" s="36"/>
      <c r="J48" s="26"/>
      <c r="K48" s="26"/>
      <c r="L48" s="26"/>
      <c r="M48" s="26"/>
      <c r="N48" s="26"/>
      <c r="O48" s="26"/>
      <c r="P48" s="26"/>
    </row>
    <row r="49" spans="1:16" ht="15.75" customHeight="1">
      <c r="A49" s="18"/>
      <c r="B49" s="65">
        <v>2</v>
      </c>
      <c r="C49" s="65" t="s">
        <v>118</v>
      </c>
      <c r="D49" s="64" t="s">
        <v>119</v>
      </c>
      <c r="E49" s="35"/>
      <c r="F49" s="36"/>
      <c r="G49" s="64" t="s">
        <v>120</v>
      </c>
      <c r="H49" s="35"/>
      <c r="I49" s="36"/>
      <c r="J49" s="26"/>
      <c r="K49" s="26"/>
      <c r="L49" s="26"/>
      <c r="M49" s="26"/>
      <c r="N49" s="26"/>
      <c r="O49" s="26"/>
      <c r="P49" s="26"/>
    </row>
    <row r="50" spans="1:16" ht="15.75" customHeight="1">
      <c r="A50" s="18"/>
      <c r="B50" s="39"/>
      <c r="C50" s="39"/>
      <c r="D50" s="64" t="s">
        <v>121</v>
      </c>
      <c r="E50" s="35"/>
      <c r="F50" s="36"/>
      <c r="G50" s="64" t="s">
        <v>122</v>
      </c>
      <c r="H50" s="35"/>
      <c r="I50" s="36"/>
      <c r="J50" s="26"/>
      <c r="K50" s="26"/>
      <c r="L50" s="26"/>
      <c r="M50" s="26"/>
      <c r="N50" s="26"/>
      <c r="O50" s="26"/>
      <c r="P50" s="26"/>
    </row>
    <row r="51" spans="1:16" ht="15.75" customHeight="1">
      <c r="A51" s="18"/>
      <c r="B51" s="39"/>
      <c r="C51" s="39"/>
      <c r="D51" s="64" t="s">
        <v>123</v>
      </c>
      <c r="E51" s="35"/>
      <c r="F51" s="36"/>
      <c r="G51" s="64" t="s">
        <v>124</v>
      </c>
      <c r="H51" s="35"/>
      <c r="I51" s="36"/>
      <c r="J51" s="26"/>
      <c r="K51" s="26"/>
      <c r="L51" s="26"/>
      <c r="M51" s="26"/>
      <c r="N51" s="26"/>
      <c r="O51" s="26"/>
      <c r="P51" s="26"/>
    </row>
    <row r="52" spans="1:16" ht="15.75" customHeight="1">
      <c r="A52" s="18"/>
      <c r="B52" s="37"/>
      <c r="C52" s="37"/>
      <c r="D52" s="64" t="s">
        <v>125</v>
      </c>
      <c r="E52" s="35"/>
      <c r="F52" s="36"/>
      <c r="G52" s="64" t="s">
        <v>126</v>
      </c>
      <c r="H52" s="35"/>
      <c r="I52" s="36"/>
      <c r="J52" s="26"/>
      <c r="K52" s="26"/>
      <c r="L52" s="26"/>
      <c r="M52" s="26"/>
      <c r="N52" s="26"/>
      <c r="O52" s="26"/>
      <c r="P52" s="26"/>
    </row>
    <row r="53" spans="1:1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ht="15.75" customHeight="1">
      <c r="A55" s="18"/>
      <c r="B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spans="1:1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1:1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spans="1:1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spans="1:1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spans="1:1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spans="1:1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spans="1:1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spans="1:1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spans="1:1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spans="1:1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spans="1:1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spans="1:1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spans="1:1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spans="1:1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spans="1:1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spans="1:1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spans="1:1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spans="1:1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spans="1:1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spans="1:1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spans="1:1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spans="1:1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spans="1:1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spans="1:1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1:1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spans="1:1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1:1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spans="1:1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spans="1:1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spans="1:1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spans="1:1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spans="1:1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spans="1:1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spans="1:1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spans="1:1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1:1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spans="1:1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1:1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spans="1:1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spans="1:1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1:1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spans="1:1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spans="1:1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1:1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spans="1:1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1:1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spans="1:1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spans="1:1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spans="1:1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spans="1:1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spans="1:1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spans="1:1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spans="1:1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spans="1:1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1:1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spans="1:1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spans="1:1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1:1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spans="1:1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spans="1:1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1:1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spans="1:1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spans="1:1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1:1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spans="1:1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spans="1:1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spans="1:1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spans="1:1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spans="1:1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spans="1:1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spans="1:1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spans="1:1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1:1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spans="1:1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1:1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spans="1:1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spans="1:1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1:1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spans="1:1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spans="1:1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1:1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spans="1:1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spans="1:1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spans="1:1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spans="1:1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spans="1:1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spans="1: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spans="1:1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spans="1:1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spans="1:1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spans="1:1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spans="1:1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spans="1:1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spans="1:1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spans="1:1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spans="1:1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spans="1:1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spans="1:1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spans="1:1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spans="1:1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spans="1:1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spans="1:1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spans="1:1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spans="1:1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spans="1:1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spans="1:1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spans="1:1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spans="1:1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spans="1:1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spans="1:1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spans="1:1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spans="1:1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spans="1:1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spans="1:1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spans="1:1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spans="1:1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spans="1:1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spans="1:1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spans="1:1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spans="1:1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spans="1:1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spans="1:1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spans="1:1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spans="1:1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spans="1:1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spans="1:1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spans="1:1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spans="1:1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spans="1:1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spans="1:1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spans="1:1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spans="1:1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spans="1:1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spans="1:1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spans="1:1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spans="1:1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spans="1:1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spans="1:1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spans="1:1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spans="1:1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spans="1:1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spans="1:1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spans="1:1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spans="1:1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spans="1:1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spans="1:1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spans="1:1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spans="1:1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spans="1:1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spans="1:1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spans="1:1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spans="1:1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spans="1:1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spans="1:1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spans="1:1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spans="1:1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spans="1:1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spans="1:1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spans="1:1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spans="1:1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spans="1:1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spans="1:1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spans="1:1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spans="1:1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spans="1:1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spans="1:1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spans="1:1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spans="1:1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spans="1:1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spans="1:1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spans="1:1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spans="1:1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spans="1:1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spans="1:1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spans="1:1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spans="1:1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spans="1:1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spans="1:1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spans="1:1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spans="1:1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spans="1:1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spans="1:1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spans="1:1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spans="1:1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spans="1:1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spans="1:1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spans="1: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spans="1:1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spans="1:1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spans="1:1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spans="1:1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spans="1:1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spans="1:1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spans="1:1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spans="1:1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spans="1:1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spans="1:1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spans="1:1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spans="1:1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spans="1:1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spans="1:1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spans="1:1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spans="1:1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spans="1:1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spans="1:1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spans="1:1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spans="1:1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spans="1:1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spans="1:1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spans="1:1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spans="1:1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spans="1:1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spans="1:1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spans="1:1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spans="1:1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spans="1:1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spans="1:1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spans="1:1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spans="1:1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spans="1:1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spans="1:1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spans="1:1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spans="1:1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spans="1:1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spans="1:1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spans="1:1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spans="1:1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spans="1:1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spans="1:1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spans="1:1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spans="1:1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spans="1:1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spans="1:1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spans="1:1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spans="1:1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spans="1:1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spans="1:1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spans="1:1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spans="1:1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spans="1:1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spans="1:1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spans="1:1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spans="1:1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spans="1:1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spans="1:1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spans="1:1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spans="1:1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spans="1:1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spans="1:1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spans="1:1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spans="1:1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spans="1:1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spans="1:1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spans="1:1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spans="1:1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spans="1:1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spans="1:1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spans="1:1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spans="1:1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spans="1:1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spans="1:1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spans="1:1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spans="1:1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spans="1:1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spans="1:1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spans="1:1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spans="1:1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spans="1:1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spans="1:1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spans="1:1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spans="1:1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  <row r="501" spans="1:1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</row>
    <row r="502" spans="1:1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</row>
    <row r="503" spans="1:1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</row>
    <row r="504" spans="1:1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</row>
    <row r="505" spans="1:1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</row>
    <row r="506" spans="1:1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</row>
    <row r="507" spans="1:1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</row>
    <row r="508" spans="1:1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</row>
    <row r="509" spans="1:1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</row>
    <row r="510" spans="1:1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</row>
    <row r="511" spans="1:1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spans="1:1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</row>
    <row r="513" spans="1:1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</row>
    <row r="514" spans="1:1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</row>
    <row r="515" spans="1:1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</row>
    <row r="516" spans="1: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</row>
    <row r="517" spans="1:1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</row>
    <row r="518" spans="1:1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</row>
    <row r="519" spans="1:1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</row>
    <row r="520" spans="1:1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</row>
    <row r="521" spans="1:1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</row>
    <row r="522" spans="1:1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</row>
    <row r="523" spans="1:1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</row>
    <row r="524" spans="1:1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</row>
    <row r="525" spans="1:1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</row>
    <row r="526" spans="1:1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</row>
    <row r="527" spans="1:1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</row>
    <row r="528" spans="1:1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</row>
    <row r="529" spans="1:1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</row>
    <row r="530" spans="1:1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</row>
    <row r="531" spans="1:1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</row>
    <row r="532" spans="1:1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</row>
    <row r="533" spans="1:1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</row>
    <row r="534" spans="1:1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</row>
    <row r="535" spans="1:1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</row>
    <row r="536" spans="1:1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</row>
    <row r="537" spans="1:1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</row>
    <row r="538" spans="1:1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</row>
    <row r="539" spans="1:1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</row>
    <row r="540" spans="1:1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</row>
    <row r="541" spans="1:1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</row>
    <row r="542" spans="1:1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</row>
    <row r="543" spans="1:1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</row>
    <row r="544" spans="1:1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</row>
    <row r="545" spans="1:1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</row>
    <row r="546" spans="1:1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</row>
    <row r="547" spans="1:1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</row>
    <row r="548" spans="1:1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</row>
    <row r="549" spans="1:1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</row>
    <row r="550" spans="1:1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</row>
    <row r="551" spans="1:1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</row>
    <row r="552" spans="1:1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</row>
    <row r="553" spans="1:1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</row>
    <row r="554" spans="1:1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</row>
    <row r="555" spans="1:1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</row>
    <row r="556" spans="1:1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</row>
    <row r="557" spans="1:1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</row>
    <row r="558" spans="1:1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</row>
    <row r="559" spans="1:1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</row>
    <row r="560" spans="1:1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</row>
    <row r="561" spans="1:1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</row>
    <row r="562" spans="1:1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</row>
    <row r="563" spans="1:1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</row>
    <row r="564" spans="1:1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</row>
    <row r="565" spans="1:1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</row>
    <row r="566" spans="1:1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</row>
    <row r="567" spans="1:1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</row>
    <row r="568" spans="1:1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</row>
    <row r="569" spans="1:1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</row>
    <row r="570" spans="1:1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</row>
    <row r="571" spans="1:1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</row>
    <row r="572" spans="1:1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</row>
    <row r="573" spans="1:1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</row>
    <row r="574" spans="1:1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</row>
    <row r="575" spans="1:1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</row>
    <row r="576" spans="1:1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</row>
    <row r="577" spans="1:1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</row>
    <row r="578" spans="1:1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</row>
    <row r="579" spans="1:1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</row>
    <row r="580" spans="1:1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</row>
    <row r="581" spans="1:1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</row>
    <row r="582" spans="1:1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</row>
    <row r="583" spans="1:1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</row>
    <row r="584" spans="1:1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</row>
    <row r="585" spans="1:1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</row>
    <row r="586" spans="1:1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</row>
    <row r="587" spans="1:1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</row>
    <row r="588" spans="1:1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</row>
    <row r="589" spans="1:1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</row>
    <row r="590" spans="1:1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</row>
    <row r="591" spans="1:1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</row>
    <row r="592" spans="1:1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</row>
    <row r="593" spans="1:1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</row>
    <row r="594" spans="1:1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</row>
    <row r="595" spans="1:1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</row>
    <row r="596" spans="1:1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</row>
    <row r="597" spans="1:1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</row>
    <row r="598" spans="1:1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</row>
    <row r="599" spans="1:1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</row>
    <row r="600" spans="1:1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</row>
    <row r="601" spans="1:1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</row>
    <row r="602" spans="1:1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</row>
    <row r="603" spans="1:1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</row>
    <row r="604" spans="1:1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</row>
    <row r="605" spans="1:1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</row>
    <row r="606" spans="1:1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</row>
    <row r="607" spans="1:1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</row>
    <row r="608" spans="1:1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</row>
    <row r="609" spans="1:1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</row>
    <row r="610" spans="1:1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</row>
    <row r="611" spans="1:1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</row>
    <row r="612" spans="1:1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</row>
    <row r="613" spans="1:1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</row>
    <row r="614" spans="1:1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</row>
    <row r="615" spans="1:1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</row>
    <row r="616" spans="1: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</row>
    <row r="617" spans="1:1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</row>
    <row r="618" spans="1:1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</row>
    <row r="619" spans="1:1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</row>
    <row r="620" spans="1:1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</row>
    <row r="621" spans="1:1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</row>
    <row r="622" spans="1:1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</row>
    <row r="623" spans="1:1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</row>
    <row r="624" spans="1:1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</row>
    <row r="625" spans="1:1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</row>
    <row r="626" spans="1:1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</row>
    <row r="627" spans="1:1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</row>
    <row r="628" spans="1:1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</row>
    <row r="629" spans="1:1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</row>
    <row r="630" spans="1:1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</row>
    <row r="631" spans="1:1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</row>
    <row r="632" spans="1:1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</row>
    <row r="633" spans="1:1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</row>
    <row r="634" spans="1:1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</row>
    <row r="635" spans="1:1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</row>
    <row r="636" spans="1:1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</row>
    <row r="637" spans="1:1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</row>
    <row r="638" spans="1:1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</row>
    <row r="639" spans="1:1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</row>
    <row r="640" spans="1:1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</row>
    <row r="641" spans="1:1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</row>
    <row r="642" spans="1:1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</row>
    <row r="643" spans="1:1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</row>
    <row r="644" spans="1:1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</row>
    <row r="645" spans="1:1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</row>
    <row r="646" spans="1:1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</row>
    <row r="647" spans="1:1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</row>
    <row r="648" spans="1:1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</row>
    <row r="649" spans="1:1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</row>
    <row r="650" spans="1:1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</row>
    <row r="651" spans="1:1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</row>
    <row r="652" spans="1:1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</row>
    <row r="653" spans="1:1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</row>
    <row r="654" spans="1:1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</row>
    <row r="655" spans="1:1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</row>
    <row r="656" spans="1:1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</row>
    <row r="657" spans="1:1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</row>
    <row r="658" spans="1:1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</row>
    <row r="659" spans="1:1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</row>
    <row r="660" spans="1:1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</row>
    <row r="661" spans="1:1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</row>
    <row r="662" spans="1:1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</row>
    <row r="663" spans="1:1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</row>
    <row r="664" spans="1:1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</row>
    <row r="665" spans="1:1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</row>
    <row r="666" spans="1:1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</row>
    <row r="667" spans="1:1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</row>
    <row r="668" spans="1:1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</row>
    <row r="669" spans="1:1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</row>
    <row r="670" spans="1:1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</row>
    <row r="671" spans="1:1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</row>
    <row r="672" spans="1:1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</row>
    <row r="673" spans="1:1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</row>
    <row r="674" spans="1:1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</row>
    <row r="675" spans="1:1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</row>
    <row r="676" spans="1:1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</row>
    <row r="677" spans="1:1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</row>
    <row r="678" spans="1:1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</row>
    <row r="679" spans="1:1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</row>
    <row r="680" spans="1:1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</row>
    <row r="681" spans="1:1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</row>
    <row r="682" spans="1:1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</row>
    <row r="683" spans="1:1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</row>
    <row r="684" spans="1:1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</row>
    <row r="685" spans="1:1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</row>
    <row r="686" spans="1:1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</row>
    <row r="687" spans="1:1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</row>
    <row r="688" spans="1:1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</row>
    <row r="689" spans="1:1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</row>
    <row r="690" spans="1:1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</row>
    <row r="691" spans="1:1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</row>
    <row r="692" spans="1:1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</row>
    <row r="693" spans="1:1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</row>
    <row r="694" spans="1:1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</row>
    <row r="695" spans="1:1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</row>
    <row r="696" spans="1:1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</row>
    <row r="697" spans="1:1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</row>
    <row r="698" spans="1:1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</row>
    <row r="699" spans="1:1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</row>
    <row r="700" spans="1:1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</row>
    <row r="701" spans="1:1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</row>
    <row r="702" spans="1:1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</row>
    <row r="703" spans="1:1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</row>
    <row r="704" spans="1:1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</row>
    <row r="705" spans="1:1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</row>
    <row r="706" spans="1:1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</row>
    <row r="707" spans="1:1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</row>
    <row r="708" spans="1:1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</row>
    <row r="709" spans="1:1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</row>
    <row r="710" spans="1:1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</row>
    <row r="711" spans="1:1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</row>
    <row r="712" spans="1:1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</row>
    <row r="713" spans="1:1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</row>
    <row r="714" spans="1:1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</row>
    <row r="715" spans="1:1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</row>
    <row r="716" spans="1: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</row>
    <row r="717" spans="1:1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</row>
    <row r="718" spans="1:1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</row>
    <row r="719" spans="1:1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</row>
    <row r="720" spans="1:1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</row>
    <row r="721" spans="1:1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</row>
    <row r="722" spans="1:1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</row>
    <row r="723" spans="1:1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</row>
    <row r="724" spans="1:1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</row>
    <row r="725" spans="1:1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</row>
    <row r="726" spans="1:1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</row>
    <row r="727" spans="1:1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</row>
    <row r="728" spans="1:1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</row>
    <row r="729" spans="1:1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</row>
    <row r="730" spans="1:1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</row>
    <row r="731" spans="1:1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</row>
    <row r="732" spans="1:1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</row>
    <row r="733" spans="1:1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</row>
    <row r="734" spans="1:1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</row>
    <row r="735" spans="1:1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</row>
    <row r="736" spans="1:1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</row>
    <row r="737" spans="1:1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</row>
    <row r="738" spans="1:1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</row>
    <row r="739" spans="1:1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</row>
    <row r="740" spans="1:1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</row>
    <row r="741" spans="1:1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</row>
    <row r="742" spans="1:1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</row>
    <row r="743" spans="1:1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</row>
    <row r="744" spans="1:1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</row>
    <row r="745" spans="1:1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</row>
    <row r="746" spans="1:1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</row>
    <row r="747" spans="1:1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</row>
    <row r="748" spans="1:1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</row>
    <row r="749" spans="1:1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</row>
    <row r="750" spans="1:1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</row>
    <row r="751" spans="1:1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</row>
    <row r="752" spans="1:1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</row>
    <row r="753" spans="1:1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</row>
    <row r="754" spans="1:1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</row>
    <row r="755" spans="1:1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</row>
    <row r="756" spans="1:1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</row>
    <row r="757" spans="1:1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</row>
    <row r="758" spans="1:1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</row>
    <row r="759" spans="1:1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</row>
    <row r="760" spans="1:1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</row>
    <row r="761" spans="1:1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</row>
    <row r="762" spans="1:1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</row>
    <row r="763" spans="1:1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</row>
    <row r="764" spans="1:1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</row>
    <row r="765" spans="1:1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</row>
    <row r="766" spans="1:1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</row>
    <row r="767" spans="1:1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</row>
    <row r="768" spans="1:1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</row>
    <row r="769" spans="1:1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</row>
    <row r="770" spans="1:1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</row>
    <row r="771" spans="1:1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</row>
    <row r="772" spans="1:1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</row>
    <row r="773" spans="1:1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</row>
    <row r="774" spans="1:1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</row>
    <row r="775" spans="1:1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</row>
    <row r="776" spans="1:1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</row>
    <row r="777" spans="1:1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</row>
    <row r="778" spans="1:1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</row>
    <row r="779" spans="1:1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</row>
    <row r="780" spans="1:1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</row>
    <row r="781" spans="1:1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</row>
    <row r="782" spans="1:1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</row>
    <row r="783" spans="1:1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</row>
    <row r="784" spans="1:1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</row>
    <row r="785" spans="1:1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</row>
    <row r="786" spans="1:1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</row>
    <row r="787" spans="1:1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</row>
    <row r="788" spans="1:1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</row>
    <row r="789" spans="1:1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</row>
    <row r="790" spans="1:1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</row>
    <row r="791" spans="1:1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</row>
    <row r="792" spans="1:1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</row>
    <row r="793" spans="1:1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</row>
    <row r="794" spans="1:1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</row>
    <row r="795" spans="1:1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</row>
    <row r="796" spans="1:1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</row>
    <row r="797" spans="1:1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</row>
    <row r="798" spans="1:1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</row>
    <row r="799" spans="1:1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</row>
    <row r="800" spans="1:1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</row>
    <row r="801" spans="1:1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</row>
    <row r="802" spans="1:1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</row>
    <row r="803" spans="1:1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</row>
    <row r="804" spans="1:1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</row>
    <row r="805" spans="1:1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</row>
    <row r="806" spans="1:1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</row>
    <row r="807" spans="1:1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</row>
    <row r="808" spans="1:1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</row>
    <row r="809" spans="1:1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</row>
    <row r="810" spans="1:1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</row>
    <row r="811" spans="1:1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</row>
    <row r="812" spans="1:1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</row>
    <row r="813" spans="1:1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</row>
    <row r="814" spans="1:1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</row>
    <row r="815" spans="1:1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</row>
    <row r="816" spans="1: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</row>
    <row r="817" spans="1:1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</row>
    <row r="818" spans="1:1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</row>
    <row r="819" spans="1:1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</row>
    <row r="820" spans="1:1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</row>
    <row r="821" spans="1:1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</row>
    <row r="822" spans="1:1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</row>
    <row r="823" spans="1:1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</row>
    <row r="824" spans="1:1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</row>
    <row r="825" spans="1:1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</row>
    <row r="826" spans="1:1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</row>
    <row r="827" spans="1:1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</row>
    <row r="828" spans="1:1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</row>
    <row r="829" spans="1:1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</row>
    <row r="830" spans="1:1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</row>
    <row r="831" spans="1:1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</row>
    <row r="832" spans="1:1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</row>
    <row r="833" spans="1:1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</row>
    <row r="834" spans="1:1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</row>
    <row r="835" spans="1:1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</row>
    <row r="836" spans="1:1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</row>
    <row r="837" spans="1:1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</row>
    <row r="838" spans="1:1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</row>
    <row r="839" spans="1:1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</row>
    <row r="840" spans="1:1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</row>
    <row r="841" spans="1:1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</row>
    <row r="842" spans="1:1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</row>
    <row r="843" spans="1:1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</row>
    <row r="844" spans="1:1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</row>
    <row r="845" spans="1:1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</row>
    <row r="846" spans="1:1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</row>
    <row r="847" spans="1:1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</row>
    <row r="848" spans="1:1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</row>
    <row r="849" spans="1:1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</row>
    <row r="850" spans="1:1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</row>
    <row r="851" spans="1:1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</row>
    <row r="852" spans="1:1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</row>
    <row r="853" spans="1:1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</row>
    <row r="854" spans="1:1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</row>
    <row r="855" spans="1:1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</row>
    <row r="856" spans="1:1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</row>
    <row r="857" spans="1:1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</row>
    <row r="858" spans="1:1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</row>
    <row r="859" spans="1:1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</row>
    <row r="860" spans="1:1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</row>
    <row r="861" spans="1:1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</row>
    <row r="862" spans="1:1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</row>
    <row r="863" spans="1:1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</row>
    <row r="864" spans="1:1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</row>
    <row r="865" spans="1:1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</row>
    <row r="866" spans="1:1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</row>
    <row r="867" spans="1:1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</row>
    <row r="868" spans="1:1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</row>
    <row r="869" spans="1:1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</row>
    <row r="870" spans="1:1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</row>
    <row r="871" spans="1:1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</row>
    <row r="872" spans="1:1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</row>
    <row r="873" spans="1:1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</row>
    <row r="874" spans="1:1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</row>
    <row r="875" spans="1:1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</row>
    <row r="876" spans="1:1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</row>
    <row r="877" spans="1:1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</row>
    <row r="878" spans="1:1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</row>
    <row r="879" spans="1:1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</row>
    <row r="880" spans="1:1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</row>
    <row r="881" spans="1:1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</row>
    <row r="882" spans="1:1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</row>
    <row r="883" spans="1:1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</row>
    <row r="884" spans="1:1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</row>
    <row r="885" spans="1:1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</row>
    <row r="886" spans="1:1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</row>
    <row r="887" spans="1:1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</row>
    <row r="888" spans="1:1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</row>
    <row r="889" spans="1:1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</row>
    <row r="890" spans="1:1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</row>
    <row r="891" spans="1:1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</row>
    <row r="892" spans="1:1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</row>
    <row r="893" spans="1:1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</row>
    <row r="894" spans="1:1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</row>
    <row r="895" spans="1:1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</row>
    <row r="896" spans="1:1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</row>
    <row r="897" spans="1:1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</row>
    <row r="898" spans="1:1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</row>
    <row r="899" spans="1:1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</row>
    <row r="900" spans="1:1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</row>
    <row r="901" spans="1:1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</row>
    <row r="902" spans="1:1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</row>
    <row r="903" spans="1:1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</row>
    <row r="904" spans="1:1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</row>
    <row r="905" spans="1:1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</row>
    <row r="906" spans="1:1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</row>
    <row r="907" spans="1:1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</row>
    <row r="908" spans="1:1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</row>
    <row r="909" spans="1:1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</row>
    <row r="910" spans="1:1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</row>
    <row r="911" spans="1:1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</row>
    <row r="912" spans="1:1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</row>
    <row r="913" spans="1:1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</row>
    <row r="914" spans="1:1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</row>
    <row r="915" spans="1:1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</row>
    <row r="916" spans="1: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</row>
    <row r="917" spans="1:1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</row>
    <row r="918" spans="1:1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</row>
    <row r="919" spans="1:1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</row>
    <row r="920" spans="1:1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</row>
    <row r="921" spans="1:1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</row>
    <row r="922" spans="1:1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</row>
    <row r="923" spans="1:1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</row>
    <row r="924" spans="1:1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</row>
    <row r="925" spans="1:1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</row>
    <row r="926" spans="1:1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</row>
    <row r="927" spans="1:1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</row>
    <row r="928" spans="1:1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</row>
    <row r="929" spans="1:1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</row>
    <row r="930" spans="1:1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</row>
    <row r="931" spans="1:1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</row>
    <row r="932" spans="1:1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</row>
    <row r="933" spans="1:1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</row>
    <row r="934" spans="1:1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</row>
    <row r="935" spans="1:1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</row>
    <row r="936" spans="1:1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</row>
    <row r="937" spans="1:1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</row>
    <row r="938" spans="1:1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</row>
    <row r="939" spans="1:1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</row>
    <row r="940" spans="1:1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</row>
    <row r="941" spans="1:1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</row>
    <row r="942" spans="1:1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</row>
    <row r="943" spans="1:1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</row>
    <row r="944" spans="1:1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</row>
    <row r="945" spans="1:1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</row>
    <row r="946" spans="1:1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</row>
    <row r="947" spans="1:1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</row>
    <row r="948" spans="1:1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</row>
    <row r="949" spans="1:1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</row>
    <row r="950" spans="1:1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</row>
    <row r="951" spans="1:1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</row>
    <row r="952" spans="1:1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</row>
    <row r="953" spans="1:1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</row>
    <row r="954" spans="1:1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</row>
    <row r="955" spans="1:1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</row>
    <row r="956" spans="1:1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</row>
    <row r="957" spans="1:1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</row>
    <row r="958" spans="1:1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</row>
    <row r="959" spans="1:1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</row>
    <row r="960" spans="1:1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</row>
    <row r="961" spans="1:1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</row>
    <row r="962" spans="1:1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</row>
    <row r="963" spans="1:1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</row>
    <row r="964" spans="1:1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</row>
    <row r="965" spans="1:1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</row>
    <row r="966" spans="1:1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</row>
    <row r="967" spans="1:1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</row>
    <row r="968" spans="1:1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</row>
    <row r="969" spans="1:1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</row>
    <row r="970" spans="1:1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</row>
    <row r="971" spans="1:1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</row>
    <row r="972" spans="1:1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</row>
    <row r="973" spans="1:1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</row>
    <row r="974" spans="1:1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</row>
    <row r="975" spans="1:1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</row>
    <row r="976" spans="1:1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</row>
    <row r="977" spans="1:1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</row>
    <row r="978" spans="1:1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</row>
    <row r="979" spans="1:1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</row>
    <row r="980" spans="1:1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</row>
    <row r="981" spans="1:1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</row>
    <row r="982" spans="1:1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</row>
    <row r="983" spans="1:1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</row>
    <row r="984" spans="1:1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</row>
    <row r="985" spans="1:1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</row>
    <row r="986" spans="1:1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</row>
    <row r="987" spans="1:1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</row>
    <row r="988" spans="1:1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</row>
    <row r="989" spans="1:1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</row>
    <row r="990" spans="1:1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</row>
    <row r="991" spans="1:1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</row>
    <row r="992" spans="1:1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</row>
    <row r="993" spans="1:1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</row>
    <row r="994" spans="1:1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</row>
    <row r="995" spans="1:1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</row>
    <row r="996" spans="1:1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</row>
    <row r="997" spans="1:1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</row>
    <row r="998" spans="1:1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</row>
  </sheetData>
  <mergeCells count="99">
    <mergeCell ref="B35:I35"/>
    <mergeCell ref="D38:F38"/>
    <mergeCell ref="D39:F39"/>
    <mergeCell ref="D41:F41"/>
    <mergeCell ref="G41:I41"/>
    <mergeCell ref="D31:F31"/>
    <mergeCell ref="G31:I31"/>
    <mergeCell ref="D32:F32"/>
    <mergeCell ref="G32:I32"/>
    <mergeCell ref="D33:F33"/>
    <mergeCell ref="G33:I33"/>
    <mergeCell ref="B47:I47"/>
    <mergeCell ref="D48:F48"/>
    <mergeCell ref="G48:I48"/>
    <mergeCell ref="B49:B52"/>
    <mergeCell ref="C49:C52"/>
    <mergeCell ref="D49:F49"/>
    <mergeCell ref="G49:I49"/>
    <mergeCell ref="D50:F50"/>
    <mergeCell ref="G50:I50"/>
    <mergeCell ref="D51:F51"/>
    <mergeCell ref="G51:I51"/>
    <mergeCell ref="D52:F52"/>
    <mergeCell ref="G52:I52"/>
    <mergeCell ref="B37:B45"/>
    <mergeCell ref="C37:C45"/>
    <mergeCell ref="D37:F37"/>
    <mergeCell ref="G37:I37"/>
    <mergeCell ref="G38:I38"/>
    <mergeCell ref="D45:F45"/>
    <mergeCell ref="G45:I45"/>
    <mergeCell ref="D42:F42"/>
    <mergeCell ref="G42:I42"/>
    <mergeCell ref="D43:F43"/>
    <mergeCell ref="G43:I43"/>
    <mergeCell ref="D44:F44"/>
    <mergeCell ref="G44:I44"/>
    <mergeCell ref="G39:I39"/>
    <mergeCell ref="D40:F40"/>
    <mergeCell ref="G40:I40"/>
    <mergeCell ref="D36:F36"/>
    <mergeCell ref="G36:I36"/>
    <mergeCell ref="B32:B33"/>
    <mergeCell ref="C32:C33"/>
    <mergeCell ref="B8:B11"/>
    <mergeCell ref="C8:C11"/>
    <mergeCell ref="B13:B17"/>
    <mergeCell ref="C13:C17"/>
    <mergeCell ref="B23:B24"/>
    <mergeCell ref="C23:C24"/>
    <mergeCell ref="C26:C27"/>
    <mergeCell ref="D21:F21"/>
    <mergeCell ref="G21:I21"/>
    <mergeCell ref="D22:F22"/>
    <mergeCell ref="G22:I22"/>
    <mergeCell ref="G23:I23"/>
    <mergeCell ref="G16:I16"/>
    <mergeCell ref="G17:I17"/>
    <mergeCell ref="B19:I19"/>
    <mergeCell ref="D20:F20"/>
    <mergeCell ref="G20:I20"/>
    <mergeCell ref="G11:I11"/>
    <mergeCell ref="G12:I12"/>
    <mergeCell ref="G13:I13"/>
    <mergeCell ref="G14:I14"/>
    <mergeCell ref="G15:I15"/>
    <mergeCell ref="D8:F8"/>
    <mergeCell ref="G8:I8"/>
    <mergeCell ref="D9:F9"/>
    <mergeCell ref="G9:I9"/>
    <mergeCell ref="D10:F10"/>
    <mergeCell ref="G10:I10"/>
    <mergeCell ref="D30:F30"/>
    <mergeCell ref="G30:I30"/>
    <mergeCell ref="A1:I2"/>
    <mergeCell ref="A3:I3"/>
    <mergeCell ref="B5:I5"/>
    <mergeCell ref="D6:F6"/>
    <mergeCell ref="G6:I6"/>
    <mergeCell ref="D7:F7"/>
    <mergeCell ref="G7:I7"/>
    <mergeCell ref="D11:F11"/>
    <mergeCell ref="D12:F12"/>
    <mergeCell ref="D13:F13"/>
    <mergeCell ref="D14:F14"/>
    <mergeCell ref="D15:F15"/>
    <mergeCell ref="D16:F16"/>
    <mergeCell ref="D17:F17"/>
    <mergeCell ref="G24:I24"/>
    <mergeCell ref="G25:I25"/>
    <mergeCell ref="G26:I26"/>
    <mergeCell ref="G27:I27"/>
    <mergeCell ref="B29:I29"/>
    <mergeCell ref="B26:B27"/>
    <mergeCell ref="D23:F23"/>
    <mergeCell ref="D24:F24"/>
    <mergeCell ref="D25:F25"/>
    <mergeCell ref="D26:F26"/>
    <mergeCell ref="D27:F27"/>
  </mergeCells>
  <phoneticPr fontId="2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4.Math</vt:lpstr>
      <vt:lpstr>7.Help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宏羲 沈</cp:lastModifiedBy>
  <dcterms:modified xsi:type="dcterms:W3CDTF">2026-10-06T03:46:16Z</dcterms:modified>
</cp:coreProperties>
</file>