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14_錢來襲\Source\"/>
    </mc:Choice>
  </mc:AlternateContent>
  <xr:revisionPtr revIDLastSave="0" documentId="13_ncr:1_{2212D775-8402-459D-88A9-84F9E6A441AA}" xr6:coauthVersionLast="47" xr6:coauthVersionMax="47" xr10:uidLastSave="{00000000-0000-0000-0000-000000000000}"/>
  <bookViews>
    <workbookView xWindow="-23145" yWindow="2340" windowWidth="19905" windowHeight="8880" xr2:uid="{A44E2027-7DD1-45AE-BCF4-0A41631B50A9}"/>
  </bookViews>
  <sheets>
    <sheet name="Overview" sheetId="20" r:id="rId1"/>
    <sheet name="Extra_info" sheetId="65" state="hidden" r:id="rId2"/>
    <sheet name="Description" sheetId="8" state="hidden" r:id="rId3"/>
    <sheet name="Card_Info_Extra_testA" sheetId="66" r:id="rId4"/>
    <sheet name="Card_Info_Extra_testB" sheetId="67" state="hidden" r:id="rId5"/>
    <sheet name="Card_Bet1" sheetId="55" r:id="rId6"/>
    <sheet name="Sim_Mul_Bet1" sheetId="54" state="hidden" r:id="rId7"/>
    <sheet name="Card_Bet5" sheetId="56" r:id="rId8"/>
    <sheet name="Sim_Mul_Bet5" sheetId="57" state="hidden" r:id="rId9"/>
    <sheet name="Card_Bet10" sheetId="58" r:id="rId10"/>
    <sheet name="Sim_Mul_Bet10" sheetId="64" state="hidden" r:id="rId11"/>
    <sheet name="Card_Bet50" sheetId="60" r:id="rId12"/>
    <sheet name="Sim_Mul_Bet50" sheetId="61" state="hidden" r:id="rId13"/>
    <sheet name="Card_Bet100" sheetId="62" r:id="rId14"/>
    <sheet name="Sim_Mul_Bet100" sheetId="63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53" state="hidden" r:id="rId23"/>
    <sheet name="bet100p_A" sheetId="47" state="hidden" r:id="rId24"/>
    <sheet name="bet100p_B" sheetId="48" state="hidden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66" l="1"/>
  <c r="J2" i="66"/>
  <c r="G2" i="66"/>
  <c r="D2" i="66"/>
  <c r="A2" i="66"/>
  <c r="T5" i="55"/>
  <c r="T6" i="55"/>
  <c r="T7" i="55"/>
  <c r="T8" i="55"/>
  <c r="T9" i="55"/>
  <c r="T10" i="55"/>
  <c r="T11" i="55"/>
  <c r="T12" i="55"/>
  <c r="T14" i="55"/>
  <c r="T15" i="55"/>
  <c r="T16" i="55"/>
  <c r="T17" i="55"/>
  <c r="T18" i="55"/>
  <c r="T19" i="55"/>
  <c r="T20" i="55"/>
  <c r="T21" i="55"/>
  <c r="T22" i="55"/>
  <c r="T23" i="55"/>
  <c r="T24" i="55"/>
  <c r="T25" i="55"/>
  <c r="T26" i="55"/>
  <c r="T28" i="55"/>
  <c r="T29" i="55"/>
  <c r="T30" i="55"/>
  <c r="T31" i="55"/>
  <c r="T32" i="55"/>
  <c r="T33" i="55"/>
  <c r="T34" i="55"/>
  <c r="T35" i="55"/>
  <c r="T36" i="55"/>
  <c r="T37" i="55"/>
  <c r="T38" i="55"/>
  <c r="T39" i="55"/>
  <c r="T40" i="55"/>
  <c r="T41" i="55"/>
  <c r="T42" i="55"/>
  <c r="T43" i="55"/>
  <c r="T44" i="55"/>
  <c r="T45" i="55"/>
  <c r="T46" i="55"/>
  <c r="T47" i="55"/>
  <c r="T48" i="55"/>
  <c r="T49" i="55"/>
  <c r="T50" i="55"/>
  <c r="T51" i="55"/>
  <c r="T52" i="55"/>
  <c r="T53" i="55"/>
  <c r="T54" i="55"/>
  <c r="T4" i="55"/>
  <c r="O4" i="66" a="1"/>
  <c r="O4" i="66" s="1"/>
  <c r="L4" i="66" a="1"/>
  <c r="L4" i="66" s="1"/>
  <c r="I4" i="66" a="1"/>
  <c r="I4" i="66" s="1"/>
  <c r="F4" i="66" a="1"/>
  <c r="F4" i="66" s="1"/>
  <c r="C4" i="66" a="1"/>
  <c r="C4" i="66" s="1"/>
  <c r="W8" i="66"/>
  <c r="W7" i="66"/>
  <c r="H54" i="62" a="1"/>
  <c r="H54" i="62" s="1"/>
  <c r="G54" i="62" a="1"/>
  <c r="G54" i="62" s="1"/>
  <c r="F54" i="62" a="1"/>
  <c r="F54" i="62" s="1"/>
  <c r="E54" i="62" a="1"/>
  <c r="E54" i="62" s="1"/>
  <c r="D54" i="62" a="1"/>
  <c r="D54" i="62" s="1"/>
  <c r="C54" i="62" a="1"/>
  <c r="C54" i="62" s="1"/>
  <c r="H53" i="62" a="1"/>
  <c r="H53" i="62" s="1"/>
  <c r="G53" i="62" a="1"/>
  <c r="G53" i="62" s="1"/>
  <c r="F53" i="62" a="1"/>
  <c r="F53" i="62" s="1"/>
  <c r="E53" i="62" a="1"/>
  <c r="E53" i="62" s="1"/>
  <c r="D53" i="62" a="1"/>
  <c r="D53" i="62" s="1"/>
  <c r="C53" i="62" a="1"/>
  <c r="C53" i="62" s="1"/>
  <c r="H52" i="62" a="1"/>
  <c r="H52" i="62" s="1"/>
  <c r="G52" i="62" a="1"/>
  <c r="G52" i="62" s="1"/>
  <c r="F52" i="62" a="1"/>
  <c r="F52" i="62" s="1"/>
  <c r="E52" i="62" a="1"/>
  <c r="E52" i="62" s="1"/>
  <c r="D52" i="62" a="1"/>
  <c r="D52" i="62" s="1"/>
  <c r="C52" i="62" a="1"/>
  <c r="C52" i="62" s="1"/>
  <c r="H51" i="62" a="1"/>
  <c r="H51" i="62" s="1"/>
  <c r="G51" i="62" a="1"/>
  <c r="G51" i="62" s="1"/>
  <c r="F51" i="62" a="1"/>
  <c r="F51" i="62" s="1"/>
  <c r="E51" i="62" a="1"/>
  <c r="E51" i="62" s="1"/>
  <c r="D51" i="62" a="1"/>
  <c r="D51" i="62" s="1"/>
  <c r="C51" i="62" a="1"/>
  <c r="C51" i="62" s="1"/>
  <c r="H50" i="62" a="1"/>
  <c r="H50" i="62" s="1"/>
  <c r="G50" i="62" a="1"/>
  <c r="G50" i="62" s="1"/>
  <c r="F50" i="62" a="1"/>
  <c r="F50" i="62" s="1"/>
  <c r="E50" i="62" a="1"/>
  <c r="E50" i="62" s="1"/>
  <c r="D50" i="62" a="1"/>
  <c r="D50" i="62" s="1"/>
  <c r="C50" i="62" a="1"/>
  <c r="C50" i="62" s="1"/>
  <c r="H49" i="62" a="1"/>
  <c r="H49" i="62" s="1"/>
  <c r="G49" i="62" a="1"/>
  <c r="G49" i="62" s="1"/>
  <c r="F49" i="62" a="1"/>
  <c r="F49" i="62" s="1"/>
  <c r="E49" i="62" a="1"/>
  <c r="E49" i="62" s="1"/>
  <c r="D49" i="62" a="1"/>
  <c r="D49" i="62" s="1"/>
  <c r="C49" i="62" a="1"/>
  <c r="C49" i="62" s="1"/>
  <c r="H48" i="62" a="1"/>
  <c r="H48" i="62" s="1"/>
  <c r="G48" i="62" a="1"/>
  <c r="G48" i="62" s="1"/>
  <c r="F48" i="62" a="1"/>
  <c r="F48" i="62" s="1"/>
  <c r="E48" i="62" a="1"/>
  <c r="E48" i="62" s="1"/>
  <c r="D48" i="62" a="1"/>
  <c r="D48" i="62" s="1"/>
  <c r="C48" i="62" a="1"/>
  <c r="C48" i="62" s="1"/>
  <c r="H47" i="62" a="1"/>
  <c r="H47" i="62" s="1"/>
  <c r="G47" i="62" a="1"/>
  <c r="G47" i="62" s="1"/>
  <c r="F47" i="62" a="1"/>
  <c r="F47" i="62" s="1"/>
  <c r="E47" i="62" a="1"/>
  <c r="E47" i="62" s="1"/>
  <c r="D47" i="62" a="1"/>
  <c r="D47" i="62" s="1"/>
  <c r="C47" i="62" a="1"/>
  <c r="C47" i="62" s="1"/>
  <c r="H46" i="62" a="1"/>
  <c r="H46" i="62" s="1"/>
  <c r="G46" i="62" a="1"/>
  <c r="G46" i="62" s="1"/>
  <c r="F46" i="62" a="1"/>
  <c r="F46" i="62" s="1"/>
  <c r="E46" i="62" a="1"/>
  <c r="E46" i="62" s="1"/>
  <c r="D46" i="62" a="1"/>
  <c r="D46" i="62" s="1"/>
  <c r="C46" i="62" a="1"/>
  <c r="C46" i="62" s="1"/>
  <c r="H45" i="62" a="1"/>
  <c r="H45" i="62" s="1"/>
  <c r="G45" i="62" a="1"/>
  <c r="G45" i="62" s="1"/>
  <c r="F45" i="62" a="1"/>
  <c r="F45" i="62" s="1"/>
  <c r="E45" i="62" a="1"/>
  <c r="E45" i="62" s="1"/>
  <c r="D45" i="62" a="1"/>
  <c r="D45" i="62" s="1"/>
  <c r="C45" i="62" a="1"/>
  <c r="C45" i="62" s="1"/>
  <c r="H44" i="62" a="1"/>
  <c r="H44" i="62" s="1"/>
  <c r="G44" i="62" a="1"/>
  <c r="G44" i="62" s="1"/>
  <c r="F44" i="62" a="1"/>
  <c r="F44" i="62" s="1"/>
  <c r="E44" i="62" a="1"/>
  <c r="E44" i="62" s="1"/>
  <c r="D44" i="62" a="1"/>
  <c r="D44" i="62" s="1"/>
  <c r="C44" i="62" a="1"/>
  <c r="C44" i="62" s="1"/>
  <c r="H43" i="62" a="1"/>
  <c r="H43" i="62" s="1"/>
  <c r="G43" i="62" a="1"/>
  <c r="G43" i="62" s="1"/>
  <c r="F43" i="62" a="1"/>
  <c r="F43" i="62" s="1"/>
  <c r="E43" i="62" a="1"/>
  <c r="E43" i="62" s="1"/>
  <c r="D43" i="62" a="1"/>
  <c r="D43" i="62" s="1"/>
  <c r="C43" i="62" a="1"/>
  <c r="C43" i="62" s="1"/>
  <c r="H42" i="62" a="1"/>
  <c r="H42" i="62" s="1"/>
  <c r="G42" i="62" a="1"/>
  <c r="G42" i="62" s="1"/>
  <c r="F42" i="62" a="1"/>
  <c r="F42" i="62" s="1"/>
  <c r="E42" i="62" a="1"/>
  <c r="E42" i="62" s="1"/>
  <c r="D42" i="62" a="1"/>
  <c r="D42" i="62" s="1"/>
  <c r="C42" i="62" a="1"/>
  <c r="C42" i="62" s="1"/>
  <c r="H41" i="62" a="1"/>
  <c r="H41" i="62" s="1"/>
  <c r="G41" i="62" a="1"/>
  <c r="G41" i="62" s="1"/>
  <c r="F41" i="62" a="1"/>
  <c r="F41" i="62" s="1"/>
  <c r="E41" i="62" a="1"/>
  <c r="E41" i="62" s="1"/>
  <c r="D41" i="62" a="1"/>
  <c r="D41" i="62" s="1"/>
  <c r="C41" i="62" a="1"/>
  <c r="C41" i="62" s="1"/>
  <c r="H40" i="62" a="1"/>
  <c r="H40" i="62" s="1"/>
  <c r="G40" i="62" a="1"/>
  <c r="G40" i="62" s="1"/>
  <c r="F40" i="62" a="1"/>
  <c r="F40" i="62" s="1"/>
  <c r="E40" i="62" a="1"/>
  <c r="E40" i="62" s="1"/>
  <c r="D40" i="62" a="1"/>
  <c r="D40" i="62" s="1"/>
  <c r="C40" i="62" a="1"/>
  <c r="C40" i="62" s="1"/>
  <c r="H39" i="62" a="1"/>
  <c r="H39" i="62" s="1"/>
  <c r="G39" i="62" a="1"/>
  <c r="G39" i="62" s="1"/>
  <c r="F39" i="62" a="1"/>
  <c r="F39" i="62" s="1"/>
  <c r="E39" i="62" a="1"/>
  <c r="E39" i="62" s="1"/>
  <c r="D39" i="62" a="1"/>
  <c r="D39" i="62" s="1"/>
  <c r="C39" i="62" a="1"/>
  <c r="C39" i="62" s="1"/>
  <c r="H38" i="62" a="1"/>
  <c r="H38" i="62" s="1"/>
  <c r="G38" i="62" a="1"/>
  <c r="G38" i="62" s="1"/>
  <c r="F38" i="62" a="1"/>
  <c r="F38" i="62" s="1"/>
  <c r="E38" i="62" a="1"/>
  <c r="E38" i="62" s="1"/>
  <c r="D38" i="62" a="1"/>
  <c r="D38" i="62" s="1"/>
  <c r="C38" i="62" a="1"/>
  <c r="C38" i="62" s="1"/>
  <c r="H37" i="62" a="1"/>
  <c r="H37" i="62" s="1"/>
  <c r="G37" i="62" a="1"/>
  <c r="G37" i="62" s="1"/>
  <c r="F37" i="62" a="1"/>
  <c r="F37" i="62" s="1"/>
  <c r="E37" i="62" a="1"/>
  <c r="E37" i="62" s="1"/>
  <c r="D37" i="62" a="1"/>
  <c r="D37" i="62" s="1"/>
  <c r="C37" i="62" a="1"/>
  <c r="C37" i="62" s="1"/>
  <c r="H36" i="62" a="1"/>
  <c r="H36" i="62" s="1"/>
  <c r="G36" i="62" a="1"/>
  <c r="G36" i="62" s="1"/>
  <c r="F36" i="62" a="1"/>
  <c r="F36" i="62" s="1"/>
  <c r="E36" i="62" a="1"/>
  <c r="E36" i="62" s="1"/>
  <c r="D36" i="62" a="1"/>
  <c r="D36" i="62" s="1"/>
  <c r="C36" i="62" a="1"/>
  <c r="C36" i="62" s="1"/>
  <c r="H35" i="62" a="1"/>
  <c r="H35" i="62" s="1"/>
  <c r="G35" i="62" a="1"/>
  <c r="G35" i="62" s="1"/>
  <c r="F35" i="62" a="1"/>
  <c r="F35" i="62" s="1"/>
  <c r="E35" i="62" a="1"/>
  <c r="E35" i="62" s="1"/>
  <c r="D35" i="62" a="1"/>
  <c r="D35" i="62" s="1"/>
  <c r="C35" i="62" a="1"/>
  <c r="C35" i="62" s="1"/>
  <c r="H34" i="62" a="1"/>
  <c r="H34" i="62" s="1"/>
  <c r="G34" i="62" a="1"/>
  <c r="G34" i="62" s="1"/>
  <c r="F34" i="62" a="1"/>
  <c r="F34" i="62" s="1"/>
  <c r="E34" i="62" a="1"/>
  <c r="E34" i="62" s="1"/>
  <c r="D34" i="62" a="1"/>
  <c r="D34" i="62" s="1"/>
  <c r="C34" i="62" a="1"/>
  <c r="C34" i="62" s="1"/>
  <c r="H33" i="62" a="1"/>
  <c r="H33" i="62" s="1"/>
  <c r="G33" i="62" a="1"/>
  <c r="G33" i="62" s="1"/>
  <c r="F33" i="62" a="1"/>
  <c r="F33" i="62" s="1"/>
  <c r="E33" i="62" a="1"/>
  <c r="E33" i="62" s="1"/>
  <c r="D33" i="62" a="1"/>
  <c r="D33" i="62" s="1"/>
  <c r="C33" i="62" a="1"/>
  <c r="C33" i="62" s="1"/>
  <c r="H32" i="62" a="1"/>
  <c r="H32" i="62" s="1"/>
  <c r="G32" i="62" a="1"/>
  <c r="G32" i="62" s="1"/>
  <c r="F32" i="62" a="1"/>
  <c r="F32" i="62" s="1"/>
  <c r="E32" i="62" a="1"/>
  <c r="E32" i="62" s="1"/>
  <c r="D32" i="62" a="1"/>
  <c r="D32" i="62" s="1"/>
  <c r="C32" i="62" a="1"/>
  <c r="C32" i="62" s="1"/>
  <c r="H31" i="62" a="1"/>
  <c r="H31" i="62" s="1"/>
  <c r="G31" i="62" a="1"/>
  <c r="G31" i="62" s="1"/>
  <c r="F31" i="62" a="1"/>
  <c r="F31" i="62" s="1"/>
  <c r="E31" i="62" a="1"/>
  <c r="E31" i="62" s="1"/>
  <c r="D31" i="62" a="1"/>
  <c r="D31" i="62" s="1"/>
  <c r="C31" i="62" a="1"/>
  <c r="C31" i="62" s="1"/>
  <c r="H30" i="62" a="1"/>
  <c r="H30" i="62" s="1"/>
  <c r="G30" i="62" a="1"/>
  <c r="G30" i="62" s="1"/>
  <c r="F30" i="62" a="1"/>
  <c r="F30" i="62" s="1"/>
  <c r="E30" i="62" a="1"/>
  <c r="E30" i="62" s="1"/>
  <c r="D30" i="62" a="1"/>
  <c r="D30" i="62" s="1"/>
  <c r="C30" i="62" a="1"/>
  <c r="C30" i="62" s="1"/>
  <c r="H29" i="62" a="1"/>
  <c r="H29" i="62" s="1"/>
  <c r="G29" i="62" a="1"/>
  <c r="G29" i="62" s="1"/>
  <c r="F29" i="62" a="1"/>
  <c r="F29" i="62" s="1"/>
  <c r="E29" i="62" a="1"/>
  <c r="E29" i="62" s="1"/>
  <c r="D29" i="62" a="1"/>
  <c r="D29" i="62" s="1"/>
  <c r="C29" i="62" a="1"/>
  <c r="C29" i="62" s="1"/>
  <c r="H28" i="62" a="1"/>
  <c r="H28" i="62" s="1"/>
  <c r="G28" i="62" a="1"/>
  <c r="G28" i="62" s="1"/>
  <c r="F28" i="62" a="1"/>
  <c r="F28" i="62" s="1"/>
  <c r="E28" i="62" a="1"/>
  <c r="E28" i="62" s="1"/>
  <c r="D28" i="62" a="1"/>
  <c r="D28" i="62" s="1"/>
  <c r="C28" i="62" a="1"/>
  <c r="C28" i="62" s="1"/>
  <c r="H27" i="62" a="1"/>
  <c r="H27" i="62" s="1"/>
  <c r="G27" i="62" a="1"/>
  <c r="G27" i="62" s="1"/>
  <c r="F27" i="62" a="1"/>
  <c r="F27" i="62" s="1"/>
  <c r="E27" i="62" a="1"/>
  <c r="E27" i="62" s="1"/>
  <c r="D27" i="62" a="1"/>
  <c r="D27" i="62" s="1"/>
  <c r="C27" i="62" a="1"/>
  <c r="C27" i="62" s="1"/>
  <c r="H26" i="62" a="1"/>
  <c r="H26" i="62" s="1"/>
  <c r="G26" i="62" a="1"/>
  <c r="G26" i="62" s="1"/>
  <c r="F26" i="62" a="1"/>
  <c r="F26" i="62" s="1"/>
  <c r="E26" i="62" a="1"/>
  <c r="E26" i="62" s="1"/>
  <c r="D26" i="62" a="1"/>
  <c r="D26" i="62" s="1"/>
  <c r="C26" i="62" a="1"/>
  <c r="C26" i="62" s="1"/>
  <c r="H25" i="62" a="1"/>
  <c r="H25" i="62" s="1"/>
  <c r="G25" i="62" a="1"/>
  <c r="G25" i="62" s="1"/>
  <c r="F25" i="62" a="1"/>
  <c r="F25" i="62" s="1"/>
  <c r="E25" i="62" a="1"/>
  <c r="E25" i="62" s="1"/>
  <c r="D25" i="62" a="1"/>
  <c r="D25" i="62" s="1"/>
  <c r="C25" i="62" a="1"/>
  <c r="C25" i="62" s="1"/>
  <c r="H24" i="62" a="1"/>
  <c r="H24" i="62" s="1"/>
  <c r="G24" i="62" a="1"/>
  <c r="G24" i="62" s="1"/>
  <c r="F24" i="62" a="1"/>
  <c r="F24" i="62" s="1"/>
  <c r="E24" i="62" a="1"/>
  <c r="E24" i="62" s="1"/>
  <c r="D24" i="62" a="1"/>
  <c r="D24" i="62" s="1"/>
  <c r="C24" i="62" a="1"/>
  <c r="C24" i="62" s="1"/>
  <c r="H23" i="62" a="1"/>
  <c r="H23" i="62" s="1"/>
  <c r="G23" i="62" a="1"/>
  <c r="G23" i="62" s="1"/>
  <c r="F23" i="62" a="1"/>
  <c r="F23" i="62" s="1"/>
  <c r="E23" i="62" a="1"/>
  <c r="E23" i="62" s="1"/>
  <c r="D23" i="62" a="1"/>
  <c r="D23" i="62" s="1"/>
  <c r="C23" i="62" a="1"/>
  <c r="C23" i="62" s="1"/>
  <c r="H22" i="62" a="1"/>
  <c r="H22" i="62" s="1"/>
  <c r="G22" i="62" a="1"/>
  <c r="G22" i="62" s="1"/>
  <c r="F22" i="62" a="1"/>
  <c r="F22" i="62" s="1"/>
  <c r="E22" i="62" a="1"/>
  <c r="E22" i="62" s="1"/>
  <c r="D22" i="62" a="1"/>
  <c r="D22" i="62" s="1"/>
  <c r="C22" i="62" a="1"/>
  <c r="C22" i="62" s="1"/>
  <c r="H21" i="62" a="1"/>
  <c r="H21" i="62" s="1"/>
  <c r="G21" i="62" a="1"/>
  <c r="G21" i="62" s="1"/>
  <c r="F21" i="62" a="1"/>
  <c r="F21" i="62" s="1"/>
  <c r="E21" i="62" a="1"/>
  <c r="E21" i="62" s="1"/>
  <c r="D21" i="62" a="1"/>
  <c r="D21" i="62" s="1"/>
  <c r="C21" i="62" a="1"/>
  <c r="C21" i="62" s="1"/>
  <c r="H20" i="62" a="1"/>
  <c r="H20" i="62" s="1"/>
  <c r="G20" i="62" a="1"/>
  <c r="G20" i="62" s="1"/>
  <c r="F20" i="62" a="1"/>
  <c r="F20" i="62" s="1"/>
  <c r="E20" i="62" a="1"/>
  <c r="E20" i="62" s="1"/>
  <c r="D20" i="62" a="1"/>
  <c r="D20" i="62" s="1"/>
  <c r="C20" i="62" a="1"/>
  <c r="C20" i="62" s="1"/>
  <c r="H19" i="62" a="1"/>
  <c r="H19" i="62" s="1"/>
  <c r="G19" i="62" a="1"/>
  <c r="G19" i="62" s="1"/>
  <c r="F19" i="62" a="1"/>
  <c r="F19" i="62" s="1"/>
  <c r="E19" i="62" a="1"/>
  <c r="E19" i="62" s="1"/>
  <c r="D19" i="62" a="1"/>
  <c r="D19" i="62" s="1"/>
  <c r="C19" i="62" a="1"/>
  <c r="C19" i="62" s="1"/>
  <c r="H18" i="62" a="1"/>
  <c r="H18" i="62" s="1"/>
  <c r="G18" i="62" a="1"/>
  <c r="G18" i="62" s="1"/>
  <c r="F18" i="62" a="1"/>
  <c r="F18" i="62" s="1"/>
  <c r="E18" i="62" a="1"/>
  <c r="E18" i="62" s="1"/>
  <c r="D18" i="62" a="1"/>
  <c r="D18" i="62" s="1"/>
  <c r="C18" i="62" a="1"/>
  <c r="C18" i="62" s="1"/>
  <c r="H17" i="62" a="1"/>
  <c r="H17" i="62" s="1"/>
  <c r="G17" i="62" a="1"/>
  <c r="G17" i="62" s="1"/>
  <c r="F17" i="62" a="1"/>
  <c r="F17" i="62" s="1"/>
  <c r="E17" i="62" a="1"/>
  <c r="E17" i="62" s="1"/>
  <c r="D17" i="62" a="1"/>
  <c r="D17" i="62" s="1"/>
  <c r="C17" i="62" a="1"/>
  <c r="C17" i="62" s="1"/>
  <c r="H16" i="62" a="1"/>
  <c r="H16" i="62" s="1"/>
  <c r="G16" i="62" a="1"/>
  <c r="G16" i="62" s="1"/>
  <c r="F16" i="62" a="1"/>
  <c r="F16" i="62" s="1"/>
  <c r="E16" i="62" a="1"/>
  <c r="E16" i="62" s="1"/>
  <c r="D16" i="62" a="1"/>
  <c r="D16" i="62" s="1"/>
  <c r="C16" i="62" a="1"/>
  <c r="C16" i="62" s="1"/>
  <c r="H15" i="62" a="1"/>
  <c r="H15" i="62" s="1"/>
  <c r="G15" i="62" a="1"/>
  <c r="G15" i="62" s="1"/>
  <c r="F15" i="62" a="1"/>
  <c r="F15" i="62" s="1"/>
  <c r="E15" i="62" a="1"/>
  <c r="E15" i="62" s="1"/>
  <c r="D15" i="62" a="1"/>
  <c r="D15" i="62" s="1"/>
  <c r="C15" i="62" a="1"/>
  <c r="C15" i="62" s="1"/>
  <c r="H14" i="62" a="1"/>
  <c r="H14" i="62" s="1"/>
  <c r="G14" i="62" a="1"/>
  <c r="G14" i="62" s="1"/>
  <c r="F14" i="62" a="1"/>
  <c r="F14" i="62" s="1"/>
  <c r="E14" i="62" a="1"/>
  <c r="E14" i="62" s="1"/>
  <c r="D14" i="62" a="1"/>
  <c r="D14" i="62" s="1"/>
  <c r="C14" i="62" a="1"/>
  <c r="C14" i="62" s="1"/>
  <c r="H13" i="62" a="1"/>
  <c r="H13" i="62" s="1"/>
  <c r="G13" i="62" a="1"/>
  <c r="G13" i="62" s="1"/>
  <c r="F13" i="62" a="1"/>
  <c r="F13" i="62" s="1"/>
  <c r="E13" i="62" a="1"/>
  <c r="E13" i="62" s="1"/>
  <c r="D13" i="62" a="1"/>
  <c r="D13" i="62" s="1"/>
  <c r="C13" i="62" a="1"/>
  <c r="C13" i="62" s="1"/>
  <c r="H12" i="62" a="1"/>
  <c r="H12" i="62" s="1"/>
  <c r="G12" i="62" a="1"/>
  <c r="G12" i="62" s="1"/>
  <c r="F12" i="62" a="1"/>
  <c r="F12" i="62" s="1"/>
  <c r="E12" i="62" a="1"/>
  <c r="E12" i="62" s="1"/>
  <c r="D12" i="62" a="1"/>
  <c r="D12" i="62" s="1"/>
  <c r="C12" i="62" a="1"/>
  <c r="C12" i="62" s="1"/>
  <c r="H11" i="62" a="1"/>
  <c r="H11" i="62" s="1"/>
  <c r="G11" i="62" a="1"/>
  <c r="G11" i="62" s="1"/>
  <c r="F11" i="62" a="1"/>
  <c r="F11" i="62" s="1"/>
  <c r="E11" i="62" a="1"/>
  <c r="E11" i="62" s="1"/>
  <c r="D11" i="62" a="1"/>
  <c r="D11" i="62" s="1"/>
  <c r="C11" i="62" a="1"/>
  <c r="C11" i="62" s="1"/>
  <c r="H10" i="62" a="1"/>
  <c r="H10" i="62" s="1"/>
  <c r="G10" i="62" a="1"/>
  <c r="G10" i="62" s="1"/>
  <c r="F10" i="62" a="1"/>
  <c r="F10" i="62" s="1"/>
  <c r="E10" i="62" a="1"/>
  <c r="E10" i="62" s="1"/>
  <c r="D10" i="62" a="1"/>
  <c r="D10" i="62" s="1"/>
  <c r="C10" i="62" a="1"/>
  <c r="C10" i="62" s="1"/>
  <c r="H9" i="62" a="1"/>
  <c r="H9" i="62" s="1"/>
  <c r="G9" i="62" a="1"/>
  <c r="G9" i="62" s="1"/>
  <c r="F9" i="62" a="1"/>
  <c r="F9" i="62" s="1"/>
  <c r="E9" i="62" a="1"/>
  <c r="E9" i="62" s="1"/>
  <c r="D9" i="62" a="1"/>
  <c r="D9" i="62" s="1"/>
  <c r="C9" i="62" a="1"/>
  <c r="C9" i="62" s="1"/>
  <c r="H8" i="62" a="1"/>
  <c r="H8" i="62" s="1"/>
  <c r="G8" i="62" a="1"/>
  <c r="G8" i="62" s="1"/>
  <c r="F8" i="62" a="1"/>
  <c r="F8" i="62" s="1"/>
  <c r="E8" i="62" a="1"/>
  <c r="E8" i="62" s="1"/>
  <c r="D8" i="62" a="1"/>
  <c r="D8" i="62" s="1"/>
  <c r="C8" i="62" a="1"/>
  <c r="C8" i="62" s="1"/>
  <c r="H7" i="62" a="1"/>
  <c r="H7" i="62" s="1"/>
  <c r="G7" i="62" a="1"/>
  <c r="G7" i="62" s="1"/>
  <c r="F7" i="62" a="1"/>
  <c r="F7" i="62" s="1"/>
  <c r="E7" i="62" a="1"/>
  <c r="E7" i="62" s="1"/>
  <c r="D7" i="62" a="1"/>
  <c r="D7" i="62" s="1"/>
  <c r="C7" i="62" a="1"/>
  <c r="C7" i="62" s="1"/>
  <c r="H6" i="62" a="1"/>
  <c r="H6" i="62" s="1"/>
  <c r="G6" i="62" a="1"/>
  <c r="G6" i="62" s="1"/>
  <c r="F6" i="62" a="1"/>
  <c r="F6" i="62" s="1"/>
  <c r="E6" i="62" a="1"/>
  <c r="E6" i="62" s="1"/>
  <c r="D6" i="62" a="1"/>
  <c r="D6" i="62" s="1"/>
  <c r="C6" i="62" a="1"/>
  <c r="C6" i="62" s="1"/>
  <c r="H5" i="62" a="1"/>
  <c r="H5" i="62" s="1"/>
  <c r="G5" i="62" a="1"/>
  <c r="G5" i="62" s="1"/>
  <c r="F5" i="62" a="1"/>
  <c r="F5" i="62" s="1"/>
  <c r="E5" i="62" a="1"/>
  <c r="E5" i="62" s="1"/>
  <c r="D5" i="62" a="1"/>
  <c r="D5" i="62" s="1"/>
  <c r="C5" i="62" a="1"/>
  <c r="C5" i="62" s="1"/>
  <c r="H4" i="62" a="1"/>
  <c r="H4" i="62" s="1"/>
  <c r="G4" i="62" a="1"/>
  <c r="G4" i="62" s="1"/>
  <c r="F4" i="62" a="1"/>
  <c r="F4" i="62" s="1"/>
  <c r="E4" i="62" a="1"/>
  <c r="E4" i="62" s="1"/>
  <c r="D4" i="62" a="1"/>
  <c r="D4" i="62" s="1"/>
  <c r="C4" i="62" a="1"/>
  <c r="C4" i="62" s="1"/>
  <c r="H3" i="62" a="1"/>
  <c r="H3" i="62" s="1"/>
  <c r="G3" i="62" a="1"/>
  <c r="G3" i="62" s="1"/>
  <c r="F3" i="62" a="1"/>
  <c r="F3" i="62" s="1"/>
  <c r="E3" i="62" a="1"/>
  <c r="E3" i="62" s="1"/>
  <c r="D3" i="62" a="1"/>
  <c r="D3" i="62" s="1"/>
  <c r="C3" i="62" a="1"/>
  <c r="C3" i="62" s="1"/>
  <c r="L34" i="63"/>
  <c r="L35" i="63"/>
  <c r="L36" i="63"/>
  <c r="L37" i="63"/>
  <c r="L38" i="63"/>
  <c r="L39" i="63"/>
  <c r="L40" i="63"/>
  <c r="L41" i="63"/>
  <c r="L42" i="63"/>
  <c r="L43" i="63"/>
  <c r="L44" i="63"/>
  <c r="L45" i="63"/>
  <c r="L46" i="63"/>
  <c r="L47" i="63"/>
  <c r="L48" i="63"/>
  <c r="L49" i="63"/>
  <c r="L50" i="63"/>
  <c r="L51" i="63"/>
  <c r="L52" i="63"/>
  <c r="L53" i="63"/>
  <c r="L54" i="63"/>
  <c r="L55" i="63"/>
  <c r="L56" i="63"/>
  <c r="L57" i="63"/>
  <c r="L58" i="63"/>
  <c r="L59" i="63"/>
  <c r="L60" i="63"/>
  <c r="L61" i="63"/>
  <c r="L62" i="63"/>
  <c r="L63" i="63"/>
  <c r="L64" i="63"/>
  <c r="L65" i="63"/>
  <c r="L66" i="63"/>
  <c r="L67" i="63"/>
  <c r="L68" i="63"/>
  <c r="L33" i="63"/>
  <c r="F32" i="63" a="1"/>
  <c r="F32" i="63" s="1"/>
  <c r="H54" i="60" a="1"/>
  <c r="H54" i="60" s="1"/>
  <c r="G54" i="60" a="1"/>
  <c r="G54" i="60" s="1"/>
  <c r="F54" i="60" a="1"/>
  <c r="F54" i="60" s="1"/>
  <c r="E54" i="60" a="1"/>
  <c r="E54" i="60" s="1"/>
  <c r="D54" i="60" a="1"/>
  <c r="D54" i="60" s="1"/>
  <c r="C54" i="60"/>
  <c r="C54" i="60" a="1"/>
  <c r="H53" i="60" a="1"/>
  <c r="H53" i="60" s="1"/>
  <c r="G53" i="60" a="1"/>
  <c r="G53" i="60" s="1"/>
  <c r="F53" i="60" a="1"/>
  <c r="F53" i="60" s="1"/>
  <c r="E53" i="60" a="1"/>
  <c r="E53" i="60" s="1"/>
  <c r="D53" i="60" a="1"/>
  <c r="D53" i="60" s="1"/>
  <c r="C53" i="60" a="1"/>
  <c r="C53" i="60" s="1"/>
  <c r="H52" i="60" a="1"/>
  <c r="H52" i="60" s="1"/>
  <c r="G52" i="60" a="1"/>
  <c r="G52" i="60" s="1"/>
  <c r="F52" i="60" a="1"/>
  <c r="F52" i="60" s="1"/>
  <c r="E52" i="60"/>
  <c r="E52" i="60" a="1"/>
  <c r="D52" i="60" a="1"/>
  <c r="D52" i="60" s="1"/>
  <c r="C52" i="60" a="1"/>
  <c r="C52" i="60" s="1"/>
  <c r="H51" i="60" a="1"/>
  <c r="H51" i="60" s="1"/>
  <c r="G51" i="60" a="1"/>
  <c r="G51" i="60" s="1"/>
  <c r="F51" i="60" a="1"/>
  <c r="F51" i="60" s="1"/>
  <c r="E51" i="60" a="1"/>
  <c r="E51" i="60" s="1"/>
  <c r="D51" i="60" a="1"/>
  <c r="D51" i="60" s="1"/>
  <c r="C51" i="60" a="1"/>
  <c r="C51" i="60" s="1"/>
  <c r="H50" i="60" a="1"/>
  <c r="H50" i="60" s="1"/>
  <c r="G50" i="60"/>
  <c r="G50" i="60" a="1"/>
  <c r="F50" i="60" a="1"/>
  <c r="F50" i="60" s="1"/>
  <c r="E50" i="60" a="1"/>
  <c r="E50" i="60" s="1"/>
  <c r="D50" i="60" a="1"/>
  <c r="D50" i="60" s="1"/>
  <c r="C50" i="60" a="1"/>
  <c r="C50" i="60" s="1"/>
  <c r="H49" i="60" a="1"/>
  <c r="H49" i="60" s="1"/>
  <c r="G49" i="60" a="1"/>
  <c r="G49" i="60" s="1"/>
  <c r="F49" i="60" a="1"/>
  <c r="F49" i="60" s="1"/>
  <c r="E49" i="60" a="1"/>
  <c r="E49" i="60" s="1"/>
  <c r="D49" i="60" a="1"/>
  <c r="D49" i="60" s="1"/>
  <c r="C49" i="60"/>
  <c r="C49" i="60" a="1"/>
  <c r="H48" i="60" a="1"/>
  <c r="H48" i="60" s="1"/>
  <c r="G48" i="60" a="1"/>
  <c r="G48" i="60" s="1"/>
  <c r="F48" i="60" a="1"/>
  <c r="F48" i="60" s="1"/>
  <c r="E48" i="60" a="1"/>
  <c r="E48" i="60" s="1"/>
  <c r="D48" i="60" a="1"/>
  <c r="D48" i="60" s="1"/>
  <c r="C48" i="60" a="1"/>
  <c r="C48" i="60" s="1"/>
  <c r="H47" i="60" a="1"/>
  <c r="H47" i="60" s="1"/>
  <c r="G47" i="60" a="1"/>
  <c r="G47" i="60" s="1"/>
  <c r="F47" i="60" a="1"/>
  <c r="F47" i="60" s="1"/>
  <c r="E47" i="60"/>
  <c r="E47" i="60" a="1"/>
  <c r="D47" i="60" a="1"/>
  <c r="D47" i="60" s="1"/>
  <c r="C47" i="60" a="1"/>
  <c r="C47" i="60" s="1"/>
  <c r="H46" i="60" a="1"/>
  <c r="H46" i="60" s="1"/>
  <c r="G46" i="60" a="1"/>
  <c r="G46" i="60" s="1"/>
  <c r="F46" i="60" a="1"/>
  <c r="F46" i="60" s="1"/>
  <c r="E46" i="60" a="1"/>
  <c r="E46" i="60" s="1"/>
  <c r="D46" i="60" a="1"/>
  <c r="D46" i="60" s="1"/>
  <c r="C46" i="60" a="1"/>
  <c r="C46" i="60" s="1"/>
  <c r="H45" i="60" a="1"/>
  <c r="H45" i="60" s="1"/>
  <c r="G45" i="60"/>
  <c r="G45" i="60" a="1"/>
  <c r="F45" i="60" a="1"/>
  <c r="F45" i="60" s="1"/>
  <c r="E45" i="60" a="1"/>
  <c r="E45" i="60" s="1"/>
  <c r="D45" i="60" a="1"/>
  <c r="D45" i="60" s="1"/>
  <c r="C45" i="60" a="1"/>
  <c r="C45" i="60" s="1"/>
  <c r="H44" i="60" a="1"/>
  <c r="H44" i="60" s="1"/>
  <c r="G44" i="60" a="1"/>
  <c r="G44" i="60" s="1"/>
  <c r="F44" i="60" a="1"/>
  <c r="F44" i="60" s="1"/>
  <c r="E44" i="60" a="1"/>
  <c r="E44" i="60" s="1"/>
  <c r="D44" i="60" a="1"/>
  <c r="D44" i="60" s="1"/>
  <c r="C44" i="60"/>
  <c r="C44" i="60" a="1"/>
  <c r="H43" i="60" a="1"/>
  <c r="H43" i="60" s="1"/>
  <c r="G43" i="60" a="1"/>
  <c r="G43" i="60" s="1"/>
  <c r="F43" i="60" a="1"/>
  <c r="F43" i="60" s="1"/>
  <c r="E43" i="60" a="1"/>
  <c r="E43" i="60" s="1"/>
  <c r="D43" i="60" a="1"/>
  <c r="D43" i="60" s="1"/>
  <c r="C43" i="60" a="1"/>
  <c r="C43" i="60" s="1"/>
  <c r="H42" i="60" a="1"/>
  <c r="H42" i="60" s="1"/>
  <c r="G42" i="60" a="1"/>
  <c r="G42" i="60" s="1"/>
  <c r="F42" i="60" a="1"/>
  <c r="F42" i="60" s="1"/>
  <c r="E42" i="60"/>
  <c r="E42" i="60" a="1"/>
  <c r="D42" i="60" a="1"/>
  <c r="D42" i="60" s="1"/>
  <c r="C42" i="60" a="1"/>
  <c r="C42" i="60" s="1"/>
  <c r="H41" i="60" a="1"/>
  <c r="H41" i="60" s="1"/>
  <c r="G41" i="60" a="1"/>
  <c r="G41" i="60" s="1"/>
  <c r="F41" i="60" a="1"/>
  <c r="F41" i="60" s="1"/>
  <c r="E41" i="60" a="1"/>
  <c r="E41" i="60" s="1"/>
  <c r="D41" i="60" a="1"/>
  <c r="D41" i="60" s="1"/>
  <c r="C41" i="60" a="1"/>
  <c r="C41" i="60" s="1"/>
  <c r="H40" i="60" a="1"/>
  <c r="H40" i="60" s="1"/>
  <c r="G40" i="60"/>
  <c r="G40" i="60" a="1"/>
  <c r="F40" i="60" a="1"/>
  <c r="F40" i="60" s="1"/>
  <c r="E40" i="60" a="1"/>
  <c r="E40" i="60" s="1"/>
  <c r="D40" i="60" a="1"/>
  <c r="D40" i="60" s="1"/>
  <c r="C40" i="60" a="1"/>
  <c r="C40" i="60" s="1"/>
  <c r="H39" i="60" a="1"/>
  <c r="H39" i="60" s="1"/>
  <c r="G39" i="60" a="1"/>
  <c r="G39" i="60" s="1"/>
  <c r="F39" i="60" a="1"/>
  <c r="F39" i="60" s="1"/>
  <c r="E39" i="60" a="1"/>
  <c r="E39" i="60" s="1"/>
  <c r="D39" i="60" a="1"/>
  <c r="D39" i="60" s="1"/>
  <c r="C39" i="60"/>
  <c r="C39" i="60" a="1"/>
  <c r="H38" i="60" a="1"/>
  <c r="H38" i="60" s="1"/>
  <c r="G38" i="60" a="1"/>
  <c r="G38" i="60" s="1"/>
  <c r="F38" i="60" a="1"/>
  <c r="F38" i="60" s="1"/>
  <c r="E38" i="60" a="1"/>
  <c r="E38" i="60" s="1"/>
  <c r="D38" i="60" a="1"/>
  <c r="D38" i="60" s="1"/>
  <c r="C38" i="60" a="1"/>
  <c r="C38" i="60" s="1"/>
  <c r="H37" i="60" a="1"/>
  <c r="H37" i="60" s="1"/>
  <c r="G37" i="60" a="1"/>
  <c r="G37" i="60" s="1"/>
  <c r="F37" i="60" a="1"/>
  <c r="F37" i="60" s="1"/>
  <c r="E37" i="60"/>
  <c r="E37" i="60" a="1"/>
  <c r="D37" i="60" a="1"/>
  <c r="D37" i="60" s="1"/>
  <c r="C37" i="60" a="1"/>
  <c r="C37" i="60" s="1"/>
  <c r="H36" i="60" a="1"/>
  <c r="H36" i="60" s="1"/>
  <c r="G36" i="60" a="1"/>
  <c r="G36" i="60" s="1"/>
  <c r="F36" i="60" a="1"/>
  <c r="F36" i="60" s="1"/>
  <c r="E36" i="60" a="1"/>
  <c r="E36" i="60" s="1"/>
  <c r="D36" i="60" a="1"/>
  <c r="D36" i="60" s="1"/>
  <c r="C36" i="60" a="1"/>
  <c r="C36" i="60" s="1"/>
  <c r="H35" i="60" a="1"/>
  <c r="H35" i="60" s="1"/>
  <c r="G35" i="60"/>
  <c r="G35" i="60" a="1"/>
  <c r="F35" i="60" a="1"/>
  <c r="F35" i="60" s="1"/>
  <c r="E35" i="60" a="1"/>
  <c r="E35" i="60" s="1"/>
  <c r="D35" i="60" a="1"/>
  <c r="D35" i="60" s="1"/>
  <c r="C35" i="60" a="1"/>
  <c r="C35" i="60" s="1"/>
  <c r="H34" i="60" a="1"/>
  <c r="H34" i="60" s="1"/>
  <c r="G34" i="60" a="1"/>
  <c r="G34" i="60" s="1"/>
  <c r="F34" i="60" a="1"/>
  <c r="F34" i="60" s="1"/>
  <c r="E34" i="60" a="1"/>
  <c r="E34" i="60" s="1"/>
  <c r="D34" i="60" a="1"/>
  <c r="D34" i="60" s="1"/>
  <c r="C34" i="60"/>
  <c r="C34" i="60" a="1"/>
  <c r="H33" i="60" a="1"/>
  <c r="H33" i="60" s="1"/>
  <c r="G33" i="60" a="1"/>
  <c r="G33" i="60" s="1"/>
  <c r="F33" i="60" a="1"/>
  <c r="F33" i="60" s="1"/>
  <c r="E33" i="60" a="1"/>
  <c r="E33" i="60" s="1"/>
  <c r="D33" i="60" a="1"/>
  <c r="D33" i="60" s="1"/>
  <c r="C33" i="60" a="1"/>
  <c r="C33" i="60" s="1"/>
  <c r="H32" i="60" a="1"/>
  <c r="H32" i="60" s="1"/>
  <c r="G32" i="60" a="1"/>
  <c r="G32" i="60" s="1"/>
  <c r="F32" i="60" a="1"/>
  <c r="F32" i="60" s="1"/>
  <c r="E32" i="60"/>
  <c r="E32" i="60" a="1"/>
  <c r="D32" i="60" a="1"/>
  <c r="D32" i="60" s="1"/>
  <c r="C32" i="60" a="1"/>
  <c r="C32" i="60" s="1"/>
  <c r="H31" i="60"/>
  <c r="H31" i="60" a="1"/>
  <c r="G31" i="60" a="1"/>
  <c r="G31" i="60" s="1"/>
  <c r="F31" i="60" a="1"/>
  <c r="F31" i="60" s="1"/>
  <c r="E31" i="60" a="1"/>
  <c r="E31" i="60" s="1"/>
  <c r="D31" i="60" a="1"/>
  <c r="D31" i="60" s="1"/>
  <c r="C31" i="60" a="1"/>
  <c r="C31" i="60" s="1"/>
  <c r="H30" i="60" a="1"/>
  <c r="H30" i="60" s="1"/>
  <c r="G30" i="60"/>
  <c r="G30" i="60" a="1"/>
  <c r="F30" i="60" a="1"/>
  <c r="F30" i="60" s="1"/>
  <c r="E30" i="60" a="1"/>
  <c r="E30" i="60" s="1"/>
  <c r="D30" i="60" a="1"/>
  <c r="D30" i="60" s="1"/>
  <c r="C30" i="60" a="1"/>
  <c r="C30" i="60" s="1"/>
  <c r="H29" i="60" a="1"/>
  <c r="H29" i="60" s="1"/>
  <c r="G29" i="60" a="1"/>
  <c r="G29" i="60" s="1"/>
  <c r="F29" i="60" a="1"/>
  <c r="F29" i="60" s="1"/>
  <c r="E29" i="60" a="1"/>
  <c r="E29" i="60" s="1"/>
  <c r="D29" i="60" a="1"/>
  <c r="D29" i="60" s="1"/>
  <c r="C29" i="60"/>
  <c r="C29" i="60" a="1"/>
  <c r="H28" i="60" a="1"/>
  <c r="H28" i="60" s="1"/>
  <c r="G28" i="60" a="1"/>
  <c r="G28" i="60" s="1"/>
  <c r="F28" i="60"/>
  <c r="F28" i="60" a="1"/>
  <c r="E28" i="60" a="1"/>
  <c r="E28" i="60" s="1"/>
  <c r="D28" i="60" a="1"/>
  <c r="D28" i="60" s="1"/>
  <c r="C28" i="60" a="1"/>
  <c r="C28" i="60" s="1"/>
  <c r="H27" i="60" a="1"/>
  <c r="H27" i="60" s="1"/>
  <c r="G27" i="60" a="1"/>
  <c r="G27" i="60" s="1"/>
  <c r="F27" i="60" a="1"/>
  <c r="F27" i="60" s="1"/>
  <c r="E27" i="60"/>
  <c r="E27" i="60" a="1"/>
  <c r="D27" i="60" a="1"/>
  <c r="D27" i="60" s="1"/>
  <c r="C27" i="60" a="1"/>
  <c r="C27" i="60" s="1"/>
  <c r="H26" i="60" a="1"/>
  <c r="H26" i="60" s="1"/>
  <c r="G26" i="60" a="1"/>
  <c r="G26" i="60" s="1"/>
  <c r="F26" i="60" a="1"/>
  <c r="F26" i="60" s="1"/>
  <c r="E26" i="60" a="1"/>
  <c r="E26" i="60" s="1"/>
  <c r="D26" i="60" a="1"/>
  <c r="D26" i="60" s="1"/>
  <c r="C26" i="60" a="1"/>
  <c r="C26" i="60" s="1"/>
  <c r="H25" i="60" a="1"/>
  <c r="H25" i="60" s="1"/>
  <c r="G25" i="60"/>
  <c r="G25" i="60" a="1"/>
  <c r="F25" i="60" a="1"/>
  <c r="F25" i="60" s="1"/>
  <c r="E25" i="60" a="1"/>
  <c r="E25" i="60" s="1"/>
  <c r="D25" i="60" a="1"/>
  <c r="D25" i="60" s="1"/>
  <c r="C25" i="60" a="1"/>
  <c r="C25" i="60" s="1"/>
  <c r="H24" i="60" a="1"/>
  <c r="H24" i="60" s="1"/>
  <c r="G24" i="60" a="1"/>
  <c r="G24" i="60" s="1"/>
  <c r="F24" i="60" a="1"/>
  <c r="F24" i="60" s="1"/>
  <c r="E24" i="60" a="1"/>
  <c r="E24" i="60" s="1"/>
  <c r="D24" i="60" a="1"/>
  <c r="D24" i="60" s="1"/>
  <c r="C24" i="60"/>
  <c r="C24" i="60" a="1"/>
  <c r="H23" i="60" a="1"/>
  <c r="H23" i="60" s="1"/>
  <c r="G23" i="60" a="1"/>
  <c r="G23" i="60" s="1"/>
  <c r="F23" i="60" a="1"/>
  <c r="F23" i="60" s="1"/>
  <c r="E23" i="60" a="1"/>
  <c r="E23" i="60" s="1"/>
  <c r="D23" i="60" a="1"/>
  <c r="D23" i="60" s="1"/>
  <c r="C23" i="60" a="1"/>
  <c r="C23" i="60" s="1"/>
  <c r="H22" i="60" a="1"/>
  <c r="H22" i="60" s="1"/>
  <c r="G22" i="60" a="1"/>
  <c r="G22" i="60" s="1"/>
  <c r="F22" i="60" a="1"/>
  <c r="F22" i="60" s="1"/>
  <c r="E22" i="60"/>
  <c r="E22" i="60" a="1"/>
  <c r="D22" i="60" a="1"/>
  <c r="D22" i="60" s="1"/>
  <c r="C22" i="60" a="1"/>
  <c r="C22" i="60" s="1"/>
  <c r="H21" i="60" a="1"/>
  <c r="H21" i="60" s="1"/>
  <c r="G21" i="60" a="1"/>
  <c r="G21" i="60" s="1"/>
  <c r="F21" i="60" a="1"/>
  <c r="F21" i="60" s="1"/>
  <c r="E21" i="60" a="1"/>
  <c r="E21" i="60" s="1"/>
  <c r="D21" i="60" a="1"/>
  <c r="D21" i="60" s="1"/>
  <c r="C21" i="60" a="1"/>
  <c r="C21" i="60" s="1"/>
  <c r="H20" i="60" a="1"/>
  <c r="H20" i="60" s="1"/>
  <c r="G20" i="60"/>
  <c r="G20" i="60" a="1"/>
  <c r="F20" i="60" a="1"/>
  <c r="F20" i="60" s="1"/>
  <c r="E20" i="60" a="1"/>
  <c r="E20" i="60" s="1"/>
  <c r="D20" i="60" a="1"/>
  <c r="D20" i="60" s="1"/>
  <c r="C20" i="60" a="1"/>
  <c r="C20" i="60" s="1"/>
  <c r="H19" i="60" a="1"/>
  <c r="H19" i="60" s="1"/>
  <c r="G19" i="60" a="1"/>
  <c r="G19" i="60" s="1"/>
  <c r="F19" i="60" a="1"/>
  <c r="F19" i="60" s="1"/>
  <c r="E19" i="60" a="1"/>
  <c r="E19" i="60" s="1"/>
  <c r="D19" i="60" a="1"/>
  <c r="D19" i="60" s="1"/>
  <c r="C19" i="60"/>
  <c r="C19" i="60" a="1"/>
  <c r="H18" i="60" a="1"/>
  <c r="H18" i="60" s="1"/>
  <c r="G18" i="60" a="1"/>
  <c r="G18" i="60" s="1"/>
  <c r="F18" i="60" a="1"/>
  <c r="F18" i="60" s="1"/>
  <c r="E18" i="60" a="1"/>
  <c r="E18" i="60" s="1"/>
  <c r="D18" i="60" a="1"/>
  <c r="D18" i="60" s="1"/>
  <c r="C18" i="60" a="1"/>
  <c r="C18" i="60" s="1"/>
  <c r="H17" i="60" a="1"/>
  <c r="H17" i="60" s="1"/>
  <c r="G17" i="60" a="1"/>
  <c r="G17" i="60" s="1"/>
  <c r="F17" i="60" a="1"/>
  <c r="F17" i="60" s="1"/>
  <c r="E17" i="60"/>
  <c r="E17" i="60" a="1"/>
  <c r="D17" i="60" a="1"/>
  <c r="D17" i="60" s="1"/>
  <c r="C17" i="60" a="1"/>
  <c r="C17" i="60" s="1"/>
  <c r="H16" i="60" a="1"/>
  <c r="H16" i="60" s="1"/>
  <c r="G16" i="60"/>
  <c r="G16" i="60" a="1"/>
  <c r="F16" i="60" a="1"/>
  <c r="F16" i="60" s="1"/>
  <c r="E16" i="60" a="1"/>
  <c r="E16" i="60" s="1"/>
  <c r="D16" i="60" a="1"/>
  <c r="D16" i="60" s="1"/>
  <c r="C16" i="60" a="1"/>
  <c r="C16" i="60" s="1"/>
  <c r="H15" i="60" a="1"/>
  <c r="H15" i="60" s="1"/>
  <c r="G15" i="60"/>
  <c r="G15" i="60" a="1"/>
  <c r="F15" i="60" a="1"/>
  <c r="F15" i="60" s="1"/>
  <c r="E15" i="60" a="1"/>
  <c r="E15" i="60" s="1"/>
  <c r="D15" i="60" a="1"/>
  <c r="D15" i="60" s="1"/>
  <c r="C15" i="60" a="1"/>
  <c r="C15" i="60" s="1"/>
  <c r="H14" i="60" a="1"/>
  <c r="H14" i="60" s="1"/>
  <c r="G14" i="60" a="1"/>
  <c r="G14" i="60" s="1"/>
  <c r="F14" i="60" a="1"/>
  <c r="F14" i="60" s="1"/>
  <c r="E14" i="60" a="1"/>
  <c r="E14" i="60" s="1"/>
  <c r="D14" i="60" a="1"/>
  <c r="D14" i="60" s="1"/>
  <c r="C14" i="60"/>
  <c r="C14" i="60" a="1"/>
  <c r="H13" i="60" a="1"/>
  <c r="H13" i="60" s="1"/>
  <c r="G13" i="60" a="1"/>
  <c r="G13" i="60" s="1"/>
  <c r="F13" i="60" a="1"/>
  <c r="F13" i="60" s="1"/>
  <c r="E13" i="60"/>
  <c r="E13" i="60" a="1"/>
  <c r="D13" i="60" a="1"/>
  <c r="D13" i="60" s="1"/>
  <c r="C13" i="60" a="1"/>
  <c r="C13" i="60" s="1"/>
  <c r="H12" i="60" a="1"/>
  <c r="H12" i="60" s="1"/>
  <c r="G12" i="60" a="1"/>
  <c r="G12" i="60" s="1"/>
  <c r="F12" i="60" a="1"/>
  <c r="F12" i="60" s="1"/>
  <c r="E12" i="60"/>
  <c r="E12" i="60" a="1"/>
  <c r="D12" i="60" a="1"/>
  <c r="D12" i="60" s="1"/>
  <c r="C12" i="60" a="1"/>
  <c r="C12" i="60" s="1"/>
  <c r="H11" i="60" a="1"/>
  <c r="H11" i="60" s="1"/>
  <c r="G11" i="60" a="1"/>
  <c r="G11" i="60" s="1"/>
  <c r="F11" i="60" a="1"/>
  <c r="F11" i="60" s="1"/>
  <c r="E11" i="60" a="1"/>
  <c r="E11" i="60" s="1"/>
  <c r="D11" i="60" a="1"/>
  <c r="D11" i="60" s="1"/>
  <c r="C11" i="60" a="1"/>
  <c r="C11" i="60" s="1"/>
  <c r="H10" i="60" a="1"/>
  <c r="H10" i="60" s="1"/>
  <c r="G10" i="60"/>
  <c r="G10" i="60" a="1"/>
  <c r="F10" i="60" a="1"/>
  <c r="F10" i="60" s="1"/>
  <c r="E10" i="60" a="1"/>
  <c r="E10" i="60" s="1"/>
  <c r="D10" i="60" a="1"/>
  <c r="D10" i="60" s="1"/>
  <c r="C10" i="60" a="1"/>
  <c r="C10" i="60" s="1"/>
  <c r="H9" i="60" a="1"/>
  <c r="H9" i="60" s="1"/>
  <c r="G9" i="60" a="1"/>
  <c r="G9" i="60" s="1"/>
  <c r="F9" i="60" a="1"/>
  <c r="F9" i="60" s="1"/>
  <c r="E9" i="60" a="1"/>
  <c r="E9" i="60" s="1"/>
  <c r="D9" i="60" a="1"/>
  <c r="D9" i="60" s="1"/>
  <c r="C9" i="60"/>
  <c r="C9" i="60" a="1"/>
  <c r="H8" i="60" a="1"/>
  <c r="H8" i="60" s="1"/>
  <c r="G8" i="60" a="1"/>
  <c r="G8" i="60" s="1"/>
  <c r="F8" i="60" a="1"/>
  <c r="F8" i="60" s="1"/>
  <c r="E8" i="60" a="1"/>
  <c r="E8" i="60" s="1"/>
  <c r="D8" i="60" a="1"/>
  <c r="D8" i="60" s="1"/>
  <c r="C8" i="60" a="1"/>
  <c r="C8" i="60" s="1"/>
  <c r="H7" i="60" a="1"/>
  <c r="H7" i="60" s="1"/>
  <c r="G7" i="60" a="1"/>
  <c r="G7" i="60" s="1"/>
  <c r="F7" i="60" a="1"/>
  <c r="F7" i="60" s="1"/>
  <c r="E7" i="60"/>
  <c r="E7" i="60" a="1"/>
  <c r="D7" i="60" a="1"/>
  <c r="D7" i="60" s="1"/>
  <c r="C7" i="60" a="1"/>
  <c r="C7" i="60" s="1"/>
  <c r="H6" i="60" a="1"/>
  <c r="H6" i="60" s="1"/>
  <c r="G6" i="60" a="1"/>
  <c r="G6" i="60" s="1"/>
  <c r="F6" i="60" a="1"/>
  <c r="F6" i="60" s="1"/>
  <c r="E6" i="60" a="1"/>
  <c r="E6" i="60" s="1"/>
  <c r="D6" i="60" a="1"/>
  <c r="D6" i="60" s="1"/>
  <c r="C6" i="60" a="1"/>
  <c r="C6" i="60" s="1"/>
  <c r="H5" i="60" a="1"/>
  <c r="H5" i="60" s="1"/>
  <c r="G5" i="60"/>
  <c r="G5" i="60" a="1"/>
  <c r="F5" i="60" a="1"/>
  <c r="F5" i="60" s="1"/>
  <c r="E5" i="60" a="1"/>
  <c r="E5" i="60" s="1"/>
  <c r="D5" i="60" a="1"/>
  <c r="D5" i="60" s="1"/>
  <c r="C5" i="60" a="1"/>
  <c r="C5" i="60" s="1"/>
  <c r="H4" i="60" a="1"/>
  <c r="H4" i="60" s="1"/>
  <c r="G4" i="60" a="1"/>
  <c r="G4" i="60" s="1"/>
  <c r="F4" i="60" a="1"/>
  <c r="F4" i="60" s="1"/>
  <c r="E4" i="60" a="1"/>
  <c r="E4" i="60" s="1"/>
  <c r="D4" i="60" a="1"/>
  <c r="D4" i="60" s="1"/>
  <c r="C4" i="60"/>
  <c r="C4" i="60" a="1"/>
  <c r="H3" i="60" a="1"/>
  <c r="H3" i="60" s="1"/>
  <c r="G3" i="60" a="1"/>
  <c r="G3" i="60" s="1"/>
  <c r="F3" i="60" a="1"/>
  <c r="F3" i="60" s="1"/>
  <c r="E3" i="60" a="1"/>
  <c r="E3" i="60" s="1"/>
  <c r="D3" i="60" a="1"/>
  <c r="D3" i="60" s="1"/>
  <c r="C3" i="60" a="1"/>
  <c r="C3" i="60" s="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61"/>
  <c r="L66" i="61"/>
  <c r="L67" i="61"/>
  <c r="L68" i="61"/>
  <c r="L69" i="61"/>
  <c r="L32" i="61"/>
  <c r="F31" i="61" a="1"/>
  <c r="F31" i="61" s="1"/>
  <c r="W8" i="67"/>
  <c r="X8" i="67" s="1"/>
  <c r="W7" i="67"/>
  <c r="X7" i="67" s="1"/>
  <c r="W6" i="67"/>
  <c r="X6" i="67" s="1"/>
  <c r="W5" i="67"/>
  <c r="X5" i="67" s="1"/>
  <c r="W4" i="67"/>
  <c r="X4" i="67" s="1"/>
  <c r="Y54" i="62"/>
  <c r="AD54" i="62" s="1"/>
  <c r="Y53" i="62"/>
  <c r="AD53" i="62" s="1"/>
  <c r="Y52" i="62"/>
  <c r="AD52" i="62" s="1"/>
  <c r="Y51" i="62"/>
  <c r="AD51" i="62" s="1"/>
  <c r="Y50" i="62"/>
  <c r="AD50" i="62" s="1"/>
  <c r="Y49" i="62"/>
  <c r="AD49" i="62" s="1"/>
  <c r="Y48" i="62"/>
  <c r="Y47" i="62"/>
  <c r="AD47" i="62" s="1"/>
  <c r="Y46" i="62"/>
  <c r="AD46" i="62" s="1"/>
  <c r="Y45" i="62"/>
  <c r="AD45" i="62" s="1"/>
  <c r="Y44" i="62"/>
  <c r="AD44" i="62" s="1"/>
  <c r="Y43" i="62"/>
  <c r="AD43" i="62" s="1"/>
  <c r="Y42" i="62"/>
  <c r="AD42" i="62" s="1"/>
  <c r="Y41" i="62"/>
  <c r="AD41" i="62" s="1"/>
  <c r="Y40" i="62"/>
  <c r="AD40" i="62" s="1"/>
  <c r="Y39" i="62"/>
  <c r="AD39" i="62" s="1"/>
  <c r="Y38" i="62"/>
  <c r="AD38" i="62" s="1"/>
  <c r="Y37" i="62"/>
  <c r="AD37" i="62" s="1"/>
  <c r="Y36" i="62"/>
  <c r="AD36" i="62" s="1"/>
  <c r="Y35" i="62"/>
  <c r="AD35" i="62" s="1"/>
  <c r="Y34" i="62"/>
  <c r="AD34" i="62" s="1"/>
  <c r="Y33" i="62"/>
  <c r="AD33" i="62" s="1"/>
  <c r="Y32" i="62"/>
  <c r="Y31" i="62"/>
  <c r="AD31" i="62" s="1"/>
  <c r="Y30" i="62"/>
  <c r="AD30" i="62" s="1"/>
  <c r="Y29" i="62"/>
  <c r="AD29" i="62" s="1"/>
  <c r="Y28" i="62"/>
  <c r="AD28" i="62" s="1"/>
  <c r="Y27" i="62"/>
  <c r="AD27" i="62" s="1"/>
  <c r="Y26" i="62"/>
  <c r="AD26" i="62" s="1"/>
  <c r="Y25" i="62"/>
  <c r="AD25" i="62" s="1"/>
  <c r="Y24" i="62"/>
  <c r="AD24" i="62" s="1"/>
  <c r="Y23" i="62"/>
  <c r="Y22" i="62"/>
  <c r="AD22" i="62" s="1"/>
  <c r="Y21" i="62"/>
  <c r="AD21" i="62" s="1"/>
  <c r="Y20" i="62"/>
  <c r="AD20" i="62" s="1"/>
  <c r="Y19" i="62"/>
  <c r="AD19" i="62" s="1"/>
  <c r="Y18" i="62"/>
  <c r="AD18" i="62" s="1"/>
  <c r="Y17" i="62"/>
  <c r="AD17" i="62" s="1"/>
  <c r="Y16" i="62"/>
  <c r="AD16" i="62" s="1"/>
  <c r="Y15" i="62"/>
  <c r="AD15" i="62" s="1"/>
  <c r="Y14" i="62"/>
  <c r="AD14" i="62" s="1"/>
  <c r="Y13" i="62"/>
  <c r="AD12" i="62"/>
  <c r="Y12" i="62"/>
  <c r="Y11" i="62"/>
  <c r="AD11" i="62" s="1"/>
  <c r="Y10" i="62"/>
  <c r="AD10" i="62" s="1"/>
  <c r="Y9" i="62"/>
  <c r="AD9" i="62" s="1"/>
  <c r="Y8" i="62"/>
  <c r="AD8" i="62" s="1"/>
  <c r="Y7" i="62"/>
  <c r="AD7" i="62" s="1"/>
  <c r="Y6" i="62"/>
  <c r="AD6" i="62" s="1"/>
  <c r="Y5" i="62"/>
  <c r="AD5" i="62" s="1"/>
  <c r="Y4" i="62"/>
  <c r="AD4" i="62" s="1"/>
  <c r="AA3" i="62"/>
  <c r="Z3" i="62"/>
  <c r="X8" i="66"/>
  <c r="X7" i="66"/>
  <c r="W6" i="66"/>
  <c r="W5" i="66"/>
  <c r="X5" i="66" s="1"/>
  <c r="W4" i="66"/>
  <c r="X4" i="66" s="1"/>
  <c r="Y54" i="60"/>
  <c r="AD54" i="60" s="1"/>
  <c r="Y53" i="60"/>
  <c r="AD53" i="60" s="1"/>
  <c r="Y52" i="60"/>
  <c r="AD52" i="60" s="1"/>
  <c r="Y51" i="60"/>
  <c r="AD51" i="60" s="1"/>
  <c r="Y50" i="60"/>
  <c r="AD50" i="60" s="1"/>
  <c r="Y49" i="60"/>
  <c r="AD49" i="60" s="1"/>
  <c r="Y48" i="60"/>
  <c r="Y47" i="60"/>
  <c r="AD47" i="60" s="1"/>
  <c r="Y46" i="60"/>
  <c r="AD46" i="60" s="1"/>
  <c r="Y45" i="60"/>
  <c r="Y44" i="60"/>
  <c r="AD44" i="60" s="1"/>
  <c r="Y43" i="60"/>
  <c r="Y42" i="60"/>
  <c r="AD42" i="60" s="1"/>
  <c r="Y41" i="60"/>
  <c r="Y40" i="60"/>
  <c r="AD40" i="60" s="1"/>
  <c r="Y39" i="60"/>
  <c r="AD39" i="60" s="1"/>
  <c r="Y38" i="60"/>
  <c r="AD38" i="60" s="1"/>
  <c r="Y37" i="60"/>
  <c r="AD37" i="60" s="1"/>
  <c r="Y36" i="60"/>
  <c r="Y35" i="60"/>
  <c r="Y34" i="60"/>
  <c r="AD34" i="60" s="1"/>
  <c r="Y33" i="60"/>
  <c r="Y32" i="60"/>
  <c r="AD32" i="60" s="1"/>
  <c r="Y31" i="60"/>
  <c r="AD31" i="60" s="1"/>
  <c r="Y30" i="60"/>
  <c r="AD30" i="60" s="1"/>
  <c r="Y29" i="60"/>
  <c r="AD29" i="60" s="1"/>
  <c r="Y28" i="60"/>
  <c r="AD28" i="60" s="1"/>
  <c r="Y27" i="60"/>
  <c r="AD27" i="60" s="1"/>
  <c r="Y26" i="60"/>
  <c r="Y25" i="60"/>
  <c r="AD25" i="60" s="1"/>
  <c r="Y24" i="60"/>
  <c r="AD24" i="60" s="1"/>
  <c r="Y23" i="60"/>
  <c r="Y22" i="60"/>
  <c r="AD22" i="60" s="1"/>
  <c r="Y21" i="60"/>
  <c r="Y20" i="60"/>
  <c r="AD20" i="60" s="1"/>
  <c r="Y19" i="60"/>
  <c r="AD19" i="60" s="1"/>
  <c r="Y18" i="60"/>
  <c r="AD18" i="60" s="1"/>
  <c r="Y17" i="60"/>
  <c r="AD17" i="60" s="1"/>
  <c r="Y16" i="60"/>
  <c r="AD16" i="60" s="1"/>
  <c r="Y15" i="60"/>
  <c r="AD15" i="60" s="1"/>
  <c r="Y14" i="60"/>
  <c r="AD14" i="60" s="1"/>
  <c r="Y13" i="60"/>
  <c r="AD13" i="60" s="1"/>
  <c r="Y12" i="60"/>
  <c r="AD12" i="60" s="1"/>
  <c r="Y11" i="60"/>
  <c r="AD11" i="60" s="1"/>
  <c r="Y10" i="60"/>
  <c r="Y9" i="60"/>
  <c r="AD9" i="60" s="1"/>
  <c r="Y8" i="60"/>
  <c r="AD8" i="60" s="1"/>
  <c r="Y7" i="60"/>
  <c r="AD7" i="60" s="1"/>
  <c r="Y6" i="60"/>
  <c r="Y5" i="60"/>
  <c r="Y4" i="60"/>
  <c r="AD4" i="60" s="1"/>
  <c r="AA3" i="60"/>
  <c r="Z3" i="60"/>
  <c r="Y54" i="58"/>
  <c r="AD54" i="58" s="1"/>
  <c r="Y53" i="58"/>
  <c r="AD53" i="58" s="1"/>
  <c r="Y52" i="58"/>
  <c r="AD52" i="58" s="1"/>
  <c r="Y51" i="58"/>
  <c r="AB51" i="58" s="1"/>
  <c r="Y50" i="58"/>
  <c r="AB50" i="58" s="1"/>
  <c r="Y49" i="58"/>
  <c r="AD49" i="58" s="1"/>
  <c r="Y48" i="58"/>
  <c r="AB48" i="58" s="1"/>
  <c r="Y47" i="58"/>
  <c r="AB47" i="58" s="1"/>
  <c r="Y46" i="58"/>
  <c r="AB46" i="58" s="1"/>
  <c r="Y45" i="58"/>
  <c r="AB45" i="58" s="1"/>
  <c r="Y44" i="58"/>
  <c r="AD44" i="58" s="1"/>
  <c r="Y43" i="58"/>
  <c r="AB43" i="58" s="1"/>
  <c r="Y42" i="58"/>
  <c r="AD42" i="58" s="1"/>
  <c r="Y41" i="58"/>
  <c r="AD41" i="58" s="1"/>
  <c r="Y40" i="58"/>
  <c r="AD40" i="58" s="1"/>
  <c r="Y39" i="58"/>
  <c r="AD39" i="58" s="1"/>
  <c r="Y38" i="58"/>
  <c r="AD38" i="58" s="1"/>
  <c r="Y37" i="58"/>
  <c r="AB37" i="58" s="1"/>
  <c r="Y36" i="58"/>
  <c r="AB36" i="58" s="1"/>
  <c r="Y35" i="58"/>
  <c r="AD35" i="58" s="1"/>
  <c r="Y34" i="58"/>
  <c r="AD34" i="58" s="1"/>
  <c r="Y33" i="58"/>
  <c r="AB33" i="58" s="1"/>
  <c r="Y32" i="58"/>
  <c r="AD32" i="58" s="1"/>
  <c r="Y31" i="58"/>
  <c r="AD31" i="58" s="1"/>
  <c r="Y30" i="58"/>
  <c r="AD30" i="58" s="1"/>
  <c r="Y29" i="58"/>
  <c r="AD29" i="58" s="1"/>
  <c r="Y28" i="58"/>
  <c r="AD28" i="58" s="1"/>
  <c r="Y27" i="58"/>
  <c r="AB27" i="58" s="1"/>
  <c r="Y26" i="58"/>
  <c r="AD26" i="58" s="1"/>
  <c r="Y25" i="58"/>
  <c r="AD25" i="58" s="1"/>
  <c r="Y24" i="58"/>
  <c r="AD24" i="58" s="1"/>
  <c r="Y23" i="58"/>
  <c r="AD23" i="58" s="1"/>
  <c r="Y22" i="58"/>
  <c r="AB22" i="58" s="1"/>
  <c r="Y21" i="58"/>
  <c r="AD21" i="58" s="1"/>
  <c r="Y20" i="58"/>
  <c r="AD20" i="58" s="1"/>
  <c r="Y19" i="58"/>
  <c r="AD19" i="58" s="1"/>
  <c r="Y18" i="58"/>
  <c r="AB18" i="58" s="1"/>
  <c r="Y17" i="58"/>
  <c r="AD17" i="58" s="1"/>
  <c r="Y16" i="58"/>
  <c r="AB16" i="58" s="1"/>
  <c r="Y15" i="58"/>
  <c r="AB15" i="58" s="1"/>
  <c r="Y14" i="58"/>
  <c r="AD14" i="58" s="1"/>
  <c r="Y13" i="58"/>
  <c r="AB13" i="58" s="1"/>
  <c r="Y12" i="58"/>
  <c r="AD12" i="58" s="1"/>
  <c r="Y11" i="58"/>
  <c r="AD11" i="58" s="1"/>
  <c r="Y10" i="58"/>
  <c r="AD10" i="58" s="1"/>
  <c r="Y9" i="58"/>
  <c r="AD9" i="58" s="1"/>
  <c r="Y8" i="58"/>
  <c r="AD8" i="58" s="1"/>
  <c r="Y7" i="58"/>
  <c r="AB7" i="58" s="1"/>
  <c r="Y6" i="58"/>
  <c r="AB6" i="58" s="1"/>
  <c r="Y5" i="58"/>
  <c r="Y4" i="58"/>
  <c r="AD4" i="58" s="1"/>
  <c r="AA3" i="58"/>
  <c r="Z3" i="58"/>
  <c r="Y54" i="56"/>
  <c r="AD54" i="56" s="1"/>
  <c r="Y53" i="56"/>
  <c r="Y52" i="56"/>
  <c r="AD52" i="56" s="1"/>
  <c r="Y51" i="56"/>
  <c r="AD51" i="56" s="1"/>
  <c r="Y50" i="56"/>
  <c r="AD50" i="56" s="1"/>
  <c r="Y49" i="56"/>
  <c r="AD49" i="56" s="1"/>
  <c r="Y48" i="56"/>
  <c r="Y47" i="56"/>
  <c r="AD47" i="56" s="1"/>
  <c r="Y46" i="56"/>
  <c r="AD46" i="56" s="1"/>
  <c r="Y45" i="56"/>
  <c r="AD45" i="56" s="1"/>
  <c r="Y44" i="56"/>
  <c r="AD44" i="56" s="1"/>
  <c r="Y43" i="56"/>
  <c r="Y42" i="56"/>
  <c r="AD42" i="56" s="1"/>
  <c r="Y41" i="56"/>
  <c r="AD41" i="56" s="1"/>
  <c r="Y40" i="56"/>
  <c r="AD40" i="56" s="1"/>
  <c r="Y39" i="56"/>
  <c r="AD39" i="56" s="1"/>
  <c r="Y38" i="56"/>
  <c r="AD37" i="56"/>
  <c r="Y37" i="56"/>
  <c r="AB37" i="56" s="1"/>
  <c r="Y36" i="56"/>
  <c r="AD36" i="56" s="1"/>
  <c r="Y35" i="56"/>
  <c r="AD35" i="56" s="1"/>
  <c r="Y34" i="56"/>
  <c r="AD34" i="56" s="1"/>
  <c r="Y33" i="56"/>
  <c r="Y32" i="56"/>
  <c r="AD32" i="56" s="1"/>
  <c r="Y31" i="56"/>
  <c r="AD31" i="56" s="1"/>
  <c r="Y30" i="56"/>
  <c r="AD30" i="56" s="1"/>
  <c r="Y29" i="56"/>
  <c r="AD29" i="56" s="1"/>
  <c r="Y28" i="56"/>
  <c r="Y27" i="56"/>
  <c r="AB27" i="56" s="1"/>
  <c r="Y26" i="56"/>
  <c r="AD26" i="56" s="1"/>
  <c r="Y25" i="56"/>
  <c r="AD25" i="56" s="1"/>
  <c r="Y24" i="56"/>
  <c r="AD24" i="56" s="1"/>
  <c r="Y23" i="56"/>
  <c r="Y22" i="56"/>
  <c r="AD22" i="56" s="1"/>
  <c r="Y21" i="56"/>
  <c r="AD21" i="56" s="1"/>
  <c r="Y20" i="56"/>
  <c r="AD20" i="56" s="1"/>
  <c r="Y19" i="56"/>
  <c r="AD19" i="56" s="1"/>
  <c r="Y18" i="56"/>
  <c r="Y17" i="56"/>
  <c r="AD17" i="56" s="1"/>
  <c r="Y16" i="56"/>
  <c r="AD16" i="56" s="1"/>
  <c r="Y15" i="56"/>
  <c r="AD15" i="56" s="1"/>
  <c r="Y14" i="56"/>
  <c r="AD14" i="56" s="1"/>
  <c r="Y13" i="56"/>
  <c r="AD12" i="56"/>
  <c r="AB12" i="56"/>
  <c r="Y12" i="56"/>
  <c r="Y11" i="56"/>
  <c r="AD11" i="56" s="1"/>
  <c r="Y10" i="56"/>
  <c r="AD10" i="56" s="1"/>
  <c r="Y9" i="56"/>
  <c r="AD9" i="56" s="1"/>
  <c r="Y8" i="56"/>
  <c r="AD8" i="56" s="1"/>
  <c r="AD7" i="56"/>
  <c r="AB7" i="56"/>
  <c r="Y7" i="56"/>
  <c r="Y6" i="56"/>
  <c r="AD6" i="56" s="1"/>
  <c r="Y5" i="56"/>
  <c r="AD5" i="56" s="1"/>
  <c r="Y4" i="56"/>
  <c r="AD4" i="56" s="1"/>
  <c r="AA3" i="56"/>
  <c r="Z3" i="56"/>
  <c r="Y5" i="55"/>
  <c r="Y6" i="55"/>
  <c r="Y7" i="55"/>
  <c r="Y8" i="55"/>
  <c r="Y9" i="55"/>
  <c r="Y10" i="55"/>
  <c r="Y11" i="55"/>
  <c r="AD11" i="55" s="1"/>
  <c r="Y12" i="55"/>
  <c r="AD12" i="55" s="1"/>
  <c r="Y13" i="55"/>
  <c r="AD13" i="55" s="1"/>
  <c r="Y14" i="55"/>
  <c r="AB14" i="55" s="1"/>
  <c r="Y15" i="55"/>
  <c r="AB15" i="55" s="1"/>
  <c r="Y16" i="55"/>
  <c r="AD16" i="55" s="1"/>
  <c r="Y17" i="55"/>
  <c r="Y18" i="55"/>
  <c r="Y19" i="55"/>
  <c r="Y20" i="55"/>
  <c r="AD20" i="55" s="1"/>
  <c r="Y21" i="55"/>
  <c r="AB21" i="55" s="1"/>
  <c r="Y22" i="55"/>
  <c r="AB22" i="55" s="1"/>
  <c r="Y23" i="55"/>
  <c r="AD23" i="55" s="1"/>
  <c r="Y24" i="55"/>
  <c r="AB24" i="55" s="1"/>
  <c r="Y25" i="55"/>
  <c r="Y26" i="55"/>
  <c r="Y27" i="55"/>
  <c r="Y28" i="55"/>
  <c r="Y29" i="55"/>
  <c r="AD29" i="55" s="1"/>
  <c r="Y30" i="55"/>
  <c r="AD30" i="55" s="1"/>
  <c r="Y31" i="55"/>
  <c r="AB31" i="55" s="1"/>
  <c r="Y32" i="55"/>
  <c r="Y33" i="55"/>
  <c r="Y34" i="55"/>
  <c r="Y35" i="55"/>
  <c r="Y36" i="55"/>
  <c r="Y37" i="55"/>
  <c r="AB37" i="55" s="1"/>
  <c r="Y38" i="55"/>
  <c r="AB38" i="55" s="1"/>
  <c r="Y39" i="55"/>
  <c r="AD39" i="55" s="1"/>
  <c r="Y40" i="55"/>
  <c r="AB40" i="55" s="1"/>
  <c r="Y41" i="55"/>
  <c r="AD41" i="55" s="1"/>
  <c r="Y42" i="55"/>
  <c r="AB42" i="55" s="1"/>
  <c r="Y43" i="55"/>
  <c r="AD43" i="55" s="1"/>
  <c r="Y44" i="55"/>
  <c r="AB44" i="55" s="1"/>
  <c r="Y45" i="55"/>
  <c r="Y46" i="55"/>
  <c r="Y47" i="55"/>
  <c r="Y48" i="55"/>
  <c r="Y49" i="55"/>
  <c r="Y50" i="55"/>
  <c r="Y51" i="55"/>
  <c r="Y52" i="55"/>
  <c r="Y53" i="55"/>
  <c r="Y54" i="55"/>
  <c r="Y4" i="55"/>
  <c r="AB4" i="55" s="1"/>
  <c r="AD54" i="55"/>
  <c r="AB53" i="55"/>
  <c r="AB52" i="55"/>
  <c r="AD52" i="55"/>
  <c r="AB51" i="55"/>
  <c r="AD51" i="55"/>
  <c r="AD50" i="55"/>
  <c r="AB49" i="55"/>
  <c r="AB48" i="55"/>
  <c r="AB47" i="55"/>
  <c r="AD47" i="55"/>
  <c r="AD46" i="55"/>
  <c r="AD45" i="55"/>
  <c r="AD36" i="55"/>
  <c r="AD35" i="55"/>
  <c r="AB34" i="55"/>
  <c r="AD33" i="55"/>
  <c r="AB32" i="55"/>
  <c r="AD32" i="55"/>
  <c r="AB28" i="55"/>
  <c r="AB27" i="55"/>
  <c r="AD27" i="55"/>
  <c r="AD26" i="55"/>
  <c r="AD25" i="55"/>
  <c r="AD19" i="55"/>
  <c r="AB18" i="55"/>
  <c r="AB17" i="55"/>
  <c r="AD17" i="55"/>
  <c r="AD10" i="55"/>
  <c r="AD9" i="55"/>
  <c r="AB8" i="55"/>
  <c r="AB7" i="55"/>
  <c r="AD7" i="55"/>
  <c r="AD6" i="55"/>
  <c r="AA3" i="55"/>
  <c r="Z3" i="55"/>
  <c r="X6" i="66"/>
  <c r="AD32" i="62" l="1"/>
  <c r="Y3" i="62"/>
  <c r="AD48" i="62"/>
  <c r="AD23" i="62"/>
  <c r="AD13" i="62"/>
  <c r="AD43" i="60"/>
  <c r="AD33" i="60"/>
  <c r="AD23" i="60"/>
  <c r="AD48" i="60"/>
  <c r="AD45" i="60"/>
  <c r="AD6" i="60"/>
  <c r="AD21" i="60"/>
  <c r="AD36" i="60"/>
  <c r="Y3" i="60"/>
  <c r="AD35" i="60"/>
  <c r="AD41" i="60"/>
  <c r="AD10" i="60"/>
  <c r="AD26" i="60"/>
  <c r="AD5" i="60"/>
  <c r="Y3" i="58"/>
  <c r="AB3" i="58" s="1"/>
  <c r="AB25" i="58"/>
  <c r="AB40" i="58"/>
  <c r="AD15" i="58"/>
  <c r="AD50" i="58"/>
  <c r="AB11" i="58"/>
  <c r="AB31" i="58"/>
  <c r="AD16" i="58"/>
  <c r="AD46" i="58"/>
  <c r="AB17" i="58"/>
  <c r="AD22" i="58"/>
  <c r="AD37" i="58"/>
  <c r="AB5" i="58"/>
  <c r="AB30" i="58"/>
  <c r="AD5" i="58"/>
  <c r="AB41" i="58"/>
  <c r="AD6" i="58"/>
  <c r="AD36" i="58"/>
  <c r="AB12" i="58"/>
  <c r="AB32" i="58"/>
  <c r="AB42" i="58"/>
  <c r="AD7" i="58"/>
  <c r="AD27" i="58"/>
  <c r="AB8" i="58"/>
  <c r="AB28" i="58"/>
  <c r="AB38" i="58"/>
  <c r="AD18" i="58"/>
  <c r="AD43" i="58"/>
  <c r="AB20" i="58"/>
  <c r="AB26" i="58"/>
  <c r="AD51" i="58"/>
  <c r="AB52" i="58"/>
  <c r="AD47" i="58"/>
  <c r="AB23" i="58"/>
  <c r="AB53" i="58"/>
  <c r="AD13" i="58"/>
  <c r="AB4" i="58"/>
  <c r="AB9" i="58"/>
  <c r="AB14" i="58"/>
  <c r="AB19" i="58"/>
  <c r="AB24" i="58"/>
  <c r="AB29" i="58"/>
  <c r="AB34" i="58"/>
  <c r="AB39" i="58"/>
  <c r="AB44" i="58"/>
  <c r="AB49" i="58"/>
  <c r="AB54" i="58"/>
  <c r="AB10" i="58"/>
  <c r="AB35" i="58"/>
  <c r="AD45" i="58"/>
  <c r="AB21" i="58"/>
  <c r="AD33" i="58"/>
  <c r="AD48" i="58"/>
  <c r="AB42" i="56"/>
  <c r="AB32" i="56"/>
  <c r="AB47" i="56"/>
  <c r="AD27" i="56"/>
  <c r="AB17" i="56"/>
  <c r="AB52" i="56"/>
  <c r="AB22" i="56"/>
  <c r="AB8" i="56"/>
  <c r="AD33" i="56"/>
  <c r="AB33" i="56"/>
  <c r="AD18" i="56"/>
  <c r="AB18" i="56"/>
  <c r="AD48" i="56"/>
  <c r="AB48" i="56"/>
  <c r="AD23" i="56"/>
  <c r="AB23" i="56"/>
  <c r="AD43" i="56"/>
  <c r="AB43" i="56"/>
  <c r="AD13" i="56"/>
  <c r="AB13" i="56"/>
  <c r="AB38" i="56"/>
  <c r="AD38" i="56"/>
  <c r="AD28" i="56"/>
  <c r="AB28" i="56"/>
  <c r="AD53" i="56"/>
  <c r="AB53" i="56"/>
  <c r="AB5" i="56"/>
  <c r="AB10" i="56"/>
  <c r="AB15" i="56"/>
  <c r="AB20" i="56"/>
  <c r="AB25" i="56"/>
  <c r="AB30" i="56"/>
  <c r="AB35" i="56"/>
  <c r="AB40" i="56"/>
  <c r="AB45" i="56"/>
  <c r="AB50" i="56"/>
  <c r="AB6" i="56"/>
  <c r="AB11" i="56"/>
  <c r="AB16" i="56"/>
  <c r="AB21" i="56"/>
  <c r="AB26" i="56"/>
  <c r="AB31" i="56"/>
  <c r="AB36" i="56"/>
  <c r="AB41" i="56"/>
  <c r="AB46" i="56"/>
  <c r="AB51" i="56"/>
  <c r="Y3" i="56"/>
  <c r="AB3" i="56" s="1"/>
  <c r="AB4" i="56"/>
  <c r="AB9" i="56"/>
  <c r="AB14" i="56"/>
  <c r="AB19" i="56"/>
  <c r="AB24" i="56"/>
  <c r="AB29" i="56"/>
  <c r="AB34" i="56"/>
  <c r="AB39" i="56"/>
  <c r="AB44" i="56"/>
  <c r="AB49" i="56"/>
  <c r="AB54" i="56"/>
  <c r="AD37" i="55"/>
  <c r="Y3" i="55"/>
  <c r="AB3" i="55" s="1"/>
  <c r="AD22" i="55"/>
  <c r="AB12" i="55"/>
  <c r="AD42" i="55"/>
  <c r="AB5" i="55"/>
  <c r="AB20" i="55"/>
  <c r="AB30" i="55"/>
  <c r="AD5" i="55"/>
  <c r="AD40" i="55"/>
  <c r="AB6" i="55"/>
  <c r="AB16" i="55"/>
  <c r="AB26" i="55"/>
  <c r="AB46" i="55"/>
  <c r="AD21" i="55"/>
  <c r="AD31" i="55"/>
  <c r="AB10" i="55"/>
  <c r="AB25" i="55"/>
  <c r="AB35" i="55"/>
  <c r="AB50" i="55"/>
  <c r="AD15" i="55"/>
  <c r="AB41" i="55"/>
  <c r="AD53" i="55"/>
  <c r="AB45" i="55"/>
  <c r="AB11" i="55"/>
  <c r="AB36" i="55"/>
  <c r="AB13" i="55"/>
  <c r="AB23" i="55"/>
  <c r="AB33" i="55"/>
  <c r="AB43" i="55"/>
  <c r="AD8" i="55"/>
  <c r="AD18" i="55"/>
  <c r="AD28" i="55"/>
  <c r="AD38" i="55"/>
  <c r="AD48" i="55"/>
  <c r="AB9" i="55"/>
  <c r="AB19" i="55"/>
  <c r="AB29" i="55"/>
  <c r="AB39" i="55"/>
  <c r="AB54" i="55"/>
  <c r="AD4" i="55"/>
  <c r="AD14" i="55"/>
  <c r="AD24" i="55"/>
  <c r="AD34" i="55"/>
  <c r="AD44" i="55"/>
  <c r="AD49" i="55"/>
  <c r="F14" i="39"/>
  <c r="E14" i="39"/>
  <c r="D14" i="39"/>
  <c r="F13" i="39"/>
  <c r="E13" i="39"/>
  <c r="D13" i="39"/>
  <c r="F12" i="39"/>
  <c r="E12" i="39"/>
  <c r="D12" i="39"/>
  <c r="F11" i="39"/>
  <c r="E11" i="39"/>
  <c r="D11" i="39"/>
  <c r="F10" i="39"/>
  <c r="E10" i="39"/>
  <c r="D10" i="39"/>
  <c r="F9" i="39"/>
  <c r="E9" i="39"/>
  <c r="D9" i="39"/>
  <c r="F8" i="39"/>
  <c r="E8" i="39"/>
  <c r="D8" i="39"/>
  <c r="F7" i="39"/>
  <c r="E7" i="39"/>
  <c r="D7" i="39"/>
  <c r="F6" i="39"/>
  <c r="E6" i="39"/>
  <c r="D6" i="39"/>
  <c r="F5" i="39"/>
  <c r="E5" i="39"/>
  <c r="D5" i="39"/>
  <c r="F4" i="39"/>
  <c r="E4" i="39"/>
  <c r="D4" i="39"/>
  <c r="F3" i="39"/>
  <c r="E3" i="39"/>
  <c r="D3" i="39"/>
  <c r="F30" i="39"/>
  <c r="E30" i="39"/>
  <c r="D30" i="39"/>
  <c r="F29" i="39"/>
  <c r="E29" i="39"/>
  <c r="D29" i="39"/>
  <c r="F28" i="39"/>
  <c r="E28" i="39"/>
  <c r="D28" i="39"/>
  <c r="F27" i="39"/>
  <c r="E27" i="39"/>
  <c r="D27" i="39"/>
  <c r="F26" i="39"/>
  <c r="E26" i="39"/>
  <c r="D26" i="39"/>
  <c r="F25" i="39"/>
  <c r="E25" i="39"/>
  <c r="D25" i="39"/>
  <c r="F24" i="39"/>
  <c r="E24" i="39"/>
  <c r="D24" i="39"/>
  <c r="F23" i="39"/>
  <c r="E23" i="39"/>
  <c r="D23" i="39"/>
  <c r="F22" i="39"/>
  <c r="E22" i="39"/>
  <c r="D22" i="39"/>
  <c r="F21" i="39"/>
  <c r="E21" i="39"/>
  <c r="D21" i="39"/>
  <c r="F20" i="39"/>
  <c r="E20" i="39"/>
  <c r="D20" i="39"/>
  <c r="F19" i="39"/>
  <c r="E19" i="39"/>
  <c r="D19" i="39"/>
  <c r="F46" i="39"/>
  <c r="E46" i="39"/>
  <c r="D46" i="39"/>
  <c r="F45" i="39"/>
  <c r="E45" i="39"/>
  <c r="D45" i="39"/>
  <c r="F44" i="39"/>
  <c r="E44" i="39"/>
  <c r="D44" i="39"/>
  <c r="F43" i="39"/>
  <c r="E43" i="39"/>
  <c r="D43" i="39"/>
  <c r="F42" i="39"/>
  <c r="E42" i="39"/>
  <c r="D42" i="39"/>
  <c r="F41" i="39"/>
  <c r="E41" i="39"/>
  <c r="D41" i="39"/>
  <c r="F40" i="39"/>
  <c r="E40" i="39"/>
  <c r="D40" i="39"/>
  <c r="F39" i="39"/>
  <c r="E39" i="39"/>
  <c r="D39" i="39"/>
  <c r="F38" i="39"/>
  <c r="E38" i="39"/>
  <c r="D38" i="39"/>
  <c r="F37" i="39"/>
  <c r="E37" i="39"/>
  <c r="D37" i="39"/>
  <c r="F36" i="39"/>
  <c r="E36" i="39"/>
  <c r="D36" i="39"/>
  <c r="F35" i="39"/>
  <c r="E35" i="39"/>
  <c r="D35" i="39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O5" i="62"/>
  <c r="O6" i="62"/>
  <c r="O7" i="62"/>
  <c r="O8" i="62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4" i="62"/>
  <c r="P3" i="62"/>
  <c r="O5" i="60"/>
  <c r="O6" i="60"/>
  <c r="O7" i="60"/>
  <c r="O8" i="60"/>
  <c r="O9" i="60"/>
  <c r="O10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4" i="60"/>
  <c r="P3" i="60"/>
  <c r="O5" i="58"/>
  <c r="O6" i="58"/>
  <c r="O7" i="58"/>
  <c r="O8" i="58"/>
  <c r="O9" i="58"/>
  <c r="O10" i="58"/>
  <c r="O11" i="58"/>
  <c r="O12" i="58"/>
  <c r="O13" i="58"/>
  <c r="O14" i="58"/>
  <c r="O15" i="58"/>
  <c r="O16" i="58"/>
  <c r="O17" i="58"/>
  <c r="O18" i="58"/>
  <c r="O19" i="58"/>
  <c r="O20" i="58"/>
  <c r="O21" i="58"/>
  <c r="O22" i="58"/>
  <c r="O23" i="58"/>
  <c r="O24" i="58"/>
  <c r="O25" i="58"/>
  <c r="O26" i="58"/>
  <c r="O27" i="58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4" i="58"/>
  <c r="P3" i="58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P3" i="56"/>
  <c r="O4" i="56"/>
  <c r="O5" i="55"/>
  <c r="O6" i="55"/>
  <c r="O7" i="55"/>
  <c r="O8" i="55"/>
  <c r="O9" i="55"/>
  <c r="O10" i="55"/>
  <c r="O11" i="55"/>
  <c r="O12" i="55"/>
  <c r="O13" i="55"/>
  <c r="T13" i="55" s="1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T27" i="55" s="1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53" i="55"/>
  <c r="O54" i="55"/>
  <c r="O4" i="55"/>
  <c r="P3" i="55"/>
  <c r="T3" i="55" l="1"/>
  <c r="B4" i="66" s="1" a="1"/>
  <c r="B4" i="66" s="1"/>
  <c r="AD3" i="62"/>
  <c r="AD3" i="60"/>
  <c r="AB1" i="58"/>
  <c r="AD3" i="58"/>
  <c r="AD3" i="56"/>
  <c r="AB1" i="56"/>
  <c r="AB1" i="55"/>
  <c r="AD3" i="55"/>
  <c r="AE3" i="55" s="1" a="1"/>
  <c r="N54" i="62"/>
  <c r="M54" i="62"/>
  <c r="N53" i="62"/>
  <c r="M53" i="62"/>
  <c r="N52" i="62"/>
  <c r="M52" i="62"/>
  <c r="N51" i="62"/>
  <c r="M51" i="62"/>
  <c r="N50" i="62"/>
  <c r="M50" i="62"/>
  <c r="N49" i="62"/>
  <c r="M48" i="62"/>
  <c r="N46" i="62"/>
  <c r="M46" i="62"/>
  <c r="N45" i="62"/>
  <c r="M45" i="62"/>
  <c r="N44" i="62"/>
  <c r="M44" i="62"/>
  <c r="N43" i="62"/>
  <c r="M43" i="62"/>
  <c r="N42" i="62"/>
  <c r="M42" i="62"/>
  <c r="N41" i="62"/>
  <c r="M41" i="62"/>
  <c r="N40" i="62"/>
  <c r="M40" i="62"/>
  <c r="N36" i="62"/>
  <c r="M36" i="62"/>
  <c r="N35" i="62"/>
  <c r="M35" i="62"/>
  <c r="M33" i="62"/>
  <c r="M30" i="62"/>
  <c r="M18" i="62"/>
  <c r="N13" i="62"/>
  <c r="M13" i="62"/>
  <c r="N12" i="62"/>
  <c r="M12" i="62"/>
  <c r="N11" i="62"/>
  <c r="M10" i="62"/>
  <c r="M8" i="62"/>
  <c r="N6" i="62"/>
  <c r="M5" i="62"/>
  <c r="M49" i="62"/>
  <c r="N5" i="62"/>
  <c r="N7" i="62"/>
  <c r="N8" i="62"/>
  <c r="N9" i="62"/>
  <c r="N10" i="62"/>
  <c r="N14" i="62"/>
  <c r="N15" i="62"/>
  <c r="N16" i="62"/>
  <c r="N17" i="62"/>
  <c r="N18" i="62"/>
  <c r="N21" i="62"/>
  <c r="N22" i="62"/>
  <c r="N23" i="62"/>
  <c r="N24" i="62"/>
  <c r="N25" i="62"/>
  <c r="N27" i="62"/>
  <c r="N28" i="62"/>
  <c r="N29" i="62"/>
  <c r="N30" i="62"/>
  <c r="N31" i="62"/>
  <c r="N32" i="62"/>
  <c r="N33" i="62"/>
  <c r="N34" i="62"/>
  <c r="N37" i="62"/>
  <c r="N38" i="62"/>
  <c r="N39" i="62"/>
  <c r="N47" i="62"/>
  <c r="N48" i="62"/>
  <c r="L4" i="63"/>
  <c r="L5" i="63"/>
  <c r="L6" i="63"/>
  <c r="L7" i="63"/>
  <c r="L8" i="63"/>
  <c r="L9" i="63"/>
  <c r="L10" i="63"/>
  <c r="L11" i="63"/>
  <c r="L12" i="63"/>
  <c r="L13" i="63"/>
  <c r="L14" i="63"/>
  <c r="L15" i="63"/>
  <c r="L16" i="63"/>
  <c r="L17" i="63"/>
  <c r="L18" i="63"/>
  <c r="L19" i="63"/>
  <c r="L20" i="63"/>
  <c r="L21" i="63"/>
  <c r="L22" i="63"/>
  <c r="L23" i="63"/>
  <c r="L24" i="63"/>
  <c r="L25" i="63"/>
  <c r="L26" i="63"/>
  <c r="L27" i="63"/>
  <c r="L28" i="63"/>
  <c r="L29" i="63"/>
  <c r="L3" i="63"/>
  <c r="F2" i="63" a="1"/>
  <c r="F2" i="63" s="1"/>
  <c r="N54" i="60"/>
  <c r="M54" i="60"/>
  <c r="N53" i="60"/>
  <c r="M53" i="60"/>
  <c r="N52" i="60"/>
  <c r="M52" i="60"/>
  <c r="N51" i="60"/>
  <c r="M51" i="60"/>
  <c r="N50" i="60"/>
  <c r="M50" i="60"/>
  <c r="N47" i="60"/>
  <c r="N46" i="60"/>
  <c r="M46" i="60"/>
  <c r="N45" i="60"/>
  <c r="M45" i="60"/>
  <c r="N44" i="60"/>
  <c r="M44" i="60"/>
  <c r="N43" i="60"/>
  <c r="M43" i="60"/>
  <c r="N42" i="60"/>
  <c r="M42" i="60"/>
  <c r="N41" i="60"/>
  <c r="M41" i="60"/>
  <c r="N40" i="60"/>
  <c r="M40" i="60"/>
  <c r="N39" i="60"/>
  <c r="M39" i="60"/>
  <c r="N30" i="60"/>
  <c r="M30" i="60"/>
  <c r="N25" i="60"/>
  <c r="M25" i="60"/>
  <c r="N12" i="60"/>
  <c r="M12" i="60"/>
  <c r="N11" i="60"/>
  <c r="M11" i="60"/>
  <c r="N7" i="60"/>
  <c r="N5" i="60"/>
  <c r="N6" i="60"/>
  <c r="N8" i="60"/>
  <c r="N9" i="60"/>
  <c r="N10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6" i="60"/>
  <c r="N27" i="60"/>
  <c r="N28" i="60"/>
  <c r="N29" i="60"/>
  <c r="N31" i="60"/>
  <c r="N32" i="60"/>
  <c r="N33" i="60"/>
  <c r="N34" i="60"/>
  <c r="N35" i="60"/>
  <c r="N36" i="60"/>
  <c r="N37" i="60"/>
  <c r="N38" i="60"/>
  <c r="N48" i="60"/>
  <c r="N49" i="60"/>
  <c r="L4" i="61"/>
  <c r="L5" i="61"/>
  <c r="L6" i="61"/>
  <c r="L7" i="6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3" i="61"/>
  <c r="F2" i="61" a="1"/>
  <c r="F2" i="61" s="1"/>
  <c r="H54" i="56" a="1"/>
  <c r="H54" i="56" s="1"/>
  <c r="G54" i="56" a="1"/>
  <c r="G54" i="56" s="1"/>
  <c r="N54" i="56" s="1"/>
  <c r="R54" i="56" s="1"/>
  <c r="F54" i="56" a="1"/>
  <c r="F54" i="56" s="1"/>
  <c r="E54" i="56" a="1"/>
  <c r="E54" i="56" s="1"/>
  <c r="D54" i="56" a="1"/>
  <c r="D54" i="56" s="1"/>
  <c r="M54" i="56" s="1"/>
  <c r="C54" i="56" a="1"/>
  <c r="C54" i="56" s="1"/>
  <c r="H53" i="56" a="1"/>
  <c r="H53" i="56" s="1"/>
  <c r="G53" i="56" a="1"/>
  <c r="G53" i="56" s="1"/>
  <c r="N53" i="56" s="1"/>
  <c r="R53" i="56" s="1"/>
  <c r="F53" i="56" a="1"/>
  <c r="F53" i="56" s="1"/>
  <c r="E53" i="56" a="1"/>
  <c r="E53" i="56" s="1"/>
  <c r="D53" i="56" a="1"/>
  <c r="D53" i="56" s="1"/>
  <c r="M53" i="56" s="1"/>
  <c r="C53" i="56" a="1"/>
  <c r="C53" i="56" s="1"/>
  <c r="H52" i="56" a="1"/>
  <c r="H52" i="56" s="1"/>
  <c r="G52" i="56" a="1"/>
  <c r="G52" i="56" s="1"/>
  <c r="N52" i="56" s="1"/>
  <c r="R52" i="56" s="1"/>
  <c r="F52" i="56" a="1"/>
  <c r="F52" i="56" s="1"/>
  <c r="E52" i="56"/>
  <c r="E52" i="56" a="1"/>
  <c r="D52" i="56" a="1"/>
  <c r="D52" i="56" s="1"/>
  <c r="M52" i="56" s="1"/>
  <c r="C52" i="56" a="1"/>
  <c r="C52" i="56" s="1"/>
  <c r="H51" i="56" a="1"/>
  <c r="H51" i="56" s="1"/>
  <c r="G51" i="56" a="1"/>
  <c r="G51" i="56" s="1"/>
  <c r="N51" i="56" s="1"/>
  <c r="R51" i="56" s="1"/>
  <c r="F51" i="56" a="1"/>
  <c r="F51" i="56" s="1"/>
  <c r="E51" i="56" a="1"/>
  <c r="E51" i="56" s="1"/>
  <c r="D51" i="56" a="1"/>
  <c r="D51" i="56" s="1"/>
  <c r="M51" i="56" s="1"/>
  <c r="C51" i="56" a="1"/>
  <c r="C51" i="56" s="1"/>
  <c r="H50" i="56" a="1"/>
  <c r="H50" i="56" s="1"/>
  <c r="G50" i="56" a="1"/>
  <c r="G50" i="56" s="1"/>
  <c r="N50" i="56" s="1"/>
  <c r="R50" i="56" s="1"/>
  <c r="F50" i="56" a="1"/>
  <c r="F50" i="56" s="1"/>
  <c r="E50" i="56" a="1"/>
  <c r="E50" i="56" s="1"/>
  <c r="D50" i="56" a="1"/>
  <c r="D50" i="56" s="1"/>
  <c r="M50" i="56" s="1"/>
  <c r="C50" i="56" a="1"/>
  <c r="C50" i="56" s="1"/>
  <c r="H49" i="56" a="1"/>
  <c r="H49" i="56" s="1"/>
  <c r="G49" i="56" a="1"/>
  <c r="G49" i="56" s="1"/>
  <c r="N49" i="56" s="1"/>
  <c r="R49" i="56" s="1"/>
  <c r="F49" i="56" a="1"/>
  <c r="F49" i="56" s="1"/>
  <c r="E49" i="56" a="1"/>
  <c r="E49" i="56" s="1"/>
  <c r="D49" i="56" a="1"/>
  <c r="D49" i="56" s="1"/>
  <c r="M49" i="56" s="1"/>
  <c r="C49" i="56" a="1"/>
  <c r="C49" i="56" s="1"/>
  <c r="H48" i="56" a="1"/>
  <c r="H48" i="56" s="1"/>
  <c r="G48" i="56" a="1"/>
  <c r="G48" i="56" s="1"/>
  <c r="N48" i="56" s="1"/>
  <c r="R48" i="56" s="1"/>
  <c r="F48" i="56" a="1"/>
  <c r="F48" i="56" s="1"/>
  <c r="E48" i="56" a="1"/>
  <c r="E48" i="56" s="1"/>
  <c r="D48" i="56" a="1"/>
  <c r="D48" i="56" s="1"/>
  <c r="M48" i="56" s="1"/>
  <c r="C48" i="56" a="1"/>
  <c r="C48" i="56" s="1"/>
  <c r="H47" i="56" a="1"/>
  <c r="H47" i="56" s="1"/>
  <c r="G47" i="56" a="1"/>
  <c r="G47" i="56" s="1"/>
  <c r="N47" i="56" s="1"/>
  <c r="R47" i="56" s="1"/>
  <c r="F47" i="56" a="1"/>
  <c r="F47" i="56" s="1"/>
  <c r="E47" i="56" a="1"/>
  <c r="E47" i="56" s="1"/>
  <c r="D47" i="56" a="1"/>
  <c r="D47" i="56" s="1"/>
  <c r="M47" i="56" s="1"/>
  <c r="C47" i="56" a="1"/>
  <c r="C47" i="56" s="1"/>
  <c r="H46" i="56" a="1"/>
  <c r="H46" i="56" s="1"/>
  <c r="G46" i="56"/>
  <c r="N46" i="56" s="1"/>
  <c r="R46" i="56" s="1"/>
  <c r="G46" i="56" a="1"/>
  <c r="F46" i="56" a="1"/>
  <c r="F46" i="56" s="1"/>
  <c r="E46" i="56" a="1"/>
  <c r="E46" i="56" s="1"/>
  <c r="D46" i="56" a="1"/>
  <c r="D46" i="56" s="1"/>
  <c r="M46" i="56" s="1"/>
  <c r="C46" i="56" a="1"/>
  <c r="C46" i="56" s="1"/>
  <c r="H45" i="56" a="1"/>
  <c r="H45" i="56" s="1"/>
  <c r="G45" i="56" a="1"/>
  <c r="G45" i="56" s="1"/>
  <c r="N45" i="56" s="1"/>
  <c r="R45" i="56" s="1"/>
  <c r="F45" i="56" a="1"/>
  <c r="F45" i="56" s="1"/>
  <c r="E45" i="56" a="1"/>
  <c r="E45" i="56" s="1"/>
  <c r="D45" i="56" a="1"/>
  <c r="D45" i="56" s="1"/>
  <c r="M45" i="56" s="1"/>
  <c r="C45" i="56" a="1"/>
  <c r="C45" i="56" s="1"/>
  <c r="H44" i="56" a="1"/>
  <c r="H44" i="56" s="1"/>
  <c r="G44" i="56" a="1"/>
  <c r="G44" i="56" s="1"/>
  <c r="N44" i="56" s="1"/>
  <c r="R44" i="56" s="1"/>
  <c r="F44" i="56" a="1"/>
  <c r="F44" i="56" s="1"/>
  <c r="E44" i="56" a="1"/>
  <c r="E44" i="56" s="1"/>
  <c r="D44" i="56" a="1"/>
  <c r="D44" i="56" s="1"/>
  <c r="C44" i="56" a="1"/>
  <c r="C44" i="56" s="1"/>
  <c r="H43" i="56" a="1"/>
  <c r="H43" i="56" s="1"/>
  <c r="G43" i="56" a="1"/>
  <c r="G43" i="56" s="1"/>
  <c r="F43" i="56" a="1"/>
  <c r="F43" i="56" s="1"/>
  <c r="E43" i="56" a="1"/>
  <c r="E43" i="56" s="1"/>
  <c r="D43" i="56" a="1"/>
  <c r="D43" i="56" s="1"/>
  <c r="C43" i="56" a="1"/>
  <c r="C43" i="56" s="1"/>
  <c r="H42" i="56" a="1"/>
  <c r="H42" i="56" s="1"/>
  <c r="G42" i="56" a="1"/>
  <c r="G42" i="56" s="1"/>
  <c r="N42" i="56" s="1"/>
  <c r="R42" i="56" s="1"/>
  <c r="F42" i="56" a="1"/>
  <c r="F42" i="56" s="1"/>
  <c r="E42" i="56"/>
  <c r="E42" i="56" a="1"/>
  <c r="D42" i="56" a="1"/>
  <c r="D42" i="56" s="1"/>
  <c r="M42" i="56" s="1"/>
  <c r="C42" i="56" a="1"/>
  <c r="C42" i="56" s="1"/>
  <c r="H41" i="56"/>
  <c r="H41" i="56" a="1"/>
  <c r="G41" i="56" a="1"/>
  <c r="G41" i="56" s="1"/>
  <c r="N41" i="56" s="1"/>
  <c r="R41" i="56" s="1"/>
  <c r="F41" i="56" a="1"/>
  <c r="F41" i="56" s="1"/>
  <c r="E41" i="56" a="1"/>
  <c r="E41" i="56" s="1"/>
  <c r="D41" i="56" a="1"/>
  <c r="D41" i="56" s="1"/>
  <c r="M41" i="56" s="1"/>
  <c r="C41" i="56" a="1"/>
  <c r="C41" i="56" s="1"/>
  <c r="H40" i="56" a="1"/>
  <c r="H40" i="56" s="1"/>
  <c r="G40" i="56" a="1"/>
  <c r="G40" i="56" s="1"/>
  <c r="N40" i="56" s="1"/>
  <c r="R40" i="56" s="1"/>
  <c r="F40" i="56" a="1"/>
  <c r="F40" i="56" s="1"/>
  <c r="E40" i="56" a="1"/>
  <c r="E40" i="56" s="1"/>
  <c r="D40" i="56" a="1"/>
  <c r="D40" i="56" s="1"/>
  <c r="M40" i="56" s="1"/>
  <c r="C40" i="56" a="1"/>
  <c r="C40" i="56" s="1"/>
  <c r="H39" i="56" a="1"/>
  <c r="H39" i="56" s="1"/>
  <c r="G39" i="56" a="1"/>
  <c r="G39" i="56" s="1"/>
  <c r="N39" i="56" s="1"/>
  <c r="R39" i="56" s="1"/>
  <c r="F39" i="56" a="1"/>
  <c r="F39" i="56" s="1"/>
  <c r="E39" i="56" a="1"/>
  <c r="E39" i="56" s="1"/>
  <c r="D39" i="56" a="1"/>
  <c r="D39" i="56" s="1"/>
  <c r="M39" i="56" s="1"/>
  <c r="C39" i="56" a="1"/>
  <c r="C39" i="56" s="1"/>
  <c r="H38" i="56" a="1"/>
  <c r="H38" i="56" s="1"/>
  <c r="G38" i="56" a="1"/>
  <c r="G38" i="56" s="1"/>
  <c r="N38" i="56" s="1"/>
  <c r="R38" i="56" s="1"/>
  <c r="F38" i="56" a="1"/>
  <c r="F38" i="56" s="1"/>
  <c r="E38" i="56" a="1"/>
  <c r="E38" i="56" s="1"/>
  <c r="D38" i="56" a="1"/>
  <c r="D38" i="56" s="1"/>
  <c r="M38" i="56" s="1"/>
  <c r="C38" i="56" a="1"/>
  <c r="C38" i="56" s="1"/>
  <c r="H37" i="56" a="1"/>
  <c r="H37" i="56" s="1"/>
  <c r="G37" i="56" a="1"/>
  <c r="G37" i="56" s="1"/>
  <c r="F37" i="56" a="1"/>
  <c r="F37" i="56" s="1"/>
  <c r="E37" i="56"/>
  <c r="E37" i="56" a="1"/>
  <c r="D37" i="56" a="1"/>
  <c r="D37" i="56" s="1"/>
  <c r="M37" i="56" s="1"/>
  <c r="C37" i="56" a="1"/>
  <c r="C37" i="56" s="1"/>
  <c r="H36" i="56" a="1"/>
  <c r="H36" i="56" s="1"/>
  <c r="G36" i="56" a="1"/>
  <c r="G36" i="56" s="1"/>
  <c r="N36" i="56" s="1"/>
  <c r="R36" i="56" s="1"/>
  <c r="F36" i="56" a="1"/>
  <c r="F36" i="56" s="1"/>
  <c r="E36" i="56" a="1"/>
  <c r="E36" i="56" s="1"/>
  <c r="D36" i="56" a="1"/>
  <c r="D36" i="56" s="1"/>
  <c r="M36" i="56" s="1"/>
  <c r="C36" i="56" a="1"/>
  <c r="C36" i="56" s="1"/>
  <c r="H35" i="56" a="1"/>
  <c r="H35" i="56" s="1"/>
  <c r="G35" i="56"/>
  <c r="N35" i="56" s="1"/>
  <c r="R35" i="56" s="1"/>
  <c r="G35" i="56" a="1"/>
  <c r="F35" i="56" a="1"/>
  <c r="F35" i="56" s="1"/>
  <c r="E35" i="56" a="1"/>
  <c r="E35" i="56" s="1"/>
  <c r="D35" i="56" a="1"/>
  <c r="D35" i="56" s="1"/>
  <c r="M35" i="56" s="1"/>
  <c r="C35" i="56"/>
  <c r="C35" i="56" a="1"/>
  <c r="H34" i="56" a="1"/>
  <c r="H34" i="56" s="1"/>
  <c r="G34" i="56" a="1"/>
  <c r="G34" i="56" s="1"/>
  <c r="N34" i="56" s="1"/>
  <c r="R34" i="56" s="1"/>
  <c r="F34" i="56" a="1"/>
  <c r="F34" i="56" s="1"/>
  <c r="E34" i="56" a="1"/>
  <c r="E34" i="56" s="1"/>
  <c r="D34" i="56" a="1"/>
  <c r="D34" i="56" s="1"/>
  <c r="M34" i="56" s="1"/>
  <c r="C34" i="56" a="1"/>
  <c r="C34" i="56" s="1"/>
  <c r="H33" i="56" a="1"/>
  <c r="H33" i="56" s="1"/>
  <c r="G33" i="56" a="1"/>
  <c r="G33" i="56" s="1"/>
  <c r="N33" i="56" s="1"/>
  <c r="R33" i="56" s="1"/>
  <c r="F33" i="56" a="1"/>
  <c r="F33" i="56" s="1"/>
  <c r="E33" i="56" a="1"/>
  <c r="E33" i="56" s="1"/>
  <c r="D33" i="56" a="1"/>
  <c r="D33" i="56" s="1"/>
  <c r="M33" i="56" s="1"/>
  <c r="C33" i="56" a="1"/>
  <c r="C33" i="56" s="1"/>
  <c r="H32" i="56" a="1"/>
  <c r="H32" i="56" s="1"/>
  <c r="G32" i="56" a="1"/>
  <c r="G32" i="56" s="1"/>
  <c r="N32" i="56" s="1"/>
  <c r="R32" i="56" s="1"/>
  <c r="F32" i="56" a="1"/>
  <c r="F32" i="56" s="1"/>
  <c r="E32" i="56" a="1"/>
  <c r="E32" i="56" s="1"/>
  <c r="D32" i="56" a="1"/>
  <c r="D32" i="56" s="1"/>
  <c r="M32" i="56" s="1"/>
  <c r="C32" i="56" a="1"/>
  <c r="C32" i="56" s="1"/>
  <c r="H31" i="56" a="1"/>
  <c r="H31" i="56" s="1"/>
  <c r="G31" i="56" a="1"/>
  <c r="G31" i="56" s="1"/>
  <c r="N31" i="56" s="1"/>
  <c r="R31" i="56" s="1"/>
  <c r="F31" i="56" a="1"/>
  <c r="F31" i="56" s="1"/>
  <c r="E31" i="56" a="1"/>
  <c r="E31" i="56" s="1"/>
  <c r="D31" i="56" a="1"/>
  <c r="D31" i="56" s="1"/>
  <c r="M31" i="56" s="1"/>
  <c r="C31" i="56" a="1"/>
  <c r="C31" i="56" s="1"/>
  <c r="H30" i="56" a="1"/>
  <c r="H30" i="56" s="1"/>
  <c r="G30" i="56"/>
  <c r="G30" i="56" a="1"/>
  <c r="F30" i="56" a="1"/>
  <c r="F30" i="56" s="1"/>
  <c r="E30" i="56" a="1"/>
  <c r="E30" i="56" s="1"/>
  <c r="D30" i="56" a="1"/>
  <c r="D30" i="56" s="1"/>
  <c r="M30" i="56" s="1"/>
  <c r="C30" i="56" a="1"/>
  <c r="C30" i="56" s="1"/>
  <c r="H29" i="56" a="1"/>
  <c r="H29" i="56" s="1"/>
  <c r="G29" i="56" a="1"/>
  <c r="G29" i="56" s="1"/>
  <c r="N29" i="56" s="1"/>
  <c r="R29" i="56" s="1"/>
  <c r="F29" i="56" a="1"/>
  <c r="F29" i="56" s="1"/>
  <c r="E29" i="56" a="1"/>
  <c r="E29" i="56" s="1"/>
  <c r="D29" i="56" a="1"/>
  <c r="D29" i="56" s="1"/>
  <c r="M29" i="56" s="1"/>
  <c r="C29" i="56" a="1"/>
  <c r="C29" i="56" s="1"/>
  <c r="H28" i="56" a="1"/>
  <c r="H28" i="56" s="1"/>
  <c r="G28" i="56" a="1"/>
  <c r="G28" i="56" s="1"/>
  <c r="N28" i="56" s="1"/>
  <c r="R28" i="56" s="1"/>
  <c r="F28" i="56" a="1"/>
  <c r="F28" i="56" s="1"/>
  <c r="E28" i="56" a="1"/>
  <c r="E28" i="56" s="1"/>
  <c r="D28" i="56" a="1"/>
  <c r="D28" i="56" s="1"/>
  <c r="M28" i="56" s="1"/>
  <c r="C28" i="56" a="1"/>
  <c r="C28" i="56" s="1"/>
  <c r="H27" i="56" a="1"/>
  <c r="H27" i="56" s="1"/>
  <c r="G27" i="56" a="1"/>
  <c r="G27" i="56" s="1"/>
  <c r="N27" i="56" s="1"/>
  <c r="R27" i="56" s="1"/>
  <c r="F27" i="56" a="1"/>
  <c r="F27" i="56" s="1"/>
  <c r="E27" i="56" a="1"/>
  <c r="E27" i="56" s="1"/>
  <c r="D27" i="56" a="1"/>
  <c r="D27" i="56" s="1"/>
  <c r="M27" i="56" s="1"/>
  <c r="C27" i="56" a="1"/>
  <c r="C27" i="56" s="1"/>
  <c r="H26" i="56" a="1"/>
  <c r="H26" i="56" s="1"/>
  <c r="G26" i="56" a="1"/>
  <c r="G26" i="56" s="1"/>
  <c r="N26" i="56" s="1"/>
  <c r="R26" i="56" s="1"/>
  <c r="F26" i="56" a="1"/>
  <c r="F26" i="56" s="1"/>
  <c r="E26" i="56" a="1"/>
  <c r="E26" i="56" s="1"/>
  <c r="D26" i="56" a="1"/>
  <c r="D26" i="56" s="1"/>
  <c r="M26" i="56" s="1"/>
  <c r="C26" i="56" a="1"/>
  <c r="C26" i="56" s="1"/>
  <c r="H25" i="56" a="1"/>
  <c r="H25" i="56" s="1"/>
  <c r="G25" i="56"/>
  <c r="N25" i="56" s="1"/>
  <c r="R25" i="56" s="1"/>
  <c r="G25" i="56" a="1"/>
  <c r="F25" i="56" a="1"/>
  <c r="F25" i="56" s="1"/>
  <c r="E25" i="56" a="1"/>
  <c r="E25" i="56" s="1"/>
  <c r="D25" i="56" a="1"/>
  <c r="D25" i="56" s="1"/>
  <c r="M25" i="56" s="1"/>
  <c r="C25" i="56" a="1"/>
  <c r="C25" i="56" s="1"/>
  <c r="H24" i="56" a="1"/>
  <c r="H24" i="56" s="1"/>
  <c r="G24" i="56" a="1"/>
  <c r="G24" i="56" s="1"/>
  <c r="N24" i="56" s="1"/>
  <c r="R24" i="56" s="1"/>
  <c r="F24" i="56" a="1"/>
  <c r="F24" i="56" s="1"/>
  <c r="E24" i="56" a="1"/>
  <c r="E24" i="56" s="1"/>
  <c r="D24" i="56" a="1"/>
  <c r="D24" i="56" s="1"/>
  <c r="M24" i="56" s="1"/>
  <c r="C24" i="56"/>
  <c r="C24" i="56" a="1"/>
  <c r="H23" i="56" a="1"/>
  <c r="H23" i="56" s="1"/>
  <c r="G23" i="56" a="1"/>
  <c r="G23" i="56" s="1"/>
  <c r="N23" i="56" s="1"/>
  <c r="R23" i="56" s="1"/>
  <c r="F23" i="56" a="1"/>
  <c r="F23" i="56" s="1"/>
  <c r="E23" i="56" a="1"/>
  <c r="E23" i="56" s="1"/>
  <c r="D23" i="56" a="1"/>
  <c r="D23" i="56" s="1"/>
  <c r="M23" i="56" s="1"/>
  <c r="C23" i="56" a="1"/>
  <c r="C23" i="56" s="1"/>
  <c r="H22" i="56" a="1"/>
  <c r="H22" i="56" s="1"/>
  <c r="G22" i="56" a="1"/>
  <c r="G22" i="56" s="1"/>
  <c r="N22" i="56" s="1"/>
  <c r="R22" i="56" s="1"/>
  <c r="F22" i="56" a="1"/>
  <c r="F22" i="56" s="1"/>
  <c r="E22" i="56" a="1"/>
  <c r="E22" i="56" s="1"/>
  <c r="D22" i="56" a="1"/>
  <c r="D22" i="56" s="1"/>
  <c r="M22" i="56" s="1"/>
  <c r="C22" i="56" a="1"/>
  <c r="C22" i="56" s="1"/>
  <c r="H21" i="56" a="1"/>
  <c r="H21" i="56" s="1"/>
  <c r="G21" i="56" a="1"/>
  <c r="G21" i="56" s="1"/>
  <c r="N21" i="56" s="1"/>
  <c r="R21" i="56" s="1"/>
  <c r="F21" i="56" a="1"/>
  <c r="F21" i="56" s="1"/>
  <c r="E21" i="56" a="1"/>
  <c r="E21" i="56" s="1"/>
  <c r="D21" i="56" a="1"/>
  <c r="D21" i="56" s="1"/>
  <c r="M21" i="56" s="1"/>
  <c r="C21" i="56" a="1"/>
  <c r="C21" i="56" s="1"/>
  <c r="H20" i="56" a="1"/>
  <c r="H20" i="56" s="1"/>
  <c r="G20" i="56" a="1"/>
  <c r="G20" i="56" s="1"/>
  <c r="N20" i="56" s="1"/>
  <c r="R20" i="56" s="1"/>
  <c r="F20" i="56" a="1"/>
  <c r="F20" i="56" s="1"/>
  <c r="E20" i="56" a="1"/>
  <c r="E20" i="56" s="1"/>
  <c r="D20" i="56" a="1"/>
  <c r="D20" i="56" s="1"/>
  <c r="M20" i="56" s="1"/>
  <c r="C20" i="56" a="1"/>
  <c r="C20" i="56" s="1"/>
  <c r="H19" i="56" a="1"/>
  <c r="H19" i="56" s="1"/>
  <c r="G19" i="56" a="1"/>
  <c r="G19" i="56" s="1"/>
  <c r="N19" i="56" s="1"/>
  <c r="R19" i="56" s="1"/>
  <c r="F19" i="56" a="1"/>
  <c r="F19" i="56" s="1"/>
  <c r="E19" i="56" a="1"/>
  <c r="E19" i="56" s="1"/>
  <c r="D19" i="56" a="1"/>
  <c r="D19" i="56" s="1"/>
  <c r="M19" i="56" s="1"/>
  <c r="C19" i="56" a="1"/>
  <c r="C19" i="56" s="1"/>
  <c r="H18" i="56" a="1"/>
  <c r="H18" i="56" s="1"/>
  <c r="G18" i="56" a="1"/>
  <c r="G18" i="56" s="1"/>
  <c r="N18" i="56" s="1"/>
  <c r="R18" i="56" s="1"/>
  <c r="F18" i="56" a="1"/>
  <c r="F18" i="56" s="1"/>
  <c r="E18" i="56" a="1"/>
  <c r="E18" i="56" s="1"/>
  <c r="D18" i="56" a="1"/>
  <c r="D18" i="56" s="1"/>
  <c r="C18" i="56" a="1"/>
  <c r="C18" i="56" s="1"/>
  <c r="H17" i="56" a="1"/>
  <c r="H17" i="56" s="1"/>
  <c r="G17" i="56" a="1"/>
  <c r="G17" i="56" s="1"/>
  <c r="N17" i="56" s="1"/>
  <c r="R17" i="56" s="1"/>
  <c r="F17" i="56" a="1"/>
  <c r="F17" i="56" s="1"/>
  <c r="E17" i="56" a="1"/>
  <c r="E17" i="56" s="1"/>
  <c r="D17" i="56" a="1"/>
  <c r="D17" i="56" s="1"/>
  <c r="M17" i="56" s="1"/>
  <c r="C17" i="56" a="1"/>
  <c r="C17" i="56" s="1"/>
  <c r="H16" i="56" a="1"/>
  <c r="H16" i="56" s="1"/>
  <c r="G16" i="56" a="1"/>
  <c r="G16" i="56" s="1"/>
  <c r="N16" i="56" s="1"/>
  <c r="R16" i="56" s="1"/>
  <c r="F16" i="56" a="1"/>
  <c r="F16" i="56" s="1"/>
  <c r="E16" i="56" a="1"/>
  <c r="E16" i="56" s="1"/>
  <c r="D16" i="56" a="1"/>
  <c r="D16" i="56" s="1"/>
  <c r="M16" i="56" s="1"/>
  <c r="C16" i="56" a="1"/>
  <c r="C16" i="56" s="1"/>
  <c r="H15" i="56" a="1"/>
  <c r="H15" i="56" s="1"/>
  <c r="G15" i="56"/>
  <c r="N15" i="56" s="1"/>
  <c r="R15" i="56" s="1"/>
  <c r="G15" i="56" a="1"/>
  <c r="F15" i="56" a="1"/>
  <c r="F15" i="56" s="1"/>
  <c r="E15" i="56" a="1"/>
  <c r="E15" i="56" s="1"/>
  <c r="D15" i="56" a="1"/>
  <c r="D15" i="56" s="1"/>
  <c r="M15" i="56" s="1"/>
  <c r="C15" i="56" a="1"/>
  <c r="C15" i="56" s="1"/>
  <c r="H14" i="56" a="1"/>
  <c r="H14" i="56" s="1"/>
  <c r="G14" i="56" a="1"/>
  <c r="G14" i="56" s="1"/>
  <c r="N14" i="56" s="1"/>
  <c r="R14" i="56" s="1"/>
  <c r="F14" i="56" a="1"/>
  <c r="F14" i="56" s="1"/>
  <c r="E14" i="56" a="1"/>
  <c r="E14" i="56" s="1"/>
  <c r="D14" i="56" a="1"/>
  <c r="D14" i="56" s="1"/>
  <c r="M14" i="56" s="1"/>
  <c r="C14" i="56"/>
  <c r="C14" i="56" a="1"/>
  <c r="H13" i="56" a="1"/>
  <c r="H13" i="56" s="1"/>
  <c r="G13" i="56" a="1"/>
  <c r="G13" i="56" s="1"/>
  <c r="N13" i="56" s="1"/>
  <c r="R13" i="56" s="1"/>
  <c r="F13" i="56" a="1"/>
  <c r="F13" i="56" s="1"/>
  <c r="E13" i="56" a="1"/>
  <c r="E13" i="56" s="1"/>
  <c r="D13" i="56" a="1"/>
  <c r="D13" i="56" s="1"/>
  <c r="M13" i="56" s="1"/>
  <c r="C13" i="56" a="1"/>
  <c r="C13" i="56" s="1"/>
  <c r="H12" i="56" a="1"/>
  <c r="H12" i="56" s="1"/>
  <c r="G12" i="56" a="1"/>
  <c r="G12" i="56" s="1"/>
  <c r="N12" i="56" s="1"/>
  <c r="R12" i="56" s="1"/>
  <c r="F12" i="56" a="1"/>
  <c r="F12" i="56" s="1"/>
  <c r="E12" i="56"/>
  <c r="E12" i="56" a="1"/>
  <c r="D12" i="56" a="1"/>
  <c r="D12" i="56" s="1"/>
  <c r="M12" i="56" s="1"/>
  <c r="C12" i="56" a="1"/>
  <c r="C12" i="56" s="1"/>
  <c r="H11" i="56" a="1"/>
  <c r="H11" i="56" s="1"/>
  <c r="G11" i="56" a="1"/>
  <c r="G11" i="56" s="1"/>
  <c r="N11" i="56" s="1"/>
  <c r="R11" i="56" s="1"/>
  <c r="F11" i="56" a="1"/>
  <c r="F11" i="56" s="1"/>
  <c r="E11" i="56" a="1"/>
  <c r="E11" i="56" s="1"/>
  <c r="D11" i="56" a="1"/>
  <c r="D11" i="56" s="1"/>
  <c r="M11" i="56" s="1"/>
  <c r="C11" i="56" a="1"/>
  <c r="C11" i="56" s="1"/>
  <c r="H10" i="56" a="1"/>
  <c r="H10" i="56" s="1"/>
  <c r="G10" i="56" a="1"/>
  <c r="G10" i="56" s="1"/>
  <c r="N10" i="56" s="1"/>
  <c r="R10" i="56" s="1"/>
  <c r="F10" i="56" a="1"/>
  <c r="F10" i="56" s="1"/>
  <c r="E10" i="56" a="1"/>
  <c r="E10" i="56" s="1"/>
  <c r="D10" i="56" a="1"/>
  <c r="D10" i="56" s="1"/>
  <c r="M10" i="56" s="1"/>
  <c r="C10" i="56" a="1"/>
  <c r="C10" i="56" s="1"/>
  <c r="H9" i="56" a="1"/>
  <c r="H9" i="56" s="1"/>
  <c r="G9" i="56" a="1"/>
  <c r="G9" i="56" s="1"/>
  <c r="N9" i="56" s="1"/>
  <c r="R9" i="56" s="1"/>
  <c r="F9" i="56" a="1"/>
  <c r="F9" i="56" s="1"/>
  <c r="E9" i="56" a="1"/>
  <c r="E9" i="56" s="1"/>
  <c r="D9" i="56" a="1"/>
  <c r="D9" i="56" s="1"/>
  <c r="M9" i="56" s="1"/>
  <c r="C9" i="56" a="1"/>
  <c r="C9" i="56" s="1"/>
  <c r="H8" i="56" a="1"/>
  <c r="H8" i="56" s="1"/>
  <c r="G8" i="56" a="1"/>
  <c r="G8" i="56" s="1"/>
  <c r="N8" i="56" s="1"/>
  <c r="R8" i="56" s="1"/>
  <c r="F8" i="56" a="1"/>
  <c r="F8" i="56" s="1"/>
  <c r="E8" i="56" a="1"/>
  <c r="E8" i="56" s="1"/>
  <c r="D8" i="56" a="1"/>
  <c r="D8" i="56" s="1"/>
  <c r="M8" i="56" s="1"/>
  <c r="C8" i="56" a="1"/>
  <c r="C8" i="56" s="1"/>
  <c r="H7" i="56" a="1"/>
  <c r="H7" i="56" s="1"/>
  <c r="G7" i="56" a="1"/>
  <c r="G7" i="56" s="1"/>
  <c r="N7" i="56" s="1"/>
  <c r="R7" i="56" s="1"/>
  <c r="F7" i="56" a="1"/>
  <c r="F7" i="56" s="1"/>
  <c r="E7" i="56" a="1"/>
  <c r="E7" i="56" s="1"/>
  <c r="D7" i="56" a="1"/>
  <c r="D7" i="56" s="1"/>
  <c r="M7" i="56" s="1"/>
  <c r="C7" i="56" a="1"/>
  <c r="C7" i="56" s="1"/>
  <c r="H6" i="56" a="1"/>
  <c r="H6" i="56" s="1"/>
  <c r="G6" i="56" a="1"/>
  <c r="G6" i="56" s="1"/>
  <c r="N6" i="56" s="1"/>
  <c r="R6" i="56" s="1"/>
  <c r="F6" i="56" a="1"/>
  <c r="F6" i="56" s="1"/>
  <c r="E6" i="56" a="1"/>
  <c r="E6" i="56" s="1"/>
  <c r="D6" i="56" a="1"/>
  <c r="D6" i="56" s="1"/>
  <c r="M6" i="56" s="1"/>
  <c r="C6" i="56" a="1"/>
  <c r="C6" i="56" s="1"/>
  <c r="H5" i="56" a="1"/>
  <c r="H5" i="56" s="1"/>
  <c r="G5" i="56" a="1"/>
  <c r="G5" i="56" s="1"/>
  <c r="N5" i="56" s="1"/>
  <c r="R5" i="56" s="1"/>
  <c r="F5" i="56" a="1"/>
  <c r="F5" i="56" s="1"/>
  <c r="E5" i="56" a="1"/>
  <c r="E5" i="56" s="1"/>
  <c r="D5" i="56" a="1"/>
  <c r="D5" i="56" s="1"/>
  <c r="M5" i="56" s="1"/>
  <c r="C5" i="56" a="1"/>
  <c r="C5" i="56" s="1"/>
  <c r="H4" i="56" a="1"/>
  <c r="H4" i="56" s="1"/>
  <c r="G4" i="56" a="1"/>
  <c r="G4" i="56" s="1"/>
  <c r="N4" i="56" s="1"/>
  <c r="R4" i="56" s="1"/>
  <c r="F4" i="56" a="1"/>
  <c r="F4" i="56" s="1"/>
  <c r="E4" i="56" a="1"/>
  <c r="E4" i="56" s="1"/>
  <c r="D4" i="56" a="1"/>
  <c r="D4" i="56" s="1"/>
  <c r="C4" i="56"/>
  <c r="C4" i="56" a="1"/>
  <c r="H3" i="56" a="1"/>
  <c r="H3" i="56" s="1"/>
  <c r="G3" i="56" a="1"/>
  <c r="G3" i="56" s="1"/>
  <c r="F3" i="56" a="1"/>
  <c r="F3" i="56" s="1"/>
  <c r="N3" i="56" s="1"/>
  <c r="E3" i="56" a="1"/>
  <c r="E3" i="56" s="1"/>
  <c r="D3" i="56" a="1"/>
  <c r="D3" i="56" s="1"/>
  <c r="C3" i="56" a="1"/>
  <c r="C3" i="56" s="1"/>
  <c r="M3" i="56" s="1"/>
  <c r="T54" i="56"/>
  <c r="T53" i="56"/>
  <c r="T52" i="56"/>
  <c r="T51" i="56"/>
  <c r="T50" i="56"/>
  <c r="T49" i="56"/>
  <c r="T48" i="56"/>
  <c r="T47" i="56"/>
  <c r="T46" i="56"/>
  <c r="T45" i="56"/>
  <c r="T44" i="56"/>
  <c r="M44" i="56"/>
  <c r="T43" i="56"/>
  <c r="N43" i="56"/>
  <c r="R43" i="56" s="1"/>
  <c r="M43" i="56"/>
  <c r="T42" i="56"/>
  <c r="T41" i="56"/>
  <c r="T40" i="56"/>
  <c r="T39" i="56"/>
  <c r="T38" i="56"/>
  <c r="T37" i="56"/>
  <c r="N37" i="56"/>
  <c r="R37" i="56" s="1"/>
  <c r="T36" i="56"/>
  <c r="T35" i="56"/>
  <c r="T34" i="56"/>
  <c r="T33" i="56"/>
  <c r="T32" i="56"/>
  <c r="T31" i="56"/>
  <c r="T30" i="56"/>
  <c r="N30" i="56"/>
  <c r="R30" i="56" s="1"/>
  <c r="T29" i="56"/>
  <c r="T28" i="56"/>
  <c r="T27" i="56"/>
  <c r="T26" i="56"/>
  <c r="T25" i="56"/>
  <c r="T24" i="56"/>
  <c r="T23" i="56"/>
  <c r="T22" i="56"/>
  <c r="T21" i="56"/>
  <c r="T20" i="56"/>
  <c r="T19" i="56"/>
  <c r="T18" i="56"/>
  <c r="M18" i="56"/>
  <c r="T17" i="56"/>
  <c r="T16" i="56"/>
  <c r="T15" i="56"/>
  <c r="T14" i="56"/>
  <c r="T13" i="56"/>
  <c r="T12" i="56"/>
  <c r="T11" i="56"/>
  <c r="T10" i="56"/>
  <c r="T9" i="56"/>
  <c r="T8" i="56"/>
  <c r="T7" i="56"/>
  <c r="T6" i="56"/>
  <c r="T5" i="56"/>
  <c r="T4" i="56"/>
  <c r="M4" i="56"/>
  <c r="Q3" i="56"/>
  <c r="O3" i="56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5" i="57"/>
  <c r="L66" i="57"/>
  <c r="L67" i="57"/>
  <c r="L68" i="57"/>
  <c r="L69" i="57"/>
  <c r="L70" i="57"/>
  <c r="L71" i="57"/>
  <c r="L72" i="57"/>
  <c r="L73" i="57"/>
  <c r="L74" i="57"/>
  <c r="L38" i="57"/>
  <c r="L4" i="57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" i="57"/>
  <c r="F37" i="57" a="1"/>
  <c r="F37" i="57" s="1"/>
  <c r="F2" i="57" a="1"/>
  <c r="F2" i="57" s="1"/>
  <c r="H54" i="55" a="1"/>
  <c r="H54" i="55" s="1"/>
  <c r="G54" i="55" a="1"/>
  <c r="G54" i="55" s="1"/>
  <c r="N54" i="55" s="1"/>
  <c r="R54" i="55" s="1"/>
  <c r="F54" i="55" a="1"/>
  <c r="F54" i="55" s="1"/>
  <c r="H53" i="55" a="1"/>
  <c r="H53" i="55" s="1"/>
  <c r="G53" i="55" a="1"/>
  <c r="G53" i="55" s="1"/>
  <c r="N53" i="55" s="1"/>
  <c r="R53" i="55" s="1"/>
  <c r="F53" i="55" a="1"/>
  <c r="F53" i="55" s="1"/>
  <c r="H52" i="55" a="1"/>
  <c r="H52" i="55" s="1"/>
  <c r="G52" i="55" a="1"/>
  <c r="G52" i="55" s="1"/>
  <c r="N52" i="55" s="1"/>
  <c r="R52" i="55" s="1"/>
  <c r="F52" i="55" a="1"/>
  <c r="F52" i="55" s="1"/>
  <c r="H51" i="55" a="1"/>
  <c r="H51" i="55" s="1"/>
  <c r="G51" i="55" a="1"/>
  <c r="G51" i="55" s="1"/>
  <c r="N51" i="55" s="1"/>
  <c r="R51" i="55" s="1"/>
  <c r="F51" i="55" a="1"/>
  <c r="F51" i="55" s="1"/>
  <c r="H50" i="55" a="1"/>
  <c r="H50" i="55" s="1"/>
  <c r="G50" i="55" a="1"/>
  <c r="G50" i="55" s="1"/>
  <c r="N50" i="55" s="1"/>
  <c r="R50" i="55" s="1"/>
  <c r="F50" i="55" a="1"/>
  <c r="F50" i="55" s="1"/>
  <c r="H49" i="55" a="1"/>
  <c r="H49" i="55" s="1"/>
  <c r="G49" i="55" a="1"/>
  <c r="G49" i="55" s="1"/>
  <c r="N49" i="55" s="1"/>
  <c r="R49" i="55" s="1"/>
  <c r="F49" i="55" a="1"/>
  <c r="F49" i="55" s="1"/>
  <c r="H48" i="55" a="1"/>
  <c r="H48" i="55" s="1"/>
  <c r="G48" i="55" a="1"/>
  <c r="G48" i="55" s="1"/>
  <c r="N48" i="55" s="1"/>
  <c r="R48" i="55" s="1"/>
  <c r="F48" i="55" a="1"/>
  <c r="F48" i="55" s="1"/>
  <c r="H47" i="55" a="1"/>
  <c r="H47" i="55" s="1"/>
  <c r="G47" i="55" a="1"/>
  <c r="G47" i="55" s="1"/>
  <c r="N47" i="55" s="1"/>
  <c r="R47" i="55" s="1"/>
  <c r="F47" i="55" a="1"/>
  <c r="F47" i="55" s="1"/>
  <c r="H46" i="55" a="1"/>
  <c r="H46" i="55" s="1"/>
  <c r="G46" i="55" a="1"/>
  <c r="G46" i="55" s="1"/>
  <c r="N46" i="55" s="1"/>
  <c r="R46" i="55" s="1"/>
  <c r="F46" i="55" a="1"/>
  <c r="F46" i="55" s="1"/>
  <c r="H45" i="55" a="1"/>
  <c r="H45" i="55" s="1"/>
  <c r="G45" i="55" a="1"/>
  <c r="G45" i="55" s="1"/>
  <c r="N45" i="55" s="1"/>
  <c r="R45" i="55" s="1"/>
  <c r="F45" i="55" a="1"/>
  <c r="F45" i="55" s="1"/>
  <c r="H44" i="55" a="1"/>
  <c r="H44" i="55" s="1"/>
  <c r="G44" i="55" a="1"/>
  <c r="G44" i="55" s="1"/>
  <c r="N44" i="55" s="1"/>
  <c r="R44" i="55" s="1"/>
  <c r="F44" i="55" a="1"/>
  <c r="F44" i="55" s="1"/>
  <c r="H43" i="55" a="1"/>
  <c r="H43" i="55" s="1"/>
  <c r="G43" i="55" a="1"/>
  <c r="G43" i="55" s="1"/>
  <c r="N43" i="55" s="1"/>
  <c r="R43" i="55" s="1"/>
  <c r="F43" i="55" a="1"/>
  <c r="F43" i="55" s="1"/>
  <c r="H42" i="55" a="1"/>
  <c r="H42" i="55" s="1"/>
  <c r="G42" i="55" a="1"/>
  <c r="G42" i="55" s="1"/>
  <c r="N42" i="55" s="1"/>
  <c r="R42" i="55" s="1"/>
  <c r="F42" i="55" a="1"/>
  <c r="F42" i="55" s="1"/>
  <c r="H41" i="55" a="1"/>
  <c r="H41" i="55" s="1"/>
  <c r="G41" i="55" a="1"/>
  <c r="G41" i="55" s="1"/>
  <c r="N41" i="55" s="1"/>
  <c r="R41" i="55" s="1"/>
  <c r="F41" i="55" a="1"/>
  <c r="F41" i="55" s="1"/>
  <c r="H40" i="55" a="1"/>
  <c r="H40" i="55" s="1"/>
  <c r="G40" i="55" a="1"/>
  <c r="G40" i="55" s="1"/>
  <c r="N40" i="55" s="1"/>
  <c r="R40" i="55" s="1"/>
  <c r="F40" i="55" a="1"/>
  <c r="F40" i="55" s="1"/>
  <c r="H39" i="55" a="1"/>
  <c r="H39" i="55" s="1"/>
  <c r="G39" i="55" a="1"/>
  <c r="G39" i="55" s="1"/>
  <c r="N39" i="55" s="1"/>
  <c r="R39" i="55" s="1"/>
  <c r="F39" i="55" a="1"/>
  <c r="F39" i="55" s="1"/>
  <c r="H38" i="55" a="1"/>
  <c r="H38" i="55" s="1"/>
  <c r="G38" i="55" a="1"/>
  <c r="G38" i="55" s="1"/>
  <c r="N38" i="55" s="1"/>
  <c r="R38" i="55" s="1"/>
  <c r="F38" i="55" a="1"/>
  <c r="F38" i="55" s="1"/>
  <c r="H37" i="55" a="1"/>
  <c r="H37" i="55" s="1"/>
  <c r="G37" i="55" a="1"/>
  <c r="G37" i="55" s="1"/>
  <c r="N37" i="55" s="1"/>
  <c r="R37" i="55" s="1"/>
  <c r="F37" i="55" a="1"/>
  <c r="F37" i="55" s="1"/>
  <c r="H36" i="55" a="1"/>
  <c r="H36" i="55" s="1"/>
  <c r="G36" i="55" a="1"/>
  <c r="G36" i="55" s="1"/>
  <c r="N36" i="55" s="1"/>
  <c r="R36" i="55" s="1"/>
  <c r="F36" i="55" a="1"/>
  <c r="F36" i="55" s="1"/>
  <c r="H35" i="55" a="1"/>
  <c r="H35" i="55" s="1"/>
  <c r="G35" i="55" a="1"/>
  <c r="G35" i="55" s="1"/>
  <c r="N35" i="55" s="1"/>
  <c r="R35" i="55" s="1"/>
  <c r="F35" i="55" a="1"/>
  <c r="F35" i="55" s="1"/>
  <c r="H34" i="55" a="1"/>
  <c r="H34" i="55" s="1"/>
  <c r="G34" i="55" a="1"/>
  <c r="G34" i="55" s="1"/>
  <c r="N34" i="55" s="1"/>
  <c r="R34" i="55" s="1"/>
  <c r="F34" i="55" a="1"/>
  <c r="F34" i="55" s="1"/>
  <c r="H33" i="55" a="1"/>
  <c r="H33" i="55" s="1"/>
  <c r="G33" i="55" a="1"/>
  <c r="G33" i="55" s="1"/>
  <c r="N33" i="55" s="1"/>
  <c r="R33" i="55" s="1"/>
  <c r="F33" i="55" a="1"/>
  <c r="F33" i="55" s="1"/>
  <c r="H32" i="55" a="1"/>
  <c r="H32" i="55" s="1"/>
  <c r="G32" i="55" a="1"/>
  <c r="G32" i="55" s="1"/>
  <c r="N32" i="55" s="1"/>
  <c r="R32" i="55" s="1"/>
  <c r="F32" i="55" a="1"/>
  <c r="F32" i="55" s="1"/>
  <c r="H31" i="55" a="1"/>
  <c r="H31" i="55" s="1"/>
  <c r="G31" i="55" a="1"/>
  <c r="G31" i="55" s="1"/>
  <c r="N31" i="55" s="1"/>
  <c r="R31" i="55" s="1"/>
  <c r="F31" i="55" a="1"/>
  <c r="F31" i="55" s="1"/>
  <c r="H30" i="55" a="1"/>
  <c r="H30" i="55" s="1"/>
  <c r="G30" i="55" a="1"/>
  <c r="G30" i="55" s="1"/>
  <c r="N30" i="55" s="1"/>
  <c r="R30" i="55" s="1"/>
  <c r="F30" i="55" a="1"/>
  <c r="F30" i="55" s="1"/>
  <c r="H29" i="55" a="1"/>
  <c r="H29" i="55" s="1"/>
  <c r="G29" i="55" a="1"/>
  <c r="G29" i="55" s="1"/>
  <c r="N29" i="55" s="1"/>
  <c r="R29" i="55" s="1"/>
  <c r="F29" i="55" a="1"/>
  <c r="F29" i="55" s="1"/>
  <c r="H28" i="55" a="1"/>
  <c r="H28" i="55" s="1"/>
  <c r="G28" i="55" a="1"/>
  <c r="G28" i="55" s="1"/>
  <c r="N28" i="55" s="1"/>
  <c r="R28" i="55" s="1"/>
  <c r="F28" i="55" a="1"/>
  <c r="F28" i="55" s="1"/>
  <c r="H27" i="55" a="1"/>
  <c r="H27" i="55" s="1"/>
  <c r="G27" i="55" a="1"/>
  <c r="G27" i="55" s="1"/>
  <c r="N27" i="55" s="1"/>
  <c r="R27" i="55" s="1"/>
  <c r="F27" i="55" a="1"/>
  <c r="F27" i="55" s="1"/>
  <c r="H26" i="55" a="1"/>
  <c r="H26" i="55" s="1"/>
  <c r="G26" i="55" a="1"/>
  <c r="G26" i="55" s="1"/>
  <c r="N26" i="55" s="1"/>
  <c r="R26" i="55" s="1"/>
  <c r="F26" i="55" a="1"/>
  <c r="F26" i="55" s="1"/>
  <c r="H25" i="55" a="1"/>
  <c r="H25" i="55" s="1"/>
  <c r="G25" i="55" a="1"/>
  <c r="G25" i="55" s="1"/>
  <c r="N25" i="55" s="1"/>
  <c r="R25" i="55" s="1"/>
  <c r="F25" i="55" a="1"/>
  <c r="F25" i="55" s="1"/>
  <c r="H24" i="55" a="1"/>
  <c r="H24" i="55" s="1"/>
  <c r="G24" i="55" a="1"/>
  <c r="G24" i="55" s="1"/>
  <c r="N24" i="55" s="1"/>
  <c r="R24" i="55" s="1"/>
  <c r="F24" i="55" a="1"/>
  <c r="F24" i="55" s="1"/>
  <c r="H23" i="55" a="1"/>
  <c r="H23" i="55" s="1"/>
  <c r="G23" i="55" a="1"/>
  <c r="G23" i="55" s="1"/>
  <c r="N23" i="55" s="1"/>
  <c r="R23" i="55" s="1"/>
  <c r="F23" i="55" a="1"/>
  <c r="F23" i="55" s="1"/>
  <c r="H22" i="55" a="1"/>
  <c r="H22" i="55" s="1"/>
  <c r="G22" i="55" a="1"/>
  <c r="G22" i="55" s="1"/>
  <c r="N22" i="55" s="1"/>
  <c r="R22" i="55" s="1"/>
  <c r="F22" i="55" a="1"/>
  <c r="F22" i="55" s="1"/>
  <c r="H21" i="55" a="1"/>
  <c r="H21" i="55" s="1"/>
  <c r="G21" i="55" a="1"/>
  <c r="G21" i="55" s="1"/>
  <c r="N21" i="55" s="1"/>
  <c r="R21" i="55" s="1"/>
  <c r="F21" i="55" a="1"/>
  <c r="F21" i="55" s="1"/>
  <c r="H20" i="55" a="1"/>
  <c r="H20" i="55" s="1"/>
  <c r="G20" i="55" a="1"/>
  <c r="G20" i="55" s="1"/>
  <c r="N20" i="55" s="1"/>
  <c r="R20" i="55" s="1"/>
  <c r="F20" i="55" a="1"/>
  <c r="F20" i="55" s="1"/>
  <c r="H19" i="55" a="1"/>
  <c r="H19" i="55" s="1"/>
  <c r="G19" i="55" a="1"/>
  <c r="G19" i="55" s="1"/>
  <c r="N19" i="55" s="1"/>
  <c r="R19" i="55" s="1"/>
  <c r="F19" i="55" a="1"/>
  <c r="F19" i="55" s="1"/>
  <c r="H18" i="55" a="1"/>
  <c r="H18" i="55" s="1"/>
  <c r="G18" i="55" a="1"/>
  <c r="G18" i="55" s="1"/>
  <c r="N18" i="55" s="1"/>
  <c r="R18" i="55" s="1"/>
  <c r="F18" i="55" a="1"/>
  <c r="F18" i="55" s="1"/>
  <c r="H17" i="55" a="1"/>
  <c r="H17" i="55" s="1"/>
  <c r="G17" i="55" a="1"/>
  <c r="G17" i="55" s="1"/>
  <c r="N17" i="55" s="1"/>
  <c r="R17" i="55" s="1"/>
  <c r="F17" i="55" a="1"/>
  <c r="F17" i="55" s="1"/>
  <c r="H16" i="55" a="1"/>
  <c r="H16" i="55" s="1"/>
  <c r="G16" i="55" a="1"/>
  <c r="G16" i="55" s="1"/>
  <c r="N16" i="55" s="1"/>
  <c r="R16" i="55" s="1"/>
  <c r="F16" i="55" a="1"/>
  <c r="F16" i="55" s="1"/>
  <c r="H15" i="55" a="1"/>
  <c r="H15" i="55" s="1"/>
  <c r="G15" i="55" a="1"/>
  <c r="G15" i="55" s="1"/>
  <c r="N15" i="55" s="1"/>
  <c r="R15" i="55" s="1"/>
  <c r="F15" i="55" a="1"/>
  <c r="F15" i="55" s="1"/>
  <c r="H14" i="55" a="1"/>
  <c r="H14" i="55" s="1"/>
  <c r="G14" i="55" a="1"/>
  <c r="G14" i="55" s="1"/>
  <c r="N14" i="55" s="1"/>
  <c r="R14" i="55" s="1"/>
  <c r="F14" i="55" a="1"/>
  <c r="F14" i="55" s="1"/>
  <c r="H13" i="55" a="1"/>
  <c r="H13" i="55" s="1"/>
  <c r="G13" i="55" a="1"/>
  <c r="G13" i="55" s="1"/>
  <c r="N13" i="55" s="1"/>
  <c r="R13" i="55" s="1"/>
  <c r="F13" i="55" a="1"/>
  <c r="F13" i="55" s="1"/>
  <c r="H12" i="55" a="1"/>
  <c r="H12" i="55" s="1"/>
  <c r="G12" i="55" a="1"/>
  <c r="G12" i="55" s="1"/>
  <c r="N12" i="55" s="1"/>
  <c r="R12" i="55" s="1"/>
  <c r="F12" i="55" a="1"/>
  <c r="F12" i="55" s="1"/>
  <c r="H11" i="55" a="1"/>
  <c r="H11" i="55" s="1"/>
  <c r="G11" i="55" a="1"/>
  <c r="G11" i="55" s="1"/>
  <c r="N11" i="55" s="1"/>
  <c r="R11" i="55" s="1"/>
  <c r="F11" i="55" a="1"/>
  <c r="F11" i="55" s="1"/>
  <c r="H10" i="55" a="1"/>
  <c r="H10" i="55" s="1"/>
  <c r="G10" i="55" a="1"/>
  <c r="G10" i="55" s="1"/>
  <c r="N10" i="55" s="1"/>
  <c r="R10" i="55" s="1"/>
  <c r="F10" i="55" a="1"/>
  <c r="F10" i="55" s="1"/>
  <c r="H9" i="55" a="1"/>
  <c r="H9" i="55" s="1"/>
  <c r="G9" i="55" a="1"/>
  <c r="G9" i="55" s="1"/>
  <c r="N9" i="55" s="1"/>
  <c r="R9" i="55" s="1"/>
  <c r="F9" i="55" a="1"/>
  <c r="F9" i="55" s="1"/>
  <c r="H8" i="55" a="1"/>
  <c r="H8" i="55" s="1"/>
  <c r="G8" i="55" a="1"/>
  <c r="G8" i="55" s="1"/>
  <c r="N8" i="55" s="1"/>
  <c r="R8" i="55" s="1"/>
  <c r="F8" i="55" a="1"/>
  <c r="F8" i="55" s="1"/>
  <c r="H7" i="55" a="1"/>
  <c r="H7" i="55" s="1"/>
  <c r="G7" i="55" a="1"/>
  <c r="G7" i="55" s="1"/>
  <c r="N7" i="55" s="1"/>
  <c r="R7" i="55" s="1"/>
  <c r="F7" i="55" a="1"/>
  <c r="F7" i="55" s="1"/>
  <c r="H6" i="55" a="1"/>
  <c r="H6" i="55" s="1"/>
  <c r="G6" i="55" a="1"/>
  <c r="G6" i="55" s="1"/>
  <c r="N6" i="55" s="1"/>
  <c r="R6" i="55" s="1"/>
  <c r="F6" i="55" a="1"/>
  <c r="F6" i="55" s="1"/>
  <c r="H5" i="55" a="1"/>
  <c r="H5" i="55" s="1"/>
  <c r="G5" i="55" a="1"/>
  <c r="G5" i="55" s="1"/>
  <c r="N5" i="55" s="1"/>
  <c r="R5" i="55" s="1"/>
  <c r="F5" i="55" a="1"/>
  <c r="F5" i="55" s="1"/>
  <c r="H4" i="55" a="1"/>
  <c r="H4" i="55" s="1"/>
  <c r="G4" i="55" a="1"/>
  <c r="G4" i="55" s="1"/>
  <c r="N4" i="55" s="1"/>
  <c r="R4" i="55" s="1"/>
  <c r="F4" i="55" a="1"/>
  <c r="F4" i="55" s="1"/>
  <c r="H3" i="55" a="1"/>
  <c r="H3" i="55" s="1"/>
  <c r="G3" i="55" a="1"/>
  <c r="G3" i="55" s="1"/>
  <c r="F3" i="55" a="1"/>
  <c r="F3" i="55" s="1"/>
  <c r="N3" i="55" s="1"/>
  <c r="D3" i="55" a="1"/>
  <c r="D3" i="55" s="1"/>
  <c r="E3" i="55" a="1"/>
  <c r="E3" i="55"/>
  <c r="D4" i="55" a="1"/>
  <c r="D4" i="55" s="1"/>
  <c r="M4" i="55" s="1"/>
  <c r="E4" i="55" a="1"/>
  <c r="E4" i="55" s="1"/>
  <c r="D5" i="55" a="1"/>
  <c r="D5" i="55" s="1"/>
  <c r="M5" i="55" s="1"/>
  <c r="E5" i="55" a="1"/>
  <c r="E5" i="55" s="1"/>
  <c r="D6" i="55" a="1"/>
  <c r="D6" i="55"/>
  <c r="E6" i="55" a="1"/>
  <c r="E6" i="55"/>
  <c r="D7" i="55" a="1"/>
  <c r="D7" i="55" s="1"/>
  <c r="M7" i="55" s="1"/>
  <c r="E7" i="55" a="1"/>
  <c r="E7" i="55" s="1"/>
  <c r="D8" i="55" a="1"/>
  <c r="D8" i="55" s="1"/>
  <c r="M8" i="55" s="1"/>
  <c r="E8" i="55" a="1"/>
  <c r="E8" i="55"/>
  <c r="D9" i="55" a="1"/>
  <c r="D9" i="55" s="1"/>
  <c r="M9" i="55" s="1"/>
  <c r="E9" i="55" a="1"/>
  <c r="E9" i="55" s="1"/>
  <c r="D10" i="55" a="1"/>
  <c r="D10" i="55" s="1"/>
  <c r="M10" i="55" s="1"/>
  <c r="E10" i="55" a="1"/>
  <c r="E10" i="55" s="1"/>
  <c r="D11" i="55" a="1"/>
  <c r="D11" i="55" s="1"/>
  <c r="M11" i="55" s="1"/>
  <c r="E11" i="55" a="1"/>
  <c r="E11" i="55"/>
  <c r="D12" i="55" a="1"/>
  <c r="D12" i="55"/>
  <c r="M12" i="55" s="1"/>
  <c r="E12" i="55" a="1"/>
  <c r="E12" i="55" s="1"/>
  <c r="D13" i="55" a="1"/>
  <c r="D13" i="55" s="1"/>
  <c r="M13" i="55" s="1"/>
  <c r="E13" i="55" a="1"/>
  <c r="E13" i="55"/>
  <c r="D14" i="55" a="1"/>
  <c r="D14" i="55" s="1"/>
  <c r="M14" i="55" s="1"/>
  <c r="E14" i="55" a="1"/>
  <c r="E14" i="55" s="1"/>
  <c r="D15" i="55" a="1"/>
  <c r="D15" i="55" s="1"/>
  <c r="M15" i="55" s="1"/>
  <c r="E15" i="55" a="1"/>
  <c r="E15" i="55" s="1"/>
  <c r="D16" i="55" a="1"/>
  <c r="D16" i="55"/>
  <c r="E16" i="55" a="1"/>
  <c r="E16" i="55" s="1"/>
  <c r="D17" i="55" a="1"/>
  <c r="D17" i="55"/>
  <c r="M17" i="55" s="1"/>
  <c r="E17" i="55" a="1"/>
  <c r="E17" i="55"/>
  <c r="D18" i="55" a="1"/>
  <c r="D18" i="55" s="1"/>
  <c r="M18" i="55" s="1"/>
  <c r="E18" i="55" a="1"/>
  <c r="E18" i="55" s="1"/>
  <c r="D19" i="55" a="1"/>
  <c r="D19" i="55" s="1"/>
  <c r="M19" i="55" s="1"/>
  <c r="E19" i="55" a="1"/>
  <c r="E19" i="55" s="1"/>
  <c r="D20" i="55" a="1"/>
  <c r="D20" i="55" s="1"/>
  <c r="M20" i="55" s="1"/>
  <c r="E20" i="55" a="1"/>
  <c r="E20" i="55" s="1"/>
  <c r="D21" i="55" a="1"/>
  <c r="D21" i="55"/>
  <c r="M21" i="55" s="1"/>
  <c r="E21" i="55" a="1"/>
  <c r="E21" i="55"/>
  <c r="D22" i="55" a="1"/>
  <c r="D22" i="55" s="1"/>
  <c r="M22" i="55" s="1"/>
  <c r="E22" i="55" a="1"/>
  <c r="E22" i="55" s="1"/>
  <c r="D23" i="55" a="1"/>
  <c r="D23" i="55" s="1"/>
  <c r="M23" i="55" s="1"/>
  <c r="E23" i="55" a="1"/>
  <c r="E23" i="55"/>
  <c r="D24" i="55" a="1"/>
  <c r="D24" i="55" s="1"/>
  <c r="M24" i="55" s="1"/>
  <c r="E24" i="55" a="1"/>
  <c r="E24" i="55" s="1"/>
  <c r="D25" i="55" a="1"/>
  <c r="D25" i="55" s="1"/>
  <c r="M25" i="55" s="1"/>
  <c r="E25" i="55" a="1"/>
  <c r="E25" i="55" s="1"/>
  <c r="D26" i="55" a="1"/>
  <c r="D26" i="55"/>
  <c r="M26" i="55" s="1"/>
  <c r="E26" i="55" a="1"/>
  <c r="E26" i="55"/>
  <c r="D27" i="55" a="1"/>
  <c r="D27" i="55"/>
  <c r="M27" i="55" s="1"/>
  <c r="E27" i="55" a="1"/>
  <c r="E27" i="55" s="1"/>
  <c r="D28" i="55" a="1"/>
  <c r="D28" i="55" s="1"/>
  <c r="M28" i="55" s="1"/>
  <c r="E28" i="55" a="1"/>
  <c r="E28" i="55"/>
  <c r="D29" i="55" a="1"/>
  <c r="D29" i="55"/>
  <c r="M29" i="55" s="1"/>
  <c r="E29" i="55" a="1"/>
  <c r="E29" i="55" s="1"/>
  <c r="D30" i="55" a="1"/>
  <c r="D30" i="55" s="1"/>
  <c r="M30" i="55" s="1"/>
  <c r="E30" i="55" a="1"/>
  <c r="E30" i="55" s="1"/>
  <c r="D31" i="55" a="1"/>
  <c r="D31" i="55" s="1"/>
  <c r="M31" i="55" s="1"/>
  <c r="E31" i="55" a="1"/>
  <c r="E31" i="55" s="1"/>
  <c r="D32" i="55" a="1"/>
  <c r="D32" i="55" s="1"/>
  <c r="M32" i="55" s="1"/>
  <c r="E32" i="55" a="1"/>
  <c r="E32" i="55" s="1"/>
  <c r="D33" i="55" a="1"/>
  <c r="D33" i="55" s="1"/>
  <c r="M33" i="55" s="1"/>
  <c r="E33" i="55" a="1"/>
  <c r="E33" i="55" s="1"/>
  <c r="D34" i="55" a="1"/>
  <c r="D34" i="55"/>
  <c r="M34" i="55" s="1"/>
  <c r="E34" i="55" a="1"/>
  <c r="E34" i="55"/>
  <c r="D35" i="55" a="1"/>
  <c r="D35" i="55" s="1"/>
  <c r="M35" i="55" s="1"/>
  <c r="E35" i="55" a="1"/>
  <c r="E35" i="55" s="1"/>
  <c r="D36" i="55" a="1"/>
  <c r="D36" i="55" s="1"/>
  <c r="M36" i="55" s="1"/>
  <c r="E36" i="55" a="1"/>
  <c r="E36" i="55" s="1"/>
  <c r="D37" i="55" a="1"/>
  <c r="D37" i="55" s="1"/>
  <c r="M37" i="55" s="1"/>
  <c r="E37" i="55" a="1"/>
  <c r="E37" i="55" s="1"/>
  <c r="D38" i="55" a="1"/>
  <c r="D38" i="55" s="1"/>
  <c r="M38" i="55" s="1"/>
  <c r="E38" i="55" a="1"/>
  <c r="E38" i="55" s="1"/>
  <c r="D39" i="55" a="1"/>
  <c r="D39" i="55" s="1"/>
  <c r="M39" i="55" s="1"/>
  <c r="E39" i="55" a="1"/>
  <c r="E39" i="55" s="1"/>
  <c r="D40" i="55" a="1"/>
  <c r="D40" i="55"/>
  <c r="M40" i="55" s="1"/>
  <c r="E40" i="55" a="1"/>
  <c r="E40" i="55" s="1"/>
  <c r="D41" i="55" a="1"/>
  <c r="D41" i="55"/>
  <c r="M41" i="55" s="1"/>
  <c r="E41" i="55" a="1"/>
  <c r="E41" i="55" s="1"/>
  <c r="D42" i="55" a="1"/>
  <c r="D42" i="55" s="1"/>
  <c r="M42" i="55" s="1"/>
  <c r="E42" i="55" a="1"/>
  <c r="E42" i="55"/>
  <c r="D43" i="55" a="1"/>
  <c r="D43" i="55" s="1"/>
  <c r="M43" i="55" s="1"/>
  <c r="E43" i="55" a="1"/>
  <c r="E43" i="55" s="1"/>
  <c r="D44" i="55" a="1"/>
  <c r="D44" i="55"/>
  <c r="M44" i="55" s="1"/>
  <c r="E44" i="55" a="1"/>
  <c r="E44" i="55"/>
  <c r="D45" i="55" a="1"/>
  <c r="D45" i="55"/>
  <c r="M45" i="55" s="1"/>
  <c r="E45" i="55" a="1"/>
  <c r="E45" i="55" s="1"/>
  <c r="D46" i="55" a="1"/>
  <c r="D46" i="55"/>
  <c r="M46" i="55" s="1"/>
  <c r="E46" i="55" a="1"/>
  <c r="E46" i="55"/>
  <c r="D47" i="55" a="1"/>
  <c r="D47" i="55"/>
  <c r="M47" i="55" s="1"/>
  <c r="E47" i="55" a="1"/>
  <c r="E47" i="55" s="1"/>
  <c r="D48" i="55" a="1"/>
  <c r="D48" i="55" s="1"/>
  <c r="M48" i="55" s="1"/>
  <c r="E48" i="55" a="1"/>
  <c r="E48" i="55" s="1"/>
  <c r="D49" i="55" a="1"/>
  <c r="D49" i="55" s="1"/>
  <c r="M49" i="55" s="1"/>
  <c r="E49" i="55" a="1"/>
  <c r="E49" i="55" s="1"/>
  <c r="D50" i="55" a="1"/>
  <c r="D50" i="55" s="1"/>
  <c r="M50" i="55" s="1"/>
  <c r="E50" i="55" a="1"/>
  <c r="E50" i="55" s="1"/>
  <c r="D51" i="55" a="1"/>
  <c r="D51" i="55"/>
  <c r="M51" i="55" s="1"/>
  <c r="E51" i="55" a="1"/>
  <c r="E51" i="55" s="1"/>
  <c r="D52" i="55" a="1"/>
  <c r="D52" i="55"/>
  <c r="E52" i="55" a="1"/>
  <c r="E52" i="55"/>
  <c r="D53" i="55" a="1"/>
  <c r="D53" i="55" s="1"/>
  <c r="M53" i="55" s="1"/>
  <c r="E53" i="55" a="1"/>
  <c r="E53" i="55" s="1"/>
  <c r="D54" i="55" a="1"/>
  <c r="D54" i="55" s="1"/>
  <c r="M54" i="55" s="1"/>
  <c r="E54" i="55" a="1"/>
  <c r="E54" i="55"/>
  <c r="M6" i="55"/>
  <c r="M16" i="55"/>
  <c r="M52" i="55"/>
  <c r="C4" i="55" a="1"/>
  <c r="C4" i="55" s="1"/>
  <c r="C5" i="55" a="1"/>
  <c r="C5" i="55" s="1"/>
  <c r="C6" i="55" a="1"/>
  <c r="C6" i="55" s="1"/>
  <c r="C7" i="55" a="1"/>
  <c r="C7" i="55" s="1"/>
  <c r="C8" i="55" a="1"/>
  <c r="C8" i="55" s="1"/>
  <c r="C9" i="55" a="1"/>
  <c r="C9" i="55" s="1"/>
  <c r="C10" i="55" a="1"/>
  <c r="C10" i="55" s="1"/>
  <c r="C11" i="55" a="1"/>
  <c r="C11" i="55" s="1"/>
  <c r="C12" i="55" a="1"/>
  <c r="C12" i="55"/>
  <c r="C13" i="55" a="1"/>
  <c r="C13" i="55"/>
  <c r="C14" i="55" a="1"/>
  <c r="C14" i="55" s="1"/>
  <c r="C15" i="55" a="1"/>
  <c r="C15" i="55" s="1"/>
  <c r="C16" i="55" a="1"/>
  <c r="C16" i="55" s="1"/>
  <c r="C17" i="55" a="1"/>
  <c r="C17" i="55" s="1"/>
  <c r="C18" i="55" a="1"/>
  <c r="C18" i="55" s="1"/>
  <c r="C19" i="55" a="1"/>
  <c r="C19" i="55"/>
  <c r="C20" i="55" a="1"/>
  <c r="C20" i="55"/>
  <c r="C21" i="55" a="1"/>
  <c r="C21" i="55"/>
  <c r="C22" i="55" a="1"/>
  <c r="C22" i="55"/>
  <c r="C23" i="55" a="1"/>
  <c r="C23" i="55" s="1"/>
  <c r="C24" i="55" a="1"/>
  <c r="C24" i="55" s="1"/>
  <c r="C25" i="55" a="1"/>
  <c r="C25" i="55" s="1"/>
  <c r="C26" i="55" a="1"/>
  <c r="C26" i="55"/>
  <c r="C27" i="55" a="1"/>
  <c r="C27" i="55" s="1"/>
  <c r="C28" i="55" a="1"/>
  <c r="C28" i="55" s="1"/>
  <c r="C29" i="55" a="1"/>
  <c r="C29" i="55" s="1"/>
  <c r="C30" i="55" a="1"/>
  <c r="C30" i="55" s="1"/>
  <c r="C31" i="55" a="1"/>
  <c r="C31" i="55"/>
  <c r="C32" i="55" a="1"/>
  <c r="C32" i="55" s="1"/>
  <c r="C33" i="55" a="1"/>
  <c r="C33" i="55" s="1"/>
  <c r="C34" i="55" a="1"/>
  <c r="C34" i="55" s="1"/>
  <c r="C35" i="55" a="1"/>
  <c r="C35" i="55" s="1"/>
  <c r="C36" i="55" a="1"/>
  <c r="C36" i="55"/>
  <c r="C37" i="55" a="1"/>
  <c r="C37" i="55" s="1"/>
  <c r="C38" i="55" a="1"/>
  <c r="C38" i="55" s="1"/>
  <c r="C39" i="55" a="1"/>
  <c r="C39" i="55" s="1"/>
  <c r="C40" i="55" a="1"/>
  <c r="C40" i="55" s="1"/>
  <c r="C41" i="55" a="1"/>
  <c r="C41" i="55"/>
  <c r="C42" i="55" a="1"/>
  <c r="C42" i="55"/>
  <c r="C43" i="55" a="1"/>
  <c r="C43" i="55" s="1"/>
  <c r="C44" i="55" a="1"/>
  <c r="C44" i="55" s="1"/>
  <c r="C45" i="55" a="1"/>
  <c r="C45" i="55" s="1"/>
  <c r="C46" i="55" a="1"/>
  <c r="C46" i="55" s="1"/>
  <c r="C47" i="55" a="1"/>
  <c r="C47" i="55" s="1"/>
  <c r="C48" i="55" a="1"/>
  <c r="C48" i="55" s="1"/>
  <c r="C49" i="55" a="1"/>
  <c r="C49" i="55" s="1"/>
  <c r="C50" i="55" a="1"/>
  <c r="C50" i="55"/>
  <c r="C51" i="55" a="1"/>
  <c r="C51" i="55" s="1"/>
  <c r="C52" i="55" a="1"/>
  <c r="C52" i="55" s="1"/>
  <c r="C53" i="55" a="1"/>
  <c r="C53" i="55"/>
  <c r="C54" i="55" a="1"/>
  <c r="C54" i="55" s="1"/>
  <c r="C3" i="55" a="1"/>
  <c r="C3" i="55" s="1"/>
  <c r="L38" i="54"/>
  <c r="L39" i="54"/>
  <c r="L40" i="54"/>
  <c r="L41" i="54"/>
  <c r="L42" i="54"/>
  <c r="F21" i="54" a="1"/>
  <c r="F21" i="54" s="1"/>
  <c r="L37" i="54"/>
  <c r="L36" i="54"/>
  <c r="L35" i="54"/>
  <c r="L34" i="54"/>
  <c r="L33" i="54"/>
  <c r="L32" i="54"/>
  <c r="L31" i="54"/>
  <c r="L30" i="54"/>
  <c r="L29" i="54"/>
  <c r="L28" i="54"/>
  <c r="L27" i="54"/>
  <c r="L26" i="54"/>
  <c r="L25" i="54"/>
  <c r="L24" i="54"/>
  <c r="L23" i="54"/>
  <c r="L22" i="54"/>
  <c r="L4" i="54"/>
  <c r="L5" i="54"/>
  <c r="L6" i="54"/>
  <c r="L7" i="54"/>
  <c r="L8" i="54"/>
  <c r="L9" i="54"/>
  <c r="L10" i="54"/>
  <c r="L11" i="54"/>
  <c r="L12" i="54"/>
  <c r="L13" i="54"/>
  <c r="L14" i="54"/>
  <c r="L15" i="54"/>
  <c r="L16" i="54"/>
  <c r="L17" i="54"/>
  <c r="L18" i="54"/>
  <c r="L3" i="54"/>
  <c r="F2" i="54" a="1"/>
  <c r="F2" i="54" s="1"/>
  <c r="G3" i="58" a="1"/>
  <c r="G3" i="58" s="1"/>
  <c r="H3" i="58" a="1"/>
  <c r="H3" i="58" s="1"/>
  <c r="G4" i="58" a="1"/>
  <c r="G4" i="58"/>
  <c r="H4" i="58" a="1"/>
  <c r="H4" i="58" s="1"/>
  <c r="G5" i="58" a="1"/>
  <c r="G5" i="58" s="1"/>
  <c r="H5" i="58" a="1"/>
  <c r="H5" i="58" s="1"/>
  <c r="G6" i="58" a="1"/>
  <c r="G6" i="58" s="1"/>
  <c r="H6" i="58" a="1"/>
  <c r="H6" i="58"/>
  <c r="G7" i="58" a="1"/>
  <c r="G7" i="58" s="1"/>
  <c r="H7" i="58" a="1"/>
  <c r="H7" i="58" s="1"/>
  <c r="G8" i="58" a="1"/>
  <c r="G8" i="58" s="1"/>
  <c r="H8" i="58" a="1"/>
  <c r="H8" i="58" s="1"/>
  <c r="G9" i="58" a="1"/>
  <c r="G9" i="58"/>
  <c r="H9" i="58" a="1"/>
  <c r="H9" i="58"/>
  <c r="G10" i="58" a="1"/>
  <c r="G10" i="58"/>
  <c r="H10" i="58" a="1"/>
  <c r="H10" i="58" s="1"/>
  <c r="G11" i="58" a="1"/>
  <c r="G11" i="58" s="1"/>
  <c r="H11" i="58" a="1"/>
  <c r="H11" i="58" s="1"/>
  <c r="G12" i="58" a="1"/>
  <c r="G12" i="58" s="1"/>
  <c r="H12" i="58" a="1"/>
  <c r="H12" i="58" s="1"/>
  <c r="G13" i="58" a="1"/>
  <c r="G13" i="58" s="1"/>
  <c r="H13" i="58" a="1"/>
  <c r="H13" i="58" s="1"/>
  <c r="G14" i="58" a="1"/>
  <c r="G14" i="58"/>
  <c r="H14" i="58" a="1"/>
  <c r="H14" i="58" s="1"/>
  <c r="G15" i="58" a="1"/>
  <c r="G15" i="58"/>
  <c r="H15" i="58" a="1"/>
  <c r="H15" i="58" s="1"/>
  <c r="G16" i="58" a="1"/>
  <c r="G16" i="58"/>
  <c r="H16" i="58" a="1"/>
  <c r="H16" i="58"/>
  <c r="G17" i="58" a="1"/>
  <c r="G17" i="58"/>
  <c r="H17" i="58" a="1"/>
  <c r="H17" i="58" s="1"/>
  <c r="G18" i="58" a="1"/>
  <c r="G18" i="58" s="1"/>
  <c r="H18" i="58" a="1"/>
  <c r="H18" i="58" s="1"/>
  <c r="G19" i="58" a="1"/>
  <c r="G19" i="58" s="1"/>
  <c r="H19" i="58" a="1"/>
  <c r="H19" i="58" s="1"/>
  <c r="G20" i="58" a="1"/>
  <c r="G20" i="58"/>
  <c r="H20" i="58" a="1"/>
  <c r="H20" i="58" s="1"/>
  <c r="G21" i="58" a="1"/>
  <c r="G21" i="58" s="1"/>
  <c r="H21" i="58" a="1"/>
  <c r="H21" i="58"/>
  <c r="G22" i="58" a="1"/>
  <c r="G22" i="58" s="1"/>
  <c r="H22" i="58" a="1"/>
  <c r="H22" i="58" s="1"/>
  <c r="G23" i="58" a="1"/>
  <c r="G23" i="58" s="1"/>
  <c r="H23" i="58" a="1"/>
  <c r="H23" i="58" s="1"/>
  <c r="G24" i="58" a="1"/>
  <c r="G24" i="58" s="1"/>
  <c r="H24" i="58" a="1"/>
  <c r="H24" i="58" s="1"/>
  <c r="G25" i="58" a="1"/>
  <c r="G25" i="58"/>
  <c r="H25" i="58" a="1"/>
  <c r="H25" i="58" s="1"/>
  <c r="G26" i="58" a="1"/>
  <c r="G26" i="58"/>
  <c r="H26" i="58" a="1"/>
  <c r="H26" i="58"/>
  <c r="G27" i="58" a="1"/>
  <c r="G27" i="58" s="1"/>
  <c r="H27" i="58" a="1"/>
  <c r="H27" i="58"/>
  <c r="G28" i="58" a="1"/>
  <c r="G28" i="58" s="1"/>
  <c r="H28" i="58" a="1"/>
  <c r="H28" i="58" s="1"/>
  <c r="G29" i="58" a="1"/>
  <c r="G29" i="58" s="1"/>
  <c r="H29" i="58" a="1"/>
  <c r="H29" i="58"/>
  <c r="G30" i="58" a="1"/>
  <c r="G30" i="58" s="1"/>
  <c r="H30" i="58" a="1"/>
  <c r="H30" i="58" s="1"/>
  <c r="G31" i="58" a="1"/>
  <c r="G31" i="58" s="1"/>
  <c r="H31" i="58" a="1"/>
  <c r="H31" i="58" s="1"/>
  <c r="G32" i="58" a="1"/>
  <c r="G32" i="58"/>
  <c r="H32" i="58" a="1"/>
  <c r="H32" i="58" s="1"/>
  <c r="G33" i="58" a="1"/>
  <c r="G33" i="58" s="1"/>
  <c r="H33" i="58" a="1"/>
  <c r="H33" i="58" s="1"/>
  <c r="G34" i="58" a="1"/>
  <c r="G34" i="58"/>
  <c r="H34" i="58" a="1"/>
  <c r="H34" i="58"/>
  <c r="G35" i="58" a="1"/>
  <c r="G35" i="58"/>
  <c r="H35" i="58" a="1"/>
  <c r="H35" i="58" s="1"/>
  <c r="G36" i="58" a="1"/>
  <c r="G36" i="58" s="1"/>
  <c r="H36" i="58" a="1"/>
  <c r="H36" i="58" s="1"/>
  <c r="G37" i="58" a="1"/>
  <c r="G37" i="58" s="1"/>
  <c r="H37" i="58" a="1"/>
  <c r="H37" i="58"/>
  <c r="G38" i="58" a="1"/>
  <c r="G38" i="58" s="1"/>
  <c r="H38" i="58" a="1"/>
  <c r="H38" i="58" s="1"/>
  <c r="G39" i="58" a="1"/>
  <c r="G39" i="58"/>
  <c r="H39" i="58" a="1"/>
  <c r="H39" i="58"/>
  <c r="G40" i="58" a="1"/>
  <c r="G40" i="58" s="1"/>
  <c r="H40" i="58" a="1"/>
  <c r="H40" i="58" s="1"/>
  <c r="G41" i="58" a="1"/>
  <c r="G41" i="58" s="1"/>
  <c r="H41" i="58" a="1"/>
  <c r="H41" i="58" s="1"/>
  <c r="G42" i="58" a="1"/>
  <c r="G42" i="58"/>
  <c r="H42" i="58" a="1"/>
  <c r="H42" i="58" s="1"/>
  <c r="G43" i="58" a="1"/>
  <c r="G43" i="58" s="1"/>
  <c r="H43" i="58" a="1"/>
  <c r="H43" i="58" s="1"/>
  <c r="G44" i="58" a="1"/>
  <c r="G44" i="58"/>
  <c r="H44" i="58" a="1"/>
  <c r="H44" i="58" s="1"/>
  <c r="G45" i="58" a="1"/>
  <c r="G45" i="58"/>
  <c r="H45" i="58" a="1"/>
  <c r="H45" i="58" s="1"/>
  <c r="G46" i="58" a="1"/>
  <c r="G46" i="58" s="1"/>
  <c r="H46" i="58" a="1"/>
  <c r="H46" i="58" s="1"/>
  <c r="G47" i="58" a="1"/>
  <c r="G47" i="58"/>
  <c r="H47" i="58" a="1"/>
  <c r="H47" i="58" s="1"/>
  <c r="G48" i="58" a="1"/>
  <c r="G48" i="58" s="1"/>
  <c r="H48" i="58" a="1"/>
  <c r="H48" i="58" s="1"/>
  <c r="G49" i="58" a="1"/>
  <c r="G49" i="58" s="1"/>
  <c r="H49" i="58" a="1"/>
  <c r="H49" i="58"/>
  <c r="G50" i="58" a="1"/>
  <c r="G50" i="58" s="1"/>
  <c r="H50" i="58" a="1"/>
  <c r="H50" i="58" s="1"/>
  <c r="G51" i="58" a="1"/>
  <c r="G51" i="58"/>
  <c r="H51" i="58" a="1"/>
  <c r="H51" i="58"/>
  <c r="G52" i="58" a="1"/>
  <c r="G52" i="58"/>
  <c r="H52" i="58" a="1"/>
  <c r="H52" i="58" s="1"/>
  <c r="G53" i="58" a="1"/>
  <c r="G53" i="58" s="1"/>
  <c r="H53" i="58" a="1"/>
  <c r="H53" i="58" s="1"/>
  <c r="G54" i="58" a="1"/>
  <c r="G54" i="58"/>
  <c r="H54" i="58" a="1"/>
  <c r="H54" i="58" s="1"/>
  <c r="F4" i="58" a="1"/>
  <c r="F4" i="58" s="1"/>
  <c r="F5" i="58" a="1"/>
  <c r="F5" i="58" s="1"/>
  <c r="F6" i="58" a="1"/>
  <c r="F6" i="58" s="1"/>
  <c r="F7" i="58" a="1"/>
  <c r="F7" i="58" s="1"/>
  <c r="F8" i="58" a="1"/>
  <c r="F8" i="58" s="1"/>
  <c r="F9" i="58" a="1"/>
  <c r="F9" i="58" s="1"/>
  <c r="F10" i="58" a="1"/>
  <c r="F10" i="58"/>
  <c r="F11" i="58" a="1"/>
  <c r="F11" i="58"/>
  <c r="F12" i="58" a="1"/>
  <c r="F12" i="58" s="1"/>
  <c r="F13" i="58" a="1"/>
  <c r="F13" i="58"/>
  <c r="F14" i="58" a="1"/>
  <c r="F14" i="58" s="1"/>
  <c r="F15" i="58" a="1"/>
  <c r="F15" i="58" s="1"/>
  <c r="F16" i="58" a="1"/>
  <c r="F16" i="58" s="1"/>
  <c r="F17" i="58" a="1"/>
  <c r="F17" i="58" s="1"/>
  <c r="F18" i="58" a="1"/>
  <c r="F18" i="58" s="1"/>
  <c r="F19" i="58" a="1"/>
  <c r="F19" i="58" s="1"/>
  <c r="F20" i="58" a="1"/>
  <c r="F20" i="58"/>
  <c r="F21" i="58" a="1"/>
  <c r="F21" i="58"/>
  <c r="F22" i="58" a="1"/>
  <c r="F22" i="58"/>
  <c r="F23" i="58" a="1"/>
  <c r="F23" i="58"/>
  <c r="F24" i="58" a="1"/>
  <c r="F24" i="58"/>
  <c r="F25" i="58" a="1"/>
  <c r="F25" i="58" s="1"/>
  <c r="F26" i="58" a="1"/>
  <c r="F26" i="58" s="1"/>
  <c r="F27" i="58" a="1"/>
  <c r="F27" i="58" s="1"/>
  <c r="F28" i="58" a="1"/>
  <c r="F28" i="58" s="1"/>
  <c r="F29" i="58" a="1"/>
  <c r="F29" i="58" s="1"/>
  <c r="F30" i="58" a="1"/>
  <c r="F30" i="58" s="1"/>
  <c r="F31" i="58" a="1"/>
  <c r="F31" i="58" s="1"/>
  <c r="F32" i="58" a="1"/>
  <c r="F32" i="58"/>
  <c r="F33" i="58" a="1"/>
  <c r="F33" i="58" s="1"/>
  <c r="F34" i="58" a="1"/>
  <c r="F34" i="58"/>
  <c r="F35" i="58" a="1"/>
  <c r="F35" i="58" s="1"/>
  <c r="F36" i="58" a="1"/>
  <c r="F36" i="58" s="1"/>
  <c r="F37" i="58" a="1"/>
  <c r="F37" i="58" s="1"/>
  <c r="F38" i="58" a="1"/>
  <c r="F38" i="58" s="1"/>
  <c r="F39" i="58" a="1"/>
  <c r="F39" i="58" s="1"/>
  <c r="F40" i="58" a="1"/>
  <c r="F40" i="58" s="1"/>
  <c r="F41" i="58" a="1"/>
  <c r="F41" i="58"/>
  <c r="F42" i="58" a="1"/>
  <c r="F42" i="58" s="1"/>
  <c r="F43" i="58" a="1"/>
  <c r="F43" i="58" s="1"/>
  <c r="F44" i="58" a="1"/>
  <c r="F44" i="58" s="1"/>
  <c r="F45" i="58" a="1"/>
  <c r="F45" i="58" s="1"/>
  <c r="F46" i="58" a="1"/>
  <c r="F46" i="58" s="1"/>
  <c r="F47" i="58" a="1"/>
  <c r="F47" i="58" s="1"/>
  <c r="F48" i="58" a="1"/>
  <c r="F48" i="58" s="1"/>
  <c r="F49" i="58" a="1"/>
  <c r="F49" i="58" s="1"/>
  <c r="F50" i="58" a="1"/>
  <c r="F50" i="58" s="1"/>
  <c r="F51" i="58" a="1"/>
  <c r="F51" i="58"/>
  <c r="F52" i="58" a="1"/>
  <c r="F52" i="58" s="1"/>
  <c r="F53" i="58" a="1"/>
  <c r="F53" i="58"/>
  <c r="F54" i="58" a="1"/>
  <c r="F54" i="58" s="1"/>
  <c r="F3" i="58" a="1"/>
  <c r="F3" i="58" s="1"/>
  <c r="D3" i="58" a="1"/>
  <c r="D3" i="58" s="1"/>
  <c r="E3" i="58" a="1"/>
  <c r="E3" i="58" s="1"/>
  <c r="D4" i="58" a="1"/>
  <c r="D4" i="58" s="1"/>
  <c r="E4" i="58" a="1"/>
  <c r="E4" i="58" s="1"/>
  <c r="D5" i="58" a="1"/>
  <c r="D5" i="58" s="1"/>
  <c r="E5" i="58" a="1"/>
  <c r="E5" i="58" s="1"/>
  <c r="D6" i="58" a="1"/>
  <c r="D6" i="58" s="1"/>
  <c r="E6" i="58" a="1"/>
  <c r="E6" i="58" s="1"/>
  <c r="D7" i="58" a="1"/>
  <c r="D7" i="58"/>
  <c r="E7" i="58" a="1"/>
  <c r="E7" i="58" s="1"/>
  <c r="D8" i="58" a="1"/>
  <c r="D8" i="58" s="1"/>
  <c r="E8" i="58" a="1"/>
  <c r="E8" i="58" s="1"/>
  <c r="D9" i="58" a="1"/>
  <c r="D9" i="58"/>
  <c r="E9" i="58" a="1"/>
  <c r="E9" i="58" s="1"/>
  <c r="D10" i="58" a="1"/>
  <c r="D10" i="58" s="1"/>
  <c r="E10" i="58" a="1"/>
  <c r="E10" i="58" s="1"/>
  <c r="D11" i="58" a="1"/>
  <c r="D11" i="58" s="1"/>
  <c r="E11" i="58" a="1"/>
  <c r="E11" i="58"/>
  <c r="D12" i="58" a="1"/>
  <c r="D12" i="58" s="1"/>
  <c r="E12" i="58" a="1"/>
  <c r="E12" i="58" s="1"/>
  <c r="D13" i="58" a="1"/>
  <c r="D13" i="58" s="1"/>
  <c r="E13" i="58" a="1"/>
  <c r="E13" i="58" s="1"/>
  <c r="D14" i="58" a="1"/>
  <c r="D14" i="58" s="1"/>
  <c r="E14" i="58" a="1"/>
  <c r="E14" i="58" s="1"/>
  <c r="D15" i="58" a="1"/>
  <c r="D15" i="58" s="1"/>
  <c r="E15" i="58" a="1"/>
  <c r="E15" i="58" s="1"/>
  <c r="D16" i="58" a="1"/>
  <c r="D16" i="58" s="1"/>
  <c r="E16" i="58" a="1"/>
  <c r="E16" i="58" s="1"/>
  <c r="D17" i="58" a="1"/>
  <c r="D17" i="58" s="1"/>
  <c r="E17" i="58" a="1"/>
  <c r="E17" i="58" s="1"/>
  <c r="D18" i="58" a="1"/>
  <c r="D18" i="58" s="1"/>
  <c r="E18" i="58" a="1"/>
  <c r="E18" i="58" s="1"/>
  <c r="D19" i="58" a="1"/>
  <c r="D19" i="58" s="1"/>
  <c r="E19" i="58" a="1"/>
  <c r="E19" i="58"/>
  <c r="D20" i="58" a="1"/>
  <c r="D20" i="58" s="1"/>
  <c r="E20" i="58" a="1"/>
  <c r="E20" i="58" s="1"/>
  <c r="D21" i="58" a="1"/>
  <c r="D21" i="58" s="1"/>
  <c r="E21" i="58" a="1"/>
  <c r="E21" i="58"/>
  <c r="D22" i="58" a="1"/>
  <c r="D22" i="58" s="1"/>
  <c r="E22" i="58" a="1"/>
  <c r="E22" i="58" s="1"/>
  <c r="D23" i="58" a="1"/>
  <c r="D23" i="58" s="1"/>
  <c r="E23" i="58" a="1"/>
  <c r="E23" i="58" s="1"/>
  <c r="D24" i="58" a="1"/>
  <c r="D24" i="58" s="1"/>
  <c r="E24" i="58" a="1"/>
  <c r="E24" i="58" s="1"/>
  <c r="D25" i="58" a="1"/>
  <c r="D25" i="58" s="1"/>
  <c r="E25" i="58" a="1"/>
  <c r="E25" i="58" s="1"/>
  <c r="D26" i="58" a="1"/>
  <c r="D26" i="58"/>
  <c r="E26" i="58" a="1"/>
  <c r="E26" i="58" s="1"/>
  <c r="D27" i="58" a="1"/>
  <c r="D27" i="58" s="1"/>
  <c r="E27" i="58" a="1"/>
  <c r="E27" i="58"/>
  <c r="D28" i="58" a="1"/>
  <c r="D28" i="58" s="1"/>
  <c r="E28" i="58" a="1"/>
  <c r="E28" i="58" s="1"/>
  <c r="D29" i="58" a="1"/>
  <c r="D29" i="58" s="1"/>
  <c r="E29" i="58" a="1"/>
  <c r="E29" i="58" s="1"/>
  <c r="D30" i="58" a="1"/>
  <c r="D30" i="58" s="1"/>
  <c r="E30" i="58" a="1"/>
  <c r="E30" i="58" s="1"/>
  <c r="D31" i="58" a="1"/>
  <c r="D31" i="58" s="1"/>
  <c r="E31" i="58" a="1"/>
  <c r="E31" i="58" s="1"/>
  <c r="D32" i="58" a="1"/>
  <c r="D32" i="58"/>
  <c r="E32" i="58" a="1"/>
  <c r="E32" i="58" s="1"/>
  <c r="D33" i="58" a="1"/>
  <c r="D33" i="58" s="1"/>
  <c r="E33" i="58" a="1"/>
  <c r="E33" i="58" s="1"/>
  <c r="D34" i="58" a="1"/>
  <c r="D34" i="58"/>
  <c r="E34" i="58" a="1"/>
  <c r="E34" i="58" s="1"/>
  <c r="D35" i="58" a="1"/>
  <c r="D35" i="58" s="1"/>
  <c r="E35" i="58" a="1"/>
  <c r="E35" i="58" s="1"/>
  <c r="D36" i="58" a="1"/>
  <c r="D36" i="58" s="1"/>
  <c r="E36" i="58" a="1"/>
  <c r="E36" i="58" s="1"/>
  <c r="D37" i="58" a="1"/>
  <c r="D37" i="58" s="1"/>
  <c r="E37" i="58" a="1"/>
  <c r="E37" i="58" s="1"/>
  <c r="D38" i="58" a="1"/>
  <c r="D38" i="58" s="1"/>
  <c r="E38" i="58" a="1"/>
  <c r="E38" i="58" s="1"/>
  <c r="D39" i="58" a="1"/>
  <c r="D39" i="58" s="1"/>
  <c r="E39" i="58" a="1"/>
  <c r="E39" i="58" s="1"/>
  <c r="D40" i="58" a="1"/>
  <c r="D40" i="58" s="1"/>
  <c r="E40" i="58" a="1"/>
  <c r="E40" i="58" s="1"/>
  <c r="D41" i="58" a="1"/>
  <c r="D41" i="58" s="1"/>
  <c r="E41" i="58" a="1"/>
  <c r="E41" i="58" s="1"/>
  <c r="D42" i="58" a="1"/>
  <c r="D42" i="58" s="1"/>
  <c r="E42" i="58" a="1"/>
  <c r="E42" i="58" s="1"/>
  <c r="D43" i="58" a="1"/>
  <c r="D43" i="58" s="1"/>
  <c r="E43" i="58" a="1"/>
  <c r="E43" i="58" s="1"/>
  <c r="D44" i="58" a="1"/>
  <c r="D44" i="58" s="1"/>
  <c r="E44" i="58" a="1"/>
  <c r="E44" i="58"/>
  <c r="D45" i="58" a="1"/>
  <c r="D45" i="58" s="1"/>
  <c r="E45" i="58" a="1"/>
  <c r="E45" i="58" s="1"/>
  <c r="D46" i="58" a="1"/>
  <c r="D46" i="58" s="1"/>
  <c r="E46" i="58" a="1"/>
  <c r="E46" i="58"/>
  <c r="D47" i="58" a="1"/>
  <c r="D47" i="58" s="1"/>
  <c r="E47" i="58" a="1"/>
  <c r="E47" i="58"/>
  <c r="D48" i="58" a="1"/>
  <c r="D48" i="58" s="1"/>
  <c r="E48" i="58" a="1"/>
  <c r="E48" i="58" s="1"/>
  <c r="D49" i="58" a="1"/>
  <c r="D49" i="58"/>
  <c r="E49" i="58" a="1"/>
  <c r="E49" i="58"/>
  <c r="D50" i="58" a="1"/>
  <c r="D50" i="58" s="1"/>
  <c r="E50" i="58" a="1"/>
  <c r="E50" i="58" s="1"/>
  <c r="D51" i="58" a="1"/>
  <c r="D51" i="58"/>
  <c r="E51" i="58" a="1"/>
  <c r="E51" i="58"/>
  <c r="D52" i="58" a="1"/>
  <c r="D52" i="58" s="1"/>
  <c r="E52" i="58" a="1"/>
  <c r="E52" i="58" s="1"/>
  <c r="D53" i="58" a="1"/>
  <c r="D53" i="58" s="1"/>
  <c r="E53" i="58" a="1"/>
  <c r="E53" i="58" s="1"/>
  <c r="D54" i="58" a="1"/>
  <c r="D54" i="58" s="1"/>
  <c r="E54" i="58" a="1"/>
  <c r="E54" i="58" s="1"/>
  <c r="C4" i="58" a="1"/>
  <c r="C4" i="58" s="1"/>
  <c r="C5" i="58" a="1"/>
  <c r="C5" i="58" s="1"/>
  <c r="C6" i="58" a="1"/>
  <c r="C6" i="58" s="1"/>
  <c r="C7" i="58" a="1"/>
  <c r="C7" i="58"/>
  <c r="C8" i="58" a="1"/>
  <c r="C8" i="58"/>
  <c r="C9" i="58" a="1"/>
  <c r="C9" i="58" s="1"/>
  <c r="C10" i="58" a="1"/>
  <c r="C10" i="58"/>
  <c r="C11" i="58" a="1"/>
  <c r="C11" i="58" s="1"/>
  <c r="C12" i="58" a="1"/>
  <c r="C12" i="58" s="1"/>
  <c r="C13" i="58" a="1"/>
  <c r="C13" i="58"/>
  <c r="C14" i="58" a="1"/>
  <c r="C14" i="58" s="1"/>
  <c r="C15" i="58" a="1"/>
  <c r="C15" i="58" s="1"/>
  <c r="C16" i="58" a="1"/>
  <c r="C16" i="58" s="1"/>
  <c r="C17" i="58" a="1"/>
  <c r="C17" i="58"/>
  <c r="C18" i="58" a="1"/>
  <c r="C18" i="58"/>
  <c r="C19" i="58" a="1"/>
  <c r="C19" i="58" s="1"/>
  <c r="C20" i="58" a="1"/>
  <c r="C20" i="58" s="1"/>
  <c r="C21" i="58" a="1"/>
  <c r="C21" i="58" s="1"/>
  <c r="C22" i="58" a="1"/>
  <c r="C22" i="58"/>
  <c r="C23" i="58" a="1"/>
  <c r="C23" i="58" s="1"/>
  <c r="C24" i="58" a="1"/>
  <c r="C24" i="58" s="1"/>
  <c r="C25" i="58" a="1"/>
  <c r="C25" i="58" s="1"/>
  <c r="C26" i="58" a="1"/>
  <c r="C26" i="58" s="1"/>
  <c r="C27" i="58" a="1"/>
  <c r="C27" i="58"/>
  <c r="C28" i="58" a="1"/>
  <c r="C28" i="58"/>
  <c r="C29" i="58" a="1"/>
  <c r="C29" i="58" s="1"/>
  <c r="C30" i="58" a="1"/>
  <c r="C30" i="58" s="1"/>
  <c r="C31" i="58" a="1"/>
  <c r="C31" i="58" s="1"/>
  <c r="C32" i="58" a="1"/>
  <c r="C32" i="58"/>
  <c r="C33" i="58" a="1"/>
  <c r="C33" i="58"/>
  <c r="C34" i="58" a="1"/>
  <c r="C34" i="58" s="1"/>
  <c r="C35" i="58" a="1"/>
  <c r="C35" i="58" s="1"/>
  <c r="C36" i="58" a="1"/>
  <c r="C36" i="58" s="1"/>
  <c r="C37" i="58" a="1"/>
  <c r="C37" i="58" s="1"/>
  <c r="C38" i="58" a="1"/>
  <c r="C38" i="58" s="1"/>
  <c r="C39" i="58" a="1"/>
  <c r="C39" i="58" s="1"/>
  <c r="C40" i="58" a="1"/>
  <c r="C40" i="58"/>
  <c r="C41" i="58" a="1"/>
  <c r="C41" i="58"/>
  <c r="C42" i="58" a="1"/>
  <c r="C42" i="58"/>
  <c r="C43" i="58" a="1"/>
  <c r="C43" i="58"/>
  <c r="C44" i="58" a="1"/>
  <c r="C44" i="58" s="1"/>
  <c r="C45" i="58" a="1"/>
  <c r="C45" i="58" s="1"/>
  <c r="C46" i="58" a="1"/>
  <c r="C46" i="58" s="1"/>
  <c r="C47" i="58" a="1"/>
  <c r="C47" i="58" s="1"/>
  <c r="C48" i="58" a="1"/>
  <c r="C48" i="58" s="1"/>
  <c r="C49" i="58" a="1"/>
  <c r="C49" i="58" s="1"/>
  <c r="C50" i="58" a="1"/>
  <c r="C50" i="58" s="1"/>
  <c r="C51" i="58" a="1"/>
  <c r="C51" i="58" s="1"/>
  <c r="C52" i="58" a="1"/>
  <c r="C52" i="58"/>
  <c r="C53" i="58" a="1"/>
  <c r="C53" i="58" s="1"/>
  <c r="C54" i="58" a="1"/>
  <c r="C54" i="58" s="1"/>
  <c r="C3" i="58" a="1"/>
  <c r="C3" i="58" s="1"/>
  <c r="L39" i="64"/>
  <c r="L40" i="64"/>
  <c r="L41" i="64"/>
  <c r="L42" i="64"/>
  <c r="L43" i="64"/>
  <c r="L44" i="64"/>
  <c r="L45" i="64"/>
  <c r="L46" i="64"/>
  <c r="L47" i="64"/>
  <c r="L48" i="64"/>
  <c r="L49" i="64"/>
  <c r="L50" i="64"/>
  <c r="L51" i="64"/>
  <c r="L52" i="64"/>
  <c r="L53" i="64"/>
  <c r="L54" i="64"/>
  <c r="L55" i="64"/>
  <c r="L56" i="64"/>
  <c r="L57" i="64"/>
  <c r="L58" i="64"/>
  <c r="L59" i="64"/>
  <c r="L60" i="64"/>
  <c r="L61" i="64"/>
  <c r="L62" i="64"/>
  <c r="L63" i="64"/>
  <c r="L64" i="64"/>
  <c r="L65" i="64"/>
  <c r="L66" i="64"/>
  <c r="L67" i="64"/>
  <c r="L68" i="64"/>
  <c r="L69" i="64"/>
  <c r="L70" i="64"/>
  <c r="L71" i="64"/>
  <c r="L38" i="64"/>
  <c r="F37" i="64" a="1"/>
  <c r="F37" i="64" s="1"/>
  <c r="L4" i="64"/>
  <c r="L5" i="64"/>
  <c r="L6" i="64"/>
  <c r="L7" i="64"/>
  <c r="L8" i="64"/>
  <c r="L9" i="64"/>
  <c r="L10" i="64"/>
  <c r="L11" i="64"/>
  <c r="L12" i="64"/>
  <c r="L13" i="64"/>
  <c r="L14" i="64"/>
  <c r="L15" i="64"/>
  <c r="L16" i="64"/>
  <c r="L17" i="64"/>
  <c r="L18" i="64"/>
  <c r="L19" i="64"/>
  <c r="L20" i="64"/>
  <c r="L21" i="64"/>
  <c r="L22" i="64"/>
  <c r="L23" i="64"/>
  <c r="L24" i="64"/>
  <c r="L25" i="64"/>
  <c r="L26" i="64"/>
  <c r="L27" i="64"/>
  <c r="L28" i="64"/>
  <c r="L29" i="64"/>
  <c r="L30" i="64"/>
  <c r="L31" i="64"/>
  <c r="L32" i="64"/>
  <c r="L33" i="64"/>
  <c r="L34" i="64"/>
  <c r="L3" i="64"/>
  <c r="F2" i="64" a="1"/>
  <c r="F2" i="64" s="1"/>
  <c r="T54" i="62"/>
  <c r="T53" i="62"/>
  <c r="T52" i="62"/>
  <c r="T51" i="62"/>
  <c r="T50" i="62"/>
  <c r="T49" i="62"/>
  <c r="T48" i="62"/>
  <c r="T47" i="62"/>
  <c r="T46" i="62"/>
  <c r="T45" i="62"/>
  <c r="T44" i="62"/>
  <c r="T43" i="62"/>
  <c r="T42" i="62"/>
  <c r="T41" i="62"/>
  <c r="T40" i="62"/>
  <c r="T39" i="62"/>
  <c r="T38" i="62"/>
  <c r="T37" i="62"/>
  <c r="T36" i="62"/>
  <c r="T35" i="62"/>
  <c r="T34" i="62"/>
  <c r="T33" i="62"/>
  <c r="T32" i="62"/>
  <c r="T31" i="62"/>
  <c r="T30" i="62"/>
  <c r="T29" i="62"/>
  <c r="T28" i="62"/>
  <c r="T27" i="62"/>
  <c r="T26" i="62"/>
  <c r="T25" i="62"/>
  <c r="T24" i="62"/>
  <c r="T23" i="62"/>
  <c r="T22" i="62"/>
  <c r="T21" i="62"/>
  <c r="T20" i="62"/>
  <c r="T19" i="62"/>
  <c r="T18" i="62"/>
  <c r="T17" i="62"/>
  <c r="T16" i="62"/>
  <c r="T15" i="62"/>
  <c r="T14" i="62"/>
  <c r="T13" i="62"/>
  <c r="T12" i="62"/>
  <c r="T11" i="62"/>
  <c r="T10" i="62"/>
  <c r="T9" i="62"/>
  <c r="T8" i="62"/>
  <c r="T7" i="62"/>
  <c r="T6" i="62"/>
  <c r="T5" i="62"/>
  <c r="T4" i="62"/>
  <c r="Q3" i="62"/>
  <c r="O3" i="62"/>
  <c r="T54" i="60"/>
  <c r="T53" i="60"/>
  <c r="T52" i="60"/>
  <c r="T51" i="60"/>
  <c r="T50" i="60"/>
  <c r="T49" i="60"/>
  <c r="T48" i="60"/>
  <c r="T47" i="60"/>
  <c r="T46" i="60"/>
  <c r="T45" i="60"/>
  <c r="T44" i="60"/>
  <c r="T43" i="60"/>
  <c r="T42" i="60"/>
  <c r="T41" i="60"/>
  <c r="T40" i="60"/>
  <c r="T39" i="60"/>
  <c r="T38" i="60"/>
  <c r="T37" i="60"/>
  <c r="T36" i="60"/>
  <c r="T35" i="60"/>
  <c r="T34" i="60"/>
  <c r="T33" i="60"/>
  <c r="T32" i="60"/>
  <c r="T31" i="60"/>
  <c r="T30" i="60"/>
  <c r="T29" i="60"/>
  <c r="T28" i="60"/>
  <c r="T27" i="60"/>
  <c r="T26" i="60"/>
  <c r="T25" i="60"/>
  <c r="T24" i="60"/>
  <c r="T23" i="60"/>
  <c r="T22" i="60"/>
  <c r="T21" i="60"/>
  <c r="T20" i="60"/>
  <c r="T19" i="60"/>
  <c r="T18" i="60"/>
  <c r="T17" i="60"/>
  <c r="T16" i="60"/>
  <c r="T15" i="60"/>
  <c r="T14" i="60"/>
  <c r="T13" i="60"/>
  <c r="T12" i="60"/>
  <c r="T11" i="60"/>
  <c r="T10" i="60"/>
  <c r="T9" i="60"/>
  <c r="T8" i="60"/>
  <c r="T7" i="60"/>
  <c r="T6" i="60"/>
  <c r="T5" i="60"/>
  <c r="T4" i="60"/>
  <c r="Q3" i="60"/>
  <c r="O3" i="60"/>
  <c r="T54" i="58"/>
  <c r="T53" i="58"/>
  <c r="T52" i="58"/>
  <c r="T51" i="58"/>
  <c r="T50" i="58"/>
  <c r="T49" i="58"/>
  <c r="T48" i="58"/>
  <c r="T47" i="58"/>
  <c r="T46" i="58"/>
  <c r="T45" i="58"/>
  <c r="T44" i="58"/>
  <c r="T43" i="58"/>
  <c r="T42" i="58"/>
  <c r="T41" i="58"/>
  <c r="T40" i="58"/>
  <c r="T39" i="58"/>
  <c r="T38" i="58"/>
  <c r="T37" i="58"/>
  <c r="T36" i="58"/>
  <c r="T35" i="58"/>
  <c r="T34" i="58"/>
  <c r="T33" i="58"/>
  <c r="T32" i="58"/>
  <c r="T31" i="58"/>
  <c r="T30" i="58"/>
  <c r="T29" i="58"/>
  <c r="T28" i="58"/>
  <c r="T27" i="58"/>
  <c r="T26" i="58"/>
  <c r="T25" i="58"/>
  <c r="T24" i="58"/>
  <c r="T23" i="58"/>
  <c r="T22" i="58"/>
  <c r="T21" i="58"/>
  <c r="T20" i="58"/>
  <c r="T19" i="58"/>
  <c r="T18" i="58"/>
  <c r="T17" i="58"/>
  <c r="T16" i="58"/>
  <c r="T15" i="58"/>
  <c r="T14" i="58"/>
  <c r="T13" i="58"/>
  <c r="T12" i="58"/>
  <c r="T11" i="58"/>
  <c r="T10" i="58"/>
  <c r="T9" i="58"/>
  <c r="T8" i="58"/>
  <c r="T7" i="58"/>
  <c r="T6" i="58"/>
  <c r="T5" i="58"/>
  <c r="T4" i="58"/>
  <c r="Q3" i="58"/>
  <c r="O3" i="58"/>
  <c r="Q3" i="55"/>
  <c r="O3" i="55"/>
  <c r="M28" i="62" l="1"/>
  <c r="M23" i="62"/>
  <c r="M38" i="62"/>
  <c r="M7" i="62"/>
  <c r="M27" i="62"/>
  <c r="M24" i="62"/>
  <c r="N19" i="62"/>
  <c r="AB19" i="62" s="1"/>
  <c r="M17" i="62"/>
  <c r="M37" i="62"/>
  <c r="M4" i="62"/>
  <c r="M47" i="62"/>
  <c r="M14" i="62"/>
  <c r="M34" i="62"/>
  <c r="M11" i="62"/>
  <c r="M21" i="62"/>
  <c r="M31" i="62"/>
  <c r="M22" i="62"/>
  <c r="M9" i="62"/>
  <c r="M19" i="62"/>
  <c r="M29" i="62"/>
  <c r="M39" i="62"/>
  <c r="M15" i="62"/>
  <c r="M25" i="62"/>
  <c r="M32" i="62"/>
  <c r="M6" i="62"/>
  <c r="M16" i="62"/>
  <c r="M26" i="62"/>
  <c r="R27" i="62"/>
  <c r="AB27" i="62"/>
  <c r="R47" i="62"/>
  <c r="AB47" i="62"/>
  <c r="R14" i="62"/>
  <c r="AB14" i="62"/>
  <c r="R37" i="62"/>
  <c r="AB37" i="62"/>
  <c r="R53" i="62"/>
  <c r="AB53" i="62"/>
  <c r="R11" i="62"/>
  <c r="AB11" i="62"/>
  <c r="R21" i="62"/>
  <c r="AB21" i="62"/>
  <c r="R31" i="62"/>
  <c r="AB31" i="62"/>
  <c r="R51" i="62"/>
  <c r="AB51" i="62"/>
  <c r="R48" i="62"/>
  <c r="AB48" i="62"/>
  <c r="R9" i="62"/>
  <c r="AB9" i="62"/>
  <c r="R29" i="62"/>
  <c r="AB29" i="62"/>
  <c r="R45" i="62"/>
  <c r="AB45" i="62"/>
  <c r="R40" i="62"/>
  <c r="AB40" i="62"/>
  <c r="R8" i="62"/>
  <c r="AB8" i="62"/>
  <c r="R18" i="62"/>
  <c r="AB18" i="62"/>
  <c r="R28" i="62"/>
  <c r="AB28" i="62"/>
  <c r="R41" i="62"/>
  <c r="AB41" i="62"/>
  <c r="R38" i="62"/>
  <c r="AB38" i="62"/>
  <c r="R5" i="62"/>
  <c r="AB5" i="62"/>
  <c r="R15" i="62"/>
  <c r="AB15" i="62"/>
  <c r="R25" i="62"/>
  <c r="AB25" i="62"/>
  <c r="R35" i="62"/>
  <c r="AB35" i="62"/>
  <c r="R22" i="62"/>
  <c r="AB22" i="62"/>
  <c r="R42" i="62"/>
  <c r="AB42" i="62"/>
  <c r="N3" i="62"/>
  <c r="AB3" i="62" s="1"/>
  <c r="R13" i="62"/>
  <c r="AB13" i="62"/>
  <c r="M20" i="62"/>
  <c r="R23" i="62"/>
  <c r="AB23" i="62"/>
  <c r="R33" i="62"/>
  <c r="AB33" i="62"/>
  <c r="R49" i="62"/>
  <c r="AB49" i="62"/>
  <c r="R24" i="62"/>
  <c r="AB24" i="62"/>
  <c r="R34" i="62"/>
  <c r="AB34" i="62"/>
  <c r="R50" i="62"/>
  <c r="AB50" i="62"/>
  <c r="R44" i="62"/>
  <c r="AB44" i="62"/>
  <c r="R54" i="62"/>
  <c r="AB54" i="62"/>
  <c r="R12" i="62"/>
  <c r="AB12" i="62"/>
  <c r="R32" i="62"/>
  <c r="AB32" i="62"/>
  <c r="R39" i="62"/>
  <c r="AB39" i="62"/>
  <c r="R6" i="62"/>
  <c r="AB6" i="62"/>
  <c r="R16" i="62"/>
  <c r="AB16" i="62"/>
  <c r="R36" i="62"/>
  <c r="AB36" i="62"/>
  <c r="R7" i="62"/>
  <c r="AB7" i="62"/>
  <c r="R17" i="62"/>
  <c r="AB17" i="62"/>
  <c r="R43" i="62"/>
  <c r="AB43" i="62"/>
  <c r="R52" i="62"/>
  <c r="AB52" i="62"/>
  <c r="R10" i="62"/>
  <c r="AB10" i="62"/>
  <c r="R30" i="62"/>
  <c r="AB30" i="62"/>
  <c r="R46" i="62"/>
  <c r="AB46" i="62"/>
  <c r="M8" i="60"/>
  <c r="M48" i="60"/>
  <c r="M18" i="60"/>
  <c r="M29" i="60"/>
  <c r="M38" i="60"/>
  <c r="M9" i="60"/>
  <c r="M19" i="60"/>
  <c r="M28" i="60"/>
  <c r="M49" i="60"/>
  <c r="M6" i="60"/>
  <c r="M31" i="60"/>
  <c r="M5" i="60"/>
  <c r="M21" i="60"/>
  <c r="M35" i="60"/>
  <c r="M15" i="60"/>
  <c r="M22" i="60"/>
  <c r="M32" i="60"/>
  <c r="M13" i="60"/>
  <c r="M23" i="60"/>
  <c r="M10" i="60"/>
  <c r="M36" i="60"/>
  <c r="M7" i="60"/>
  <c r="M17" i="60"/>
  <c r="M27" i="60"/>
  <c r="M37" i="60"/>
  <c r="M47" i="60"/>
  <c r="M16" i="60"/>
  <c r="M33" i="60"/>
  <c r="M20" i="60"/>
  <c r="M4" i="60"/>
  <c r="M26" i="60"/>
  <c r="M14" i="60"/>
  <c r="M24" i="60"/>
  <c r="M34" i="60"/>
  <c r="R39" i="60"/>
  <c r="AB39" i="60"/>
  <c r="R50" i="60"/>
  <c r="AB50" i="60"/>
  <c r="R12" i="60"/>
  <c r="AB12" i="60"/>
  <c r="R22" i="60"/>
  <c r="AB22" i="60"/>
  <c r="R32" i="60"/>
  <c r="AB32" i="60"/>
  <c r="R42" i="60"/>
  <c r="AB42" i="60"/>
  <c r="R52" i="60"/>
  <c r="AB52" i="60"/>
  <c r="R11" i="60"/>
  <c r="AB11" i="60"/>
  <c r="R48" i="60"/>
  <c r="AB48" i="60"/>
  <c r="R5" i="60"/>
  <c r="AB5" i="60"/>
  <c r="R9" i="60"/>
  <c r="AB9" i="60"/>
  <c r="R19" i="60"/>
  <c r="AB19" i="60"/>
  <c r="R29" i="60"/>
  <c r="AB29" i="60"/>
  <c r="R49" i="60"/>
  <c r="AB49" i="60"/>
  <c r="R6" i="60"/>
  <c r="AB6" i="60"/>
  <c r="R16" i="60"/>
  <c r="AB16" i="60"/>
  <c r="R26" i="60"/>
  <c r="AB26" i="60"/>
  <c r="R36" i="60"/>
  <c r="AB36" i="60"/>
  <c r="R46" i="60"/>
  <c r="AB46" i="60"/>
  <c r="R31" i="60"/>
  <c r="AB31" i="60"/>
  <c r="R45" i="60"/>
  <c r="AB45" i="60"/>
  <c r="R33" i="60"/>
  <c r="AB33" i="60"/>
  <c r="R54" i="60"/>
  <c r="AB54" i="60"/>
  <c r="R21" i="60"/>
  <c r="AB21" i="60"/>
  <c r="R38" i="60"/>
  <c r="AB38" i="60"/>
  <c r="R35" i="60"/>
  <c r="AB35" i="60"/>
  <c r="R43" i="60"/>
  <c r="AB43" i="60"/>
  <c r="R53" i="60"/>
  <c r="AB53" i="60"/>
  <c r="R10" i="60"/>
  <c r="AB10" i="60"/>
  <c r="R7" i="60"/>
  <c r="AB7" i="60"/>
  <c r="R17" i="60"/>
  <c r="AB17" i="60"/>
  <c r="R27" i="60"/>
  <c r="AB27" i="60"/>
  <c r="R37" i="60"/>
  <c r="AB37" i="60"/>
  <c r="R47" i="60"/>
  <c r="AB47" i="60"/>
  <c r="R41" i="60"/>
  <c r="AB41" i="60"/>
  <c r="R51" i="60"/>
  <c r="AB51" i="60"/>
  <c r="R18" i="60"/>
  <c r="AB18" i="60"/>
  <c r="R25" i="60"/>
  <c r="AB25" i="60"/>
  <c r="R8" i="60"/>
  <c r="AB8" i="60"/>
  <c r="R28" i="60"/>
  <c r="AB28" i="60"/>
  <c r="R15" i="60"/>
  <c r="AB15" i="60"/>
  <c r="N3" i="60"/>
  <c r="AB3" i="60" s="1"/>
  <c r="R13" i="60"/>
  <c r="AB13" i="60"/>
  <c r="R23" i="60"/>
  <c r="AB23" i="60"/>
  <c r="R20" i="60"/>
  <c r="AB20" i="60"/>
  <c r="R30" i="60"/>
  <c r="AB30" i="60"/>
  <c r="R40" i="60"/>
  <c r="AB40" i="60"/>
  <c r="R14" i="60"/>
  <c r="AB14" i="60"/>
  <c r="R24" i="60"/>
  <c r="AB24" i="60"/>
  <c r="R34" i="60"/>
  <c r="AB34" i="60"/>
  <c r="R44" i="60"/>
  <c r="AB44" i="60"/>
  <c r="AF24" i="55"/>
  <c r="AF44" i="55"/>
  <c r="AF5" i="55"/>
  <c r="AF25" i="55"/>
  <c r="AF45" i="55"/>
  <c r="AF6" i="55"/>
  <c r="AF26" i="55"/>
  <c r="AF46" i="55"/>
  <c r="AF7" i="55"/>
  <c r="AF27" i="55"/>
  <c r="AF47" i="55"/>
  <c r="AF8" i="55"/>
  <c r="AF28" i="55"/>
  <c r="AF48" i="55"/>
  <c r="AF9" i="55"/>
  <c r="AF29" i="55"/>
  <c r="AF49" i="55"/>
  <c r="AF10" i="55"/>
  <c r="AF30" i="55"/>
  <c r="AF50" i="55"/>
  <c r="AF11" i="55"/>
  <c r="AF31" i="55"/>
  <c r="AF51" i="55"/>
  <c r="AF12" i="55"/>
  <c r="AF32" i="55"/>
  <c r="AF52" i="55"/>
  <c r="AF13" i="55"/>
  <c r="AF53" i="55"/>
  <c r="AF14" i="55"/>
  <c r="AF34" i="55"/>
  <c r="AF54" i="55"/>
  <c r="AF15" i="55"/>
  <c r="AF35" i="55"/>
  <c r="AF4" i="55"/>
  <c r="AF16" i="55"/>
  <c r="AF36" i="55"/>
  <c r="AF17" i="55"/>
  <c r="AF18" i="55"/>
  <c r="AF38" i="55"/>
  <c r="AF19" i="55"/>
  <c r="AF39" i="55"/>
  <c r="AF20" i="55"/>
  <c r="AF40" i="55"/>
  <c r="AF21" i="55"/>
  <c r="AF41" i="55"/>
  <c r="AF22" i="55"/>
  <c r="AF42" i="55"/>
  <c r="AF23" i="55"/>
  <c r="AF43" i="55"/>
  <c r="AF37" i="55"/>
  <c r="AF33" i="55"/>
  <c r="AE3" i="55"/>
  <c r="AF3" i="55" s="1"/>
  <c r="M3" i="62"/>
  <c r="N20" i="62"/>
  <c r="N26" i="62"/>
  <c r="N4" i="62"/>
  <c r="N4" i="60"/>
  <c r="M3" i="60"/>
  <c r="M3" i="55"/>
  <c r="R3" i="55"/>
  <c r="R1" i="55" s="1"/>
  <c r="R3" i="56"/>
  <c r="R1" i="56" s="1"/>
  <c r="U3" i="55" a="1"/>
  <c r="T3" i="62"/>
  <c r="T3" i="60"/>
  <c r="T3" i="56"/>
  <c r="T3" i="58"/>
  <c r="U3" i="62" l="1" a="1"/>
  <c r="V46" i="62" s="1"/>
  <c r="N4" i="66" a="1"/>
  <c r="N4" i="66" s="1"/>
  <c r="U3" i="60" a="1"/>
  <c r="V46" i="60" s="1"/>
  <c r="K4" i="66" a="1"/>
  <c r="K4" i="66" s="1"/>
  <c r="U3" i="58" a="1"/>
  <c r="U3" i="58" s="1"/>
  <c r="H4" i="66" a="1"/>
  <c r="H4" i="66" s="1"/>
  <c r="AE3" i="58" a="1"/>
  <c r="U3" i="56" a="1"/>
  <c r="V50" i="56" s="1"/>
  <c r="E4" i="66" a="1"/>
  <c r="E4" i="66" s="1"/>
  <c r="AE3" i="56" a="1"/>
  <c r="AE3" i="62" a="1"/>
  <c r="AF44" i="62" s="1"/>
  <c r="R19" i="62"/>
  <c r="R3" i="62"/>
  <c r="R20" i="62"/>
  <c r="AB20" i="62"/>
  <c r="R4" i="62"/>
  <c r="AB4" i="62"/>
  <c r="R26" i="62"/>
  <c r="AB26" i="62"/>
  <c r="AE3" i="60" a="1"/>
  <c r="AF31" i="60" s="1"/>
  <c r="R3" i="60"/>
  <c r="R4" i="60"/>
  <c r="AB4" i="60"/>
  <c r="AB1" i="60" s="1"/>
  <c r="AF1" i="55"/>
  <c r="V8" i="56"/>
  <c r="V22" i="55"/>
  <c r="V42" i="55"/>
  <c r="V10" i="55"/>
  <c r="V23" i="55"/>
  <c r="V43" i="55"/>
  <c r="V4" i="55"/>
  <c r="V24" i="55"/>
  <c r="V44" i="55"/>
  <c r="V5" i="55"/>
  <c r="V25" i="55"/>
  <c r="V45" i="55"/>
  <c r="V6" i="55"/>
  <c r="V26" i="55"/>
  <c r="V46" i="55"/>
  <c r="V7" i="55"/>
  <c r="V27" i="55"/>
  <c r="V47" i="55"/>
  <c r="V30" i="55"/>
  <c r="V11" i="55"/>
  <c r="V12" i="55"/>
  <c r="V21" i="55"/>
  <c r="V31" i="55"/>
  <c r="V8" i="55"/>
  <c r="V28" i="55"/>
  <c r="V48" i="55"/>
  <c r="V9" i="55"/>
  <c r="V29" i="55"/>
  <c r="V49" i="55"/>
  <c r="V50" i="55"/>
  <c r="V51" i="55"/>
  <c r="V32" i="55"/>
  <c r="V52" i="55"/>
  <c r="V13" i="55"/>
  <c r="V33" i="55"/>
  <c r="V53" i="55"/>
  <c r="V14" i="55"/>
  <c r="V34" i="55"/>
  <c r="V54" i="55"/>
  <c r="V15" i="55"/>
  <c r="V35" i="55"/>
  <c r="V36" i="55"/>
  <c r="V17" i="55"/>
  <c r="V37" i="55"/>
  <c r="V18" i="55"/>
  <c r="V38" i="55"/>
  <c r="V19" i="55"/>
  <c r="V39" i="55"/>
  <c r="V20" i="55"/>
  <c r="V16" i="55"/>
  <c r="V40" i="55"/>
  <c r="V41" i="55"/>
  <c r="U3" i="55"/>
  <c r="V3" i="55" s="1"/>
  <c r="V36" i="62" l="1"/>
  <c r="V17" i="62"/>
  <c r="V16" i="62"/>
  <c r="V6" i="62"/>
  <c r="V15" i="62"/>
  <c r="V26" i="62"/>
  <c r="V54" i="62"/>
  <c r="V45" i="62"/>
  <c r="V5" i="62"/>
  <c r="V25" i="62"/>
  <c r="U3" i="62"/>
  <c r="V3" i="62" s="1"/>
  <c r="V44" i="62"/>
  <c r="V51" i="62"/>
  <c r="V41" i="62"/>
  <c r="V34" i="62"/>
  <c r="V24" i="62"/>
  <c r="V31" i="62"/>
  <c r="V40" i="62"/>
  <c r="V14" i="62"/>
  <c r="V4" i="62"/>
  <c r="V43" i="62"/>
  <c r="V23" i="62"/>
  <c r="V50" i="62"/>
  <c r="V30" i="62"/>
  <c r="V19" i="62"/>
  <c r="V29" i="62"/>
  <c r="V11" i="62"/>
  <c r="V42" i="62"/>
  <c r="V10" i="62"/>
  <c r="V49" i="62"/>
  <c r="V18" i="62"/>
  <c r="V9" i="62"/>
  <c r="V47" i="62"/>
  <c r="V33" i="62"/>
  <c r="V37" i="62"/>
  <c r="V8" i="62"/>
  <c r="V21" i="62"/>
  <c r="V7" i="62"/>
  <c r="V53" i="62"/>
  <c r="V48" i="62"/>
  <c r="V38" i="62"/>
  <c r="V28" i="62"/>
  <c r="V13" i="62"/>
  <c r="V35" i="62"/>
  <c r="V52" i="62"/>
  <c r="V22" i="62"/>
  <c r="V32" i="62"/>
  <c r="V27" i="62"/>
  <c r="V12" i="62"/>
  <c r="V20" i="62"/>
  <c r="V39" i="62"/>
  <c r="V31" i="60"/>
  <c r="V30" i="60"/>
  <c r="V26" i="60"/>
  <c r="V32" i="60"/>
  <c r="V4" i="60"/>
  <c r="V45" i="60"/>
  <c r="V6" i="60"/>
  <c r="V25" i="60"/>
  <c r="V16" i="60"/>
  <c r="V14" i="60"/>
  <c r="V5" i="60"/>
  <c r="V35" i="60"/>
  <c r="V15" i="60"/>
  <c r="V54" i="60"/>
  <c r="V34" i="60"/>
  <c r="V33" i="60"/>
  <c r="V41" i="60"/>
  <c r="V44" i="60"/>
  <c r="V51" i="60"/>
  <c r="V23" i="60"/>
  <c r="V39" i="60"/>
  <c r="V13" i="60"/>
  <c r="V19" i="60"/>
  <c r="V52" i="60"/>
  <c r="V18" i="60"/>
  <c r="V47" i="60"/>
  <c r="V10" i="60"/>
  <c r="V37" i="60"/>
  <c r="V27" i="60"/>
  <c r="V9" i="60"/>
  <c r="V17" i="60"/>
  <c r="V7" i="60"/>
  <c r="V8" i="60"/>
  <c r="V29" i="60"/>
  <c r="V22" i="60"/>
  <c r="V21" i="60"/>
  <c r="V28" i="60"/>
  <c r="V24" i="60"/>
  <c r="V40" i="60"/>
  <c r="V12" i="60"/>
  <c r="V43" i="60"/>
  <c r="V20" i="60"/>
  <c r="V42" i="60"/>
  <c r="V50" i="60"/>
  <c r="V49" i="60"/>
  <c r="V38" i="60"/>
  <c r="V48" i="60"/>
  <c r="V11" i="60"/>
  <c r="U3" i="60"/>
  <c r="V3" i="60" s="1"/>
  <c r="V36" i="60"/>
  <c r="V53" i="60"/>
  <c r="AF45" i="58"/>
  <c r="AF13" i="58"/>
  <c r="AF29" i="58"/>
  <c r="AF8" i="58"/>
  <c r="AF36" i="58"/>
  <c r="AF30" i="58"/>
  <c r="AF23" i="58"/>
  <c r="AF7" i="58"/>
  <c r="AF17" i="58"/>
  <c r="AF33" i="58"/>
  <c r="AF27" i="58"/>
  <c r="AF48" i="58"/>
  <c r="AF21" i="58"/>
  <c r="AF20" i="58"/>
  <c r="AF10" i="58"/>
  <c r="AF24" i="58"/>
  <c r="AF26" i="58"/>
  <c r="AF28" i="58"/>
  <c r="AF6" i="58"/>
  <c r="AF54" i="58"/>
  <c r="AF46" i="58"/>
  <c r="AF32" i="58"/>
  <c r="AF11" i="58"/>
  <c r="AF47" i="58"/>
  <c r="AF16" i="58"/>
  <c r="AF51" i="58"/>
  <c r="AF52" i="58"/>
  <c r="AF19" i="58"/>
  <c r="AF5" i="58"/>
  <c r="AF50" i="58"/>
  <c r="AF14" i="58"/>
  <c r="AF34" i="58"/>
  <c r="AF41" i="58"/>
  <c r="AF40" i="58"/>
  <c r="AF43" i="58"/>
  <c r="AF15" i="58"/>
  <c r="AF9" i="58"/>
  <c r="AF44" i="58"/>
  <c r="AF37" i="58"/>
  <c r="AF4" i="58"/>
  <c r="AF12" i="58"/>
  <c r="AF39" i="58"/>
  <c r="AF35" i="58"/>
  <c r="AF31" i="58"/>
  <c r="AF18" i="58"/>
  <c r="AF25" i="58"/>
  <c r="AF53" i="58"/>
  <c r="AF38" i="58"/>
  <c r="AE3" i="58"/>
  <c r="AF3" i="58" s="1"/>
  <c r="AF49" i="58"/>
  <c r="AF22" i="58"/>
  <c r="AF42" i="58"/>
  <c r="V49" i="56"/>
  <c r="V29" i="56"/>
  <c r="V27" i="56"/>
  <c r="V44" i="56"/>
  <c r="V46" i="56"/>
  <c r="V26" i="56"/>
  <c r="V6" i="56"/>
  <c r="V25" i="56"/>
  <c r="V24" i="56"/>
  <c r="V4" i="56"/>
  <c r="V21" i="56"/>
  <c r="V20" i="56"/>
  <c r="V36" i="56"/>
  <c r="V19" i="56"/>
  <c r="V18" i="56"/>
  <c r="V37" i="56"/>
  <c r="V16" i="56"/>
  <c r="V12" i="56"/>
  <c r="V51" i="56"/>
  <c r="U3" i="56"/>
  <c r="V3" i="56" s="1"/>
  <c r="V31" i="56"/>
  <c r="V10" i="56"/>
  <c r="V9" i="56"/>
  <c r="V48" i="56"/>
  <c r="V28" i="56"/>
  <c r="V35" i="56"/>
  <c r="V47" i="56"/>
  <c r="V22" i="56"/>
  <c r="V7" i="56"/>
  <c r="V41" i="56"/>
  <c r="V45" i="56"/>
  <c r="V40" i="56"/>
  <c r="V5" i="56"/>
  <c r="V39" i="56"/>
  <c r="V13" i="56"/>
  <c r="V54" i="56"/>
  <c r="V34" i="56"/>
  <c r="V43" i="56"/>
  <c r="V15" i="56"/>
  <c r="V52" i="56"/>
  <c r="V42" i="56"/>
  <c r="V32" i="56"/>
  <c r="V38" i="56"/>
  <c r="V11" i="56"/>
  <c r="V23" i="56"/>
  <c r="V14" i="56"/>
  <c r="V30" i="56"/>
  <c r="V53" i="56"/>
  <c r="V17" i="56"/>
  <c r="V33" i="56"/>
  <c r="AF54" i="56"/>
  <c r="AF51" i="56"/>
  <c r="AF40" i="56"/>
  <c r="AF26" i="56"/>
  <c r="AF53" i="56"/>
  <c r="AF20" i="56"/>
  <c r="AF50" i="56"/>
  <c r="AF31" i="56"/>
  <c r="AF44" i="56"/>
  <c r="AF23" i="56"/>
  <c r="AF11" i="56"/>
  <c r="AF38" i="56"/>
  <c r="AF14" i="56"/>
  <c r="AF49" i="56"/>
  <c r="AF8" i="56"/>
  <c r="AF29" i="56"/>
  <c r="AF46" i="56"/>
  <c r="AF17" i="56"/>
  <c r="AF22" i="56"/>
  <c r="AF48" i="56"/>
  <c r="AF4" i="56"/>
  <c r="AF39" i="56"/>
  <c r="AF12" i="56"/>
  <c r="AF6" i="56"/>
  <c r="AF45" i="56"/>
  <c r="AF9" i="56"/>
  <c r="AF47" i="56"/>
  <c r="AE3" i="56"/>
  <c r="AF3" i="56" s="1"/>
  <c r="AF15" i="56"/>
  <c r="AF36" i="56"/>
  <c r="AF37" i="56"/>
  <c r="AF30" i="56"/>
  <c r="AF16" i="56"/>
  <c r="AF13" i="56"/>
  <c r="AF35" i="56"/>
  <c r="AF5" i="56"/>
  <c r="AF10" i="56"/>
  <c r="AF43" i="56"/>
  <c r="AF52" i="56"/>
  <c r="AF24" i="56"/>
  <c r="AF7" i="56"/>
  <c r="AF41" i="56"/>
  <c r="AF42" i="56"/>
  <c r="AF27" i="56"/>
  <c r="AF33" i="56"/>
  <c r="AF28" i="56"/>
  <c r="AF25" i="56"/>
  <c r="AF21" i="56"/>
  <c r="AF34" i="56"/>
  <c r="AF18" i="56"/>
  <c r="AF19" i="56"/>
  <c r="AF32" i="56"/>
  <c r="AE3" i="62"/>
  <c r="AF3" i="62" s="1"/>
  <c r="AF43" i="62"/>
  <c r="AF48" i="62"/>
  <c r="AF22" i="62"/>
  <c r="AF34" i="62"/>
  <c r="AF35" i="62"/>
  <c r="AF19" i="62"/>
  <c r="AF32" i="62"/>
  <c r="AF24" i="62"/>
  <c r="AF41" i="62"/>
  <c r="AF45" i="62"/>
  <c r="AF26" i="62"/>
  <c r="AF7" i="62"/>
  <c r="AF54" i="62"/>
  <c r="AF17" i="62"/>
  <c r="AF18" i="62"/>
  <c r="AF38" i="62"/>
  <c r="AF37" i="62"/>
  <c r="AF53" i="62"/>
  <c r="AF47" i="62"/>
  <c r="AF39" i="62"/>
  <c r="AF25" i="62"/>
  <c r="AF6" i="62"/>
  <c r="AF36" i="62"/>
  <c r="AF40" i="62"/>
  <c r="AF42" i="62"/>
  <c r="AF9" i="62"/>
  <c r="AF49" i="62"/>
  <c r="AF21" i="62"/>
  <c r="AF50" i="62"/>
  <c r="AF52" i="62"/>
  <c r="AF29" i="62"/>
  <c r="AF4" i="62"/>
  <c r="AF46" i="62"/>
  <c r="AF13" i="62"/>
  <c r="AF14" i="62"/>
  <c r="AF51" i="62"/>
  <c r="AF12" i="62"/>
  <c r="AF11" i="62"/>
  <c r="AF8" i="62"/>
  <c r="AF23" i="62"/>
  <c r="AF16" i="62"/>
  <c r="AF15" i="62"/>
  <c r="AF30" i="62"/>
  <c r="AF20" i="62"/>
  <c r="AF28" i="62"/>
  <c r="AF33" i="62"/>
  <c r="AF10" i="62"/>
  <c r="AF31" i="62"/>
  <c r="AF27" i="62"/>
  <c r="AF5" i="62"/>
  <c r="R1" i="62"/>
  <c r="AB1" i="62"/>
  <c r="AF10" i="60"/>
  <c r="AF33" i="60"/>
  <c r="AE3" i="60"/>
  <c r="AF3" i="60" s="1"/>
  <c r="AF4" i="60"/>
  <c r="AF28" i="60"/>
  <c r="AF48" i="60"/>
  <c r="AF5" i="60"/>
  <c r="AF44" i="60"/>
  <c r="AF54" i="60"/>
  <c r="AF47" i="60"/>
  <c r="AF7" i="60"/>
  <c r="AF30" i="60"/>
  <c r="AF17" i="60"/>
  <c r="AF9" i="60"/>
  <c r="AF40" i="60"/>
  <c r="AF49" i="60"/>
  <c r="AF11" i="60"/>
  <c r="AF22" i="60"/>
  <c r="AF12" i="60"/>
  <c r="AF19" i="60"/>
  <c r="AF42" i="60"/>
  <c r="AF15" i="60"/>
  <c r="AF52" i="60"/>
  <c r="AF53" i="60"/>
  <c r="AF13" i="60"/>
  <c r="AF41" i="60"/>
  <c r="AF25" i="60"/>
  <c r="AF51" i="60"/>
  <c r="AF50" i="60"/>
  <c r="AF32" i="60"/>
  <c r="AF26" i="60"/>
  <c r="AF45" i="60"/>
  <c r="AF34" i="60"/>
  <c r="AF46" i="60"/>
  <c r="AF37" i="60"/>
  <c r="AF14" i="60"/>
  <c r="AF6" i="60"/>
  <c r="AF24" i="60"/>
  <c r="AF38" i="60"/>
  <c r="AF16" i="60"/>
  <c r="AF20" i="60"/>
  <c r="AF39" i="60"/>
  <c r="AF21" i="60"/>
  <c r="AF29" i="60"/>
  <c r="AF8" i="60"/>
  <c r="AF18" i="60"/>
  <c r="AF35" i="60"/>
  <c r="AF43" i="60"/>
  <c r="AF23" i="60"/>
  <c r="AF36" i="60"/>
  <c r="AF27" i="60"/>
  <c r="R1" i="60"/>
  <c r="V1" i="55"/>
  <c r="E10" i="20" s="1"/>
  <c r="V1" i="62" l="1"/>
  <c r="E14" i="20" s="1"/>
  <c r="V1" i="60"/>
  <c r="E13" i="20" s="1"/>
  <c r="AF1" i="58"/>
  <c r="V1" i="56"/>
  <c r="E11" i="20" s="1"/>
  <c r="AF1" i="56"/>
  <c r="AF1" i="62"/>
  <c r="AF1" i="60"/>
  <c r="E6" i="53"/>
  <c r="E7" i="53"/>
  <c r="E8" i="53"/>
  <c r="E9" i="53"/>
  <c r="E10" i="53"/>
  <c r="E11" i="53"/>
  <c r="E12" i="53"/>
  <c r="E13" i="53"/>
  <c r="E14" i="53"/>
  <c r="E15" i="53"/>
  <c r="E16" i="53"/>
  <c r="E5" i="53"/>
  <c r="F76" i="53"/>
  <c r="F84" i="53"/>
  <c r="E84" i="53"/>
  <c r="D84" i="53"/>
  <c r="F83" i="53"/>
  <c r="E83" i="53"/>
  <c r="D83" i="53"/>
  <c r="F82" i="53"/>
  <c r="E82" i="53"/>
  <c r="D82" i="53"/>
  <c r="F81" i="53"/>
  <c r="E81" i="53"/>
  <c r="D81" i="53"/>
  <c r="F80" i="53"/>
  <c r="E80" i="53"/>
  <c r="D80" i="53"/>
  <c r="F79" i="53"/>
  <c r="E79" i="53"/>
  <c r="D79" i="53"/>
  <c r="F78" i="53"/>
  <c r="E78" i="53"/>
  <c r="D78" i="53"/>
  <c r="F77" i="53"/>
  <c r="E77" i="53"/>
  <c r="D77" i="53"/>
  <c r="E76" i="53"/>
  <c r="D76" i="53"/>
  <c r="E75" i="53"/>
  <c r="D75" i="53"/>
  <c r="E74" i="53"/>
  <c r="D74" i="53"/>
  <c r="E73" i="53"/>
  <c r="D73" i="53"/>
  <c r="F68" i="53"/>
  <c r="D68" i="53"/>
  <c r="O67" i="53"/>
  <c r="N67" i="53"/>
  <c r="M67" i="53"/>
  <c r="L67" i="53"/>
  <c r="K67" i="53"/>
  <c r="J67" i="53"/>
  <c r="I67" i="53"/>
  <c r="H67" i="53"/>
  <c r="G67" i="53"/>
  <c r="F67" i="53"/>
  <c r="E67" i="53"/>
  <c r="D67" i="53"/>
  <c r="O66" i="53"/>
  <c r="J66" i="53"/>
  <c r="H66" i="53"/>
  <c r="F63" i="53"/>
  <c r="D63" i="53"/>
  <c r="O62" i="53"/>
  <c r="N62" i="53"/>
  <c r="M62" i="53"/>
  <c r="L62" i="53"/>
  <c r="K62" i="53"/>
  <c r="J62" i="53"/>
  <c r="I62" i="53"/>
  <c r="H62" i="53"/>
  <c r="G62" i="53"/>
  <c r="F62" i="53"/>
  <c r="E62" i="53"/>
  <c r="D62" i="53"/>
  <c r="O61" i="53"/>
  <c r="N61" i="53"/>
  <c r="M61" i="53"/>
  <c r="L61" i="53"/>
  <c r="K61" i="53"/>
  <c r="J61" i="53"/>
  <c r="I61" i="53"/>
  <c r="H61" i="53"/>
  <c r="G61" i="53"/>
  <c r="F61" i="53"/>
  <c r="E61" i="53"/>
  <c r="D61" i="53"/>
  <c r="O60" i="53"/>
  <c r="N60" i="53"/>
  <c r="M60" i="53"/>
  <c r="L60" i="53"/>
  <c r="K60" i="53"/>
  <c r="J60" i="53"/>
  <c r="I60" i="53"/>
  <c r="H60" i="53"/>
  <c r="G60" i="53"/>
  <c r="F60" i="53"/>
  <c r="E60" i="53"/>
  <c r="D60" i="53"/>
  <c r="O59" i="53"/>
  <c r="N59" i="53"/>
  <c r="M59" i="53"/>
  <c r="L59" i="53"/>
  <c r="K59" i="53"/>
  <c r="J59" i="53"/>
  <c r="I59" i="53"/>
  <c r="H59" i="53"/>
  <c r="G59" i="53"/>
  <c r="F59" i="53"/>
  <c r="E59" i="53"/>
  <c r="D59" i="53"/>
  <c r="O58" i="53"/>
  <c r="N58" i="53"/>
  <c r="M58" i="53"/>
  <c r="L58" i="53"/>
  <c r="K58" i="53"/>
  <c r="J58" i="53"/>
  <c r="I58" i="53"/>
  <c r="H58" i="53"/>
  <c r="G58" i="53"/>
  <c r="F58" i="53"/>
  <c r="E58" i="53"/>
  <c r="D58" i="53"/>
  <c r="BR52" i="53"/>
  <c r="Y52" i="53"/>
  <c r="F52" i="53"/>
  <c r="E52" i="53"/>
  <c r="D52" i="53"/>
  <c r="BR51" i="53"/>
  <c r="Y51" i="53"/>
  <c r="F51" i="53"/>
  <c r="E51" i="53"/>
  <c r="D51" i="53"/>
  <c r="BR50" i="53"/>
  <c r="Y50" i="53"/>
  <c r="F50" i="53"/>
  <c r="E50" i="53"/>
  <c r="D50" i="53"/>
  <c r="BR49" i="53"/>
  <c r="Y49" i="53"/>
  <c r="F49" i="53"/>
  <c r="E49" i="53"/>
  <c r="D49" i="53"/>
  <c r="BR48" i="53"/>
  <c r="Y48" i="53"/>
  <c r="F48" i="53"/>
  <c r="E48" i="53"/>
  <c r="D48" i="53"/>
  <c r="BR47" i="53"/>
  <c r="Y47" i="53"/>
  <c r="F47" i="53"/>
  <c r="E47" i="53"/>
  <c r="D47" i="53"/>
  <c r="BR46" i="53"/>
  <c r="Y46" i="53"/>
  <c r="F46" i="53"/>
  <c r="D46" i="53"/>
  <c r="BR45" i="53"/>
  <c r="Y45" i="53"/>
  <c r="F45" i="53"/>
  <c r="E45" i="53"/>
  <c r="BR44" i="53"/>
  <c r="Y44" i="53"/>
  <c r="F44" i="53"/>
  <c r="E44" i="53"/>
  <c r="D44" i="53"/>
  <c r="BR43" i="53"/>
  <c r="Y43" i="53"/>
  <c r="BR42" i="53"/>
  <c r="Y42" i="53"/>
  <c r="I42" i="53"/>
  <c r="D42" i="53"/>
  <c r="BR41" i="53"/>
  <c r="Y41" i="53"/>
  <c r="I41" i="53"/>
  <c r="F41" i="53"/>
  <c r="BR40" i="53"/>
  <c r="Y40" i="53"/>
  <c r="I40" i="53"/>
  <c r="BR39" i="53"/>
  <c r="Y39" i="53"/>
  <c r="I39" i="53"/>
  <c r="I38" i="53"/>
  <c r="I37" i="53"/>
  <c r="I36" i="53"/>
  <c r="I35" i="53"/>
  <c r="F34" i="53"/>
  <c r="E34" i="53"/>
  <c r="D34" i="53"/>
  <c r="F33" i="53"/>
  <c r="E33" i="53"/>
  <c r="D33" i="53"/>
  <c r="F32" i="53"/>
  <c r="E32" i="53"/>
  <c r="D32" i="53"/>
  <c r="G65" i="53"/>
  <c r="F31" i="53"/>
  <c r="E31" i="53"/>
  <c r="D31" i="53"/>
  <c r="F30" i="53"/>
  <c r="E30" i="53"/>
  <c r="D30" i="53"/>
  <c r="F29" i="53"/>
  <c r="E29" i="53"/>
  <c r="D29" i="53"/>
  <c r="F28" i="53"/>
  <c r="E28" i="53"/>
  <c r="D28" i="53"/>
  <c r="F27" i="53"/>
  <c r="E27" i="53"/>
  <c r="F26" i="53"/>
  <c r="E26" i="53"/>
  <c r="F25" i="53"/>
  <c r="E24" i="53"/>
  <c r="D24" i="53"/>
  <c r="G68" i="53"/>
  <c r="F16" i="53"/>
  <c r="D16" i="53"/>
  <c r="F15" i="53"/>
  <c r="D15" i="53"/>
  <c r="F14" i="53"/>
  <c r="D14" i="53"/>
  <c r="F13" i="53"/>
  <c r="D13" i="53"/>
  <c r="F12" i="53"/>
  <c r="D12" i="53"/>
  <c r="O65" i="53"/>
  <c r="N65" i="53"/>
  <c r="M65" i="53"/>
  <c r="L65" i="53"/>
  <c r="K65" i="53"/>
  <c r="J65" i="53"/>
  <c r="I65" i="53"/>
  <c r="H65" i="53"/>
  <c r="F65" i="53"/>
  <c r="E65" i="53"/>
  <c r="D65" i="53"/>
  <c r="F11" i="53"/>
  <c r="D11" i="53"/>
  <c r="F10" i="53"/>
  <c r="D10" i="53"/>
  <c r="O68" i="53"/>
  <c r="N68" i="53"/>
  <c r="M68" i="53"/>
  <c r="L68" i="53"/>
  <c r="K68" i="53"/>
  <c r="J68" i="53"/>
  <c r="I68" i="53"/>
  <c r="H68" i="53"/>
  <c r="E68" i="53"/>
  <c r="F9" i="53"/>
  <c r="O64" i="53"/>
  <c r="N64" i="53"/>
  <c r="M64" i="53"/>
  <c r="L64" i="53"/>
  <c r="K64" i="53"/>
  <c r="J64" i="53"/>
  <c r="I64" i="53"/>
  <c r="H64" i="53"/>
  <c r="G64" i="53"/>
  <c r="F64" i="53"/>
  <c r="E64" i="53"/>
  <c r="D64" i="53"/>
  <c r="I57" i="53"/>
  <c r="D6" i="53"/>
  <c r="N66" i="53"/>
  <c r="M66" i="53"/>
  <c r="L66" i="53"/>
  <c r="K66" i="53"/>
  <c r="I66" i="53"/>
  <c r="G66" i="53"/>
  <c r="F66" i="53"/>
  <c r="E66" i="53"/>
  <c r="D66" i="53"/>
  <c r="O57" i="53"/>
  <c r="N57" i="53"/>
  <c r="M57" i="53"/>
  <c r="L57" i="53"/>
  <c r="K57" i="53"/>
  <c r="J57" i="53"/>
  <c r="H57" i="53"/>
  <c r="G57" i="53"/>
  <c r="F57" i="53"/>
  <c r="E57" i="53"/>
  <c r="D57" i="53"/>
  <c r="O63" i="53"/>
  <c r="N63" i="53"/>
  <c r="M63" i="53"/>
  <c r="L63" i="53"/>
  <c r="K63" i="53"/>
  <c r="J63" i="53"/>
  <c r="I63" i="53"/>
  <c r="H63" i="53"/>
  <c r="G63" i="53"/>
  <c r="E63" i="53"/>
  <c r="F42" i="53"/>
  <c r="E42" i="53"/>
  <c r="D41" i="53"/>
  <c r="F23" i="53"/>
  <c r="E23" i="53"/>
  <c r="E25" i="53"/>
  <c r="D26" i="53"/>
  <c r="F6" i="53"/>
  <c r="D9" i="53"/>
  <c r="F73" i="53" l="1"/>
  <c r="F74" i="53"/>
  <c r="F75" i="53"/>
  <c r="D69" i="53"/>
  <c r="E69" i="53"/>
  <c r="F69" i="53"/>
  <c r="H69" i="53"/>
  <c r="E35" i="53"/>
  <c r="J69" i="53"/>
  <c r="G69" i="53"/>
  <c r="K69" i="53"/>
  <c r="L69" i="53"/>
  <c r="M69" i="53"/>
  <c r="N69" i="53"/>
  <c r="I69" i="53"/>
  <c r="O69" i="53"/>
  <c r="E17" i="53"/>
  <c r="D25" i="53"/>
  <c r="D8" i="53"/>
  <c r="D45" i="53"/>
  <c r="F7" i="53"/>
  <c r="F24" i="53"/>
  <c r="F35" i="53" s="1"/>
  <c r="E46" i="53"/>
  <c r="E41" i="53"/>
  <c r="D43" i="53"/>
  <c r="D53" i="53" s="1"/>
  <c r="F5" i="53"/>
  <c r="F8" i="53"/>
  <c r="D23" i="53"/>
  <c r="D27" i="53"/>
  <c r="E43" i="53"/>
  <c r="F43" i="53"/>
  <c r="F53" i="53" s="1"/>
  <c r="D7" i="53"/>
  <c r="D5" i="53"/>
  <c r="E4" i="18"/>
  <c r="E5" i="18"/>
  <c r="E6" i="18"/>
  <c r="E7" i="18"/>
  <c r="E8" i="18"/>
  <c r="E9" i="18"/>
  <c r="E10" i="18"/>
  <c r="E11" i="18"/>
  <c r="E12" i="18"/>
  <c r="E13" i="18"/>
  <c r="E14" i="18"/>
  <c r="E3" i="18"/>
  <c r="D4" i="18"/>
  <c r="D5" i="18"/>
  <c r="D6" i="18"/>
  <c r="D7" i="18"/>
  <c r="D8" i="18"/>
  <c r="D9" i="18"/>
  <c r="D10" i="18"/>
  <c r="D11" i="18"/>
  <c r="D12" i="18"/>
  <c r="D13" i="18"/>
  <c r="D14" i="18"/>
  <c r="D3" i="18"/>
  <c r="D17" i="53" l="1"/>
  <c r="D35" i="53"/>
  <c r="E53" i="53"/>
  <c r="F17" i="53"/>
  <c r="D19" i="38"/>
  <c r="I36" i="47"/>
  <c r="I37" i="47"/>
  <c r="I38" i="47"/>
  <c r="I39" i="47"/>
  <c r="I40" i="47"/>
  <c r="I41" i="47"/>
  <c r="I42" i="47"/>
  <c r="K34" i="42"/>
  <c r="J35" i="42" a="1"/>
  <c r="J35" i="42" s="1"/>
  <c r="AE3" i="18" a="1"/>
  <c r="AE3" i="18" s="1"/>
  <c r="F84" i="48" l="1"/>
  <c r="E84" i="48"/>
  <c r="D84" i="48"/>
  <c r="F83" i="48"/>
  <c r="E83" i="48"/>
  <c r="D83" i="48"/>
  <c r="F82" i="48"/>
  <c r="E82" i="48"/>
  <c r="D82" i="48"/>
  <c r="F81" i="48"/>
  <c r="E81" i="48"/>
  <c r="D81" i="48"/>
  <c r="F80" i="48"/>
  <c r="E80" i="48"/>
  <c r="D80" i="48"/>
  <c r="F79" i="48"/>
  <c r="E79" i="48"/>
  <c r="D79" i="48"/>
  <c r="F78" i="48"/>
  <c r="E78" i="48"/>
  <c r="D78" i="48"/>
  <c r="F77" i="48"/>
  <c r="E77" i="48"/>
  <c r="D77" i="48"/>
  <c r="F76" i="48"/>
  <c r="E76" i="48"/>
  <c r="D76" i="48"/>
  <c r="F75" i="48"/>
  <c r="E75" i="48"/>
  <c r="D75" i="48"/>
  <c r="F74" i="48"/>
  <c r="E74" i="48"/>
  <c r="D74" i="48"/>
  <c r="F73" i="48"/>
  <c r="E73" i="48"/>
  <c r="D73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D45" i="48"/>
  <c r="F44" i="48"/>
  <c r="I42" i="48"/>
  <c r="D42" i="48"/>
  <c r="I41" i="48"/>
  <c r="I40" i="48"/>
  <c r="I39" i="48"/>
  <c r="I38" i="48"/>
  <c r="I37" i="48"/>
  <c r="I36" i="48"/>
  <c r="I35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F10" i="48"/>
  <c r="D10" i="48"/>
  <c r="E9" i="48"/>
  <c r="D9" i="48"/>
  <c r="E8" i="48"/>
  <c r="D8" i="48"/>
  <c r="D6" i="48"/>
  <c r="D5" i="48"/>
  <c r="F84" i="47"/>
  <c r="E84" i="47"/>
  <c r="D84" i="47"/>
  <c r="F83" i="47"/>
  <c r="E83" i="47"/>
  <c r="D83" i="47"/>
  <c r="F82" i="47"/>
  <c r="E82" i="47"/>
  <c r="D82" i="47"/>
  <c r="F81" i="47"/>
  <c r="E81" i="47"/>
  <c r="D81" i="47"/>
  <c r="F80" i="47"/>
  <c r="E80" i="47"/>
  <c r="D80" i="47"/>
  <c r="F79" i="47"/>
  <c r="E79" i="47"/>
  <c r="D79" i="47"/>
  <c r="F78" i="47"/>
  <c r="E78" i="47"/>
  <c r="D78" i="47"/>
  <c r="F77" i="47"/>
  <c r="E77" i="47"/>
  <c r="D77" i="47"/>
  <c r="F76" i="47"/>
  <c r="E76" i="47"/>
  <c r="D76" i="47"/>
  <c r="F75" i="47"/>
  <c r="E75" i="47"/>
  <c r="D75" i="47"/>
  <c r="F74" i="47"/>
  <c r="E74" i="47"/>
  <c r="D74" i="47"/>
  <c r="F73" i="47"/>
  <c r="E73" i="47"/>
  <c r="D73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F52" i="47"/>
  <c r="E52" i="47"/>
  <c r="D52" i="47"/>
  <c r="F51" i="47"/>
  <c r="E51" i="47"/>
  <c r="D51" i="47"/>
  <c r="F50" i="47"/>
  <c r="E50" i="47"/>
  <c r="D50" i="47"/>
  <c r="F49" i="47"/>
  <c r="E49" i="47"/>
  <c r="D49" i="47"/>
  <c r="F48" i="47"/>
  <c r="E48" i="47"/>
  <c r="D48" i="47"/>
  <c r="F47" i="47"/>
  <c r="E47" i="47"/>
  <c r="D47" i="47"/>
  <c r="F46" i="47"/>
  <c r="E46" i="47"/>
  <c r="D46" i="47"/>
  <c r="F45" i="47"/>
  <c r="E45" i="47"/>
  <c r="E53" i="47" s="1"/>
  <c r="D45" i="47"/>
  <c r="D53" i="47" s="1"/>
  <c r="F44" i="47"/>
  <c r="F53" i="47" s="1"/>
  <c r="E44" i="47"/>
  <c r="D44" i="47"/>
  <c r="F43" i="47"/>
  <c r="E43" i="47"/>
  <c r="D43" i="47"/>
  <c r="F42" i="47"/>
  <c r="E42" i="47"/>
  <c r="D42" i="47"/>
  <c r="F41" i="47"/>
  <c r="E41" i="47"/>
  <c r="D41" i="47"/>
  <c r="I35" i="47"/>
  <c r="J35" i="47" s="1" a="1"/>
  <c r="J35" i="47" s="1"/>
  <c r="K34" i="47" s="1"/>
  <c r="F34" i="47"/>
  <c r="E34" i="47"/>
  <c r="D34" i="47"/>
  <c r="F33" i="47"/>
  <c r="E33" i="47"/>
  <c r="D33" i="47"/>
  <c r="F32" i="47"/>
  <c r="E32" i="47"/>
  <c r="D32" i="47"/>
  <c r="F31" i="47"/>
  <c r="E31" i="47"/>
  <c r="D31" i="47"/>
  <c r="F30" i="47"/>
  <c r="E30" i="47"/>
  <c r="D30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E35" i="47" s="1"/>
  <c r="D23" i="47"/>
  <c r="D35" i="47" s="1"/>
  <c r="F16" i="47"/>
  <c r="E16" i="47"/>
  <c r="D16" i="47"/>
  <c r="F15" i="47"/>
  <c r="E15" i="47"/>
  <c r="D15" i="47"/>
  <c r="F14" i="47"/>
  <c r="E14" i="47"/>
  <c r="D14" i="47"/>
  <c r="F13" i="47"/>
  <c r="E13" i="47"/>
  <c r="D13" i="47"/>
  <c r="F12" i="47"/>
  <c r="E12" i="47"/>
  <c r="D12" i="47"/>
  <c r="F11" i="47"/>
  <c r="E11" i="47"/>
  <c r="D11" i="47"/>
  <c r="F10" i="47"/>
  <c r="E10" i="47"/>
  <c r="D10" i="47"/>
  <c r="F9" i="47"/>
  <c r="E9" i="47"/>
  <c r="D9" i="47"/>
  <c r="F8" i="47"/>
  <c r="E8" i="47"/>
  <c r="D8" i="47"/>
  <c r="F7" i="47"/>
  <c r="E7" i="47"/>
  <c r="E17" i="47" s="1"/>
  <c r="D7" i="47"/>
  <c r="F6" i="47"/>
  <c r="E6" i="47"/>
  <c r="D6" i="47"/>
  <c r="F5" i="47"/>
  <c r="E5" i="47"/>
  <c r="D5" i="47"/>
  <c r="D17" i="47" s="1"/>
  <c r="F84" i="45"/>
  <c r="E84" i="45"/>
  <c r="D84" i="45"/>
  <c r="F83" i="45"/>
  <c r="E83" i="45"/>
  <c r="D83" i="45"/>
  <c r="F82" i="45"/>
  <c r="E82" i="45"/>
  <c r="D82" i="45"/>
  <c r="F81" i="45"/>
  <c r="E81" i="45"/>
  <c r="D81" i="45"/>
  <c r="F80" i="45"/>
  <c r="E80" i="45"/>
  <c r="D80" i="45"/>
  <c r="F79" i="45"/>
  <c r="E79" i="45"/>
  <c r="D79" i="45"/>
  <c r="F78" i="45"/>
  <c r="E78" i="45"/>
  <c r="D78" i="45"/>
  <c r="F77" i="45"/>
  <c r="E77" i="45"/>
  <c r="D77" i="45"/>
  <c r="F76" i="45"/>
  <c r="E76" i="45"/>
  <c r="D76" i="45"/>
  <c r="F75" i="45"/>
  <c r="E75" i="45"/>
  <c r="D75" i="45"/>
  <c r="F74" i="45"/>
  <c r="E74" i="45"/>
  <c r="D74" i="45"/>
  <c r="F73" i="45"/>
  <c r="E73" i="45"/>
  <c r="D73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F52" i="45"/>
  <c r="E52" i="45"/>
  <c r="D52" i="45"/>
  <c r="F51" i="45"/>
  <c r="E51" i="45"/>
  <c r="D51" i="45"/>
  <c r="F50" i="45"/>
  <c r="E50" i="45"/>
  <c r="D50" i="45"/>
  <c r="F49" i="45"/>
  <c r="E49" i="45"/>
  <c r="D49" i="45"/>
  <c r="F48" i="45"/>
  <c r="E48" i="45"/>
  <c r="D48" i="45"/>
  <c r="F47" i="45"/>
  <c r="E47" i="45"/>
  <c r="D47" i="45"/>
  <c r="F46" i="45"/>
  <c r="E46" i="45"/>
  <c r="D46" i="45"/>
  <c r="F45" i="45"/>
  <c r="E45" i="45"/>
  <c r="D45" i="45"/>
  <c r="D53" i="45" s="1"/>
  <c r="F44" i="45"/>
  <c r="F53" i="45" s="1"/>
  <c r="E44" i="45"/>
  <c r="D44" i="45"/>
  <c r="F43" i="45"/>
  <c r="E43" i="45"/>
  <c r="D43" i="45"/>
  <c r="I42" i="45"/>
  <c r="F42" i="45"/>
  <c r="E42" i="45"/>
  <c r="D42" i="45"/>
  <c r="I41" i="45"/>
  <c r="F41" i="45"/>
  <c r="E41" i="45"/>
  <c r="D41" i="45"/>
  <c r="I40" i="45"/>
  <c r="I39" i="45"/>
  <c r="I38" i="45"/>
  <c r="I37" i="45"/>
  <c r="I35" i="45"/>
  <c r="F35" i="45"/>
  <c r="F34" i="45"/>
  <c r="E34" i="45"/>
  <c r="D34" i="45"/>
  <c r="F33" i="45"/>
  <c r="E33" i="45"/>
  <c r="D33" i="45"/>
  <c r="F32" i="45"/>
  <c r="E32" i="45"/>
  <c r="D32" i="45"/>
  <c r="F31" i="45"/>
  <c r="E31" i="45"/>
  <c r="D31" i="45"/>
  <c r="F30" i="45"/>
  <c r="E30" i="45"/>
  <c r="D30" i="45"/>
  <c r="F29" i="45"/>
  <c r="E29" i="45"/>
  <c r="D29" i="45"/>
  <c r="F28" i="45"/>
  <c r="E28" i="45"/>
  <c r="D28" i="45"/>
  <c r="F27" i="45"/>
  <c r="E27" i="45"/>
  <c r="D27" i="45"/>
  <c r="F26" i="45"/>
  <c r="E26" i="45"/>
  <c r="D26" i="45"/>
  <c r="F25" i="45"/>
  <c r="E25" i="45"/>
  <c r="D25" i="45"/>
  <c r="F24" i="45"/>
  <c r="E24" i="45"/>
  <c r="D24" i="45"/>
  <c r="F23" i="45"/>
  <c r="E23" i="45"/>
  <c r="E35" i="45" s="1"/>
  <c r="D23" i="45"/>
  <c r="D35" i="45" s="1"/>
  <c r="F16" i="45"/>
  <c r="E16" i="45"/>
  <c r="D16" i="45"/>
  <c r="F15" i="45"/>
  <c r="E15" i="45"/>
  <c r="D15" i="45"/>
  <c r="F14" i="45"/>
  <c r="E14" i="45"/>
  <c r="D14" i="45"/>
  <c r="F13" i="45"/>
  <c r="E13" i="45"/>
  <c r="D13" i="45"/>
  <c r="F12" i="45"/>
  <c r="E12" i="45"/>
  <c r="D12" i="45"/>
  <c r="F11" i="45"/>
  <c r="E11" i="45"/>
  <c r="D11" i="45"/>
  <c r="F10" i="45"/>
  <c r="E10" i="45"/>
  <c r="D10" i="45"/>
  <c r="F9" i="45"/>
  <c r="E9" i="45"/>
  <c r="D9" i="45"/>
  <c r="F8" i="45"/>
  <c r="E8" i="45"/>
  <c r="D8" i="45"/>
  <c r="F7" i="45"/>
  <c r="E7" i="45"/>
  <c r="D7" i="45"/>
  <c r="F6" i="45"/>
  <c r="E6" i="45"/>
  <c r="D6" i="45"/>
  <c r="F5" i="45"/>
  <c r="E5" i="45"/>
  <c r="D5" i="45"/>
  <c r="D17" i="45" s="1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I42" i="43"/>
  <c r="D42" i="43"/>
  <c r="I41" i="43"/>
  <c r="I40" i="43"/>
  <c r="I39" i="43"/>
  <c r="I38" i="43"/>
  <c r="I37" i="43"/>
  <c r="I36" i="43"/>
  <c r="I35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F52" i="42"/>
  <c r="E52" i="42"/>
  <c r="D52" i="42"/>
  <c r="F51" i="42"/>
  <c r="E51" i="42"/>
  <c r="D51" i="42"/>
  <c r="F50" i="42"/>
  <c r="E50" i="42"/>
  <c r="D50" i="42"/>
  <c r="F49" i="42"/>
  <c r="E49" i="42"/>
  <c r="D49" i="42"/>
  <c r="F48" i="42"/>
  <c r="E48" i="42"/>
  <c r="D48" i="42"/>
  <c r="F47" i="42"/>
  <c r="E47" i="42"/>
  <c r="D47" i="42"/>
  <c r="F46" i="42"/>
  <c r="E46" i="42"/>
  <c r="D46" i="42"/>
  <c r="F45" i="42"/>
  <c r="E45" i="42"/>
  <c r="D45" i="42"/>
  <c r="F44" i="42"/>
  <c r="F53" i="42" s="1"/>
  <c r="E44" i="42"/>
  <c r="D44" i="42"/>
  <c r="F43" i="42"/>
  <c r="E43" i="42"/>
  <c r="D43" i="42"/>
  <c r="I42" i="42"/>
  <c r="F42" i="42"/>
  <c r="E42" i="42"/>
  <c r="D42" i="42"/>
  <c r="I41" i="42"/>
  <c r="F41" i="42"/>
  <c r="E41" i="42"/>
  <c r="D41" i="42"/>
  <c r="I40" i="42"/>
  <c r="I39" i="42"/>
  <c r="I38" i="42"/>
  <c r="I37" i="42"/>
  <c r="I36" i="42"/>
  <c r="I35" i="42"/>
  <c r="F34" i="42"/>
  <c r="E34" i="42"/>
  <c r="D34" i="42"/>
  <c r="F33" i="42"/>
  <c r="E33" i="42"/>
  <c r="D33" i="42"/>
  <c r="F32" i="42"/>
  <c r="E32" i="42"/>
  <c r="D32" i="42"/>
  <c r="F31" i="42"/>
  <c r="E31" i="42"/>
  <c r="D31" i="42"/>
  <c r="F30" i="42"/>
  <c r="E30" i="42"/>
  <c r="D30" i="42"/>
  <c r="F29" i="42"/>
  <c r="E29" i="42"/>
  <c r="D29" i="42"/>
  <c r="F28" i="42"/>
  <c r="E28" i="42"/>
  <c r="D28" i="42"/>
  <c r="F27" i="42"/>
  <c r="E27" i="42"/>
  <c r="D27" i="42"/>
  <c r="F26" i="42"/>
  <c r="E26" i="42"/>
  <c r="D26" i="42"/>
  <c r="F25" i="42"/>
  <c r="E25" i="42"/>
  <c r="D25" i="42"/>
  <c r="F24" i="42"/>
  <c r="E24" i="42"/>
  <c r="D24" i="42"/>
  <c r="F23" i="42"/>
  <c r="E23" i="42"/>
  <c r="E35" i="42" s="1"/>
  <c r="D23" i="42"/>
  <c r="F16" i="42"/>
  <c r="E16" i="42"/>
  <c r="D16" i="42"/>
  <c r="F15" i="42"/>
  <c r="E15" i="42"/>
  <c r="D15" i="42"/>
  <c r="F14" i="42"/>
  <c r="E14" i="42"/>
  <c r="D14" i="42"/>
  <c r="F13" i="42"/>
  <c r="E13" i="42"/>
  <c r="D13" i="42"/>
  <c r="F12" i="42"/>
  <c r="E12" i="42"/>
  <c r="D12" i="42"/>
  <c r="F11" i="42"/>
  <c r="E11" i="42"/>
  <c r="D11" i="42"/>
  <c r="F10" i="42"/>
  <c r="E10" i="42"/>
  <c r="D10" i="42"/>
  <c r="F9" i="42"/>
  <c r="E9" i="42"/>
  <c r="D9" i="42"/>
  <c r="F8" i="42"/>
  <c r="E8" i="42"/>
  <c r="D8" i="42"/>
  <c r="F7" i="42"/>
  <c r="E7" i="42"/>
  <c r="D7" i="42"/>
  <c r="F6" i="42"/>
  <c r="E6" i="42"/>
  <c r="D6" i="42"/>
  <c r="F5" i="42"/>
  <c r="E5" i="42"/>
  <c r="D5" i="42"/>
  <c r="D17" i="42" s="1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I42" i="39"/>
  <c r="I41" i="39"/>
  <c r="I40" i="39"/>
  <c r="I39" i="39"/>
  <c r="I38" i="39"/>
  <c r="I37" i="39"/>
  <c r="I36" i="39"/>
  <c r="I35" i="39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F46" i="17"/>
  <c r="E46" i="17"/>
  <c r="D46" i="17"/>
  <c r="F45" i="17"/>
  <c r="E45" i="17"/>
  <c r="D45" i="17"/>
  <c r="F44" i="17"/>
  <c r="E44" i="17"/>
  <c r="D44" i="17"/>
  <c r="F43" i="17"/>
  <c r="E43" i="17"/>
  <c r="D43" i="17"/>
  <c r="I42" i="17"/>
  <c r="F42" i="17"/>
  <c r="E42" i="17"/>
  <c r="D42" i="17"/>
  <c r="I41" i="17"/>
  <c r="F41" i="17"/>
  <c r="E41" i="17"/>
  <c r="D41" i="17"/>
  <c r="I40" i="17"/>
  <c r="F40" i="17"/>
  <c r="E40" i="17"/>
  <c r="D40" i="17"/>
  <c r="I39" i="17"/>
  <c r="F39" i="17"/>
  <c r="E39" i="17"/>
  <c r="D39" i="17"/>
  <c r="I38" i="17"/>
  <c r="F38" i="17"/>
  <c r="E38" i="17"/>
  <c r="D38" i="17"/>
  <c r="I37" i="17"/>
  <c r="F37" i="17"/>
  <c r="E37" i="17"/>
  <c r="D37" i="17"/>
  <c r="I36" i="17"/>
  <c r="F36" i="17"/>
  <c r="E36" i="17"/>
  <c r="D36" i="17"/>
  <c r="I35" i="17"/>
  <c r="F35" i="17"/>
  <c r="E35" i="17"/>
  <c r="D35" i="17"/>
  <c r="F30" i="17"/>
  <c r="E30" i="17"/>
  <c r="D30" i="17"/>
  <c r="F29" i="17"/>
  <c r="E29" i="17"/>
  <c r="D29" i="17"/>
  <c r="F28" i="17"/>
  <c r="E28" i="17"/>
  <c r="D28" i="17"/>
  <c r="F27" i="17"/>
  <c r="E27" i="17"/>
  <c r="D27" i="17"/>
  <c r="F26" i="17"/>
  <c r="E26" i="17"/>
  <c r="D26" i="17"/>
  <c r="F25" i="17"/>
  <c r="E25" i="17"/>
  <c r="D25" i="17"/>
  <c r="F24" i="17"/>
  <c r="E24" i="17"/>
  <c r="D24" i="17"/>
  <c r="F23" i="17"/>
  <c r="E23" i="17"/>
  <c r="D23" i="17"/>
  <c r="F22" i="17"/>
  <c r="E22" i="17"/>
  <c r="D22" i="17"/>
  <c r="F21" i="17"/>
  <c r="E21" i="17"/>
  <c r="D21" i="17"/>
  <c r="F20" i="17"/>
  <c r="E20" i="17"/>
  <c r="D20" i="17"/>
  <c r="F19" i="17"/>
  <c r="E19" i="17"/>
  <c r="E31" i="17" s="1"/>
  <c r="D19" i="17"/>
  <c r="F14" i="17"/>
  <c r="E14" i="17"/>
  <c r="D14" i="17"/>
  <c r="F13" i="17"/>
  <c r="E13" i="17"/>
  <c r="D13" i="17"/>
  <c r="F12" i="17"/>
  <c r="E12" i="17"/>
  <c r="D12" i="17"/>
  <c r="F11" i="17"/>
  <c r="E11" i="17"/>
  <c r="D11" i="17"/>
  <c r="F10" i="17"/>
  <c r="E10" i="17"/>
  <c r="D10" i="17"/>
  <c r="F9" i="17"/>
  <c r="E9" i="17"/>
  <c r="D9" i="17"/>
  <c r="F8" i="17"/>
  <c r="E8" i="17"/>
  <c r="D8" i="17"/>
  <c r="F7" i="17"/>
  <c r="E7" i="17"/>
  <c r="D7" i="17"/>
  <c r="F6" i="17"/>
  <c r="E6" i="17"/>
  <c r="D6" i="17"/>
  <c r="F5" i="17"/>
  <c r="E5" i="17"/>
  <c r="D5" i="17"/>
  <c r="F4" i="17"/>
  <c r="E4" i="17"/>
  <c r="D4" i="17"/>
  <c r="F3" i="17"/>
  <c r="E3" i="17"/>
  <c r="D3" i="17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H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J57" i="38"/>
  <c r="I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F22" i="38"/>
  <c r="E22" i="38"/>
  <c r="F21" i="38"/>
  <c r="E21" i="38"/>
  <c r="F20" i="38"/>
  <c r="E20" i="38"/>
  <c r="D20" i="38"/>
  <c r="F19" i="38"/>
  <c r="E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N65" i="45"/>
  <c r="F57" i="38"/>
  <c r="G57" i="38"/>
  <c r="K57" i="38"/>
  <c r="L57" i="38"/>
  <c r="M57" i="38"/>
  <c r="N57" i="38"/>
  <c r="O57" i="38"/>
  <c r="E51" i="38"/>
  <c r="F51" i="38"/>
  <c r="G51" i="38"/>
  <c r="H51" i="38"/>
  <c r="I51" i="38"/>
  <c r="J51" i="38"/>
  <c r="L51" i="38"/>
  <c r="M51" i="38"/>
  <c r="N51" i="38"/>
  <c r="E60" i="38"/>
  <c r="F60" i="38"/>
  <c r="G60" i="38"/>
  <c r="J60" i="38"/>
  <c r="O60" i="38"/>
  <c r="K51" i="38"/>
  <c r="E58" i="38"/>
  <c r="F58" i="38"/>
  <c r="G58" i="38"/>
  <c r="J58" i="38"/>
  <c r="N58" i="38"/>
  <c r="O58" i="38"/>
  <c r="K60" i="38"/>
  <c r="L60" i="38"/>
  <c r="H58" i="38"/>
  <c r="I58" i="38"/>
  <c r="K58" i="38"/>
  <c r="M58" i="38"/>
  <c r="H57" i="38"/>
  <c r="O51" i="38"/>
  <c r="I60" i="38"/>
  <c r="E57" i="38"/>
  <c r="M60" i="38"/>
  <c r="N60" i="38"/>
  <c r="L58" i="38"/>
  <c r="D51" i="38"/>
  <c r="D58" i="38"/>
  <c r="D60" i="38"/>
  <c r="D57" i="38"/>
  <c r="F41" i="48"/>
  <c r="E44" i="48"/>
  <c r="D44" i="48"/>
  <c r="F28" i="48"/>
  <c r="E28" i="48"/>
  <c r="D27" i="48"/>
  <c r="F9" i="48"/>
  <c r="E10" i="48"/>
  <c r="D7" i="48"/>
  <c r="F15" i="17" l="1"/>
  <c r="D31" i="17"/>
  <c r="J35" i="17" a="1"/>
  <c r="J35" i="17" s="1"/>
  <c r="K34" i="17" s="1"/>
  <c r="G63" i="38"/>
  <c r="E63" i="42"/>
  <c r="F35" i="47"/>
  <c r="F17" i="47"/>
  <c r="F17" i="45"/>
  <c r="E53" i="45"/>
  <c r="E17" i="45"/>
  <c r="J35" i="45" a="1"/>
  <c r="J35" i="45" s="1"/>
  <c r="K34" i="45" s="1"/>
  <c r="D35" i="42"/>
  <c r="F17" i="42"/>
  <c r="E17" i="42"/>
  <c r="E53" i="42"/>
  <c r="D53" i="42"/>
  <c r="F35" i="42"/>
  <c r="F31" i="17"/>
  <c r="E15" i="17"/>
  <c r="D15" i="17"/>
  <c r="G65" i="43"/>
  <c r="E63" i="43"/>
  <c r="O66" i="42"/>
  <c r="H65" i="42"/>
  <c r="J67" i="42"/>
  <c r="O66" i="43"/>
  <c r="E63" i="45"/>
  <c r="D63" i="42"/>
  <c r="H67" i="42"/>
  <c r="D63" i="43"/>
  <c r="H67" i="43"/>
  <c r="D63" i="45"/>
  <c r="D63" i="47"/>
  <c r="D63" i="48"/>
  <c r="L65" i="47"/>
  <c r="J57" i="17"/>
  <c r="L61" i="17"/>
  <c r="N58" i="17"/>
  <c r="J58" i="39"/>
  <c r="L61" i="39"/>
  <c r="N58" i="39"/>
  <c r="M58" i="17"/>
  <c r="E60" i="18"/>
  <c r="G57" i="18"/>
  <c r="E60" i="17"/>
  <c r="G57" i="17"/>
  <c r="G57" i="39"/>
  <c r="D17" i="48"/>
  <c r="G67" i="43"/>
  <c r="G68" i="47"/>
  <c r="E65" i="48"/>
  <c r="I64" i="43"/>
  <c r="G68" i="48"/>
  <c r="K66" i="45"/>
  <c r="G68" i="45"/>
  <c r="K66" i="47"/>
  <c r="G65" i="42"/>
  <c r="K63" i="42"/>
  <c r="I57" i="18"/>
  <c r="I57" i="17"/>
  <c r="E58" i="39"/>
  <c r="H60" i="18"/>
  <c r="J57" i="18"/>
  <c r="L58" i="18"/>
  <c r="F60" i="18"/>
  <c r="D58" i="17"/>
  <c r="F60" i="17"/>
  <c r="H57" i="17"/>
  <c r="D58" i="39"/>
  <c r="H57" i="39"/>
  <c r="E66" i="42"/>
  <c r="E66" i="43"/>
  <c r="I65" i="45"/>
  <c r="G63" i="45"/>
  <c r="M64" i="47"/>
  <c r="G63" i="47"/>
  <c r="M64" i="48"/>
  <c r="G63" i="48"/>
  <c r="G63" i="42"/>
  <c r="G63" i="43"/>
  <c r="E66" i="45"/>
  <c r="E66" i="47"/>
  <c r="E66" i="48"/>
  <c r="E57" i="17"/>
  <c r="E63" i="47"/>
  <c r="E63" i="48"/>
  <c r="I51" i="39"/>
  <c r="L65" i="42"/>
  <c r="L65" i="43"/>
  <c r="F64" i="45"/>
  <c r="L65" i="45"/>
  <c r="E57" i="39"/>
  <c r="L60" i="18"/>
  <c r="N67" i="42"/>
  <c r="N67" i="43"/>
  <c r="N68" i="45"/>
  <c r="N68" i="47"/>
  <c r="I57" i="47"/>
  <c r="N68" i="48"/>
  <c r="I57" i="48"/>
  <c r="K65" i="42"/>
  <c r="M67" i="42"/>
  <c r="O64" i="42"/>
  <c r="K65" i="43"/>
  <c r="M67" i="43"/>
  <c r="K65" i="45"/>
  <c r="M68" i="45"/>
  <c r="D22" i="38"/>
  <c r="D21" i="38"/>
  <c r="D23" i="38"/>
  <c r="D57" i="42"/>
  <c r="D57" i="43"/>
  <c r="D57" i="45"/>
  <c r="I57" i="42"/>
  <c r="L65" i="48"/>
  <c r="O58" i="18"/>
  <c r="M61" i="39"/>
  <c r="D58" i="18"/>
  <c r="D64" i="42"/>
  <c r="N64" i="42"/>
  <c r="J65" i="45"/>
  <c r="N64" i="45"/>
  <c r="G57" i="45"/>
  <c r="J65" i="47"/>
  <c r="N64" i="47"/>
  <c r="J65" i="48"/>
  <c r="L68" i="48"/>
  <c r="N64" i="48"/>
  <c r="G57" i="48"/>
  <c r="O60" i="18"/>
  <c r="F51" i="18"/>
  <c r="K61" i="17"/>
  <c r="O60" i="17"/>
  <c r="F51" i="17"/>
  <c r="K61" i="39"/>
  <c r="M58" i="39"/>
  <c r="O60" i="39"/>
  <c r="F51" i="39"/>
  <c r="I65" i="42"/>
  <c r="K67" i="42"/>
  <c r="M64" i="42"/>
  <c r="F57" i="42"/>
  <c r="I65" i="43"/>
  <c r="K67" i="43"/>
  <c r="M64" i="43"/>
  <c r="F57" i="43"/>
  <c r="K68" i="45"/>
  <c r="M64" i="45"/>
  <c r="O66" i="45"/>
  <c r="F57" i="45"/>
  <c r="I65" i="47"/>
  <c r="K68" i="47"/>
  <c r="O66" i="47"/>
  <c r="F57" i="47"/>
  <c r="I65" i="48"/>
  <c r="K68" i="48"/>
  <c r="O66" i="48"/>
  <c r="F57" i="48"/>
  <c r="H57" i="18"/>
  <c r="M60" i="18"/>
  <c r="H51" i="18"/>
  <c r="H51" i="17"/>
  <c r="H51" i="39"/>
  <c r="G51" i="18"/>
  <c r="J65" i="42"/>
  <c r="L67" i="43"/>
  <c r="L58" i="17"/>
  <c r="J61" i="39"/>
  <c r="E51" i="39"/>
  <c r="E57" i="42"/>
  <c r="J67" i="43"/>
  <c r="N66" i="43"/>
  <c r="J68" i="45"/>
  <c r="L64" i="45"/>
  <c r="J68" i="47"/>
  <c r="N66" i="47"/>
  <c r="J68" i="48"/>
  <c r="L64" i="48"/>
  <c r="N66" i="48"/>
  <c r="E57" i="48"/>
  <c r="O58" i="39"/>
  <c r="H58" i="18"/>
  <c r="L68" i="45"/>
  <c r="E51" i="18"/>
  <c r="E51" i="17"/>
  <c r="L58" i="39"/>
  <c r="N66" i="42"/>
  <c r="H65" i="43"/>
  <c r="L64" i="43"/>
  <c r="E57" i="43"/>
  <c r="H65" i="45"/>
  <c r="N66" i="45"/>
  <c r="H65" i="47"/>
  <c r="L64" i="47"/>
  <c r="E57" i="47"/>
  <c r="H65" i="48"/>
  <c r="D51" i="18"/>
  <c r="O57" i="18"/>
  <c r="K58" i="17"/>
  <c r="O57" i="17"/>
  <c r="K58" i="39"/>
  <c r="M60" i="39"/>
  <c r="O57" i="39"/>
  <c r="I67" i="42"/>
  <c r="K64" i="42"/>
  <c r="M66" i="42"/>
  <c r="O63" i="42"/>
  <c r="I67" i="43"/>
  <c r="K64" i="43"/>
  <c r="M66" i="43"/>
  <c r="O63" i="43"/>
  <c r="G65" i="45"/>
  <c r="I68" i="45"/>
  <c r="K64" i="45"/>
  <c r="M66" i="45"/>
  <c r="O63" i="45"/>
  <c r="G65" i="47"/>
  <c r="I68" i="47"/>
  <c r="K64" i="47"/>
  <c r="M66" i="47"/>
  <c r="O63" i="47"/>
  <c r="G65" i="48"/>
  <c r="I68" i="48"/>
  <c r="K64" i="48"/>
  <c r="M66" i="48"/>
  <c r="O63" i="48"/>
  <c r="N58" i="18"/>
  <c r="L67" i="42"/>
  <c r="N64" i="43"/>
  <c r="J61" i="17"/>
  <c r="N60" i="39"/>
  <c r="L64" i="42"/>
  <c r="J58" i="18"/>
  <c r="N57" i="18"/>
  <c r="H61" i="17"/>
  <c r="J58" i="17"/>
  <c r="N57" i="17"/>
  <c r="H61" i="39"/>
  <c r="L60" i="39"/>
  <c r="N57" i="39"/>
  <c r="F65" i="42"/>
  <c r="J64" i="42"/>
  <c r="L66" i="42"/>
  <c r="N63" i="42"/>
  <c r="F65" i="43"/>
  <c r="J64" i="43"/>
  <c r="L66" i="43"/>
  <c r="N63" i="43"/>
  <c r="F65" i="45"/>
  <c r="H68" i="45"/>
  <c r="J64" i="45"/>
  <c r="L66" i="45"/>
  <c r="N63" i="45"/>
  <c r="F65" i="47"/>
  <c r="H68" i="47"/>
  <c r="J64" i="47"/>
  <c r="L66" i="47"/>
  <c r="N63" i="47"/>
  <c r="F65" i="48"/>
  <c r="H68" i="48"/>
  <c r="J64" i="48"/>
  <c r="L66" i="48"/>
  <c r="N63" i="48"/>
  <c r="N61" i="39"/>
  <c r="I57" i="43"/>
  <c r="M57" i="18"/>
  <c r="M57" i="17"/>
  <c r="G61" i="39"/>
  <c r="E65" i="42"/>
  <c r="M63" i="42"/>
  <c r="E65" i="43"/>
  <c r="M63" i="43"/>
  <c r="E65" i="47"/>
  <c r="I64" i="47"/>
  <c r="M63" i="47"/>
  <c r="I57" i="45"/>
  <c r="G61" i="17"/>
  <c r="K60" i="39"/>
  <c r="I64" i="42"/>
  <c r="K66" i="48"/>
  <c r="J60" i="18"/>
  <c r="F61" i="17"/>
  <c r="L57" i="17"/>
  <c r="J60" i="39"/>
  <c r="L57" i="39"/>
  <c r="D65" i="42"/>
  <c r="F67" i="42"/>
  <c r="H64" i="42"/>
  <c r="J66" i="42"/>
  <c r="L63" i="42"/>
  <c r="D65" i="43"/>
  <c r="F67" i="43"/>
  <c r="H64" i="43"/>
  <c r="J66" i="43"/>
  <c r="L63" i="43"/>
  <c r="D65" i="45"/>
  <c r="F68" i="45"/>
  <c r="H64" i="45"/>
  <c r="J66" i="45"/>
  <c r="L63" i="45"/>
  <c r="D65" i="47"/>
  <c r="F68" i="47"/>
  <c r="H64" i="47"/>
  <c r="J66" i="47"/>
  <c r="L63" i="47"/>
  <c r="D65" i="48"/>
  <c r="F68" i="48"/>
  <c r="H64" i="48"/>
  <c r="J66" i="48"/>
  <c r="L63" i="48"/>
  <c r="N60" i="18"/>
  <c r="I58" i="17"/>
  <c r="E65" i="45"/>
  <c r="I64" i="48"/>
  <c r="L57" i="18"/>
  <c r="J60" i="17"/>
  <c r="H58" i="39"/>
  <c r="K57" i="18"/>
  <c r="E61" i="17"/>
  <c r="G58" i="17"/>
  <c r="K57" i="17"/>
  <c r="E61" i="39"/>
  <c r="G58" i="39"/>
  <c r="I60" i="39"/>
  <c r="K57" i="39"/>
  <c r="E67" i="42"/>
  <c r="G64" i="42"/>
  <c r="I66" i="42"/>
  <c r="E67" i="43"/>
  <c r="G64" i="43"/>
  <c r="I66" i="43"/>
  <c r="K63" i="43"/>
  <c r="E68" i="45"/>
  <c r="G64" i="45"/>
  <c r="I66" i="45"/>
  <c r="K63" i="45"/>
  <c r="E68" i="47"/>
  <c r="G64" i="47"/>
  <c r="I66" i="47"/>
  <c r="K63" i="47"/>
  <c r="E68" i="48"/>
  <c r="G64" i="48"/>
  <c r="I66" i="48"/>
  <c r="K63" i="48"/>
  <c r="N61" i="17"/>
  <c r="K60" i="17"/>
  <c r="M57" i="39"/>
  <c r="K66" i="42"/>
  <c r="K66" i="43"/>
  <c r="I64" i="45"/>
  <c r="M63" i="48"/>
  <c r="H58" i="17"/>
  <c r="F61" i="39"/>
  <c r="G58" i="18"/>
  <c r="F58" i="18"/>
  <c r="D61" i="17"/>
  <c r="F58" i="17"/>
  <c r="H60" i="17"/>
  <c r="D61" i="39"/>
  <c r="F58" i="39"/>
  <c r="H60" i="39"/>
  <c r="J57" i="39"/>
  <c r="D67" i="42"/>
  <c r="F64" i="42"/>
  <c r="H66" i="42"/>
  <c r="J63" i="42"/>
  <c r="D67" i="43"/>
  <c r="F64" i="43"/>
  <c r="H66" i="43"/>
  <c r="J63" i="43"/>
  <c r="D68" i="45"/>
  <c r="H66" i="45"/>
  <c r="J63" i="45"/>
  <c r="D68" i="47"/>
  <c r="F64" i="47"/>
  <c r="H66" i="47"/>
  <c r="J63" i="47"/>
  <c r="D68" i="48"/>
  <c r="F64" i="48"/>
  <c r="H66" i="48"/>
  <c r="J63" i="48"/>
  <c r="N51" i="18"/>
  <c r="N57" i="48"/>
  <c r="I51" i="18"/>
  <c r="I51" i="17"/>
  <c r="E58" i="18"/>
  <c r="G60" i="18"/>
  <c r="E58" i="17"/>
  <c r="G60" i="17"/>
  <c r="I58" i="39"/>
  <c r="G60" i="39"/>
  <c r="I57" i="39"/>
  <c r="E64" i="42"/>
  <c r="G66" i="42"/>
  <c r="I63" i="42"/>
  <c r="E64" i="43"/>
  <c r="G66" i="43"/>
  <c r="I63" i="43"/>
  <c r="E64" i="45"/>
  <c r="G66" i="45"/>
  <c r="I63" i="45"/>
  <c r="E64" i="47"/>
  <c r="G66" i="47"/>
  <c r="I63" i="47"/>
  <c r="E64" i="48"/>
  <c r="G66" i="48"/>
  <c r="I63" i="48"/>
  <c r="O51" i="18"/>
  <c r="F66" i="42"/>
  <c r="H63" i="42"/>
  <c r="D64" i="43"/>
  <c r="F66" i="43"/>
  <c r="H63" i="43"/>
  <c r="D64" i="45"/>
  <c r="F66" i="45"/>
  <c r="H63" i="45"/>
  <c r="D64" i="47"/>
  <c r="F66" i="47"/>
  <c r="H63" i="47"/>
  <c r="D64" i="48"/>
  <c r="F66" i="48"/>
  <c r="H63" i="48"/>
  <c r="F57" i="18"/>
  <c r="D60" i="17"/>
  <c r="O51" i="17"/>
  <c r="F57" i="17"/>
  <c r="D60" i="39"/>
  <c r="O51" i="39"/>
  <c r="F57" i="39"/>
  <c r="D66" i="42"/>
  <c r="O57" i="42"/>
  <c r="F63" i="42"/>
  <c r="D66" i="43"/>
  <c r="O57" i="43"/>
  <c r="F63" i="43"/>
  <c r="D66" i="45"/>
  <c r="O57" i="45"/>
  <c r="F63" i="45"/>
  <c r="D66" i="47"/>
  <c r="O57" i="47"/>
  <c r="F63" i="47"/>
  <c r="D66" i="48"/>
  <c r="O57" i="48"/>
  <c r="F63" i="48"/>
  <c r="D51" i="17"/>
  <c r="N57" i="45"/>
  <c r="D57" i="18"/>
  <c r="D57" i="17"/>
  <c r="M51" i="17"/>
  <c r="M51" i="39"/>
  <c r="M57" i="47"/>
  <c r="M57" i="48"/>
  <c r="E57" i="18"/>
  <c r="I60" i="18"/>
  <c r="M58" i="18"/>
  <c r="L51" i="18"/>
  <c r="I60" i="17"/>
  <c r="I61" i="17"/>
  <c r="M60" i="17"/>
  <c r="L51" i="17"/>
  <c r="E60" i="39"/>
  <c r="I61" i="39"/>
  <c r="L51" i="39"/>
  <c r="G67" i="42"/>
  <c r="O65" i="42"/>
  <c r="L57" i="42"/>
  <c r="O65" i="43"/>
  <c r="L57" i="43"/>
  <c r="M63" i="45"/>
  <c r="O65" i="45"/>
  <c r="J57" i="45"/>
  <c r="L57" i="45"/>
  <c r="O65" i="47"/>
  <c r="L57" i="47"/>
  <c r="O65" i="48"/>
  <c r="L57" i="48"/>
  <c r="D51" i="39"/>
  <c r="N57" i="43"/>
  <c r="D57" i="47"/>
  <c r="N57" i="47"/>
  <c r="M51" i="18"/>
  <c r="D57" i="39"/>
  <c r="M57" i="43"/>
  <c r="M57" i="45"/>
  <c r="D60" i="18"/>
  <c r="K51" i="18"/>
  <c r="L60" i="17"/>
  <c r="K51" i="17"/>
  <c r="K51" i="39"/>
  <c r="N65" i="42"/>
  <c r="K57" i="42"/>
  <c r="N65" i="43"/>
  <c r="K57" i="43"/>
  <c r="K57" i="45"/>
  <c r="N65" i="47"/>
  <c r="K57" i="47"/>
  <c r="N65" i="48"/>
  <c r="K57" i="48"/>
  <c r="N51" i="17"/>
  <c r="D57" i="48"/>
  <c r="N60" i="17"/>
  <c r="F60" i="39"/>
  <c r="M57" i="42"/>
  <c r="K58" i="18"/>
  <c r="J51" i="18"/>
  <c r="O61" i="17"/>
  <c r="J51" i="17"/>
  <c r="O61" i="39"/>
  <c r="J51" i="39"/>
  <c r="M65" i="42"/>
  <c r="O67" i="42"/>
  <c r="J57" i="42"/>
  <c r="M65" i="43"/>
  <c r="O67" i="43"/>
  <c r="J57" i="43"/>
  <c r="M65" i="45"/>
  <c r="O68" i="45"/>
  <c r="M65" i="47"/>
  <c r="O68" i="47"/>
  <c r="J57" i="47"/>
  <c r="M65" i="48"/>
  <c r="O68" i="48"/>
  <c r="J57" i="48"/>
  <c r="N57" i="42"/>
  <c r="I58" i="18"/>
  <c r="M61" i="17"/>
  <c r="H57" i="42"/>
  <c r="O64" i="43"/>
  <c r="H57" i="43"/>
  <c r="O64" i="45"/>
  <c r="H57" i="45"/>
  <c r="K65" i="47"/>
  <c r="M68" i="47"/>
  <c r="O64" i="47"/>
  <c r="H57" i="47"/>
  <c r="K65" i="48"/>
  <c r="M68" i="48"/>
  <c r="O64" i="48"/>
  <c r="H57" i="48"/>
  <c r="K60" i="18"/>
  <c r="O58" i="17"/>
  <c r="N51" i="39"/>
  <c r="G51" i="17"/>
  <c r="G51" i="39"/>
  <c r="G57" i="42"/>
  <c r="J65" i="43"/>
  <c r="G57" i="43"/>
  <c r="E57" i="45"/>
  <c r="L68" i="47"/>
  <c r="G57" i="47"/>
  <c r="E63" i="38"/>
  <c r="F63" i="38"/>
  <c r="K63" i="38"/>
  <c r="J63" i="38"/>
  <c r="I63" i="38"/>
  <c r="H63" i="38"/>
  <c r="M63" i="38"/>
  <c r="D63" i="38"/>
  <c r="L63" i="38"/>
  <c r="N63" i="38"/>
  <c r="O63" i="38"/>
  <c r="F46" i="48"/>
  <c r="E6" i="48"/>
  <c r="F24" i="48"/>
  <c r="D41" i="48"/>
  <c r="E24" i="48"/>
  <c r="F6" i="48"/>
  <c r="E25" i="48"/>
  <c r="E7" i="48"/>
  <c r="F25" i="48"/>
  <c r="F7" i="48"/>
  <c r="D26" i="48"/>
  <c r="E26" i="48"/>
  <c r="E42" i="48"/>
  <c r="F26" i="48"/>
  <c r="F42" i="48"/>
  <c r="F8" i="48"/>
  <c r="E27" i="48"/>
  <c r="F27" i="48"/>
  <c r="E43" i="48"/>
  <c r="F43" i="48"/>
  <c r="D25" i="48"/>
  <c r="F5" i="48"/>
  <c r="D43" i="48"/>
  <c r="F23" i="48"/>
  <c r="E41" i="48"/>
  <c r="E5" i="48"/>
  <c r="E23" i="48"/>
  <c r="F53" i="48" l="1"/>
  <c r="M64" i="17"/>
  <c r="G69" i="43"/>
  <c r="I69" i="43"/>
  <c r="H63" i="18"/>
  <c r="M63" i="39"/>
  <c r="J69" i="47"/>
  <c r="J70" i="47" s="1"/>
  <c r="N63" i="18"/>
  <c r="G69" i="48"/>
  <c r="H69" i="47"/>
  <c r="H70" i="47" s="1"/>
  <c r="L69" i="45"/>
  <c r="L70" i="45" s="1"/>
  <c r="L63" i="39"/>
  <c r="E69" i="45"/>
  <c r="E70" i="45" s="1"/>
  <c r="I69" i="45"/>
  <c r="I70" i="45" s="1"/>
  <c r="M69" i="48"/>
  <c r="G63" i="39"/>
  <c r="O69" i="47"/>
  <c r="O70" i="47" s="1"/>
  <c r="O69" i="42"/>
  <c r="D69" i="47"/>
  <c r="D70" i="47" s="1"/>
  <c r="D63" i="18"/>
  <c r="J63" i="18"/>
  <c r="L63" i="17"/>
  <c r="L64" i="17" s="1"/>
  <c r="L69" i="48"/>
  <c r="M63" i="17"/>
  <c r="I69" i="47"/>
  <c r="I70" i="47" s="1"/>
  <c r="O63" i="18"/>
  <c r="H63" i="17"/>
  <c r="H64" i="17" s="1"/>
  <c r="K63" i="17"/>
  <c r="K64" i="17" s="1"/>
  <c r="J63" i="17"/>
  <c r="J64" i="17" s="1"/>
  <c r="D69" i="42"/>
  <c r="G69" i="45"/>
  <c r="G70" i="45" s="1"/>
  <c r="H69" i="48"/>
  <c r="G69" i="42"/>
  <c r="I63" i="18"/>
  <c r="M69" i="42"/>
  <c r="D63" i="39"/>
  <c r="I69" i="42"/>
  <c r="I63" i="39"/>
  <c r="K69" i="45"/>
  <c r="K70" i="45" s="1"/>
  <c r="K69" i="43"/>
  <c r="L69" i="43"/>
  <c r="L69" i="42"/>
  <c r="G63" i="17"/>
  <c r="G64" i="17" s="1"/>
  <c r="N63" i="39"/>
  <c r="G69" i="47"/>
  <c r="G70" i="47" s="1"/>
  <c r="J69" i="48"/>
  <c r="H69" i="45"/>
  <c r="H70" i="45" s="1"/>
  <c r="O63" i="39"/>
  <c r="I69" i="48"/>
  <c r="H63" i="39"/>
  <c r="M63" i="18"/>
  <c r="N69" i="48"/>
  <c r="D63" i="17"/>
  <c r="D64" i="17" s="1"/>
  <c r="O69" i="45"/>
  <c r="J63" i="39"/>
  <c r="M69" i="45"/>
  <c r="M70" i="45" s="1"/>
  <c r="N69" i="47"/>
  <c r="N70" i="47" s="1"/>
  <c r="M69" i="43"/>
  <c r="D69" i="43"/>
  <c r="L63" i="18"/>
  <c r="K63" i="39"/>
  <c r="O69" i="43"/>
  <c r="J69" i="45"/>
  <c r="J70" i="45" s="1"/>
  <c r="N69" i="42"/>
  <c r="O63" i="17"/>
  <c r="O64" i="17" s="1"/>
  <c r="D35" i="48"/>
  <c r="K63" i="18"/>
  <c r="K69" i="48"/>
  <c r="I63" i="17"/>
  <c r="I64" i="17" s="1"/>
  <c r="N69" i="45"/>
  <c r="D69" i="45"/>
  <c r="D70" i="45" s="1"/>
  <c r="J69" i="43"/>
  <c r="N69" i="43"/>
  <c r="K69" i="47"/>
  <c r="K70" i="47" s="1"/>
  <c r="F63" i="17"/>
  <c r="F64" i="17" s="1"/>
  <c r="H69" i="43"/>
  <c r="H69" i="42"/>
  <c r="K69" i="42"/>
  <c r="M69" i="47"/>
  <c r="M70" i="47" s="1"/>
  <c r="D69" i="48"/>
  <c r="L69" i="47"/>
  <c r="L70" i="47" s="1"/>
  <c r="J69" i="42"/>
  <c r="N63" i="17"/>
  <c r="N64" i="17" s="1"/>
  <c r="O69" i="48"/>
  <c r="F69" i="45"/>
  <c r="F70" i="45" s="1"/>
  <c r="E69" i="42"/>
  <c r="E63" i="39"/>
  <c r="F69" i="48"/>
  <c r="F69" i="43"/>
  <c r="F63" i="18"/>
  <c r="E69" i="43"/>
  <c r="E69" i="48"/>
  <c r="F69" i="47"/>
  <c r="F70" i="47" s="1"/>
  <c r="F69" i="42"/>
  <c r="G63" i="18"/>
  <c r="E63" i="17"/>
  <c r="E64" i="17" s="1"/>
  <c r="E63" i="18"/>
  <c r="F63" i="39"/>
  <c r="E69" i="47"/>
  <c r="E70" i="47" s="1"/>
  <c r="E17" i="48"/>
  <c r="D53" i="48"/>
  <c r="E53" i="48"/>
  <c r="E35" i="48"/>
  <c r="F35" i="48"/>
  <c r="F17" i="48"/>
  <c r="L71" i="47" l="1"/>
  <c r="J71" i="47"/>
  <c r="M71" i="47"/>
  <c r="K71" i="47"/>
  <c r="N71" i="47"/>
  <c r="O71" i="47"/>
  <c r="F71" i="47"/>
  <c r="E71" i="47"/>
  <c r="I71" i="47"/>
  <c r="G71" i="47"/>
  <c r="H71" i="47"/>
  <c r="D71" i="47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D7" i="43" l="1"/>
  <c r="D8" i="43"/>
  <c r="D9" i="43"/>
  <c r="D5" i="43"/>
  <c r="D43" i="43"/>
  <c r="D44" i="43"/>
  <c r="D45" i="43"/>
  <c r="D41" i="43"/>
  <c r="F41" i="43"/>
  <c r="F43" i="43"/>
  <c r="F44" i="43"/>
  <c r="F42" i="43"/>
  <c r="F23" i="43"/>
  <c r="F25" i="43"/>
  <c r="F26" i="43"/>
  <c r="F24" i="43"/>
  <c r="D25" i="43"/>
  <c r="D27" i="43"/>
  <c r="D26" i="43"/>
  <c r="D23" i="43"/>
  <c r="E41" i="43"/>
  <c r="E44" i="43"/>
  <c r="E43" i="43"/>
  <c r="E42" i="43"/>
  <c r="F5" i="43"/>
  <c r="F8" i="43"/>
  <c r="F7" i="43"/>
  <c r="F6" i="43"/>
  <c r="E5" i="43"/>
  <c r="E7" i="43"/>
  <c r="E6" i="43"/>
  <c r="E8" i="43"/>
  <c r="E23" i="43"/>
  <c r="E26" i="43"/>
  <c r="E24" i="43"/>
  <c r="E25" i="43"/>
  <c r="E35" i="43" l="1"/>
  <c r="F35" i="43"/>
  <c r="E17" i="43"/>
  <c r="F53" i="43"/>
  <c r="D35" i="43"/>
  <c r="F17" i="43"/>
  <c r="D17" i="43"/>
  <c r="D53" i="43"/>
  <c r="E53" i="43"/>
  <c r="D47" i="39" l="1"/>
  <c r="E15" i="39"/>
  <c r="F15" i="39"/>
  <c r="E31" i="39"/>
  <c r="E47" i="39"/>
  <c r="D15" i="39"/>
  <c r="D31" i="39"/>
  <c r="F31" i="39"/>
  <c r="F47" i="39"/>
  <c r="F5" i="18" l="1"/>
  <c r="F9" i="18"/>
  <c r="F11" i="18"/>
  <c r="F4" i="18"/>
  <c r="F8" i="18"/>
  <c r="F10" i="18"/>
  <c r="F3" i="18"/>
  <c r="F13" i="18"/>
  <c r="F6" i="18"/>
  <c r="F12" i="18"/>
  <c r="F14" i="18"/>
  <c r="F7" i="18"/>
  <c r="D47" i="18" l="1"/>
  <c r="D15" i="18"/>
  <c r="F15" i="18"/>
  <c r="E15" i="18"/>
  <c r="E47" i="18"/>
  <c r="E31" i="18"/>
  <c r="F31" i="18"/>
  <c r="D31" i="18"/>
  <c r="F47" i="18"/>
  <c r="N5" i="58" l="1"/>
  <c r="V5" i="58" s="1"/>
  <c r="M31" i="58"/>
  <c r="N39" i="58"/>
  <c r="V39" i="58" s="1"/>
  <c r="M25" i="58"/>
  <c r="M12" i="58"/>
  <c r="M32" i="58"/>
  <c r="N12" i="58"/>
  <c r="V12" i="58" s="1"/>
  <c r="M22" i="58"/>
  <c r="N32" i="58"/>
  <c r="V32" i="58" s="1"/>
  <c r="M3" i="58"/>
  <c r="N6" i="58"/>
  <c r="V6" i="58" s="1"/>
  <c r="M18" i="58"/>
  <c r="N25" i="58"/>
  <c r="V25" i="58" s="1"/>
  <c r="M51" i="58"/>
  <c r="M19" i="58"/>
  <c r="M52" i="58"/>
  <c r="N13" i="58"/>
  <c r="V13" i="58" s="1"/>
  <c r="N26" i="58"/>
  <c r="V26" i="58" s="1"/>
  <c r="N33" i="58"/>
  <c r="V33" i="58" s="1"/>
  <c r="N19" i="58"/>
  <c r="V19" i="58" s="1"/>
  <c r="N52" i="58"/>
  <c r="V52" i="58" s="1"/>
  <c r="M45" i="58"/>
  <c r="N53" i="58"/>
  <c r="V53" i="58" s="1"/>
  <c r="M11" i="58"/>
  <c r="N45" i="58"/>
  <c r="V45" i="58" s="1"/>
  <c r="N16" i="58"/>
  <c r="V16" i="58" s="1"/>
  <c r="M4" i="58"/>
  <c r="M39" i="58"/>
  <c r="M5" i="58"/>
  <c r="M38" i="58"/>
  <c r="N46" i="58"/>
  <c r="V46" i="58" s="1"/>
  <c r="M24" i="58"/>
  <c r="N38" i="58"/>
  <c r="V38" i="58" s="1"/>
  <c r="M44" i="58"/>
  <c r="M17" i="58"/>
  <c r="N31" i="58"/>
  <c r="V31" i="58" s="1"/>
  <c r="M37" i="58"/>
  <c r="M10" i="58"/>
  <c r="N24" i="58"/>
  <c r="V24" i="58" s="1"/>
  <c r="M30" i="58"/>
  <c r="N44" i="58"/>
  <c r="V44" i="58" s="1"/>
  <c r="M50" i="58"/>
  <c r="N11" i="58"/>
  <c r="V11" i="58" s="1"/>
  <c r="N51" i="58"/>
  <c r="V51" i="58" s="1"/>
  <c r="N4" i="58"/>
  <c r="V4" i="58" s="1"/>
  <c r="N17" i="58"/>
  <c r="V17" i="58" s="1"/>
  <c r="M23" i="58"/>
  <c r="N37" i="58"/>
  <c r="V37" i="58" s="1"/>
  <c r="M43" i="58"/>
  <c r="N18" i="58"/>
  <c r="V18" i="58" s="1"/>
  <c r="N10" i="58"/>
  <c r="V10" i="58" s="1"/>
  <c r="M16" i="58"/>
  <c r="N30" i="58"/>
  <c r="V30" i="58" s="1"/>
  <c r="M36" i="58"/>
  <c r="N50" i="58"/>
  <c r="V50" i="58" s="1"/>
  <c r="M9" i="58"/>
  <c r="N23" i="58"/>
  <c r="V23" i="58" s="1"/>
  <c r="M29" i="58"/>
  <c r="N43" i="58"/>
  <c r="V43" i="58" s="1"/>
  <c r="M49" i="58"/>
  <c r="M42" i="58"/>
  <c r="N9" i="58"/>
  <c r="V9" i="58" s="1"/>
  <c r="M15" i="58"/>
  <c r="N29" i="58"/>
  <c r="V29" i="58" s="1"/>
  <c r="M35" i="58"/>
  <c r="N49" i="58"/>
  <c r="V49" i="58" s="1"/>
  <c r="M8" i="58"/>
  <c r="N22" i="58"/>
  <c r="V22" i="58" s="1"/>
  <c r="M28" i="58"/>
  <c r="N42" i="58"/>
  <c r="V42" i="58" s="1"/>
  <c r="M48" i="58"/>
  <c r="M21" i="58"/>
  <c r="N35" i="58"/>
  <c r="V35" i="58" s="1"/>
  <c r="M41" i="58"/>
  <c r="M14" i="58"/>
  <c r="N28" i="58"/>
  <c r="V28" i="58" s="1"/>
  <c r="M34" i="58"/>
  <c r="N48" i="58"/>
  <c r="V48" i="58" s="1"/>
  <c r="M54" i="58"/>
  <c r="M47" i="58"/>
  <c r="N15" i="58"/>
  <c r="V15" i="58" s="1"/>
  <c r="N8" i="58"/>
  <c r="V8" i="58" s="1"/>
  <c r="M7" i="58"/>
  <c r="N3" i="58"/>
  <c r="V3" i="58" s="1"/>
  <c r="M20" i="58"/>
  <c r="N34" i="58"/>
  <c r="V34" i="58" s="1"/>
  <c r="M40" i="58"/>
  <c r="N54" i="58"/>
  <c r="V54" i="58" s="1"/>
  <c r="N21" i="58"/>
  <c r="V21" i="58" s="1"/>
  <c r="N14" i="58"/>
  <c r="V14" i="58" s="1"/>
  <c r="M13" i="58"/>
  <c r="N27" i="58"/>
  <c r="V27" i="58" s="1"/>
  <c r="M33" i="58"/>
  <c r="N47" i="58"/>
  <c r="V47" i="58" s="1"/>
  <c r="M53" i="58"/>
  <c r="N36" i="58"/>
  <c r="V36" i="58" s="1"/>
  <c r="M27" i="58"/>
  <c r="N41" i="58"/>
  <c r="V41" i="58" s="1"/>
  <c r="N7" i="58"/>
  <c r="V7" i="58" s="1"/>
  <c r="M6" i="58"/>
  <c r="N20" i="58"/>
  <c r="V20" i="58" s="1"/>
  <c r="M26" i="58"/>
  <c r="N40" i="58"/>
  <c r="V40" i="58" s="1"/>
  <c r="M46" i="58"/>
  <c r="R9" i="58" l="1"/>
  <c r="R29" i="58"/>
  <c r="R27" i="58"/>
  <c r="R17" i="58"/>
  <c r="R25" i="58"/>
  <c r="R13" i="58"/>
  <c r="R5" i="58"/>
  <c r="R3" i="58"/>
  <c r="R6" i="58"/>
  <c r="R31" i="58"/>
  <c r="R21" i="58"/>
  <c r="R54" i="58"/>
  <c r="R11" i="58"/>
  <c r="R42" i="58"/>
  <c r="R16" i="58"/>
  <c r="R45" i="58"/>
  <c r="R32" i="58"/>
  <c r="R28" i="58"/>
  <c r="R23" i="58"/>
  <c r="R49" i="58"/>
  <c r="R14" i="58"/>
  <c r="R10" i="58"/>
  <c r="R8" i="58"/>
  <c r="R30" i="58"/>
  <c r="R34" i="58"/>
  <c r="R18" i="58"/>
  <c r="R7" i="58"/>
  <c r="R44" i="58"/>
  <c r="R24" i="58"/>
  <c r="R12" i="58"/>
  <c r="R19" i="58"/>
  <c r="R26" i="58"/>
  <c r="R43" i="58"/>
  <c r="R35" i="58"/>
  <c r="R22" i="58"/>
  <c r="R47" i="58"/>
  <c r="R20" i="58"/>
  <c r="R41" i="58"/>
  <c r="R4" i="58"/>
  <c r="R52" i="58"/>
  <c r="R40" i="58"/>
  <c r="R46" i="58"/>
  <c r="R15" i="58"/>
  <c r="R50" i="58"/>
  <c r="R33" i="58"/>
  <c r="R39" i="58"/>
  <c r="R48" i="58"/>
  <c r="R51" i="58"/>
  <c r="R36" i="58"/>
  <c r="R53" i="58"/>
  <c r="R37" i="58"/>
  <c r="R38" i="58"/>
  <c r="V1" i="58" l="1"/>
  <c r="E12" i="20" s="1"/>
  <c r="R1" i="5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<sst xmlns="http://schemas.openxmlformats.org/spreadsheetml/2006/main" count="13707" uniqueCount="229">
  <si>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</si>
  <si>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</si>
  <si>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</si>
  <si>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</si>
  <si>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</si>
  <si>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</si>
  <si>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</si>
  <si>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</si>
  <si>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</si>
  <si>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</si>
  <si>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</si>
  <si>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</si>
  <si>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</si>
  <si>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</si>
  <si>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</si>
  <si>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</si>
  <si>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</si>
  <si>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</si>
  <si>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</si>
  <si>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</si>
  <si>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</si>
  <si>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</si>
  <si>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</si>
  <si>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</si>
  <si>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</si>
  <si>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</si>
  <si>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</si>
  <si>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</si>
  <si>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</si>
  <si>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</si>
  <si>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</si>
  <si>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</si>
  <si>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</si>
  <si>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</si>
  <si>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</si>
  <si>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</si>
  <si>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</si>
  <si>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</si>
  <si>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</si>
  <si>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</si>
  <si>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</si>
  <si>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</si>
  <si>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</si>
  <si>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</si>
  <si>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</si>
  <si>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</si>
  <si>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</si>
  <si>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</si>
  <si>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</si>
  <si>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</si>
  <si>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</si>
  <si>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</si>
  <si>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</si>
  <si>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</si>
  <si>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</si>
  <si>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</si>
  <si>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</si>
  <si>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</si>
  <si>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</si>
  <si>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</si>
  <si>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</si>
  <si>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>a. bet100時，前三輪分數不能大於30000分(300倍)，若大於時重轉</t>
    <phoneticPr fontId="1" type="noConversion"/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</si>
  <si>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</si>
  <si>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</si>
  <si>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b. bet100時，respin後分數不能大於30000分(300倍)，若大於時重轉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</si>
  <si>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</si>
  <si>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</si>
  <si>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</si>
  <si>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</si>
  <si>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</si>
  <si>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</si>
  <si>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</si>
  <si>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</si>
  <si>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</si>
  <si>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</si>
  <si>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</si>
  <si>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</si>
  <si>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</si>
  <si>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</si>
  <si>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</si>
  <si>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</si>
  <si>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</si>
  <si>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</si>
  <si>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</si>
  <si>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</si>
  <si>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</si>
  <si>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</si>
  <si>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</si>
  <si>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</si>
  <si>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</si>
  <si>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</si>
  <si>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</si>
  <si>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</si>
  <si>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</si>
  <si>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</si>
  <si>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</si>
  <si>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</si>
  <si>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</si>
  <si>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</si>
  <si>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</si>
  <si>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</si>
  <si>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</si>
  <si>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</si>
  <si>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</si>
  <si>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</si>
  <si>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</si>
  <si>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</si>
  <si>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</si>
  <si>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</si>
  <si>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</si>
  <si>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</si>
  <si>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</si>
  <si>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</si>
  <si>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</si>
  <si>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</si>
  <si>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</si>
  <si>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</si>
  <si>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</si>
  <si>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</si>
  <si>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</si>
  <si>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</si>
  <si>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</si>
  <si>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</si>
  <si>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</si>
  <si>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</si>
  <si>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</si>
  <si>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</si>
  <si>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</si>
  <si>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</si>
  <si>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</si>
  <si>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</si>
  <si>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</si>
  <si>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</si>
  <si>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</si>
  <si>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</si>
  <si>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</si>
  <si>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</si>
  <si>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</si>
  <si>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</si>
  <si>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</si>
  <si>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ID(Respin)</t>
  </si>
  <si>
    <t>Weight(Respin)</t>
  </si>
  <si>
    <t>Scatter(multiple)</t>
  </si>
  <si>
    <t>Weight(Scatter)</t>
  </si>
  <si>
    <t>wheel</t>
  </si>
  <si>
    <t>weight 1</t>
  </si>
  <si>
    <t>R7</t>
  </si>
  <si>
    <t>(&gt;=100 and &lt;=5000)</t>
  </si>
  <si>
    <t>R4_Weight</t>
  </si>
  <si>
    <t>Weight(A)</t>
  </si>
  <si>
    <t>Weight(B)</t>
  </si>
  <si>
    <t>Weight(C)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</si>
  <si>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</si>
  <si>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</si>
  <si>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</si>
  <si>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</si>
  <si>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</si>
  <si>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</si>
  <si>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</si>
  <si>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</t>
  </si>
  <si>
    <t>2C1</t>
  </si>
  <si>
    <t>3C1</t>
  </si>
  <si>
    <t>4C1</t>
  </si>
  <si>
    <t>5C1</t>
  </si>
  <si>
    <t>Hit%</t>
    <phoneticPr fontId="1" type="noConversion"/>
  </si>
  <si>
    <t>Mul</t>
    <phoneticPr fontId="1" type="noConversion"/>
  </si>
  <si>
    <t>Interval</t>
    <phoneticPr fontId="1" type="noConversion"/>
  </si>
  <si>
    <t>Index</t>
    <phoneticPr fontId="1" type="noConversion"/>
  </si>
  <si>
    <t>Sheet</t>
    <phoneticPr fontId="1" type="noConversion"/>
  </si>
  <si>
    <t>Avg Mul</t>
    <phoneticPr fontId="1" type="noConversion"/>
  </si>
  <si>
    <t>Hit%_ori</t>
    <phoneticPr fontId="1" type="noConversion"/>
  </si>
  <si>
    <t>Jili Hit%</t>
    <phoneticPr fontId="1" type="noConversion"/>
  </si>
  <si>
    <t>Hit%_Weight_Final</t>
    <phoneticPr fontId="1" type="noConversion"/>
  </si>
  <si>
    <t>Hit%_Final</t>
    <phoneticPr fontId="1" type="noConversion"/>
  </si>
  <si>
    <t>RTP_Final</t>
    <phoneticPr fontId="1" type="noConversion"/>
  </si>
  <si>
    <t>Hit%_tune</t>
    <phoneticPr fontId="1" type="noConversion"/>
  </si>
  <si>
    <t>RTP_tune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</si>
  <si>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</si>
  <si>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</si>
  <si>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</si>
  <si>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卡片系統使用"Card_Info_Extra"</t>
    <phoneticPr fontId="1" type="noConversion"/>
  </si>
  <si>
    <t>OverAll</t>
    <phoneticPr fontId="4" type="noConversion"/>
  </si>
  <si>
    <t>-</t>
  </si>
  <si>
    <t>-</t>
    <phoneticPr fontId="4" type="noConversion"/>
  </si>
  <si>
    <t xml:space="preserve">Bet 1 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</si>
  <si>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</si>
  <si>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</si>
  <si>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</si>
  <si>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</si>
  <si>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Weight</t>
    <phoneticPr fontId="1" type="noConversion"/>
  </si>
  <si>
    <t>A</t>
  </si>
  <si>
    <t>B</t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</si>
  <si>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</si>
  <si>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</si>
  <si>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</si>
  <si>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</si>
  <si>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</si>
  <si>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rounds</t>
    <phoneticPr fontId="1" type="noConversion"/>
  </si>
  <si>
    <t>Scatter+Respin</t>
    <phoneticPr fontId="1" type="noConversion"/>
  </si>
  <si>
    <t>Scatter+Respin PROB.</t>
    <phoneticPr fontId="1" type="noConversion"/>
  </si>
  <si>
    <t>-</t>
    <phoneticPr fontId="1" type="noConversion"/>
  </si>
  <si>
    <t>Pay Back %(RD)</t>
    <phoneticPr fontId="18" type="noConversion"/>
  </si>
  <si>
    <t>Pay Back (RD)</t>
    <phoneticPr fontId="18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</si>
  <si>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</si>
  <si>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</si>
  <si>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</si>
  <si>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</si>
  <si>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</si>
  <si>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</si>
  <si>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</si>
  <si>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</si>
  <si>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</si>
  <si>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</si>
  <si>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</si>
  <si>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450x</t>
  </si>
  <si>
    <t>30x</t>
  </si>
  <si>
    <t>180x</t>
  </si>
  <si>
    <t>200x</t>
  </si>
  <si>
    <t>300x</t>
  </si>
  <si>
    <t>500x</t>
  </si>
  <si>
    <t>6x</t>
  </si>
  <si>
    <t>140x</t>
  </si>
  <si>
    <t>35x</t>
  </si>
  <si>
    <t>40x</t>
  </si>
  <si>
    <t>3x</t>
  </si>
  <si>
    <t>950x</t>
  </si>
  <si>
    <t>1000x</t>
  </si>
  <si>
    <t>5.0.0.0</t>
    <phoneticPr fontId="4" type="noConversion"/>
  </si>
  <si>
    <t>V2（5.0.0.0）：Extra Bet 內容沿用 1.0.0.2，僅版本號隨 Normal Bet 模型同步第 1 碼。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</si>
</sst>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%"/>
    <numFmt numFmtId="177" formatCode="0.0_ "/>
    <numFmt numFmtId="178" formatCode="0.00_);[Red]\(0.00\)"/>
    <numFmt numFmtId="179" formatCode="0.0%"/>
    <numFmt numFmtId="180" formatCode="0_);[Red]\(0\)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  <font>
      <sz val="12"/>
      <color rgb="FFFF0000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rgb="FFFF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0" borderId="44" xfId="2" applyFont="1" applyBorder="1" applyAlignment="1">
      <alignment horizontal="center" vertical="center" wrapText="1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Alignment="1">
      <alignment horizontal="center"/>
    </xf>
    <xf numFmtId="0" fontId="3" fillId="6" borderId="0" xfId="1" quotePrefix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23" fillId="0" borderId="0" xfId="2" applyFont="1">
      <alignment vertical="center"/>
    </xf>
    <xf numFmtId="0" fontId="5" fillId="0" borderId="34" xfId="2" applyFont="1" applyBorder="1" applyAlignment="1">
      <alignment horizontal="center" vertical="center"/>
    </xf>
    <xf numFmtId="0" fontId="17" fillId="0" borderId="50" xfId="2" applyFont="1" applyBorder="1" applyAlignment="1">
      <alignment horizontal="center" vertical="center"/>
    </xf>
    <xf numFmtId="9" fontId="17" fillId="0" borderId="0" xfId="6" applyFont="1">
      <alignment vertical="center"/>
    </xf>
    <xf numFmtId="10" fontId="17" fillId="0" borderId="0" xfId="2" applyNumberFormat="1" applyFont="1" applyAlignment="1">
      <alignment horizontal="center" vertical="center" wrapText="1"/>
    </xf>
    <xf numFmtId="0" fontId="5" fillId="6" borderId="0" xfId="2" applyFont="1" applyFill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176" fontId="17" fillId="0" borderId="0" xfId="6" applyNumberFormat="1" applyFont="1">
      <alignment vertical="center"/>
    </xf>
    <xf numFmtId="10" fontId="17" fillId="0" borderId="0" xfId="6" applyNumberFormat="1" applyFont="1">
      <alignment vertical="center"/>
    </xf>
    <xf numFmtId="176" fontId="0" fillId="0" borderId="0" xfId="6" applyNumberFormat="1" applyFont="1" applyAlignment="1"/>
    <xf numFmtId="0" fontId="25" fillId="0" borderId="0" xfId="2" applyFont="1" applyAlignment="1">
      <alignment horizontal="center" vertical="top"/>
    </xf>
    <xf numFmtId="0" fontId="25" fillId="0" borderId="0" xfId="1" applyFont="1"/>
    <xf numFmtId="0" fontId="25" fillId="0" borderId="4" xfId="2" applyFont="1" applyBorder="1" applyAlignment="1">
      <alignment vertical="top" wrapText="1"/>
    </xf>
    <xf numFmtId="0" fontId="25" fillId="0" borderId="4" xfId="2" applyFont="1" applyBorder="1" applyAlignment="1">
      <alignment horizontal="center" vertical="top" wrapText="1"/>
    </xf>
    <xf numFmtId="0" fontId="25" fillId="0" borderId="4" xfId="2" applyFont="1" applyBorder="1" applyAlignment="1">
      <alignment horizontal="center" vertical="top"/>
    </xf>
    <xf numFmtId="0" fontId="25" fillId="2" borderId="4" xfId="2" applyFont="1" applyFill="1" applyBorder="1" applyAlignment="1">
      <alignment horizontal="center" vertical="top" wrapText="1"/>
    </xf>
    <xf numFmtId="0" fontId="24" fillId="0" borderId="0" xfId="0" applyFont="1">
      <alignment vertical="center"/>
    </xf>
    <xf numFmtId="0" fontId="26" fillId="0" borderId="0" xfId="1" applyFont="1"/>
    <xf numFmtId="0" fontId="25" fillId="0" borderId="14" xfId="1" applyFont="1" applyBorder="1"/>
    <xf numFmtId="0" fontId="25" fillId="0" borderId="4" xfId="1" applyFont="1" applyBorder="1"/>
    <xf numFmtId="0" fontId="25" fillId="0" borderId="13" xfId="2" applyFont="1" applyBorder="1" applyAlignment="1">
      <alignment horizontal="center" vertical="top" wrapText="1"/>
    </xf>
    <xf numFmtId="0" fontId="25" fillId="0" borderId="15" xfId="2" applyFont="1" applyBorder="1" applyAlignment="1">
      <alignment horizontal="center" vertical="top" wrapText="1"/>
    </xf>
    <xf numFmtId="0" fontId="24" fillId="0" borderId="14" xfId="0" applyFont="1" applyBorder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0" fontId="0" fillId="4" borderId="51" xfId="6" applyNumberFormat="1" applyFont="1" applyFill="1" applyBorder="1" applyAlignment="1"/>
    <xf numFmtId="0" fontId="0" fillId="0" borderId="0" xfId="0" applyAlignment="1"/>
    <xf numFmtId="0" fontId="0" fillId="0" borderId="51" xfId="0" applyBorder="1">
      <alignment vertical="center"/>
    </xf>
    <xf numFmtId="0" fontId="0" fillId="3" borderId="52" xfId="0" applyFill="1" applyBorder="1">
      <alignment vertical="center"/>
    </xf>
    <xf numFmtId="0" fontId="0" fillId="3" borderId="53" xfId="0" applyFill="1" applyBorder="1">
      <alignment vertical="center"/>
    </xf>
    <xf numFmtId="0" fontId="0" fillId="3" borderId="54" xfId="0" applyFill="1" applyBorder="1">
      <alignment vertical="center"/>
    </xf>
    <xf numFmtId="178" fontId="0" fillId="7" borderId="52" xfId="0" applyNumberFormat="1" applyFill="1" applyBorder="1">
      <alignment vertical="center"/>
    </xf>
    <xf numFmtId="178" fontId="0" fillId="7" borderId="53" xfId="0" applyNumberFormat="1" applyFill="1" applyBorder="1">
      <alignment vertical="center"/>
    </xf>
    <xf numFmtId="178" fontId="0" fillId="7" borderId="54" xfId="0" applyNumberFormat="1" applyFill="1" applyBorder="1">
      <alignment vertical="center"/>
    </xf>
    <xf numFmtId="0" fontId="0" fillId="0" borderId="55" xfId="0" applyBorder="1">
      <alignment vertical="center"/>
    </xf>
    <xf numFmtId="0" fontId="0" fillId="6" borderId="51" xfId="0" applyFill="1" applyBorder="1">
      <alignment vertical="center"/>
    </xf>
    <xf numFmtId="0" fontId="0" fillId="7" borderId="51" xfId="0" applyFill="1" applyBorder="1">
      <alignment vertical="center"/>
    </xf>
    <xf numFmtId="0" fontId="0" fillId="0" borderId="49" xfId="0" applyBorder="1">
      <alignment vertical="center"/>
    </xf>
    <xf numFmtId="0" fontId="0" fillId="4" borderId="55" xfId="0" applyFill="1" applyBorder="1">
      <alignment vertical="center"/>
    </xf>
    <xf numFmtId="0" fontId="0" fillId="8" borderId="55" xfId="0" applyFill="1" applyBorder="1">
      <alignment vertical="center"/>
    </xf>
    <xf numFmtId="10" fontId="0" fillId="3" borderId="53" xfId="6" applyNumberFormat="1" applyFont="1" applyFill="1" applyBorder="1">
      <alignment vertical="center"/>
    </xf>
    <xf numFmtId="178" fontId="0" fillId="7" borderId="53" xfId="6" applyNumberFormat="1" applyFont="1" applyFill="1" applyBorder="1">
      <alignment vertical="center"/>
    </xf>
    <xf numFmtId="0" fontId="0" fillId="0" borderId="52" xfId="0" applyBorder="1">
      <alignment vertical="center"/>
    </xf>
    <xf numFmtId="0" fontId="0" fillId="6" borderId="52" xfId="0" applyFill="1" applyBorder="1">
      <alignment vertical="center"/>
    </xf>
    <xf numFmtId="179" fontId="0" fillId="7" borderId="52" xfId="6" applyNumberFormat="1" applyFont="1" applyFill="1" applyBorder="1">
      <alignment vertical="center"/>
    </xf>
    <xf numFmtId="2" fontId="0" fillId="0" borderId="51" xfId="0" applyNumberFormat="1" applyBorder="1">
      <alignment vertical="center"/>
    </xf>
    <xf numFmtId="10" fontId="0" fillId="0" borderId="51" xfId="6" applyNumberFormat="1" applyFont="1" applyBorder="1">
      <alignment vertical="center"/>
    </xf>
    <xf numFmtId="10" fontId="0" fillId="4" borderId="56" xfId="6" applyNumberFormat="1" applyFont="1" applyFill="1" applyBorder="1" applyAlignment="1"/>
    <xf numFmtId="180" fontId="0" fillId="0" borderId="51" xfId="6" applyNumberFormat="1" applyFont="1" applyBorder="1" applyAlignment="1"/>
    <xf numFmtId="10" fontId="0" fillId="0" borderId="52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1" xfId="6" applyNumberFormat="1" applyFont="1" applyFill="1" applyBorder="1" applyAlignment="1"/>
    <xf numFmtId="0" fontId="0" fillId="0" borderId="56" xfId="0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6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0" fontId="0" fillId="0" borderId="45" xfId="0" applyBorder="1">
      <alignment vertical="center"/>
    </xf>
    <xf numFmtId="0" fontId="0" fillId="6" borderId="45" xfId="0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2" fontId="0" fillId="0" borderId="56" xfId="0" applyNumberFormat="1" applyBorder="1">
      <alignment vertical="center"/>
    </xf>
    <xf numFmtId="10" fontId="0" fillId="0" borderId="56" xfId="6" applyNumberFormat="1" applyFont="1" applyBorder="1">
      <alignment vertical="center"/>
    </xf>
    <xf numFmtId="179" fontId="0" fillId="4" borderId="56" xfId="6" applyNumberFormat="1" applyFont="1" applyFill="1" applyBorder="1" applyAlignment="1"/>
    <xf numFmtId="180" fontId="0" fillId="0" borderId="56" xfId="6" applyNumberFormat="1" applyFont="1" applyBorder="1" applyAlignment="1"/>
    <xf numFmtId="0" fontId="0" fillId="8" borderId="56" xfId="0" applyFill="1" applyBorder="1">
      <alignment vertical="center"/>
    </xf>
    <xf numFmtId="178" fontId="0" fillId="0" borderId="0" xfId="0" applyNumberFormat="1">
      <alignment vertical="center"/>
    </xf>
    <xf numFmtId="10" fontId="0" fillId="8" borderId="56" xfId="6" applyNumberFormat="1" applyFont="1" applyFill="1" applyBorder="1" applyAlignment="1"/>
    <xf numFmtId="0" fontId="0" fillId="0" borderId="57" xfId="0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0" fontId="0" fillId="0" borderId="47" xfId="0" applyBorder="1">
      <alignment vertical="center"/>
    </xf>
    <xf numFmtId="0" fontId="0" fillId="6" borderId="47" xfId="0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2" fontId="0" fillId="0" borderId="57" xfId="0" applyNumberFormat="1" applyBorder="1">
      <alignment vertical="center"/>
    </xf>
    <xf numFmtId="10" fontId="0" fillId="0" borderId="57" xfId="6" applyNumberFormat="1" applyFont="1" applyBorder="1">
      <alignment vertical="center"/>
    </xf>
    <xf numFmtId="180" fontId="0" fillId="0" borderId="57" xfId="6" applyNumberFormat="1" applyFont="1" applyBorder="1" applyAlignment="1"/>
    <xf numFmtId="10" fontId="0" fillId="8" borderId="57" xfId="6" applyNumberFormat="1" applyFont="1" applyFill="1" applyBorder="1" applyAlignment="1"/>
    <xf numFmtId="0" fontId="0" fillId="3" borderId="0" xfId="0" applyFill="1">
      <alignment vertical="center"/>
    </xf>
    <xf numFmtId="178" fontId="0" fillId="7" borderId="0" xfId="0" applyNumberFormat="1" applyFill="1">
      <alignment vertical="center"/>
    </xf>
    <xf numFmtId="0" fontId="0" fillId="4" borderId="56" xfId="0" applyFill="1" applyBorder="1" applyAlignment="1"/>
    <xf numFmtId="0" fontId="0" fillId="8" borderId="0" xfId="0" applyFill="1">
      <alignment vertical="center"/>
    </xf>
    <xf numFmtId="10" fontId="0" fillId="7" borderId="52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10" fontId="0" fillId="0" borderId="0" xfId="6" applyNumberFormat="1" applyFont="1" applyBorder="1">
      <alignment vertical="center"/>
    </xf>
    <xf numFmtId="10" fontId="0" fillId="8" borderId="56" xfId="6" applyNumberFormat="1" applyFont="1" applyFill="1" applyBorder="1">
      <alignment vertical="center"/>
    </xf>
    <xf numFmtId="10" fontId="0" fillId="0" borderId="54" xfId="6" applyNumberFormat="1" applyFont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0" fontId="5" fillId="0" borderId="0" xfId="2" applyFont="1" applyBorder="1" applyAlignment="1">
      <alignment vertical="center" wrapText="1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51" xfId="2" applyFont="1" applyBorder="1" applyAlignment="1">
      <alignment horizontal="center" vertical="center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top" wrapText="1"/>
    </xf>
    <xf numFmtId="0" fontId="5" fillId="0" borderId="5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top" wrapText="1"/>
    </xf>
    <xf numFmtId="0" fontId="5" fillId="0" borderId="57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0" fontId="17" fillId="0" borderId="53" xfId="2" applyNumberFormat="1" applyFont="1" applyBorder="1" applyAlignment="1">
      <alignment horizontal="center" vertical="center" wrapText="1"/>
    </xf>
    <xf numFmtId="10" fontId="17" fillId="0" borderId="54" xfId="2" applyNumberFormat="1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10" fontId="17" fillId="0" borderId="54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17" fillId="0" borderId="48" xfId="2" applyNumberFormat="1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7" borderId="55" xfId="0" applyFill="1" applyBorder="1">
      <alignment vertical="center"/>
    </xf>
    <xf numFmtId="0" fontId="0" fillId="7" borderId="41" xfId="0" applyFill="1" applyBorder="1">
      <alignment vertical="center"/>
    </xf>
    <xf numFmtId="0" fontId="0" fillId="7" borderId="54" xfId="0" applyFill="1" applyBorder="1">
      <alignment vertical="center"/>
    </xf>
    <xf numFmtId="0" fontId="0" fillId="7" borderId="46" xfId="0" applyFill="1" applyBorder="1">
      <alignment vertical="center"/>
    </xf>
    <xf numFmtId="0" fontId="0" fillId="7" borderId="56" xfId="0" applyFill="1" applyBorder="1">
      <alignment vertical="center"/>
    </xf>
    <xf numFmtId="0" fontId="0" fillId="7" borderId="57" xfId="0" applyFill="1" applyBorder="1">
      <alignment vertical="center"/>
    </xf>
    <xf numFmtId="0" fontId="0" fillId="0" borderId="54" xfId="0" applyBorder="1">
      <alignment vertical="center"/>
    </xf>
    <xf numFmtId="0" fontId="0" fillId="0" borderId="46" xfId="0" applyBorder="1">
      <alignment vertical="center"/>
    </xf>
    <xf numFmtId="0" fontId="0" fillId="0" borderId="42" xfId="0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3" xfId="6" applyNumberFormat="1" applyFont="1" applyBorder="1" applyAlignment="1">
      <alignment horizontal="center" vertical="center"/>
    </xf>
    <xf numFmtId="0" fontId="0" fillId="0" borderId="53" xfId="0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0" fontId="5" fillId="0" borderId="0" xfId="2" applyFont="1" applyBorder="1" applyAlignment="1">
      <alignment horizontal="center" vertical="top" wrapText="1"/>
    </xf>
    <xf numFmtId="10" fontId="6" fillId="0" borderId="53" xfId="2" applyNumberFormat="1" applyFont="1" applyBorder="1" applyAlignment="1">
      <alignment horizontal="center" vertical="center" wrapText="1"/>
    </xf>
    <xf numFmtId="10" fontId="6" fillId="0" borderId="54" xfId="2" applyNumberFormat="1" applyFont="1" applyBorder="1" applyAlignment="1">
      <alignment horizontal="center" vertical="center" wrapText="1"/>
    </xf>
    <xf numFmtId="10" fontId="6" fillId="0" borderId="0" xfId="2" applyNumberFormat="1" applyFont="1" applyBorder="1" applyAlignment="1">
      <alignment horizontal="center" vertical="center" wrapText="1"/>
    </xf>
    <xf numFmtId="10" fontId="6" fillId="0" borderId="46" xfId="2" applyNumberFormat="1" applyFont="1" applyBorder="1" applyAlignment="1">
      <alignment horizontal="center" vertical="center" wrapText="1"/>
    </xf>
    <xf numFmtId="10" fontId="6" fillId="0" borderId="35" xfId="2" applyNumberFormat="1" applyFont="1" applyBorder="1" applyAlignment="1">
      <alignment horizontal="center" vertical="center" wrapText="1"/>
    </xf>
    <xf numFmtId="10" fontId="6" fillId="0" borderId="48" xfId="2" applyNumberFormat="1" applyFont="1" applyBorder="1" applyAlignment="1">
      <alignment horizontal="center" vertical="center" wrapText="1"/>
    </xf>
    <xf numFmtId="10" fontId="0" fillId="9" borderId="51" xfId="6" applyNumberFormat="1" applyFont="1" applyFill="1" applyBorder="1" applyAlignment="1"/>
    <xf numFmtId="176" fontId="0" fillId="10" borderId="51" xfId="6" applyNumberFormat="1" applyFont="1" applyFill="1" applyBorder="1" applyAlignment="1"/>
    <xf numFmtId="0" fontId="0" fillId="9" borderId="55" xfId="0" applyFill="1" applyBorder="1">
      <alignment vertical="center"/>
    </xf>
    <xf numFmtId="0" fontId="0" fillId="10" borderId="55" xfId="0" applyFill="1" applyBorder="1">
      <alignment vertical="center"/>
    </xf>
    <xf numFmtId="10" fontId="0" fillId="9" borderId="56" xfId="6" applyNumberFormat="1" applyFont="1" applyFill="1" applyBorder="1" applyAlignment="1"/>
    <xf numFmtId="10" fontId="0" fillId="10" borderId="51" xfId="6" applyNumberFormat="1" applyFont="1" applyFill="1" applyBorder="1" applyAlignment="1"/>
    <xf numFmtId="10" fontId="0" fillId="10" borderId="56" xfId="6" applyNumberFormat="1" applyFont="1" applyFill="1" applyBorder="1">
      <alignment vertical="center"/>
    </xf>
    <xf numFmtId="0" fontId="0" fillId="9" borderId="56" xfId="0" applyFill="1" applyBorder="1" applyAlignment="1"/>
    <xf numFmtId="0" fontId="0" fillId="10" borderId="0" xfId="0" applyFill="1">
      <alignment vertical="center"/>
    </xf>
    <xf numFmtId="10" fontId="6" fillId="0" borderId="52" xfId="2" applyNumberFormat="1" applyFont="1" applyBorder="1" applyAlignment="1">
      <alignment horizontal="center" vertical="center" wrapText="1"/>
    </xf>
    <xf numFmtId="10" fontId="6" fillId="0" borderId="45" xfId="2" applyNumberFormat="1" applyFont="1" applyBorder="1" applyAlignment="1">
      <alignment horizontal="center" vertical="center" wrapText="1"/>
    </xf>
    <xf numFmtId="10" fontId="6" fillId="0" borderId="47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1533"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6" name="圖片 2">
          <a:extLst>
            <a:ext uri="{FF2B5EF4-FFF2-40B4-BE49-F238E27FC236}">
              <a16:creationId xmlns:a16="http://schemas.microsoft.com/office/drawing/2014/main" id="{7915A5F8-584E-4401-B744-1684D4E4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E57250A0-813C-4892-8304-94C36295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8" name="圖片 2">
          <a:extLst>
            <a:ext uri="{FF2B5EF4-FFF2-40B4-BE49-F238E27FC236}">
              <a16:creationId xmlns:a16="http://schemas.microsoft.com/office/drawing/2014/main" id="{95D5DF96-301B-4A7C-81FA-987F4BFD6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9" name="圖片 2">
          <a:extLst>
            <a:ext uri="{FF2B5EF4-FFF2-40B4-BE49-F238E27FC236}">
              <a16:creationId xmlns:a16="http://schemas.microsoft.com/office/drawing/2014/main" id="{B530DD5D-7B1F-444F-B76F-6A252F63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0" name="圖片 2">
          <a:extLst>
            <a:ext uri="{FF2B5EF4-FFF2-40B4-BE49-F238E27FC236}">
              <a16:creationId xmlns:a16="http://schemas.microsoft.com/office/drawing/2014/main" id="{28B509E6-D82B-443B-A732-170A88DE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1" name="圖片 2">
          <a:extLst>
            <a:ext uri="{FF2B5EF4-FFF2-40B4-BE49-F238E27FC236}">
              <a16:creationId xmlns:a16="http://schemas.microsoft.com/office/drawing/2014/main" id="{E711071C-C98A-4903-B888-F1BCA05D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2" name="圖片 2">
          <a:extLst>
            <a:ext uri="{FF2B5EF4-FFF2-40B4-BE49-F238E27FC236}">
              <a16:creationId xmlns:a16="http://schemas.microsoft.com/office/drawing/2014/main" id="{7455F65D-4E94-4804-8AA9-2C7661A3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F10" sqref="F10"/>
    </sheetView>
  </sheetViews>
  <sheetFormatPr defaultColWidth="10.109375" defaultRowHeight="15.6"/>
  <cols>
    <col min="1" max="1" width="27.33203125" style="71" customWidth="1"/>
    <col min="2" max="2" width="18.44140625" style="71" customWidth="1"/>
    <col min="3" max="3" width="21.88671875" style="71" customWidth="1"/>
    <col min="4" max="5" width="18.44140625" style="71" customWidth="1"/>
    <col min="6" max="6" width="22.88671875" style="71" customWidth="1"/>
    <col min="7" max="7" width="18.44140625" style="71" customWidth="1"/>
    <col min="8" max="8" width="10.44140625" style="71" bestFit="1" customWidth="1"/>
    <col min="9" max="9" width="15.77734375" style="71" customWidth="1"/>
    <col min="10" max="10" width="10.44140625" style="71" bestFit="1" customWidth="1"/>
    <col min="11" max="11" width="9.6640625" style="71" customWidth="1"/>
    <col min="12" max="12" width="14.6640625" style="71" bestFit="1" customWidth="1"/>
    <col min="13" max="13" width="12.21875" style="71" bestFit="1" customWidth="1"/>
    <col min="14" max="16384" width="10.109375" style="71"/>
  </cols>
  <sheetData>
    <row r="1" spans="1:19" ht="68.400000000000006" customHeight="1"/>
    <row r="2" spans="1:19" ht="16.2">
      <c r="A2" s="10"/>
      <c r="B2" s="72"/>
      <c r="F2" s="73"/>
      <c r="G2" s="73"/>
    </row>
    <row r="3" spans="1:19" ht="16.2">
      <c r="A3" s="10" t="s">
        <v>100</v>
      </c>
      <c r="B3" s="284" t="s">
        <v>227</v>
      </c>
      <c r="C3" s="284"/>
      <c r="F3" s="74"/>
      <c r="G3" s="74"/>
      <c r="H3" s="123"/>
    </row>
    <row r="4" spans="1:19" ht="16.2" thickBot="1"/>
    <row r="5" spans="1:19" ht="16.8" thickBot="1">
      <c r="A5" s="88" t="s">
        <v>111</v>
      </c>
      <c r="B5" s="89">
        <v>1</v>
      </c>
      <c r="C5" s="89">
        <v>2</v>
      </c>
      <c r="D5" s="89">
        <v>3</v>
      </c>
      <c r="E5" s="124">
        <v>4</v>
      </c>
      <c r="L5" s="78"/>
      <c r="M5" s="220"/>
      <c r="N5" s="221"/>
      <c r="O5" s="222"/>
      <c r="P5" s="222"/>
      <c r="Q5" s="222"/>
      <c r="R5" s="222"/>
      <c r="S5" s="220"/>
    </row>
    <row r="6" spans="1:19" ht="16.8" thickBot="1">
      <c r="A6" s="90" t="s">
        <v>112</v>
      </c>
      <c r="B6" s="91">
        <v>3</v>
      </c>
      <c r="C6" s="91">
        <v>3</v>
      </c>
      <c r="D6" s="91">
        <v>3</v>
      </c>
      <c r="E6" s="125">
        <v>3</v>
      </c>
      <c r="I6" s="101"/>
      <c r="J6" s="126"/>
      <c r="K6" s="80"/>
      <c r="L6" s="81"/>
      <c r="M6" s="220"/>
      <c r="N6" s="221"/>
      <c r="O6" s="223"/>
      <c r="P6" s="224"/>
      <c r="Q6" s="223"/>
      <c r="R6" s="225"/>
      <c r="S6" s="220"/>
    </row>
    <row r="7" spans="1:19" ht="16.2">
      <c r="A7" s="227"/>
      <c r="B7" s="222"/>
      <c r="C7" s="222"/>
      <c r="D7" s="222"/>
      <c r="E7" s="222"/>
      <c r="I7" s="101"/>
      <c r="J7" s="126"/>
      <c r="K7" s="80"/>
      <c r="L7" s="81"/>
      <c r="M7" s="220"/>
      <c r="N7" s="221"/>
      <c r="O7" s="223"/>
      <c r="P7" s="224"/>
      <c r="Q7" s="223"/>
      <c r="R7" s="225"/>
      <c r="S7" s="220"/>
    </row>
    <row r="8" spans="1:19" ht="16.8" thickBot="1">
      <c r="A8" s="128" t="s">
        <v>181</v>
      </c>
      <c r="B8" s="75"/>
      <c r="E8" s="76"/>
      <c r="F8" s="77"/>
      <c r="I8" s="101"/>
      <c r="J8" s="126"/>
      <c r="K8" s="80"/>
      <c r="L8" s="81"/>
      <c r="M8" s="220"/>
      <c r="N8" s="221"/>
      <c r="O8" s="223"/>
      <c r="P8" s="224"/>
      <c r="Q8" s="223"/>
      <c r="R8" s="225"/>
      <c r="S8" s="220"/>
    </row>
    <row r="9" spans="1:19" ht="16.8" thickBot="1">
      <c r="A9" s="228" t="s">
        <v>101</v>
      </c>
      <c r="B9" s="228" t="s">
        <v>136</v>
      </c>
      <c r="C9" s="229" t="s">
        <v>102</v>
      </c>
      <c r="D9" s="229" t="s">
        <v>103</v>
      </c>
      <c r="E9" s="230" t="s">
        <v>104</v>
      </c>
      <c r="F9" s="237"/>
      <c r="I9" s="101"/>
      <c r="J9" s="126"/>
      <c r="K9" s="80"/>
      <c r="L9" s="81"/>
      <c r="M9" s="220"/>
      <c r="N9" s="221"/>
      <c r="O9" s="223"/>
      <c r="P9" s="224"/>
      <c r="Q9" s="223"/>
      <c r="R9" s="225"/>
      <c r="S9" s="220"/>
    </row>
    <row r="10" spans="1:19" ht="16.2">
      <c r="A10" s="231">
        <v>1</v>
      </c>
      <c r="B10" s="232">
        <v>1</v>
      </c>
      <c r="C10" s="233">
        <v>4</v>
      </c>
      <c r="D10" s="234">
        <v>1</v>
      </c>
      <c r="E10" s="245">
        <f>Card_Bet1!$V$1</f>
        <v>0.91999479629021208</v>
      </c>
      <c r="F10" s="127"/>
      <c r="I10" s="101"/>
      <c r="J10" s="126"/>
      <c r="K10" s="80"/>
      <c r="L10" s="81"/>
      <c r="M10" s="220"/>
      <c r="N10" s="221"/>
      <c r="O10" s="223"/>
      <c r="P10" s="224"/>
      <c r="Q10" s="223"/>
      <c r="R10" s="225"/>
      <c r="S10" s="220"/>
    </row>
    <row r="11" spans="1:19" ht="16.2">
      <c r="A11" s="235">
        <v>5</v>
      </c>
      <c r="B11" s="104">
        <v>5</v>
      </c>
      <c r="C11" s="236">
        <v>4</v>
      </c>
      <c r="D11" s="237">
        <v>1</v>
      </c>
      <c r="E11" s="246">
        <f>Card_Bet5!$V$1</f>
        <v>0.91999777375372083</v>
      </c>
      <c r="F11" s="127"/>
      <c r="I11" s="101"/>
      <c r="J11" s="126"/>
      <c r="K11" s="80"/>
      <c r="L11" s="81"/>
      <c r="M11" s="220"/>
      <c r="N11" s="221"/>
      <c r="O11" s="223"/>
      <c r="P11" s="224"/>
      <c r="Q11" s="223"/>
      <c r="R11" s="225"/>
      <c r="S11" s="220"/>
    </row>
    <row r="12" spans="1:19" ht="16.2">
      <c r="A12" s="235">
        <v>10</v>
      </c>
      <c r="B12" s="104">
        <v>10</v>
      </c>
      <c r="C12" s="236">
        <v>4</v>
      </c>
      <c r="D12" s="237">
        <v>1</v>
      </c>
      <c r="E12" s="246">
        <f>Card_Bet10!$V$1</f>
        <v>0.91999348555405758</v>
      </c>
      <c r="F12" s="127"/>
      <c r="I12" s="101"/>
      <c r="J12" s="126"/>
      <c r="K12" s="80"/>
      <c r="L12" s="81"/>
      <c r="M12" s="220"/>
      <c r="N12" s="221"/>
      <c r="O12" s="223"/>
      <c r="P12" s="224"/>
      <c r="Q12" s="223"/>
      <c r="R12" s="225"/>
      <c r="S12" s="220"/>
    </row>
    <row r="13" spans="1:19" ht="16.2">
      <c r="A13" s="235">
        <v>50</v>
      </c>
      <c r="B13" s="104">
        <v>50</v>
      </c>
      <c r="C13" s="236">
        <v>4</v>
      </c>
      <c r="D13" s="237">
        <v>1</v>
      </c>
      <c r="E13" s="246">
        <f>Card_Bet50!$V$1</f>
        <v>0.91998900989871235</v>
      </c>
      <c r="F13" s="127"/>
      <c r="I13" s="101"/>
      <c r="J13" s="126"/>
      <c r="K13" s="80"/>
      <c r="L13" s="81"/>
      <c r="M13" s="220"/>
      <c r="N13" s="221"/>
      <c r="O13" s="223"/>
      <c r="P13" s="224"/>
      <c r="Q13" s="223"/>
      <c r="R13" s="225"/>
      <c r="S13" s="220"/>
    </row>
    <row r="14" spans="1:19" ht="16.8" thickBot="1">
      <c r="A14" s="238">
        <v>100</v>
      </c>
      <c r="B14" s="106">
        <v>100</v>
      </c>
      <c r="C14" s="239">
        <v>4</v>
      </c>
      <c r="D14" s="240">
        <v>1</v>
      </c>
      <c r="E14" s="247">
        <f>Card_Bet100!$V$1</f>
        <v>0.91999322253390292</v>
      </c>
      <c r="F14" s="127"/>
      <c r="I14" s="101"/>
      <c r="J14" s="126"/>
      <c r="K14" s="80"/>
      <c r="L14" s="81"/>
      <c r="M14" s="220"/>
      <c r="N14" s="221"/>
      <c r="O14" s="223"/>
      <c r="P14" s="224"/>
      <c r="Q14" s="223"/>
      <c r="R14" s="225"/>
      <c r="S14" s="220"/>
    </row>
    <row r="15" spans="1:19" ht="16.2">
      <c r="I15" s="101"/>
      <c r="J15" s="126"/>
      <c r="K15" s="82"/>
      <c r="L15" s="85"/>
      <c r="M15" s="226"/>
      <c r="N15" s="221"/>
      <c r="O15" s="223"/>
      <c r="P15" s="224"/>
      <c r="Q15" s="223"/>
      <c r="R15" s="223"/>
      <c r="S15" s="220"/>
    </row>
    <row r="16" spans="1:19" ht="16.8" thickBot="1">
      <c r="A16" s="128" t="s">
        <v>152</v>
      </c>
      <c r="B16" s="75"/>
      <c r="E16" s="76"/>
      <c r="F16" s="77"/>
      <c r="G16" s="77"/>
      <c r="I16" s="101"/>
      <c r="J16" s="126"/>
      <c r="K16" s="82"/>
      <c r="L16" s="85"/>
      <c r="M16" s="226"/>
      <c r="N16" s="221"/>
      <c r="O16" s="223"/>
      <c r="P16" s="224"/>
      <c r="Q16" s="223"/>
      <c r="R16" s="223"/>
      <c r="S16" s="220"/>
    </row>
    <row r="17" spans="1:19" ht="16.8" thickBot="1">
      <c r="A17" s="228" t="s">
        <v>101</v>
      </c>
      <c r="B17" s="228" t="s">
        <v>136</v>
      </c>
      <c r="C17" s="229" t="s">
        <v>102</v>
      </c>
      <c r="D17" s="229" t="s">
        <v>103</v>
      </c>
      <c r="E17" s="229" t="s">
        <v>104</v>
      </c>
      <c r="F17" s="229" t="s">
        <v>201</v>
      </c>
      <c r="G17" s="76"/>
      <c r="I17" s="101"/>
      <c r="J17" s="126"/>
      <c r="M17" s="220"/>
      <c r="N17" s="221"/>
      <c r="O17" s="223"/>
      <c r="P17" s="224"/>
      <c r="Q17" s="223"/>
      <c r="R17" s="223"/>
      <c r="S17" s="220"/>
    </row>
    <row r="18" spans="1:19" ht="16.2">
      <c r="A18" s="231">
        <v>1</v>
      </c>
      <c r="B18" s="232">
        <v>1</v>
      </c>
      <c r="C18" s="233">
        <v>4</v>
      </c>
      <c r="D18" s="234">
        <v>1</v>
      </c>
      <c r="E18" s="241">
        <v>0.92022916933333299</v>
      </c>
      <c r="F18" s="242">
        <v>0.92007899999999998</v>
      </c>
      <c r="G18" s="79"/>
      <c r="I18" s="72"/>
      <c r="J18" s="132"/>
      <c r="K18" s="132"/>
      <c r="M18" s="220"/>
      <c r="N18" s="221"/>
      <c r="O18" s="223"/>
      <c r="P18" s="224"/>
      <c r="Q18" s="223"/>
      <c r="R18" s="223"/>
      <c r="S18" s="220"/>
    </row>
    <row r="19" spans="1:19" ht="16.2">
      <c r="A19" s="235">
        <v>5</v>
      </c>
      <c r="B19" s="104">
        <v>5</v>
      </c>
      <c r="C19" s="221">
        <v>4</v>
      </c>
      <c r="D19" s="265">
        <v>1</v>
      </c>
      <c r="E19" s="223">
        <v>0.926933959333333</v>
      </c>
      <c r="F19" s="105">
        <v>0.92750999999999995</v>
      </c>
      <c r="I19" s="131"/>
      <c r="J19" s="80"/>
      <c r="K19" s="132"/>
      <c r="O19" s="80"/>
    </row>
    <row r="20" spans="1:19" ht="16.2">
      <c r="A20" s="235">
        <v>10</v>
      </c>
      <c r="B20" s="104">
        <v>10</v>
      </c>
      <c r="C20" s="221">
        <v>4</v>
      </c>
      <c r="D20" s="265">
        <v>1</v>
      </c>
      <c r="E20" s="223">
        <v>0.92342863186666602</v>
      </c>
      <c r="F20" s="105">
        <v>0.92335</v>
      </c>
      <c r="I20" s="131"/>
      <c r="J20" s="132"/>
      <c r="K20" s="132"/>
    </row>
    <row r="21" spans="1:19" ht="29.4" customHeight="1">
      <c r="A21" s="235">
        <v>50</v>
      </c>
      <c r="B21" s="104">
        <v>50</v>
      </c>
      <c r="C21" s="221">
        <v>4</v>
      </c>
      <c r="D21" s="265">
        <v>1</v>
      </c>
      <c r="E21" s="223">
        <v>0.92028177759999896</v>
      </c>
      <c r="F21" s="105">
        <v>0.92048700000000006</v>
      </c>
      <c r="I21" s="131"/>
      <c r="J21" s="132"/>
      <c r="K21" s="132"/>
    </row>
    <row r="22" spans="1:19" ht="16.8" thickBot="1">
      <c r="A22" s="238">
        <v>100</v>
      </c>
      <c r="B22" s="106">
        <v>100</v>
      </c>
      <c r="C22" s="239">
        <v>4</v>
      </c>
      <c r="D22" s="240">
        <v>1</v>
      </c>
      <c r="E22" s="107">
        <v>0.92359546295333295</v>
      </c>
      <c r="F22" s="108">
        <v>0.92411299999999996</v>
      </c>
      <c r="G22" s="84"/>
      <c r="I22" s="131"/>
      <c r="J22" s="132"/>
      <c r="K22" s="132"/>
    </row>
    <row r="23" spans="1:19" ht="16.2">
      <c r="G23" s="84"/>
      <c r="I23" s="102"/>
      <c r="J23" s="102"/>
      <c r="L23" s="103"/>
      <c r="M23" s="103"/>
    </row>
    <row r="24" spans="1:19" ht="16.8" thickBot="1">
      <c r="A24" s="83" t="s">
        <v>106</v>
      </c>
      <c r="B24" s="83"/>
      <c r="C24" s="83"/>
      <c r="D24" s="83"/>
      <c r="E24" s="83"/>
      <c r="F24" s="83"/>
      <c r="I24" s="102"/>
      <c r="J24" s="102"/>
      <c r="L24" s="103"/>
      <c r="M24" s="103"/>
    </row>
    <row r="25" spans="1:19" ht="19.2" customHeight="1" thickBot="1">
      <c r="A25" s="86" t="s">
        <v>138</v>
      </c>
      <c r="B25" s="117" t="s">
        <v>110</v>
      </c>
      <c r="C25" s="118"/>
      <c r="D25" s="120"/>
      <c r="E25" s="117" t="s">
        <v>139</v>
      </c>
      <c r="F25" s="118"/>
      <c r="G25" s="119"/>
      <c r="I25" s="102"/>
      <c r="J25" s="102"/>
      <c r="L25" s="103"/>
      <c r="M25" s="103"/>
    </row>
    <row r="26" spans="1:19" ht="16.8" thickBot="1">
      <c r="A26" s="244" t="s">
        <v>137</v>
      </c>
      <c r="B26" s="243" t="s">
        <v>107</v>
      </c>
      <c r="C26" s="243" t="s">
        <v>202</v>
      </c>
      <c r="D26" s="87" t="s">
        <v>109</v>
      </c>
      <c r="E26" s="243" t="s">
        <v>107</v>
      </c>
      <c r="F26" s="243" t="s">
        <v>202</v>
      </c>
      <c r="G26" s="100" t="s">
        <v>109</v>
      </c>
      <c r="I26" s="102"/>
      <c r="J26" s="102"/>
      <c r="L26" s="103"/>
      <c r="M26" s="103"/>
    </row>
    <row r="27" spans="1:19" ht="16.2">
      <c r="A27" s="104">
        <v>1</v>
      </c>
      <c r="B27" s="241">
        <v>0.45551106333333302</v>
      </c>
      <c r="C27" s="241">
        <v>0.45555899999999999</v>
      </c>
      <c r="D27" s="241"/>
      <c r="E27" s="241"/>
      <c r="F27" s="241"/>
      <c r="G27" s="242"/>
      <c r="I27" s="131"/>
      <c r="J27" s="102"/>
      <c r="K27" s="132"/>
      <c r="L27" s="133"/>
      <c r="M27" s="102"/>
    </row>
    <row r="28" spans="1:19" ht="16.2">
      <c r="A28" s="104">
        <v>5</v>
      </c>
      <c r="B28" s="223">
        <v>0.22229421466666599</v>
      </c>
      <c r="C28" s="223">
        <v>0.222464</v>
      </c>
      <c r="D28" s="223"/>
      <c r="E28" s="223">
        <v>0.36011068333333301</v>
      </c>
      <c r="F28" s="223">
        <v>0.360093</v>
      </c>
      <c r="G28" s="105"/>
      <c r="I28" s="131"/>
      <c r="J28" s="102"/>
      <c r="K28" s="132"/>
      <c r="L28" s="131"/>
      <c r="M28" s="132"/>
      <c r="N28" s="132"/>
    </row>
    <row r="29" spans="1:19" ht="16.2">
      <c r="A29" s="104">
        <v>10</v>
      </c>
      <c r="B29" s="223">
        <v>0.19257770326666601</v>
      </c>
      <c r="C29" s="223">
        <v>0.19273899999999999</v>
      </c>
      <c r="D29" s="223"/>
      <c r="E29" s="223">
        <v>0.284577783333333</v>
      </c>
      <c r="F29" s="223">
        <v>0.28464099999999998</v>
      </c>
      <c r="G29" s="105"/>
      <c r="I29" s="131"/>
      <c r="J29" s="132"/>
      <c r="K29" s="132"/>
      <c r="L29" s="131"/>
      <c r="M29" s="132"/>
      <c r="N29" s="132"/>
    </row>
    <row r="30" spans="1:19" ht="16.2">
      <c r="A30" s="104">
        <v>50</v>
      </c>
      <c r="B30" s="223">
        <v>0.27733134402666598</v>
      </c>
      <c r="C30" s="223">
        <v>0.27724100000000002</v>
      </c>
      <c r="D30" s="223"/>
      <c r="E30" s="223">
        <v>0.33122508000000001</v>
      </c>
      <c r="F30" s="223">
        <v>0.33138699999999999</v>
      </c>
      <c r="G30" s="105"/>
      <c r="I30" s="131"/>
      <c r="J30" s="132"/>
      <c r="K30" s="132"/>
      <c r="L30" s="131"/>
      <c r="M30" s="132"/>
      <c r="N30" s="132"/>
    </row>
    <row r="31" spans="1:19" ht="16.8" thickBot="1">
      <c r="A31" s="106">
        <v>100</v>
      </c>
      <c r="B31" s="107">
        <v>0.41873033181333302</v>
      </c>
      <c r="C31" s="107">
        <v>0.41900399999999999</v>
      </c>
      <c r="D31" s="107"/>
      <c r="E31" s="107">
        <v>0.24884726666666601</v>
      </c>
      <c r="F31" s="107">
        <v>0.248858</v>
      </c>
      <c r="G31" s="108"/>
      <c r="I31" s="131"/>
      <c r="J31" s="132"/>
      <c r="K31" s="132"/>
      <c r="L31" s="131"/>
      <c r="M31" s="132"/>
      <c r="N31" s="132"/>
    </row>
    <row r="32" spans="1:19">
      <c r="M32" s="132"/>
    </row>
    <row r="34" spans="1:7" ht="16.8" thickBot="1">
      <c r="A34" s="128" t="s">
        <v>153</v>
      </c>
      <c r="B34" s="75"/>
      <c r="E34" s="76"/>
      <c r="F34" s="77"/>
      <c r="G34" s="77"/>
    </row>
    <row r="35" spans="1:7" ht="16.8" thickBot="1">
      <c r="A35" s="228" t="s">
        <v>101</v>
      </c>
      <c r="B35" s="228" t="s">
        <v>136</v>
      </c>
      <c r="C35" s="229" t="s">
        <v>102</v>
      </c>
      <c r="D35" s="229" t="s">
        <v>103</v>
      </c>
      <c r="E35" s="229" t="s">
        <v>104</v>
      </c>
      <c r="F35" s="229" t="s">
        <v>201</v>
      </c>
      <c r="G35" s="76"/>
    </row>
    <row r="36" spans="1:7" ht="16.2">
      <c r="A36" s="232">
        <v>1</v>
      </c>
      <c r="B36" s="232">
        <v>1</v>
      </c>
      <c r="C36" s="233">
        <v>4</v>
      </c>
      <c r="D36" s="234">
        <v>1</v>
      </c>
      <c r="E36" s="241">
        <v>33.075363731333297</v>
      </c>
      <c r="F36" s="242">
        <v>33.071517999999998</v>
      </c>
      <c r="G36" s="79"/>
    </row>
    <row r="37" spans="1:7" ht="16.2">
      <c r="A37" s="104">
        <v>5</v>
      </c>
      <c r="B37" s="104">
        <v>5</v>
      </c>
      <c r="C37" s="221">
        <v>4</v>
      </c>
      <c r="D37" s="265">
        <v>1</v>
      </c>
      <c r="E37" s="223">
        <v>39.130629887733299</v>
      </c>
      <c r="F37" s="105">
        <v>39.150795000000002</v>
      </c>
    </row>
    <row r="38" spans="1:7" ht="16.2">
      <c r="A38" s="104">
        <v>10</v>
      </c>
      <c r="B38" s="104">
        <v>10</v>
      </c>
      <c r="C38" s="221">
        <v>4</v>
      </c>
      <c r="D38" s="265">
        <v>1</v>
      </c>
      <c r="E38" s="223">
        <v>31.0784339673333</v>
      </c>
      <c r="F38" s="105">
        <v>31.093343999999998</v>
      </c>
    </row>
    <row r="39" spans="1:7" ht="16.2">
      <c r="A39" s="104">
        <v>50</v>
      </c>
      <c r="B39" s="104">
        <v>50</v>
      </c>
      <c r="C39" s="221">
        <v>4</v>
      </c>
      <c r="D39" s="265">
        <v>1</v>
      </c>
      <c r="E39" s="223">
        <v>51.890255000000003</v>
      </c>
      <c r="F39" s="105">
        <v>51.890255000000003</v>
      </c>
    </row>
    <row r="40" spans="1:7" ht="16.8" thickBot="1">
      <c r="A40" s="106">
        <v>100</v>
      </c>
      <c r="B40" s="106">
        <v>100</v>
      </c>
      <c r="C40" s="239">
        <v>4</v>
      </c>
      <c r="D40" s="240">
        <v>1</v>
      </c>
      <c r="E40" s="107">
        <v>46.519919999999999</v>
      </c>
      <c r="F40" s="108">
        <v>46.519919999999999</v>
      </c>
      <c r="G40" s="84"/>
    </row>
    <row r="41" spans="1:7">
      <c r="G41" s="84"/>
    </row>
    <row r="42" spans="1:7" ht="16.2" thickBot="1">
      <c r="A42" s="83" t="s">
        <v>106</v>
      </c>
      <c r="B42" s="83"/>
      <c r="C42" s="83"/>
      <c r="D42" s="83"/>
      <c r="E42" s="83"/>
      <c r="F42" s="83"/>
    </row>
    <row r="43" spans="1:7" ht="33" thickBot="1">
      <c r="A43" s="86" t="s">
        <v>138</v>
      </c>
      <c r="B43" s="117" t="s">
        <v>110</v>
      </c>
      <c r="C43" s="118"/>
      <c r="D43" s="120"/>
      <c r="E43" s="117" t="s">
        <v>139</v>
      </c>
      <c r="F43" s="118"/>
      <c r="G43" s="119"/>
    </row>
    <row r="44" spans="1:7" ht="16.8" thickBot="1">
      <c r="A44" s="244" t="s">
        <v>137</v>
      </c>
      <c r="B44" s="243" t="s">
        <v>107</v>
      </c>
      <c r="C44" s="243" t="s">
        <v>202</v>
      </c>
      <c r="D44" s="87" t="s">
        <v>109</v>
      </c>
      <c r="E44" s="243" t="s">
        <v>107</v>
      </c>
      <c r="F44" s="243" t="s">
        <v>202</v>
      </c>
      <c r="G44" s="100" t="s">
        <v>109</v>
      </c>
    </row>
    <row r="45" spans="1:7" ht="16.2">
      <c r="A45" s="104">
        <v>1</v>
      </c>
      <c r="B45" s="281">
        <v>5.2223468139999998</v>
      </c>
      <c r="C45" s="266">
        <v>5.2208870000000003</v>
      </c>
      <c r="D45" s="266" t="s">
        <v>183</v>
      </c>
      <c r="E45" s="266" t="s">
        <v>183</v>
      </c>
      <c r="F45" s="266" t="s">
        <v>183</v>
      </c>
      <c r="G45" s="267" t="s">
        <v>183</v>
      </c>
    </row>
    <row r="46" spans="1:7" ht="16.2">
      <c r="A46" s="104">
        <v>5</v>
      </c>
      <c r="B46" s="282">
        <v>4.02598002813333</v>
      </c>
      <c r="C46" s="268">
        <v>4.0303069999999996</v>
      </c>
      <c r="D46" s="268" t="s">
        <v>182</v>
      </c>
      <c r="E46" s="268">
        <v>8.9579174699999999</v>
      </c>
      <c r="F46" s="268">
        <v>8.958323</v>
      </c>
      <c r="G46" s="269" t="s">
        <v>182</v>
      </c>
    </row>
    <row r="47" spans="1:7" ht="16.2">
      <c r="A47" s="104">
        <v>10</v>
      </c>
      <c r="B47" s="282">
        <v>1.8304766208666601</v>
      </c>
      <c r="C47" s="268">
        <v>1.8300920000000001</v>
      </c>
      <c r="D47" s="268" t="s">
        <v>182</v>
      </c>
      <c r="E47" s="268">
        <v>7.1667172900000002</v>
      </c>
      <c r="F47" s="268">
        <v>7.1694449999999996</v>
      </c>
      <c r="G47" s="269" t="s">
        <v>182</v>
      </c>
    </row>
    <row r="48" spans="1:7" ht="16.2">
      <c r="A48" s="104">
        <v>50</v>
      </c>
      <c r="B48" s="282"/>
      <c r="C48" s="223">
        <v>2.1044559999999999</v>
      </c>
      <c r="D48" s="268" t="s">
        <v>182</v>
      </c>
      <c r="E48" s="268"/>
      <c r="F48" s="268">
        <v>31.831121</v>
      </c>
      <c r="G48" s="269" t="s">
        <v>182</v>
      </c>
    </row>
    <row r="49" spans="1:13" ht="16.8" thickBot="1">
      <c r="A49" s="106">
        <v>100</v>
      </c>
      <c r="B49" s="283"/>
      <c r="C49" s="270">
        <v>1.729975</v>
      </c>
      <c r="D49" s="270" t="s">
        <v>182</v>
      </c>
      <c r="E49" s="270"/>
      <c r="F49" s="270">
        <v>31.825862999999998</v>
      </c>
      <c r="G49" s="271" t="s">
        <v>182</v>
      </c>
    </row>
    <row r="52" spans="1:13" ht="16.8" thickBot="1">
      <c r="A52" s="128" t="s">
        <v>154</v>
      </c>
      <c r="B52" s="75"/>
      <c r="E52" s="76"/>
      <c r="F52" s="77"/>
      <c r="G52" s="77"/>
    </row>
    <row r="53" spans="1:13" ht="16.8" thickBot="1">
      <c r="A53" s="228" t="s">
        <v>101</v>
      </c>
      <c r="B53" s="228" t="s">
        <v>136</v>
      </c>
      <c r="C53" s="229" t="s">
        <v>102</v>
      </c>
      <c r="D53" s="229" t="s">
        <v>103</v>
      </c>
      <c r="E53" s="229" t="s">
        <v>104</v>
      </c>
      <c r="F53" s="230" t="s">
        <v>105</v>
      </c>
      <c r="G53" s="76"/>
    </row>
    <row r="54" spans="1:13" ht="16.2">
      <c r="A54" s="231">
        <v>1</v>
      </c>
      <c r="B54" s="232">
        <v>1</v>
      </c>
      <c r="C54" s="233">
        <v>4</v>
      </c>
      <c r="D54" s="234">
        <v>1</v>
      </c>
      <c r="E54" s="241" t="s">
        <v>183</v>
      </c>
      <c r="F54" s="242"/>
      <c r="G54" s="79"/>
    </row>
    <row r="55" spans="1:13" ht="16.2">
      <c r="A55" s="235">
        <v>5</v>
      </c>
      <c r="B55" s="104">
        <v>5</v>
      </c>
      <c r="C55" s="236">
        <v>4</v>
      </c>
      <c r="D55" s="237">
        <v>1</v>
      </c>
      <c r="E55" s="127" t="s">
        <v>182</v>
      </c>
      <c r="F55" s="105"/>
    </row>
    <row r="56" spans="1:13" ht="16.2">
      <c r="A56" s="235">
        <v>10</v>
      </c>
      <c r="B56" s="104">
        <v>10</v>
      </c>
      <c r="C56" s="236">
        <v>4</v>
      </c>
      <c r="D56" s="237">
        <v>1</v>
      </c>
      <c r="E56" s="127" t="s">
        <v>182</v>
      </c>
      <c r="F56" s="105"/>
    </row>
    <row r="57" spans="1:13" ht="16.2">
      <c r="A57" s="235">
        <v>50</v>
      </c>
      <c r="B57" s="104">
        <v>50</v>
      </c>
      <c r="C57" s="236">
        <v>4</v>
      </c>
      <c r="D57" s="237">
        <v>1</v>
      </c>
      <c r="E57" s="127" t="s">
        <v>182</v>
      </c>
      <c r="F57" s="105"/>
    </row>
    <row r="58" spans="1:13" ht="16.8" thickBot="1">
      <c r="A58" s="238">
        <v>100</v>
      </c>
      <c r="B58" s="106">
        <v>100</v>
      </c>
      <c r="C58" s="239">
        <v>4</v>
      </c>
      <c r="D58" s="240">
        <v>1</v>
      </c>
      <c r="E58" s="107" t="s">
        <v>182</v>
      </c>
      <c r="F58" s="108"/>
      <c r="G58" s="84"/>
    </row>
    <row r="59" spans="1:13">
      <c r="G59" s="84"/>
    </row>
    <row r="60" spans="1:13" ht="16.2" thickBot="1">
      <c r="A60" s="83" t="s">
        <v>106</v>
      </c>
      <c r="B60" s="83"/>
      <c r="C60" s="83"/>
      <c r="D60" s="83"/>
      <c r="E60" s="83"/>
      <c r="F60" s="83"/>
    </row>
    <row r="61" spans="1:13" ht="33" thickBot="1">
      <c r="A61" s="86" t="s">
        <v>138</v>
      </c>
      <c r="B61" s="117" t="s">
        <v>110</v>
      </c>
      <c r="C61" s="118"/>
      <c r="D61" s="120"/>
      <c r="E61" s="117" t="s">
        <v>139</v>
      </c>
      <c r="F61" s="118"/>
      <c r="G61" s="119"/>
    </row>
    <row r="62" spans="1:13" ht="16.8" thickBot="1">
      <c r="A62" s="244" t="s">
        <v>137</v>
      </c>
      <c r="B62" s="243" t="s">
        <v>107</v>
      </c>
      <c r="C62" s="87" t="s">
        <v>108</v>
      </c>
      <c r="D62" s="87" t="s">
        <v>109</v>
      </c>
      <c r="E62" s="87" t="s">
        <v>107</v>
      </c>
      <c r="F62" s="87" t="s">
        <v>108</v>
      </c>
      <c r="G62" s="100" t="s">
        <v>109</v>
      </c>
    </row>
    <row r="63" spans="1:13" ht="16.2">
      <c r="A63" s="104">
        <v>1</v>
      </c>
      <c r="B63" s="241" t="s">
        <v>183</v>
      </c>
      <c r="C63" s="241" t="s">
        <v>183</v>
      </c>
      <c r="D63" s="241" t="s">
        <v>183</v>
      </c>
      <c r="E63" s="241" t="s">
        <v>183</v>
      </c>
      <c r="F63" s="241" t="s">
        <v>183</v>
      </c>
      <c r="G63" s="242" t="s">
        <v>183</v>
      </c>
    </row>
    <row r="64" spans="1:13" ht="16.2">
      <c r="A64" s="104">
        <v>5</v>
      </c>
      <c r="B64" s="223" t="s">
        <v>182</v>
      </c>
      <c r="C64" s="223" t="s">
        <v>182</v>
      </c>
      <c r="D64" s="223" t="s">
        <v>182</v>
      </c>
      <c r="E64" s="223" t="s">
        <v>182</v>
      </c>
      <c r="F64" s="223" t="s">
        <v>182</v>
      </c>
      <c r="G64" s="105" t="s">
        <v>182</v>
      </c>
      <c r="I64" s="84"/>
      <c r="J64" s="84"/>
      <c r="K64" s="84"/>
      <c r="L64" s="84"/>
      <c r="M64" s="84"/>
    </row>
    <row r="65" spans="1:13" ht="16.2">
      <c r="A65" s="104">
        <v>10</v>
      </c>
      <c r="B65" s="223" t="s">
        <v>182</v>
      </c>
      <c r="C65" s="223" t="s">
        <v>182</v>
      </c>
      <c r="D65" s="223" t="s">
        <v>182</v>
      </c>
      <c r="E65" s="223" t="s">
        <v>182</v>
      </c>
      <c r="F65" s="223" t="s">
        <v>182</v>
      </c>
      <c r="G65" s="105" t="s">
        <v>182</v>
      </c>
      <c r="I65" s="84"/>
      <c r="J65" s="84"/>
      <c r="K65" s="84"/>
      <c r="L65" s="84"/>
      <c r="M65" s="84"/>
    </row>
    <row r="66" spans="1:13" ht="16.2">
      <c r="A66" s="104">
        <v>50</v>
      </c>
      <c r="B66" s="223" t="s">
        <v>182</v>
      </c>
      <c r="C66" s="223" t="s">
        <v>182</v>
      </c>
      <c r="D66" s="223" t="s">
        <v>182</v>
      </c>
      <c r="E66" s="223" t="s">
        <v>182</v>
      </c>
      <c r="F66" s="223" t="s">
        <v>182</v>
      </c>
      <c r="G66" s="105" t="s">
        <v>182</v>
      </c>
      <c r="I66" s="84"/>
      <c r="J66" s="84"/>
      <c r="K66" s="84"/>
      <c r="L66" s="84"/>
      <c r="M66" s="84"/>
    </row>
    <row r="67" spans="1:13" ht="16.8" thickBot="1">
      <c r="A67" s="106">
        <v>100</v>
      </c>
      <c r="B67" s="107" t="s">
        <v>182</v>
      </c>
      <c r="C67" s="107" t="s">
        <v>182</v>
      </c>
      <c r="D67" s="107" t="s">
        <v>182</v>
      </c>
      <c r="E67" s="107" t="s">
        <v>182</v>
      </c>
      <c r="F67" s="107" t="s">
        <v>182</v>
      </c>
      <c r="G67" s="108" t="s">
        <v>182</v>
      </c>
      <c r="I67" s="84"/>
      <c r="J67" s="84"/>
      <c r="K67" s="84"/>
      <c r="L67" s="84"/>
      <c r="M67" s="84"/>
    </row>
    <row r="68" spans="1:13">
      <c r="I68" s="84"/>
      <c r="J68" s="84"/>
      <c r="K68" s="84"/>
      <c r="L68" s="84"/>
      <c r="M68" s="84"/>
    </row>
    <row r="69" spans="1:13">
      <c r="I69" s="84"/>
      <c r="J69" s="84"/>
      <c r="K69" s="84"/>
      <c r="L69" s="84"/>
      <c r="M69" s="84"/>
    </row>
    <row r="70" spans="1:13">
      <c r="I70" s="84"/>
      <c r="J70" s="84"/>
      <c r="K70" s="84"/>
      <c r="L70" s="84"/>
      <c r="M70" s="84"/>
    </row>
    <row r="71" spans="1:13">
      <c r="I71" s="84"/>
      <c r="J71" s="84"/>
      <c r="K71" s="84"/>
      <c r="L71" s="84"/>
      <c r="M71" s="84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6B77-1DF9-4E61-9E62-BE208B36AAD3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180</v>
      </c>
      <c r="D2" t="s">
        <v>177</v>
      </c>
    </row>
    <row r="3" spans="2:4">
      <c r="D3" t="s">
        <v>178</v>
      </c>
    </row>
    <row r="4" spans="2:4">
      <c r="D4" t="s">
        <v>179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39"/>
  <sheetViews>
    <sheetView workbookViewId="0"/>
  </sheetViews>
  <sheetFormatPr defaultRowHeight="16.2"/>
  <cols>
    <col min="3" max="3" width="13.33203125" bestFit="1" customWidth="1"/>
  </cols>
  <sheetData>
    <row r="2" spans="2:4" ht="16.8">
      <c r="B2" s="63" t="s">
        <v>99</v>
      </c>
      <c r="C2" s="64"/>
    </row>
    <row r="4" spans="2:4" ht="16.8">
      <c r="B4" s="63" t="s">
        <v>59</v>
      </c>
      <c r="C4" s="64"/>
    </row>
    <row r="5" spans="2:4" ht="16.8">
      <c r="B5" s="63" t="s">
        <v>70</v>
      </c>
      <c r="C5" s="64"/>
    </row>
    <row r="7" spans="2:4" ht="16.8">
      <c r="B7" s="63" t="s">
        <v>63</v>
      </c>
      <c r="C7" s="64"/>
    </row>
    <row r="8" spans="2:4" ht="16.8">
      <c r="B8" s="63"/>
      <c r="C8" s="64"/>
      <c r="D8" s="29"/>
    </row>
    <row r="9" spans="2:4" ht="16.8">
      <c r="B9" s="63" t="s">
        <v>65</v>
      </c>
      <c r="C9" s="64"/>
    </row>
    <row r="10" spans="2:4" ht="16.8">
      <c r="B10" s="64"/>
      <c r="C10" s="63" t="s">
        <v>125</v>
      </c>
    </row>
    <row r="11" spans="2:4" ht="16.8">
      <c r="B11" s="64"/>
      <c r="C11" s="63" t="s">
        <v>66</v>
      </c>
    </row>
    <row r="12" spans="2:4" ht="16.8">
      <c r="C12" s="63" t="s">
        <v>126</v>
      </c>
    </row>
    <row r="14" spans="2:4" ht="16.8">
      <c r="B14" s="63" t="s">
        <v>62</v>
      </c>
    </row>
    <row r="15" spans="2:4" ht="16.8">
      <c r="B15" s="64"/>
      <c r="C15" s="63" t="s">
        <v>61</v>
      </c>
    </row>
    <row r="16" spans="2:4" ht="16.8">
      <c r="B16" s="64"/>
      <c r="C16" s="63" t="s">
        <v>64</v>
      </c>
    </row>
    <row r="17" spans="2:6" ht="16.8">
      <c r="B17" s="64"/>
      <c r="C17" s="63" t="s">
        <v>67</v>
      </c>
    </row>
    <row r="19" spans="2:6" ht="16.8">
      <c r="B19" s="63" t="s">
        <v>113</v>
      </c>
    </row>
    <row r="21" spans="2:6" ht="16.8">
      <c r="B21" s="63" t="s">
        <v>87</v>
      </c>
      <c r="C21" s="69"/>
    </row>
    <row r="23" spans="2:6" ht="16.8">
      <c r="B23" s="63" t="s">
        <v>123</v>
      </c>
    </row>
    <row r="24" spans="2:6" ht="16.8">
      <c r="B24" s="63" t="s">
        <v>124</v>
      </c>
    </row>
    <row r="26" spans="2:6" ht="16.8">
      <c r="B26" s="63" t="s">
        <v>128</v>
      </c>
    </row>
    <row r="28" spans="2:6">
      <c r="B28" s="99"/>
      <c r="C28" s="285" t="s">
        <v>129</v>
      </c>
      <c r="D28" s="286"/>
      <c r="E28" s="286"/>
      <c r="F28" s="287"/>
    </row>
    <row r="29" spans="2:6">
      <c r="B29" s="66"/>
      <c r="C29" s="3" t="s">
        <v>82</v>
      </c>
      <c r="D29" s="3" t="s">
        <v>74</v>
      </c>
      <c r="E29" s="3" t="s">
        <v>75</v>
      </c>
      <c r="F29" s="3" t="s">
        <v>4</v>
      </c>
    </row>
    <row r="30" spans="2:6">
      <c r="B30" s="3" t="s">
        <v>130</v>
      </c>
      <c r="C30" s="3">
        <v>1</v>
      </c>
      <c r="D30" s="3">
        <v>0</v>
      </c>
      <c r="E30" s="3">
        <v>2</v>
      </c>
      <c r="F30" s="3">
        <v>3</v>
      </c>
    </row>
    <row r="31" spans="2:6">
      <c r="B31" s="3" t="s">
        <v>131</v>
      </c>
      <c r="C31" s="3">
        <v>3</v>
      </c>
      <c r="D31" s="3">
        <v>2</v>
      </c>
      <c r="E31" s="3">
        <v>4</v>
      </c>
      <c r="F31" s="3">
        <v>5</v>
      </c>
    </row>
    <row r="32" spans="2:6">
      <c r="B32" s="3" t="s">
        <v>132</v>
      </c>
      <c r="C32" s="3">
        <v>3</v>
      </c>
      <c r="D32" s="3">
        <v>4</v>
      </c>
      <c r="E32" s="3">
        <v>0</v>
      </c>
      <c r="F32" s="3">
        <v>7</v>
      </c>
    </row>
    <row r="33" spans="2:6">
      <c r="B33" s="3" t="s">
        <v>133</v>
      </c>
      <c r="C33" s="3">
        <v>3</v>
      </c>
      <c r="D33" s="3">
        <v>8</v>
      </c>
      <c r="E33" s="3">
        <v>0</v>
      </c>
      <c r="F33" s="3">
        <v>5</v>
      </c>
    </row>
    <row r="34" spans="2:6">
      <c r="B34" s="3" t="s">
        <v>134</v>
      </c>
      <c r="C34" s="3">
        <v>1</v>
      </c>
      <c r="D34" s="3">
        <v>8</v>
      </c>
      <c r="E34" s="3">
        <v>8</v>
      </c>
      <c r="F34" s="3">
        <v>7</v>
      </c>
    </row>
    <row r="35" spans="2:6" ht="16.8">
      <c r="E35" s="98" t="s">
        <v>86</v>
      </c>
    </row>
    <row r="37" spans="2:6" ht="16.8">
      <c r="B37" s="63" t="s">
        <v>135</v>
      </c>
    </row>
    <row r="39" spans="2:6">
      <c r="B39" t="s">
        <v>228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230-405B-4D6D-ACC0-135F5C281B9E}">
  <dimension ref="A1:AM109"/>
  <sheetViews>
    <sheetView workbookViewId="0">
      <selection activeCell="L19" sqref="L19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184</v>
      </c>
      <c r="B1" s="289"/>
      <c r="C1" s="290"/>
      <c r="D1" s="291" t="s">
        <v>185</v>
      </c>
      <c r="E1" s="292"/>
      <c r="F1" s="293"/>
      <c r="G1" s="288" t="s">
        <v>186</v>
      </c>
      <c r="H1" s="289"/>
      <c r="I1" s="290"/>
      <c r="J1" s="291" t="s">
        <v>187</v>
      </c>
      <c r="K1" s="292"/>
      <c r="L1" s="293"/>
      <c r="M1" s="288" t="s">
        <v>188</v>
      </c>
      <c r="N1" s="289"/>
      <c r="O1" s="290"/>
      <c r="R1" t="s">
        <v>192</v>
      </c>
    </row>
    <row r="2" spans="1:39" ht="16.8" thickBot="1">
      <c r="A2" s="294">
        <f>Card_Bet1!V1</f>
        <v>0.91999479629021208</v>
      </c>
      <c r="B2" s="295"/>
      <c r="C2" s="296"/>
      <c r="D2" s="297">
        <f>Card_Bet5!V1</f>
        <v>0.91999777375372083</v>
      </c>
      <c r="E2" s="298"/>
      <c r="F2" s="299"/>
      <c r="G2" s="294">
        <f>Card_Bet10!V1</f>
        <v>0.91999348555405758</v>
      </c>
      <c r="H2" s="295"/>
      <c r="I2" s="296"/>
      <c r="J2" s="297">
        <f>Card_Bet50!V1</f>
        <v>0.91998900989871235</v>
      </c>
      <c r="K2" s="298"/>
      <c r="L2" s="299"/>
      <c r="M2" s="294">
        <f>Card_Bet100!V1</f>
        <v>0.91999322253390292</v>
      </c>
      <c r="N2" s="295"/>
      <c r="O2" s="296"/>
    </row>
    <row r="3" spans="1:39" ht="16.8" thickBot="1">
      <c r="A3" s="160" t="s">
        <v>166</v>
      </c>
      <c r="B3" s="160" t="s">
        <v>189</v>
      </c>
      <c r="C3" s="248" t="s">
        <v>168</v>
      </c>
      <c r="D3" s="249" t="s">
        <v>166</v>
      </c>
      <c r="E3" s="249" t="s">
        <v>189</v>
      </c>
      <c r="F3" s="250" t="s">
        <v>168</v>
      </c>
      <c r="G3" s="160" t="s">
        <v>166</v>
      </c>
      <c r="H3" s="160" t="s">
        <v>189</v>
      </c>
      <c r="I3" s="248" t="s">
        <v>168</v>
      </c>
      <c r="J3" s="249" t="s">
        <v>166</v>
      </c>
      <c r="K3" s="249" t="s">
        <v>189</v>
      </c>
      <c r="L3" s="250" t="s">
        <v>168</v>
      </c>
      <c r="M3" s="160" t="s">
        <v>166</v>
      </c>
      <c r="N3" s="160" t="s">
        <v>189</v>
      </c>
      <c r="O3" s="248" t="s">
        <v>168</v>
      </c>
      <c r="R3" s="163" t="s">
        <v>193</v>
      </c>
      <c r="S3" s="257" t="s">
        <v>194</v>
      </c>
      <c r="T3" s="257" t="s">
        <v>195</v>
      </c>
      <c r="U3" s="257" t="s">
        <v>196</v>
      </c>
      <c r="V3" s="257" t="s">
        <v>197</v>
      </c>
      <c r="W3" s="257" t="s">
        <v>198</v>
      </c>
      <c r="X3" s="248" t="s">
        <v>199</v>
      </c>
    </row>
    <row r="4" spans="1:39">
      <c r="A4" s="153">
        <v>-1</v>
      </c>
      <c r="B4" s="153" cm="1">
        <f t="array" ref="B4:B55">Card_Bet1!$T$3:$T$54</f>
        <v>791728</v>
      </c>
      <c r="C4" s="153" t="str" cm="1">
        <f t="array" ref="C4:C55">Card_Bet1!$L$3:$L$54</f>
        <v>A</v>
      </c>
      <c r="D4" s="251">
        <v>-1</v>
      </c>
      <c r="E4" s="162" cm="1">
        <f t="array" ref="E4:E55">Card_Bet5!$T$3:$T$54</f>
        <v>803427</v>
      </c>
      <c r="F4" s="162" t="str" cm="1">
        <f t="array" ref="F4:F55">Card_Bet5!$L$3:$L$54</f>
        <v>A</v>
      </c>
      <c r="G4" s="153">
        <v>-1</v>
      </c>
      <c r="H4" s="153" cm="1">
        <f t="array" ref="H4:H55">Card_Bet10!$T$3:$T$54</f>
        <v>808528</v>
      </c>
      <c r="I4" s="153" t="str" cm="1">
        <f t="array" ref="I4:I55">Card_Bet10!$L$3:$L$54</f>
        <v>A</v>
      </c>
      <c r="J4" s="162">
        <v>-1</v>
      </c>
      <c r="K4" s="162" cm="1">
        <f t="array" ref="K4:K55">Card_Bet50!$T$3:$T$54</f>
        <v>806081</v>
      </c>
      <c r="L4" s="162" t="str" cm="1">
        <f t="array" ref="L4:L55">Card_Bet50!$L$3:$L$54</f>
        <v>A</v>
      </c>
      <c r="M4" s="153">
        <v>-1</v>
      </c>
      <c r="N4" s="153" cm="1">
        <f t="array" ref="N4:N55">Card_Bet100!$T$3:$T$54</f>
        <v>822557</v>
      </c>
      <c r="O4" s="153" t="str" cm="1">
        <f t="array" ref="O4:O55">Card_Bet100!$L$3:$L$54</f>
        <v>A</v>
      </c>
      <c r="R4" s="168">
        <v>1</v>
      </c>
      <c r="S4" s="258">
        <v>0.92498999999999998</v>
      </c>
      <c r="T4" s="258">
        <v>0.122159</v>
      </c>
      <c r="U4" s="259" t="s">
        <v>200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97570</v>
      </c>
      <c r="C5" s="179" t="str">
        <v>B</v>
      </c>
      <c r="D5" s="252">
        <v>0</v>
      </c>
      <c r="E5" s="253">
        <v>97883</v>
      </c>
      <c r="F5" s="252" t="str">
        <v>B</v>
      </c>
      <c r="G5" s="179">
        <v>0</v>
      </c>
      <c r="H5" s="179">
        <v>37060</v>
      </c>
      <c r="I5" s="256" t="str">
        <v>B</v>
      </c>
      <c r="J5" s="253">
        <v>0</v>
      </c>
      <c r="K5" s="253">
        <v>74630</v>
      </c>
      <c r="L5" s="253" t="str">
        <v>A</v>
      </c>
      <c r="M5" s="179">
        <v>0</v>
      </c>
      <c r="N5" s="179">
        <v>11212</v>
      </c>
      <c r="O5" s="256" t="str">
        <v>A</v>
      </c>
      <c r="R5" s="186">
        <v>5</v>
      </c>
      <c r="S5" s="217">
        <v>0.92469199999999996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1523</v>
      </c>
      <c r="C6" s="179" t="str">
        <v>B</v>
      </c>
      <c r="D6" s="252">
        <v>1</v>
      </c>
      <c r="E6" s="253">
        <v>3000</v>
      </c>
      <c r="F6" s="252" t="str">
        <v>B</v>
      </c>
      <c r="G6" s="179">
        <v>1</v>
      </c>
      <c r="H6" s="179">
        <v>58950</v>
      </c>
      <c r="I6" s="256" t="str">
        <v>B</v>
      </c>
      <c r="J6" s="253">
        <v>1</v>
      </c>
      <c r="K6" s="253">
        <v>23758</v>
      </c>
      <c r="L6" s="253" t="str">
        <v>B</v>
      </c>
      <c r="M6" s="179">
        <v>1</v>
      </c>
      <c r="N6" s="179">
        <v>39741</v>
      </c>
      <c r="O6" s="256" t="str">
        <v>B</v>
      </c>
      <c r="R6" s="186">
        <v>10</v>
      </c>
      <c r="S6" s="217">
        <v>0.92469299999999999</v>
      </c>
      <c r="T6" s="217">
        <v>8.1793000000000005E-2</v>
      </c>
      <c r="U6" s="217">
        <v>0.16206999999999999</v>
      </c>
      <c r="V6">
        <v>100000000</v>
      </c>
      <c r="W6">
        <f>SUM(AA45:AA62,AD45:AD62)</f>
        <v>9640371</v>
      </c>
      <c r="X6" s="261">
        <f t="shared" si="0"/>
        <v>9.6403710000000004E-2</v>
      </c>
    </row>
    <row r="7" spans="1:39">
      <c r="A7" s="179">
        <v>2</v>
      </c>
      <c r="B7" s="179">
        <v>0</v>
      </c>
      <c r="C7" s="179" t="str">
        <v>B</v>
      </c>
      <c r="D7" s="252">
        <v>2</v>
      </c>
      <c r="E7" s="253">
        <v>6000</v>
      </c>
      <c r="F7" s="252" t="str">
        <v>B</v>
      </c>
      <c r="G7" s="179">
        <v>2</v>
      </c>
      <c r="H7" s="179">
        <v>500</v>
      </c>
      <c r="I7" s="256" t="str">
        <v>B</v>
      </c>
      <c r="J7" s="253">
        <v>2</v>
      </c>
      <c r="K7" s="253">
        <v>4482</v>
      </c>
      <c r="L7" s="253" t="str">
        <v>B</v>
      </c>
      <c r="M7" s="179">
        <v>2</v>
      </c>
      <c r="N7" s="179">
        <v>945</v>
      </c>
      <c r="O7" s="256" t="str">
        <v>B</v>
      </c>
      <c r="R7" s="186">
        <v>50</v>
      </c>
      <c r="S7" s="217">
        <v>0.92538500000000001</v>
      </c>
      <c r="T7" s="217">
        <v>4.9854999999999997E-2</v>
      </c>
      <c r="U7" s="217">
        <v>0.337065</v>
      </c>
      <c r="V7">
        <v>100000000</v>
      </c>
      <c r="W7">
        <f>SUM(AA64:AA85,AD64:AD85)</f>
        <v>6369513</v>
      </c>
      <c r="X7" s="261">
        <f t="shared" si="0"/>
        <v>6.3695130000000003E-2</v>
      </c>
    </row>
    <row r="8" spans="1:39" ht="16.8" thickBot="1">
      <c r="A8" s="179">
        <v>3</v>
      </c>
      <c r="B8" s="179">
        <v>0</v>
      </c>
      <c r="C8" s="179" t="str">
        <v>B</v>
      </c>
      <c r="D8" s="252">
        <v>3</v>
      </c>
      <c r="E8" s="253">
        <v>0</v>
      </c>
      <c r="F8" s="252" t="str">
        <v>B</v>
      </c>
      <c r="G8" s="179">
        <v>3</v>
      </c>
      <c r="H8" s="179">
        <v>0</v>
      </c>
      <c r="I8" s="256" t="str">
        <v>B</v>
      </c>
      <c r="J8" s="253">
        <v>3</v>
      </c>
      <c r="K8" s="253">
        <v>1218</v>
      </c>
      <c r="L8" s="253" t="str">
        <v>B</v>
      </c>
      <c r="M8" s="179">
        <v>3</v>
      </c>
      <c r="N8" s="179">
        <v>0</v>
      </c>
      <c r="O8" s="256" t="str">
        <v>B</v>
      </c>
      <c r="R8" s="203">
        <v>100</v>
      </c>
      <c r="S8" s="262">
        <v>0.92461599999999999</v>
      </c>
      <c r="T8" s="262">
        <v>0.131463</v>
      </c>
      <c r="U8" s="262">
        <v>0.220799</v>
      </c>
      <c r="V8" s="263">
        <v>100000000</v>
      </c>
      <c r="W8" s="263">
        <f>SUM(AA87:AA109,AD87:AD109)</f>
        <v>9715998</v>
      </c>
      <c r="X8" s="264">
        <f t="shared" si="0"/>
        <v>9.7159980000000007E-2</v>
      </c>
    </row>
    <row r="9" spans="1:39">
      <c r="A9" s="179">
        <v>4</v>
      </c>
      <c r="B9" s="179">
        <v>64244</v>
      </c>
      <c r="C9" s="179" t="str">
        <v>B</v>
      </c>
      <c r="D9" s="252">
        <v>4</v>
      </c>
      <c r="E9" s="253">
        <v>45000</v>
      </c>
      <c r="F9" s="252" t="str">
        <v>B</v>
      </c>
      <c r="G9" s="179">
        <v>4</v>
      </c>
      <c r="H9" s="179">
        <v>23100</v>
      </c>
      <c r="I9" s="256" t="str">
        <v>B</v>
      </c>
      <c r="J9" s="253">
        <v>4</v>
      </c>
      <c r="K9" s="253">
        <v>45000</v>
      </c>
      <c r="L9" s="253" t="str">
        <v>B</v>
      </c>
      <c r="M9" s="179">
        <v>4</v>
      </c>
      <c r="N9" s="179">
        <v>30000</v>
      </c>
      <c r="O9" s="256" t="str">
        <v>B</v>
      </c>
    </row>
    <row r="10" spans="1:39">
      <c r="A10" s="179">
        <v>5</v>
      </c>
      <c r="B10" s="179">
        <v>1729</v>
      </c>
      <c r="C10" s="179" t="str">
        <v>B</v>
      </c>
      <c r="D10" s="252">
        <v>5</v>
      </c>
      <c r="E10" s="253">
        <v>1545</v>
      </c>
      <c r="F10" s="252" t="str">
        <v>B</v>
      </c>
      <c r="G10" s="179">
        <v>5</v>
      </c>
      <c r="H10" s="179">
        <v>27525</v>
      </c>
      <c r="I10" s="256" t="str">
        <v>B</v>
      </c>
      <c r="J10" s="253">
        <v>5</v>
      </c>
      <c r="K10" s="253">
        <v>1490</v>
      </c>
      <c r="L10" s="253" t="str">
        <v>B</v>
      </c>
      <c r="M10" s="179">
        <v>5</v>
      </c>
      <c r="N10" s="179">
        <v>50250</v>
      </c>
      <c r="O10" s="256" t="str">
        <v>B</v>
      </c>
    </row>
    <row r="11" spans="1:39">
      <c r="A11" s="179">
        <v>6</v>
      </c>
      <c r="B11" s="179">
        <v>0</v>
      </c>
      <c r="C11" s="179" t="str">
        <v>B</v>
      </c>
      <c r="D11" s="252">
        <v>6</v>
      </c>
      <c r="E11" s="253">
        <v>0</v>
      </c>
      <c r="F11" s="252" t="str">
        <v>B</v>
      </c>
      <c r="G11" s="179">
        <v>6</v>
      </c>
      <c r="H11" s="179">
        <v>105</v>
      </c>
      <c r="I11" s="256" t="str">
        <v>B</v>
      </c>
      <c r="J11" s="253">
        <v>6</v>
      </c>
      <c r="K11" s="253">
        <v>0</v>
      </c>
      <c r="L11" s="253" t="str">
        <v>B</v>
      </c>
      <c r="M11" s="179">
        <v>6</v>
      </c>
      <c r="N11" s="179">
        <v>56</v>
      </c>
      <c r="O11" s="256" t="str">
        <v>B</v>
      </c>
      <c r="Q11">
        <v>1</v>
      </c>
      <c r="R11" t="s">
        <v>155</v>
      </c>
      <c r="S11" t="s">
        <v>203</v>
      </c>
      <c r="T11" t="s">
        <v>156</v>
      </c>
      <c r="U11">
        <v>9755188</v>
      </c>
      <c r="V11" t="s">
        <v>157</v>
      </c>
      <c r="W11" t="s">
        <v>156</v>
      </c>
      <c r="X11">
        <v>975518800</v>
      </c>
      <c r="Y11" t="s">
        <v>158</v>
      </c>
      <c r="Z11" t="s">
        <v>156</v>
      </c>
      <c r="AA11" t="s">
        <v>159</v>
      </c>
      <c r="AB11" t="s">
        <v>160</v>
      </c>
      <c r="AC11" t="s">
        <v>156</v>
      </c>
      <c r="AD11">
        <v>9755188</v>
      </c>
      <c r="AE11" t="s">
        <v>161</v>
      </c>
      <c r="AF11" t="s">
        <v>156</v>
      </c>
      <c r="AG11" t="s">
        <v>159</v>
      </c>
      <c r="AH11" t="s">
        <v>162</v>
      </c>
      <c r="AI11" t="s">
        <v>156</v>
      </c>
      <c r="AJ11" t="s">
        <v>159</v>
      </c>
      <c r="AK11" t="s">
        <v>163</v>
      </c>
      <c r="AL11" t="s">
        <v>156</v>
      </c>
      <c r="AM11" t="s">
        <v>159</v>
      </c>
    </row>
    <row r="12" spans="1:39">
      <c r="A12" s="179">
        <v>7</v>
      </c>
      <c r="B12" s="179">
        <v>0</v>
      </c>
      <c r="C12" s="179" t="str">
        <v>B</v>
      </c>
      <c r="D12" s="252">
        <v>7</v>
      </c>
      <c r="E12" s="253">
        <v>0</v>
      </c>
      <c r="F12" s="252" t="str">
        <v>B</v>
      </c>
      <c r="G12" s="179">
        <v>7</v>
      </c>
      <c r="H12" s="179">
        <v>0</v>
      </c>
      <c r="I12" s="256" t="str">
        <v>B</v>
      </c>
      <c r="J12" s="253">
        <v>7</v>
      </c>
      <c r="K12" s="253">
        <v>0</v>
      </c>
      <c r="L12" s="253" t="str">
        <v>B</v>
      </c>
      <c r="M12" s="179">
        <v>7</v>
      </c>
      <c r="N12" s="179">
        <v>0</v>
      </c>
      <c r="O12" s="256" t="str">
        <v>B</v>
      </c>
      <c r="Q12">
        <v>1</v>
      </c>
      <c r="R12" t="s">
        <v>155</v>
      </c>
      <c r="S12" t="s">
        <v>204</v>
      </c>
      <c r="T12" t="s">
        <v>156</v>
      </c>
      <c r="U12">
        <v>152207</v>
      </c>
      <c r="V12" t="s">
        <v>157</v>
      </c>
      <c r="W12" t="s">
        <v>156</v>
      </c>
      <c r="X12">
        <v>30441400</v>
      </c>
      <c r="Y12" t="s">
        <v>158</v>
      </c>
      <c r="Z12" t="s">
        <v>156</v>
      </c>
      <c r="AA12" t="s">
        <v>159</v>
      </c>
      <c r="AB12" t="s">
        <v>160</v>
      </c>
      <c r="AC12" t="s">
        <v>156</v>
      </c>
      <c r="AD12">
        <v>30555</v>
      </c>
      <c r="AE12" t="s">
        <v>161</v>
      </c>
      <c r="AF12" t="s">
        <v>156</v>
      </c>
      <c r="AG12" t="s">
        <v>159</v>
      </c>
      <c r="AH12" t="s">
        <v>162</v>
      </c>
      <c r="AI12" t="s">
        <v>156</v>
      </c>
      <c r="AJ12" t="s">
        <v>159</v>
      </c>
      <c r="AK12" t="s">
        <v>163</v>
      </c>
      <c r="AL12" t="s">
        <v>156</v>
      </c>
      <c r="AM12" t="s">
        <v>159</v>
      </c>
    </row>
    <row r="13" spans="1:39">
      <c r="A13" s="179">
        <v>8</v>
      </c>
      <c r="B13" s="179">
        <v>0</v>
      </c>
      <c r="C13" s="179" t="str">
        <v>B</v>
      </c>
      <c r="D13" s="252">
        <v>8</v>
      </c>
      <c r="E13" s="253">
        <v>0</v>
      </c>
      <c r="F13" s="252" t="str">
        <v>B</v>
      </c>
      <c r="G13" s="179">
        <v>8</v>
      </c>
      <c r="H13" s="179">
        <v>0</v>
      </c>
      <c r="I13" s="256" t="str">
        <v>B</v>
      </c>
      <c r="J13" s="253">
        <v>8</v>
      </c>
      <c r="K13" s="253">
        <v>0</v>
      </c>
      <c r="L13" s="253" t="str">
        <v>B</v>
      </c>
      <c r="M13" s="179">
        <v>8</v>
      </c>
      <c r="N13" s="179">
        <v>0</v>
      </c>
      <c r="O13" s="256" t="str">
        <v>B</v>
      </c>
      <c r="Q13">
        <v>1</v>
      </c>
      <c r="R13" t="s">
        <v>155</v>
      </c>
      <c r="S13" t="s">
        <v>205</v>
      </c>
      <c r="T13" t="s">
        <v>156</v>
      </c>
      <c r="U13">
        <v>6417437</v>
      </c>
      <c r="V13" t="s">
        <v>157</v>
      </c>
      <c r="W13" t="s">
        <v>156</v>
      </c>
      <c r="X13">
        <v>3208718500</v>
      </c>
      <c r="Y13" t="s">
        <v>158</v>
      </c>
      <c r="Z13" t="s">
        <v>156</v>
      </c>
      <c r="AA13" t="s">
        <v>159</v>
      </c>
      <c r="AB13" t="s">
        <v>160</v>
      </c>
      <c r="AC13" t="s">
        <v>156</v>
      </c>
      <c r="AD13">
        <v>2139248</v>
      </c>
      <c r="AE13" t="s">
        <v>161</v>
      </c>
      <c r="AF13" t="s">
        <v>156</v>
      </c>
      <c r="AG13" t="s">
        <v>159</v>
      </c>
      <c r="AH13" t="s">
        <v>162</v>
      </c>
      <c r="AI13" t="s">
        <v>156</v>
      </c>
      <c r="AJ13" t="s">
        <v>159</v>
      </c>
      <c r="AK13" t="s">
        <v>163</v>
      </c>
      <c r="AL13" t="s">
        <v>156</v>
      </c>
      <c r="AM13" t="s">
        <v>159</v>
      </c>
    </row>
    <row r="14" spans="1:39">
      <c r="A14" s="179">
        <v>9</v>
      </c>
      <c r="B14" s="179">
        <v>14006</v>
      </c>
      <c r="C14" s="179" t="str">
        <v>B</v>
      </c>
      <c r="D14" s="252">
        <v>9</v>
      </c>
      <c r="E14" s="253">
        <v>6914</v>
      </c>
      <c r="F14" s="252" t="str">
        <v>B</v>
      </c>
      <c r="G14" s="179">
        <v>9</v>
      </c>
      <c r="H14" s="179">
        <v>6035</v>
      </c>
      <c r="I14" s="256" t="str">
        <v>B</v>
      </c>
      <c r="J14" s="253">
        <v>9</v>
      </c>
      <c r="K14" s="253">
        <v>5394</v>
      </c>
      <c r="L14" s="253" t="str">
        <v>B</v>
      </c>
      <c r="M14" s="179">
        <v>9</v>
      </c>
      <c r="N14" s="179">
        <v>8627</v>
      </c>
      <c r="O14" s="256" t="str">
        <v>B</v>
      </c>
      <c r="Q14">
        <v>1</v>
      </c>
      <c r="R14" t="s">
        <v>155</v>
      </c>
      <c r="S14" t="s">
        <v>22</v>
      </c>
      <c r="T14" t="s">
        <v>156</v>
      </c>
      <c r="U14">
        <v>172541</v>
      </c>
      <c r="V14" t="s">
        <v>157</v>
      </c>
      <c r="W14" t="s">
        <v>156</v>
      </c>
      <c r="X14">
        <v>103524600</v>
      </c>
      <c r="Y14" t="s">
        <v>158</v>
      </c>
      <c r="Z14" t="s">
        <v>156</v>
      </c>
      <c r="AA14" t="s">
        <v>159</v>
      </c>
      <c r="AB14" t="s">
        <v>160</v>
      </c>
      <c r="AC14" t="s">
        <v>156</v>
      </c>
      <c r="AD14">
        <v>172541</v>
      </c>
      <c r="AE14" t="s">
        <v>161</v>
      </c>
      <c r="AF14" t="s">
        <v>156</v>
      </c>
      <c r="AG14" t="s">
        <v>159</v>
      </c>
      <c r="AH14" t="s">
        <v>162</v>
      </c>
      <c r="AI14" t="s">
        <v>156</v>
      </c>
      <c r="AJ14" t="s">
        <v>159</v>
      </c>
      <c r="AK14" t="s">
        <v>163</v>
      </c>
      <c r="AL14" t="s">
        <v>156</v>
      </c>
      <c r="AM14" t="s">
        <v>159</v>
      </c>
    </row>
    <row r="15" spans="1:39">
      <c r="A15" s="179">
        <v>10</v>
      </c>
      <c r="B15" s="179">
        <v>7500</v>
      </c>
      <c r="C15" s="179" t="str">
        <v>B</v>
      </c>
      <c r="D15" s="252">
        <v>10</v>
      </c>
      <c r="E15" s="253">
        <v>8700</v>
      </c>
      <c r="F15" s="252" t="str">
        <v>B</v>
      </c>
      <c r="G15" s="179">
        <v>10</v>
      </c>
      <c r="H15" s="179">
        <v>14284</v>
      </c>
      <c r="I15" s="256" t="str">
        <v>B</v>
      </c>
      <c r="J15" s="253">
        <v>10</v>
      </c>
      <c r="K15" s="253">
        <v>9612</v>
      </c>
      <c r="L15" s="253" t="str">
        <v>B</v>
      </c>
      <c r="M15" s="179">
        <v>10</v>
      </c>
      <c r="N15" s="179">
        <v>15000</v>
      </c>
      <c r="O15" s="256" t="str">
        <v>B</v>
      </c>
      <c r="Q15">
        <v>1</v>
      </c>
      <c r="R15" t="s">
        <v>155</v>
      </c>
      <c r="S15" t="s">
        <v>206</v>
      </c>
      <c r="T15" t="s">
        <v>156</v>
      </c>
      <c r="U15">
        <v>1478807</v>
      </c>
      <c r="V15" t="s">
        <v>157</v>
      </c>
      <c r="W15" t="s">
        <v>156</v>
      </c>
      <c r="X15">
        <v>1478807000</v>
      </c>
      <c r="Y15" t="s">
        <v>158</v>
      </c>
      <c r="Z15" t="s">
        <v>156</v>
      </c>
      <c r="AA15" t="s">
        <v>159</v>
      </c>
      <c r="AB15" t="s">
        <v>160</v>
      </c>
      <c r="AC15" t="s">
        <v>156</v>
      </c>
      <c r="AD15">
        <v>544867</v>
      </c>
      <c r="AE15" t="s">
        <v>161</v>
      </c>
      <c r="AF15" t="s">
        <v>156</v>
      </c>
      <c r="AG15" t="s">
        <v>159</v>
      </c>
      <c r="AH15" t="s">
        <v>162</v>
      </c>
      <c r="AI15" t="s">
        <v>156</v>
      </c>
      <c r="AJ15" t="s">
        <v>159</v>
      </c>
      <c r="AK15" t="s">
        <v>163</v>
      </c>
      <c r="AL15" t="s">
        <v>156</v>
      </c>
      <c r="AM15" t="s">
        <v>159</v>
      </c>
    </row>
    <row r="16" spans="1:39">
      <c r="A16" s="179">
        <v>15</v>
      </c>
      <c r="B16" s="179">
        <v>7500</v>
      </c>
      <c r="C16" s="179" t="str">
        <v>B</v>
      </c>
      <c r="D16" s="252">
        <v>15</v>
      </c>
      <c r="E16" s="253">
        <v>4305</v>
      </c>
      <c r="F16" s="252" t="str">
        <v>B</v>
      </c>
      <c r="G16" s="179">
        <v>15</v>
      </c>
      <c r="H16" s="179">
        <v>7368</v>
      </c>
      <c r="I16" s="256" t="str">
        <v>B</v>
      </c>
      <c r="J16" s="253">
        <v>15</v>
      </c>
      <c r="K16" s="253">
        <v>6825</v>
      </c>
      <c r="L16" s="253" t="str">
        <v>B</v>
      </c>
      <c r="M16" s="179">
        <v>15</v>
      </c>
      <c r="N16" s="179">
        <v>10500</v>
      </c>
      <c r="O16" s="256" t="str">
        <v>B</v>
      </c>
      <c r="Q16">
        <v>1</v>
      </c>
      <c r="R16" t="s">
        <v>155</v>
      </c>
      <c r="S16" t="s">
        <v>23</v>
      </c>
      <c r="T16" t="s">
        <v>156</v>
      </c>
      <c r="U16">
        <v>750491</v>
      </c>
      <c r="V16" t="s">
        <v>157</v>
      </c>
      <c r="W16" t="s">
        <v>156</v>
      </c>
      <c r="X16">
        <v>968719300</v>
      </c>
      <c r="Y16" t="s">
        <v>158</v>
      </c>
      <c r="Z16" t="s">
        <v>156</v>
      </c>
      <c r="AA16" t="s">
        <v>159</v>
      </c>
      <c r="AB16" t="s">
        <v>160</v>
      </c>
      <c r="AC16" t="s">
        <v>156</v>
      </c>
      <c r="AD16">
        <v>750491</v>
      </c>
      <c r="AE16" t="s">
        <v>161</v>
      </c>
      <c r="AF16" t="s">
        <v>156</v>
      </c>
      <c r="AG16" t="s">
        <v>159</v>
      </c>
      <c r="AH16" t="s">
        <v>162</v>
      </c>
      <c r="AI16" t="s">
        <v>156</v>
      </c>
      <c r="AJ16" t="s">
        <v>159</v>
      </c>
      <c r="AK16" t="s">
        <v>163</v>
      </c>
      <c r="AL16" t="s">
        <v>156</v>
      </c>
      <c r="AM16" t="s">
        <v>159</v>
      </c>
    </row>
    <row r="17" spans="1:39">
      <c r="A17" s="179">
        <v>20</v>
      </c>
      <c r="B17" s="179">
        <v>5100</v>
      </c>
      <c r="C17" s="179" t="str">
        <v>B</v>
      </c>
      <c r="D17" s="252">
        <v>20</v>
      </c>
      <c r="E17" s="253">
        <v>9450</v>
      </c>
      <c r="F17" s="252" t="str">
        <v>B</v>
      </c>
      <c r="G17" s="179">
        <v>20</v>
      </c>
      <c r="H17" s="179">
        <v>6600</v>
      </c>
      <c r="I17" s="256" t="str">
        <v>B</v>
      </c>
      <c r="J17" s="253">
        <v>20</v>
      </c>
      <c r="K17" s="253">
        <v>7140</v>
      </c>
      <c r="L17" s="253" t="str">
        <v>B</v>
      </c>
      <c r="M17" s="179">
        <v>20</v>
      </c>
      <c r="N17" s="179">
        <v>2940</v>
      </c>
      <c r="O17" s="256" t="str">
        <v>B</v>
      </c>
      <c r="Q17">
        <v>1</v>
      </c>
      <c r="R17" t="s">
        <v>155</v>
      </c>
      <c r="S17" t="s">
        <v>207</v>
      </c>
      <c r="T17" t="s">
        <v>156</v>
      </c>
      <c r="U17">
        <v>749839</v>
      </c>
      <c r="V17" t="s">
        <v>157</v>
      </c>
      <c r="W17" t="s">
        <v>156</v>
      </c>
      <c r="X17">
        <v>1451040000</v>
      </c>
      <c r="Y17" t="s">
        <v>158</v>
      </c>
      <c r="Z17" t="s">
        <v>156</v>
      </c>
      <c r="AA17" t="s">
        <v>159</v>
      </c>
      <c r="AB17" t="s">
        <v>160</v>
      </c>
      <c r="AC17" t="s">
        <v>156</v>
      </c>
      <c r="AD17">
        <v>262598</v>
      </c>
      <c r="AE17" t="s">
        <v>161</v>
      </c>
      <c r="AF17" t="s">
        <v>156</v>
      </c>
      <c r="AG17" t="s">
        <v>159</v>
      </c>
      <c r="AH17" t="s">
        <v>162</v>
      </c>
      <c r="AI17" t="s">
        <v>156</v>
      </c>
      <c r="AJ17" t="s">
        <v>159</v>
      </c>
      <c r="AK17" t="s">
        <v>163</v>
      </c>
      <c r="AL17" t="s">
        <v>156</v>
      </c>
      <c r="AM17" t="s">
        <v>159</v>
      </c>
    </row>
    <row r="18" spans="1:39">
      <c r="A18" s="179">
        <v>25</v>
      </c>
      <c r="B18" s="179">
        <v>1695</v>
      </c>
      <c r="C18" s="179" t="str">
        <v>B</v>
      </c>
      <c r="D18" s="252">
        <v>25</v>
      </c>
      <c r="E18" s="253">
        <v>2550</v>
      </c>
      <c r="F18" s="252" t="str">
        <v>B</v>
      </c>
      <c r="G18" s="179">
        <v>25</v>
      </c>
      <c r="H18" s="179">
        <v>1650</v>
      </c>
      <c r="I18" s="256" t="str">
        <v>B</v>
      </c>
      <c r="J18" s="253">
        <v>25</v>
      </c>
      <c r="K18" s="253">
        <v>3381</v>
      </c>
      <c r="L18" s="253" t="str">
        <v>B</v>
      </c>
      <c r="M18" s="179">
        <v>25</v>
      </c>
      <c r="N18" s="179">
        <v>765</v>
      </c>
      <c r="O18" s="256" t="str">
        <v>B</v>
      </c>
      <c r="Q18">
        <v>1</v>
      </c>
      <c r="R18" t="s">
        <v>155</v>
      </c>
      <c r="S18" t="s">
        <v>208</v>
      </c>
      <c r="T18" t="s">
        <v>156</v>
      </c>
      <c r="U18">
        <v>509765</v>
      </c>
      <c r="V18" t="s">
        <v>157</v>
      </c>
      <c r="W18" t="s">
        <v>156</v>
      </c>
      <c r="X18">
        <v>1244903600</v>
      </c>
      <c r="Y18" t="s">
        <v>158</v>
      </c>
      <c r="Z18" t="s">
        <v>156</v>
      </c>
      <c r="AA18" t="s">
        <v>159</v>
      </c>
      <c r="AB18" t="s">
        <v>160</v>
      </c>
      <c r="AC18" t="s">
        <v>156</v>
      </c>
      <c r="AD18">
        <v>46891</v>
      </c>
      <c r="AE18" t="s">
        <v>161</v>
      </c>
      <c r="AF18" t="s">
        <v>156</v>
      </c>
      <c r="AG18" t="s">
        <v>159</v>
      </c>
      <c r="AH18" t="s">
        <v>162</v>
      </c>
      <c r="AI18" t="s">
        <v>156</v>
      </c>
      <c r="AJ18" t="s">
        <v>159</v>
      </c>
      <c r="AK18" t="s">
        <v>163</v>
      </c>
      <c r="AL18" t="s">
        <v>156</v>
      </c>
      <c r="AM18" t="s">
        <v>159</v>
      </c>
    </row>
    <row r="19" spans="1:39">
      <c r="A19" s="179">
        <v>30</v>
      </c>
      <c r="B19" s="179">
        <v>0</v>
      </c>
      <c r="C19" s="179" t="str">
        <v>B</v>
      </c>
      <c r="D19" s="252">
        <v>30</v>
      </c>
      <c r="E19" s="253">
        <v>2700</v>
      </c>
      <c r="F19" s="252" t="str">
        <v>B</v>
      </c>
      <c r="G19" s="179">
        <v>30</v>
      </c>
      <c r="H19" s="179">
        <v>0</v>
      </c>
      <c r="I19" s="256" t="str">
        <v>B</v>
      </c>
      <c r="J19" s="253">
        <v>30</v>
      </c>
      <c r="K19" s="253">
        <v>1500</v>
      </c>
      <c r="L19" s="253" t="str">
        <v>B</v>
      </c>
      <c r="M19" s="179">
        <v>30</v>
      </c>
      <c r="N19" s="179">
        <v>389</v>
      </c>
      <c r="O19" s="256" t="str">
        <v>B</v>
      </c>
      <c r="Q19">
        <v>1</v>
      </c>
      <c r="R19" t="s">
        <v>155</v>
      </c>
      <c r="S19" t="s">
        <v>209</v>
      </c>
      <c r="T19" t="s">
        <v>156</v>
      </c>
      <c r="U19">
        <v>169621</v>
      </c>
      <c r="V19" t="s">
        <v>157</v>
      </c>
      <c r="W19" t="s">
        <v>156</v>
      </c>
      <c r="X19">
        <v>503892600</v>
      </c>
      <c r="Y19" t="s">
        <v>158</v>
      </c>
      <c r="Z19" t="s">
        <v>156</v>
      </c>
      <c r="AA19" t="s">
        <v>159</v>
      </c>
      <c r="AB19" t="s">
        <v>160</v>
      </c>
      <c r="AC19" t="s">
        <v>156</v>
      </c>
      <c r="AD19">
        <v>18829</v>
      </c>
      <c r="AE19" t="s">
        <v>161</v>
      </c>
      <c r="AF19" t="s">
        <v>156</v>
      </c>
      <c r="AG19" t="s">
        <v>159</v>
      </c>
      <c r="AH19" t="s">
        <v>162</v>
      </c>
      <c r="AI19" t="s">
        <v>156</v>
      </c>
      <c r="AJ19" t="s">
        <v>159</v>
      </c>
      <c r="AK19" t="s">
        <v>163</v>
      </c>
      <c r="AL19" t="s">
        <v>156</v>
      </c>
      <c r="AM19" t="s">
        <v>159</v>
      </c>
    </row>
    <row r="20" spans="1:39">
      <c r="A20" s="179">
        <v>35</v>
      </c>
      <c r="B20" s="179">
        <v>0</v>
      </c>
      <c r="C20" s="179" t="str">
        <v>B</v>
      </c>
      <c r="D20" s="252">
        <v>35</v>
      </c>
      <c r="E20" s="253">
        <v>0</v>
      </c>
      <c r="F20" s="252" t="str">
        <v>B</v>
      </c>
      <c r="G20" s="179">
        <v>35</v>
      </c>
      <c r="H20" s="179">
        <v>0</v>
      </c>
      <c r="I20" s="256" t="str">
        <v>B</v>
      </c>
      <c r="J20" s="253">
        <v>35</v>
      </c>
      <c r="K20" s="253">
        <v>2550</v>
      </c>
      <c r="L20" s="253" t="str">
        <v>B</v>
      </c>
      <c r="M20" s="179">
        <v>35</v>
      </c>
      <c r="N20" s="179">
        <v>278</v>
      </c>
      <c r="O20" s="256" t="str">
        <v>B</v>
      </c>
      <c r="Q20">
        <v>1</v>
      </c>
      <c r="R20" t="s">
        <v>155</v>
      </c>
      <c r="S20" t="s">
        <v>210</v>
      </c>
      <c r="T20" t="s">
        <v>156</v>
      </c>
      <c r="U20">
        <v>539156</v>
      </c>
      <c r="V20" t="s">
        <v>157</v>
      </c>
      <c r="W20" t="s">
        <v>156</v>
      </c>
      <c r="X20">
        <v>2695780000</v>
      </c>
      <c r="Y20" t="s">
        <v>158</v>
      </c>
      <c r="Z20" t="s">
        <v>156</v>
      </c>
      <c r="AA20" t="s">
        <v>159</v>
      </c>
      <c r="AB20" t="s">
        <v>160</v>
      </c>
      <c r="AC20" t="s">
        <v>156</v>
      </c>
      <c r="AD20">
        <v>59535</v>
      </c>
      <c r="AE20" t="s">
        <v>161</v>
      </c>
      <c r="AF20" t="s">
        <v>156</v>
      </c>
      <c r="AG20" t="s">
        <v>159</v>
      </c>
      <c r="AH20" t="s">
        <v>162</v>
      </c>
      <c r="AI20" t="s">
        <v>156</v>
      </c>
      <c r="AJ20" t="s">
        <v>159</v>
      </c>
      <c r="AK20" t="s">
        <v>163</v>
      </c>
      <c r="AL20" t="s">
        <v>156</v>
      </c>
      <c r="AM20" t="s">
        <v>159</v>
      </c>
    </row>
    <row r="21" spans="1:39">
      <c r="A21" s="179">
        <v>40</v>
      </c>
      <c r="B21" s="179">
        <v>0</v>
      </c>
      <c r="C21" s="179" t="str">
        <v>B</v>
      </c>
      <c r="D21" s="252">
        <v>40</v>
      </c>
      <c r="E21" s="253">
        <v>0</v>
      </c>
      <c r="F21" s="252" t="str">
        <v>B</v>
      </c>
      <c r="G21" s="179">
        <v>40</v>
      </c>
      <c r="H21" s="179">
        <v>0</v>
      </c>
      <c r="I21" s="256" t="str">
        <v>B</v>
      </c>
      <c r="J21" s="253">
        <v>40</v>
      </c>
      <c r="K21" s="253">
        <v>1050</v>
      </c>
      <c r="L21" s="253" t="str">
        <v>B</v>
      </c>
      <c r="M21" s="179">
        <v>40</v>
      </c>
      <c r="N21" s="179">
        <v>777</v>
      </c>
      <c r="O21" s="256" t="str">
        <v>B</v>
      </c>
      <c r="Q21">
        <v>1</v>
      </c>
      <c r="R21" t="s">
        <v>155</v>
      </c>
      <c r="S21" t="s">
        <v>211</v>
      </c>
      <c r="T21" t="s">
        <v>156</v>
      </c>
      <c r="U21">
        <v>180209</v>
      </c>
      <c r="V21" t="s">
        <v>157</v>
      </c>
      <c r="W21" t="s">
        <v>156</v>
      </c>
      <c r="X21">
        <v>990081500</v>
      </c>
      <c r="Y21" t="s">
        <v>158</v>
      </c>
      <c r="Z21" t="s">
        <v>156</v>
      </c>
      <c r="AA21" t="s">
        <v>159</v>
      </c>
      <c r="AB21" t="s">
        <v>160</v>
      </c>
      <c r="AC21" t="s">
        <v>156</v>
      </c>
      <c r="AD21">
        <v>146376</v>
      </c>
      <c r="AE21" t="s">
        <v>161</v>
      </c>
      <c r="AF21" t="s">
        <v>156</v>
      </c>
      <c r="AG21" t="s">
        <v>159</v>
      </c>
      <c r="AH21" t="s">
        <v>162</v>
      </c>
      <c r="AI21" t="s">
        <v>156</v>
      </c>
      <c r="AJ21" t="s">
        <v>159</v>
      </c>
      <c r="AK21" t="s">
        <v>163</v>
      </c>
      <c r="AL21" t="s">
        <v>156</v>
      </c>
      <c r="AM21" t="s">
        <v>159</v>
      </c>
    </row>
    <row r="22" spans="1:39">
      <c r="A22" s="179">
        <v>45</v>
      </c>
      <c r="B22" s="179">
        <v>5400</v>
      </c>
      <c r="C22" s="179" t="str">
        <v>B</v>
      </c>
      <c r="D22" s="252">
        <v>45</v>
      </c>
      <c r="E22" s="253">
        <v>8265</v>
      </c>
      <c r="F22" s="252" t="str">
        <v>B</v>
      </c>
      <c r="G22" s="179">
        <v>45</v>
      </c>
      <c r="H22" s="179">
        <v>2610</v>
      </c>
      <c r="I22" s="256" t="str">
        <v>B</v>
      </c>
      <c r="J22" s="253">
        <v>45</v>
      </c>
      <c r="K22" s="253">
        <v>5700</v>
      </c>
      <c r="L22" s="253" t="str">
        <v>B</v>
      </c>
      <c r="M22" s="179">
        <v>45</v>
      </c>
      <c r="N22" s="179">
        <v>1388</v>
      </c>
      <c r="O22" s="256" t="str">
        <v>B</v>
      </c>
      <c r="Q22">
        <v>1</v>
      </c>
      <c r="R22" t="s">
        <v>155</v>
      </c>
      <c r="S22" t="s">
        <v>212</v>
      </c>
      <c r="T22" t="s">
        <v>156</v>
      </c>
      <c r="U22">
        <v>9852</v>
      </c>
      <c r="V22" t="s">
        <v>157</v>
      </c>
      <c r="W22" t="s">
        <v>156</v>
      </c>
      <c r="X22">
        <v>98520000</v>
      </c>
      <c r="Y22" t="s">
        <v>158</v>
      </c>
      <c r="Z22" t="s">
        <v>156</v>
      </c>
      <c r="AA22" t="s">
        <v>159</v>
      </c>
      <c r="AB22" t="s">
        <v>160</v>
      </c>
      <c r="AC22" t="s">
        <v>156</v>
      </c>
      <c r="AD22">
        <v>3425</v>
      </c>
      <c r="AE22" t="s">
        <v>161</v>
      </c>
      <c r="AF22" t="s">
        <v>156</v>
      </c>
      <c r="AG22" t="s">
        <v>159</v>
      </c>
      <c r="AH22" t="s">
        <v>162</v>
      </c>
      <c r="AI22" t="s">
        <v>156</v>
      </c>
      <c r="AJ22" t="s">
        <v>159</v>
      </c>
      <c r="AK22" t="s">
        <v>163</v>
      </c>
      <c r="AL22" t="s">
        <v>156</v>
      </c>
      <c r="AM22" t="s">
        <v>159</v>
      </c>
    </row>
    <row r="23" spans="1:39">
      <c r="A23" s="179">
        <v>50</v>
      </c>
      <c r="B23" s="179">
        <v>1800</v>
      </c>
      <c r="C23" s="179" t="str">
        <v>B</v>
      </c>
      <c r="D23" s="252">
        <v>50</v>
      </c>
      <c r="E23" s="253">
        <v>0</v>
      </c>
      <c r="F23" s="252" t="str">
        <v>B</v>
      </c>
      <c r="G23" s="179">
        <v>50</v>
      </c>
      <c r="H23" s="179">
        <v>5370</v>
      </c>
      <c r="I23" s="256" t="str">
        <v>B</v>
      </c>
      <c r="J23" s="253">
        <v>50</v>
      </c>
      <c r="K23" s="253">
        <v>0</v>
      </c>
      <c r="L23" s="253" t="str">
        <v>B</v>
      </c>
      <c r="M23" s="179">
        <v>50</v>
      </c>
      <c r="N23" s="179">
        <v>4350</v>
      </c>
      <c r="O23" s="256" t="str">
        <v>B</v>
      </c>
      <c r="Q23">
        <v>1</v>
      </c>
      <c r="R23" t="s">
        <v>155</v>
      </c>
      <c r="S23" t="s">
        <v>213</v>
      </c>
      <c r="T23" t="s">
        <v>156</v>
      </c>
      <c r="U23">
        <v>10551</v>
      </c>
      <c r="V23" t="s">
        <v>157</v>
      </c>
      <c r="W23" t="s">
        <v>156</v>
      </c>
      <c r="X23">
        <v>112345800</v>
      </c>
      <c r="Y23" t="s">
        <v>158</v>
      </c>
      <c r="Z23" t="s">
        <v>156</v>
      </c>
      <c r="AA23" t="s">
        <v>159</v>
      </c>
      <c r="AB23" t="s">
        <v>160</v>
      </c>
      <c r="AC23" t="s">
        <v>156</v>
      </c>
      <c r="AD23">
        <v>7902</v>
      </c>
      <c r="AE23" t="s">
        <v>161</v>
      </c>
      <c r="AF23" t="s">
        <v>156</v>
      </c>
      <c r="AG23" t="s">
        <v>159</v>
      </c>
      <c r="AH23" t="s">
        <v>162</v>
      </c>
      <c r="AI23" t="s">
        <v>156</v>
      </c>
      <c r="AJ23" t="s">
        <v>159</v>
      </c>
      <c r="AK23" t="s">
        <v>163</v>
      </c>
      <c r="AL23" t="s">
        <v>156</v>
      </c>
      <c r="AM23" t="s">
        <v>159</v>
      </c>
    </row>
    <row r="24" spans="1:39">
      <c r="A24" s="179">
        <v>60</v>
      </c>
      <c r="B24" s="179">
        <v>0</v>
      </c>
      <c r="C24" s="179" t="str">
        <v>B</v>
      </c>
      <c r="D24" s="252">
        <v>60</v>
      </c>
      <c r="E24" s="253">
        <v>0</v>
      </c>
      <c r="F24" s="252" t="str">
        <v>B</v>
      </c>
      <c r="G24" s="179">
        <v>60</v>
      </c>
      <c r="H24" s="179">
        <v>0</v>
      </c>
      <c r="I24" s="256" t="str">
        <v>B</v>
      </c>
      <c r="J24" s="253">
        <v>60</v>
      </c>
      <c r="K24" s="253">
        <v>0</v>
      </c>
      <c r="L24" s="253" t="str">
        <v>B</v>
      </c>
      <c r="M24" s="179">
        <v>60</v>
      </c>
      <c r="N24" s="179">
        <v>0</v>
      </c>
      <c r="O24" s="256" t="str">
        <v>B</v>
      </c>
      <c r="Q24">
        <v>1</v>
      </c>
      <c r="R24" t="s">
        <v>155</v>
      </c>
      <c r="S24" t="s">
        <v>214</v>
      </c>
      <c r="T24" t="s">
        <v>156</v>
      </c>
      <c r="U24">
        <v>205</v>
      </c>
      <c r="V24" t="s">
        <v>157</v>
      </c>
      <c r="W24" t="s">
        <v>156</v>
      </c>
      <c r="X24">
        <v>10250000</v>
      </c>
      <c r="Y24" t="s">
        <v>158</v>
      </c>
      <c r="Z24" t="s">
        <v>156</v>
      </c>
      <c r="AA24" t="s">
        <v>159</v>
      </c>
      <c r="AB24" t="s">
        <v>160</v>
      </c>
      <c r="AC24" t="s">
        <v>156</v>
      </c>
      <c r="AD24" t="s">
        <v>159</v>
      </c>
      <c r="AE24" t="s">
        <v>161</v>
      </c>
      <c r="AF24" t="s">
        <v>156</v>
      </c>
      <c r="AG24" t="s">
        <v>159</v>
      </c>
      <c r="AH24" t="s">
        <v>162</v>
      </c>
      <c r="AI24" t="s">
        <v>156</v>
      </c>
      <c r="AJ24" t="s">
        <v>159</v>
      </c>
      <c r="AK24" t="s">
        <v>163</v>
      </c>
      <c r="AL24" t="s">
        <v>156</v>
      </c>
      <c r="AM24" t="s">
        <v>159</v>
      </c>
    </row>
    <row r="25" spans="1:39">
      <c r="A25" s="179">
        <v>70</v>
      </c>
      <c r="B25" s="179">
        <v>0</v>
      </c>
      <c r="C25" s="179" t="str">
        <v>B</v>
      </c>
      <c r="D25" s="252">
        <v>70</v>
      </c>
      <c r="E25" s="253">
        <v>0</v>
      </c>
      <c r="F25" s="252" t="str">
        <v>B</v>
      </c>
      <c r="G25" s="179">
        <v>70</v>
      </c>
      <c r="H25" s="179">
        <v>0</v>
      </c>
      <c r="I25" s="256" t="str">
        <v>B</v>
      </c>
      <c r="J25" s="253">
        <v>70</v>
      </c>
      <c r="K25" s="253">
        <v>0</v>
      </c>
      <c r="L25" s="253" t="str">
        <v>B</v>
      </c>
      <c r="M25" s="179">
        <v>70</v>
      </c>
      <c r="N25" s="179">
        <v>0</v>
      </c>
      <c r="O25" s="256" t="str">
        <v>B</v>
      </c>
    </row>
    <row r="26" spans="1:39">
      <c r="A26" s="179">
        <v>80</v>
      </c>
      <c r="B26" s="179">
        <v>0</v>
      </c>
      <c r="C26" s="179" t="str">
        <v>B</v>
      </c>
      <c r="D26" s="252">
        <v>80</v>
      </c>
      <c r="E26" s="253">
        <v>0</v>
      </c>
      <c r="F26" s="252" t="str">
        <v>B</v>
      </c>
      <c r="G26" s="179">
        <v>80</v>
      </c>
      <c r="H26" s="179">
        <v>0</v>
      </c>
      <c r="I26" s="256" t="str">
        <v>B</v>
      </c>
      <c r="J26" s="253">
        <v>80</v>
      </c>
      <c r="K26" s="253">
        <v>0</v>
      </c>
      <c r="L26" s="253" t="str">
        <v>B</v>
      </c>
      <c r="M26" s="179">
        <v>80</v>
      </c>
      <c r="N26" s="179">
        <v>0</v>
      </c>
      <c r="O26" s="256" t="str">
        <v>B</v>
      </c>
      <c r="Q26">
        <v>5</v>
      </c>
      <c r="R26" t="s">
        <v>155</v>
      </c>
      <c r="S26" t="s">
        <v>203</v>
      </c>
      <c r="T26" t="s">
        <v>156</v>
      </c>
      <c r="U26">
        <v>9789906</v>
      </c>
      <c r="V26" t="s">
        <v>157</v>
      </c>
      <c r="W26" t="s">
        <v>156</v>
      </c>
      <c r="X26">
        <v>3645464700</v>
      </c>
      <c r="Y26" t="s">
        <v>158</v>
      </c>
      <c r="Z26" t="s">
        <v>156</v>
      </c>
      <c r="AA26" t="s">
        <v>159</v>
      </c>
      <c r="AB26" t="s">
        <v>160</v>
      </c>
      <c r="AC26" t="s">
        <v>156</v>
      </c>
      <c r="AD26">
        <v>1451276</v>
      </c>
      <c r="AE26" t="s">
        <v>161</v>
      </c>
      <c r="AF26" t="s">
        <v>156</v>
      </c>
      <c r="AG26" t="s">
        <v>159</v>
      </c>
      <c r="AH26" t="s">
        <v>162</v>
      </c>
      <c r="AI26" t="s">
        <v>156</v>
      </c>
      <c r="AJ26" t="s">
        <v>159</v>
      </c>
      <c r="AK26" t="s">
        <v>163</v>
      </c>
      <c r="AL26" t="s">
        <v>156</v>
      </c>
      <c r="AM26" t="s">
        <v>159</v>
      </c>
    </row>
    <row r="27" spans="1:39">
      <c r="A27" s="179">
        <v>90</v>
      </c>
      <c r="B27" s="179">
        <v>98</v>
      </c>
      <c r="C27" s="179" t="str">
        <v>B</v>
      </c>
      <c r="D27" s="252">
        <v>90</v>
      </c>
      <c r="E27" s="253">
        <v>138</v>
      </c>
      <c r="F27" s="252" t="str">
        <v>B</v>
      </c>
      <c r="G27" s="179">
        <v>90</v>
      </c>
      <c r="H27" s="179">
        <v>110</v>
      </c>
      <c r="I27" s="256" t="str">
        <v>B</v>
      </c>
      <c r="J27" s="253">
        <v>90</v>
      </c>
      <c r="K27" s="253">
        <v>30</v>
      </c>
      <c r="L27" s="253" t="str">
        <v>B</v>
      </c>
      <c r="M27" s="179">
        <v>90</v>
      </c>
      <c r="N27" s="179">
        <v>56</v>
      </c>
      <c r="O27" s="256" t="str">
        <v>B</v>
      </c>
      <c r="Q27">
        <v>5</v>
      </c>
      <c r="R27" t="s">
        <v>155</v>
      </c>
      <c r="S27" t="s">
        <v>204</v>
      </c>
      <c r="T27" t="s">
        <v>156</v>
      </c>
      <c r="U27">
        <v>300187</v>
      </c>
      <c r="V27" t="s">
        <v>157</v>
      </c>
      <c r="W27" t="s">
        <v>156</v>
      </c>
      <c r="X27">
        <v>273465800</v>
      </c>
      <c r="Y27" t="s">
        <v>158</v>
      </c>
      <c r="Z27" t="s">
        <v>156</v>
      </c>
      <c r="AA27" t="s">
        <v>159</v>
      </c>
      <c r="AB27" t="s">
        <v>160</v>
      </c>
      <c r="AC27" t="s">
        <v>156</v>
      </c>
      <c r="AD27">
        <v>131738</v>
      </c>
      <c r="AE27" t="s">
        <v>161</v>
      </c>
      <c r="AF27" t="s">
        <v>156</v>
      </c>
      <c r="AG27" t="s">
        <v>159</v>
      </c>
      <c r="AH27" t="s">
        <v>162</v>
      </c>
      <c r="AI27" t="s">
        <v>156</v>
      </c>
      <c r="AJ27" t="s">
        <v>159</v>
      </c>
      <c r="AK27" t="s">
        <v>163</v>
      </c>
      <c r="AL27" t="s">
        <v>156</v>
      </c>
      <c r="AM27" t="s">
        <v>159</v>
      </c>
    </row>
    <row r="28" spans="1:39">
      <c r="A28" s="179">
        <v>100</v>
      </c>
      <c r="B28" s="179">
        <v>105</v>
      </c>
      <c r="C28" s="179" t="str">
        <v>B</v>
      </c>
      <c r="D28" s="252">
        <v>100</v>
      </c>
      <c r="E28" s="253">
        <v>68</v>
      </c>
      <c r="F28" s="252" t="str">
        <v>B</v>
      </c>
      <c r="G28" s="179">
        <v>100</v>
      </c>
      <c r="H28" s="179">
        <v>150</v>
      </c>
      <c r="I28" s="256" t="str">
        <v>B</v>
      </c>
      <c r="J28" s="253">
        <v>100</v>
      </c>
      <c r="K28" s="253">
        <v>90</v>
      </c>
      <c r="L28" s="253" t="str">
        <v>B</v>
      </c>
      <c r="M28" s="179">
        <v>100</v>
      </c>
      <c r="N28" s="179">
        <v>111</v>
      </c>
      <c r="O28" s="256" t="str">
        <v>B</v>
      </c>
      <c r="Q28">
        <v>5</v>
      </c>
      <c r="R28" t="s">
        <v>155</v>
      </c>
      <c r="S28" t="s">
        <v>21</v>
      </c>
      <c r="T28" t="s">
        <v>156</v>
      </c>
      <c r="U28">
        <v>599434</v>
      </c>
      <c r="V28" t="s">
        <v>157</v>
      </c>
      <c r="W28" t="s">
        <v>156</v>
      </c>
      <c r="X28">
        <v>766524100</v>
      </c>
      <c r="Y28" t="s">
        <v>158</v>
      </c>
      <c r="Z28" t="s">
        <v>156</v>
      </c>
      <c r="AA28" t="s">
        <v>159</v>
      </c>
      <c r="AB28" t="s">
        <v>160</v>
      </c>
      <c r="AC28" t="s">
        <v>156</v>
      </c>
      <c r="AD28">
        <v>599434</v>
      </c>
      <c r="AE28" t="s">
        <v>161</v>
      </c>
      <c r="AF28" t="s">
        <v>156</v>
      </c>
      <c r="AG28" t="s">
        <v>159</v>
      </c>
      <c r="AH28" t="s">
        <v>162</v>
      </c>
      <c r="AI28" t="s">
        <v>156</v>
      </c>
      <c r="AJ28" t="s">
        <v>159</v>
      </c>
      <c r="AK28" t="s">
        <v>163</v>
      </c>
      <c r="AL28" t="s">
        <v>156</v>
      </c>
      <c r="AM28" t="s">
        <v>159</v>
      </c>
    </row>
    <row r="29" spans="1:39">
      <c r="A29" s="179">
        <v>120</v>
      </c>
      <c r="B29" s="179">
        <v>0</v>
      </c>
      <c r="C29" s="179" t="str">
        <v>B</v>
      </c>
      <c r="D29" s="252">
        <v>120</v>
      </c>
      <c r="E29" s="253">
        <v>0</v>
      </c>
      <c r="F29" s="252" t="str">
        <v>B</v>
      </c>
      <c r="G29" s="179">
        <v>120</v>
      </c>
      <c r="H29" s="179">
        <v>0</v>
      </c>
      <c r="I29" s="256" t="str">
        <v>B</v>
      </c>
      <c r="J29" s="253">
        <v>120</v>
      </c>
      <c r="K29" s="253">
        <v>0</v>
      </c>
      <c r="L29" s="253" t="str">
        <v>B</v>
      </c>
      <c r="M29" s="179">
        <v>120</v>
      </c>
      <c r="N29" s="179">
        <v>0</v>
      </c>
      <c r="O29" s="256" t="str">
        <v>B</v>
      </c>
      <c r="Q29">
        <v>5</v>
      </c>
      <c r="R29" t="s">
        <v>155</v>
      </c>
      <c r="S29" t="s">
        <v>205</v>
      </c>
      <c r="T29" t="s">
        <v>156</v>
      </c>
      <c r="U29">
        <v>4500174</v>
      </c>
      <c r="V29" t="s">
        <v>157</v>
      </c>
      <c r="W29" t="s">
        <v>156</v>
      </c>
      <c r="X29">
        <v>10920661900</v>
      </c>
      <c r="Y29" t="s">
        <v>158</v>
      </c>
      <c r="Z29" t="s">
        <v>156</v>
      </c>
      <c r="AA29">
        <v>547632</v>
      </c>
      <c r="AB29" t="s">
        <v>160</v>
      </c>
      <c r="AC29" t="s">
        <v>156</v>
      </c>
      <c r="AD29">
        <v>395533</v>
      </c>
      <c r="AE29" t="s">
        <v>161</v>
      </c>
      <c r="AF29" t="s">
        <v>156</v>
      </c>
      <c r="AG29" t="s">
        <v>159</v>
      </c>
      <c r="AH29" t="s">
        <v>162</v>
      </c>
      <c r="AI29" t="s">
        <v>156</v>
      </c>
      <c r="AJ29" t="s">
        <v>159</v>
      </c>
      <c r="AK29" t="s">
        <v>163</v>
      </c>
      <c r="AL29" t="s">
        <v>156</v>
      </c>
      <c r="AM29" t="s">
        <v>159</v>
      </c>
    </row>
    <row r="30" spans="1:39">
      <c r="A30" s="179">
        <v>140</v>
      </c>
      <c r="B30" s="179">
        <v>0</v>
      </c>
      <c r="C30" s="179" t="str">
        <v>B</v>
      </c>
      <c r="D30" s="252">
        <v>140</v>
      </c>
      <c r="E30" s="253">
        <v>0</v>
      </c>
      <c r="F30" s="252" t="str">
        <v>B</v>
      </c>
      <c r="G30" s="179">
        <v>140</v>
      </c>
      <c r="H30" s="179">
        <v>2</v>
      </c>
      <c r="I30" s="256" t="str">
        <v>B</v>
      </c>
      <c r="J30" s="253">
        <v>140</v>
      </c>
      <c r="K30" s="253">
        <v>0</v>
      </c>
      <c r="L30" s="253" t="str">
        <v>B</v>
      </c>
      <c r="M30" s="179">
        <v>140</v>
      </c>
      <c r="N30" s="179">
        <v>0</v>
      </c>
      <c r="O30" s="256" t="str">
        <v>B</v>
      </c>
      <c r="Q30">
        <v>5</v>
      </c>
      <c r="R30" t="s">
        <v>155</v>
      </c>
      <c r="S30" t="s">
        <v>22</v>
      </c>
      <c r="T30" t="s">
        <v>156</v>
      </c>
      <c r="U30">
        <v>154433</v>
      </c>
      <c r="V30" t="s">
        <v>157</v>
      </c>
      <c r="W30" t="s">
        <v>156</v>
      </c>
      <c r="X30">
        <v>447120600</v>
      </c>
      <c r="Y30" t="s">
        <v>158</v>
      </c>
      <c r="Z30" t="s">
        <v>156</v>
      </c>
      <c r="AA30">
        <v>64460</v>
      </c>
      <c r="AB30" t="s">
        <v>160</v>
      </c>
      <c r="AC30" t="s">
        <v>156</v>
      </c>
      <c r="AD30">
        <v>12463</v>
      </c>
      <c r="AE30" t="s">
        <v>161</v>
      </c>
      <c r="AF30" t="s">
        <v>156</v>
      </c>
      <c r="AG30" t="s">
        <v>159</v>
      </c>
      <c r="AH30" t="s">
        <v>162</v>
      </c>
      <c r="AI30" t="s">
        <v>156</v>
      </c>
      <c r="AJ30" t="s">
        <v>159</v>
      </c>
      <c r="AK30" t="s">
        <v>163</v>
      </c>
      <c r="AL30" t="s">
        <v>156</v>
      </c>
      <c r="AM30" t="s">
        <v>159</v>
      </c>
    </row>
    <row r="31" spans="1:39">
      <c r="A31" s="179">
        <v>160</v>
      </c>
      <c r="B31" s="179">
        <v>0</v>
      </c>
      <c r="C31" s="179" t="str">
        <v>B</v>
      </c>
      <c r="D31" s="252">
        <v>160</v>
      </c>
      <c r="E31" s="253">
        <v>0</v>
      </c>
      <c r="F31" s="252" t="str">
        <v>B</v>
      </c>
      <c r="G31" s="179">
        <v>160</v>
      </c>
      <c r="H31" s="179">
        <v>0</v>
      </c>
      <c r="I31" s="256" t="str">
        <v>B</v>
      </c>
      <c r="J31" s="253">
        <v>160</v>
      </c>
      <c r="K31" s="253">
        <v>0</v>
      </c>
      <c r="L31" s="253" t="str">
        <v>B</v>
      </c>
      <c r="M31" s="179">
        <v>160</v>
      </c>
      <c r="N31" s="179">
        <v>0</v>
      </c>
      <c r="O31" s="256" t="str">
        <v>B</v>
      </c>
      <c r="Q31">
        <v>5</v>
      </c>
      <c r="R31" t="s">
        <v>155</v>
      </c>
      <c r="S31" t="s">
        <v>206</v>
      </c>
      <c r="T31" t="s">
        <v>156</v>
      </c>
      <c r="U31">
        <v>763866</v>
      </c>
      <c r="V31" t="s">
        <v>157</v>
      </c>
      <c r="W31" t="s">
        <v>156</v>
      </c>
      <c r="X31">
        <v>3819330000</v>
      </c>
      <c r="Y31" t="s">
        <v>158</v>
      </c>
      <c r="Z31" t="s">
        <v>156</v>
      </c>
      <c r="AA31">
        <v>168486</v>
      </c>
      <c r="AB31" t="s">
        <v>160</v>
      </c>
      <c r="AC31" t="s">
        <v>156</v>
      </c>
      <c r="AD31">
        <v>88079</v>
      </c>
      <c r="AE31" t="s">
        <v>161</v>
      </c>
      <c r="AF31" t="s">
        <v>156</v>
      </c>
      <c r="AG31" t="s">
        <v>159</v>
      </c>
      <c r="AH31" t="s">
        <v>162</v>
      </c>
      <c r="AI31" t="s">
        <v>156</v>
      </c>
      <c r="AJ31" t="s">
        <v>159</v>
      </c>
      <c r="AK31" t="s">
        <v>163</v>
      </c>
      <c r="AL31" t="s">
        <v>156</v>
      </c>
      <c r="AM31" t="s">
        <v>159</v>
      </c>
    </row>
    <row r="32" spans="1:39">
      <c r="A32" s="179">
        <v>180</v>
      </c>
      <c r="B32" s="179">
        <v>0</v>
      </c>
      <c r="C32" s="179" t="str">
        <v>B</v>
      </c>
      <c r="D32" s="252">
        <v>180</v>
      </c>
      <c r="E32" s="253">
        <v>30</v>
      </c>
      <c r="F32" s="252" t="str">
        <v>B</v>
      </c>
      <c r="G32" s="179">
        <v>180</v>
      </c>
      <c r="H32" s="179">
        <v>51</v>
      </c>
      <c r="I32" s="256" t="str">
        <v>B</v>
      </c>
      <c r="J32" s="253">
        <v>180</v>
      </c>
      <c r="K32" s="253">
        <v>52</v>
      </c>
      <c r="L32" s="253" t="str">
        <v>B</v>
      </c>
      <c r="M32" s="179">
        <v>180</v>
      </c>
      <c r="N32" s="179">
        <v>45</v>
      </c>
      <c r="O32" s="256" t="str">
        <v>B</v>
      </c>
      <c r="Q32">
        <v>5</v>
      </c>
      <c r="R32" t="s">
        <v>155</v>
      </c>
      <c r="S32" t="s">
        <v>23</v>
      </c>
      <c r="T32" t="s">
        <v>156</v>
      </c>
      <c r="U32">
        <v>869364</v>
      </c>
      <c r="V32" t="s">
        <v>157</v>
      </c>
      <c r="W32" t="s">
        <v>156</v>
      </c>
      <c r="X32">
        <v>5266796600</v>
      </c>
      <c r="Y32" t="s">
        <v>158</v>
      </c>
      <c r="Z32" t="s">
        <v>156</v>
      </c>
      <c r="AA32">
        <v>220318</v>
      </c>
      <c r="AB32" t="s">
        <v>160</v>
      </c>
      <c r="AC32" t="s">
        <v>156</v>
      </c>
      <c r="AD32">
        <v>440883</v>
      </c>
      <c r="AE32" t="s">
        <v>161</v>
      </c>
      <c r="AF32" t="s">
        <v>156</v>
      </c>
      <c r="AG32" t="s">
        <v>159</v>
      </c>
      <c r="AH32" t="s">
        <v>162</v>
      </c>
      <c r="AI32" t="s">
        <v>156</v>
      </c>
      <c r="AJ32" t="s">
        <v>159</v>
      </c>
      <c r="AK32" t="s">
        <v>163</v>
      </c>
      <c r="AL32" t="s">
        <v>156</v>
      </c>
      <c r="AM32" t="s">
        <v>159</v>
      </c>
    </row>
    <row r="33" spans="1:39">
      <c r="A33" s="179">
        <v>200</v>
      </c>
      <c r="B33" s="179">
        <v>0</v>
      </c>
      <c r="C33" s="179" t="str">
        <v>B</v>
      </c>
      <c r="D33" s="252">
        <v>200</v>
      </c>
      <c r="E33" s="253">
        <v>15</v>
      </c>
      <c r="F33" s="252" t="str">
        <v>B</v>
      </c>
      <c r="G33" s="179">
        <v>200</v>
      </c>
      <c r="H33" s="179">
        <v>0</v>
      </c>
      <c r="I33" s="256" t="str">
        <v>B</v>
      </c>
      <c r="J33" s="253">
        <v>200</v>
      </c>
      <c r="K33" s="253">
        <v>0</v>
      </c>
      <c r="L33" s="253" t="str">
        <v>B</v>
      </c>
      <c r="M33" s="179">
        <v>200</v>
      </c>
      <c r="N33" s="179">
        <v>0</v>
      </c>
      <c r="O33" s="256" t="str">
        <v>B</v>
      </c>
      <c r="Q33">
        <v>5</v>
      </c>
      <c r="R33" t="s">
        <v>155</v>
      </c>
      <c r="S33" t="s">
        <v>207</v>
      </c>
      <c r="T33" t="s">
        <v>156</v>
      </c>
      <c r="U33">
        <v>431354</v>
      </c>
      <c r="V33" t="s">
        <v>157</v>
      </c>
      <c r="W33" t="s">
        <v>156</v>
      </c>
      <c r="X33">
        <v>3955755700</v>
      </c>
      <c r="Y33" t="s">
        <v>158</v>
      </c>
      <c r="Z33" t="s">
        <v>156</v>
      </c>
      <c r="AA33">
        <v>277720</v>
      </c>
      <c r="AB33" t="s">
        <v>160</v>
      </c>
      <c r="AC33" t="s">
        <v>156</v>
      </c>
      <c r="AD33">
        <v>37460</v>
      </c>
      <c r="AE33" t="s">
        <v>161</v>
      </c>
      <c r="AF33" t="s">
        <v>156</v>
      </c>
      <c r="AG33" t="s">
        <v>159</v>
      </c>
      <c r="AH33" t="s">
        <v>162</v>
      </c>
      <c r="AI33" t="s">
        <v>156</v>
      </c>
      <c r="AJ33" t="s">
        <v>159</v>
      </c>
      <c r="AK33" t="s">
        <v>163</v>
      </c>
      <c r="AL33" t="s">
        <v>156</v>
      </c>
      <c r="AM33" t="s">
        <v>159</v>
      </c>
    </row>
    <row r="34" spans="1:39">
      <c r="A34" s="179">
        <v>250</v>
      </c>
      <c r="B34" s="179">
        <v>0</v>
      </c>
      <c r="C34" s="179" t="str">
        <v>B</v>
      </c>
      <c r="D34" s="252">
        <v>250</v>
      </c>
      <c r="E34" s="253">
        <v>0</v>
      </c>
      <c r="F34" s="252" t="str">
        <v>B</v>
      </c>
      <c r="G34" s="179">
        <v>250</v>
      </c>
      <c r="H34" s="179">
        <v>0</v>
      </c>
      <c r="I34" s="256" t="str">
        <v>B</v>
      </c>
      <c r="J34" s="253">
        <v>250</v>
      </c>
      <c r="K34" s="253">
        <v>0</v>
      </c>
      <c r="L34" s="253" t="str">
        <v>B</v>
      </c>
      <c r="M34" s="179">
        <v>250</v>
      </c>
      <c r="N34" s="179">
        <v>0</v>
      </c>
      <c r="O34" s="256" t="str">
        <v>B</v>
      </c>
      <c r="Q34">
        <v>5</v>
      </c>
      <c r="R34" t="s">
        <v>155</v>
      </c>
      <c r="S34" t="s">
        <v>208</v>
      </c>
      <c r="T34" t="s">
        <v>156</v>
      </c>
      <c r="U34">
        <v>946060</v>
      </c>
      <c r="V34" t="s">
        <v>157</v>
      </c>
      <c r="W34" t="s">
        <v>156</v>
      </c>
      <c r="X34">
        <v>10166434700</v>
      </c>
      <c r="Y34" t="s">
        <v>158</v>
      </c>
      <c r="Z34" t="s">
        <v>156</v>
      </c>
      <c r="AA34">
        <v>213479</v>
      </c>
      <c r="AB34" t="s">
        <v>160</v>
      </c>
      <c r="AC34" t="s">
        <v>156</v>
      </c>
      <c r="AD34">
        <v>496752</v>
      </c>
      <c r="AE34" t="s">
        <v>161</v>
      </c>
      <c r="AF34" t="s">
        <v>156</v>
      </c>
      <c r="AG34" t="s">
        <v>159</v>
      </c>
      <c r="AH34" t="s">
        <v>162</v>
      </c>
      <c r="AI34" t="s">
        <v>156</v>
      </c>
      <c r="AJ34" t="s">
        <v>159</v>
      </c>
      <c r="AK34" t="s">
        <v>163</v>
      </c>
      <c r="AL34" t="s">
        <v>156</v>
      </c>
      <c r="AM34" t="s">
        <v>159</v>
      </c>
    </row>
    <row r="35" spans="1:39">
      <c r="A35" s="179">
        <v>300</v>
      </c>
      <c r="B35" s="179">
        <v>0</v>
      </c>
      <c r="C35" s="179" t="str">
        <v>B</v>
      </c>
      <c r="D35" s="252">
        <v>300</v>
      </c>
      <c r="E35" s="253">
        <v>5</v>
      </c>
      <c r="F35" s="252" t="str">
        <v>B</v>
      </c>
      <c r="G35" s="179">
        <v>300</v>
      </c>
      <c r="H35" s="179">
        <v>0</v>
      </c>
      <c r="I35" s="256" t="str">
        <v>B</v>
      </c>
      <c r="J35" s="253">
        <v>300</v>
      </c>
      <c r="K35" s="253">
        <v>0</v>
      </c>
      <c r="L35" s="253" t="str">
        <v>B</v>
      </c>
      <c r="M35" s="179">
        <v>300</v>
      </c>
      <c r="N35" s="179">
        <v>0</v>
      </c>
      <c r="O35" s="256" t="str">
        <v>B</v>
      </c>
      <c r="Q35">
        <v>5</v>
      </c>
      <c r="R35" t="s">
        <v>155</v>
      </c>
      <c r="S35" t="s">
        <v>209</v>
      </c>
      <c r="T35" t="s">
        <v>156</v>
      </c>
      <c r="U35">
        <v>255080</v>
      </c>
      <c r="V35" t="s">
        <v>157</v>
      </c>
      <c r="W35" t="s">
        <v>156</v>
      </c>
      <c r="X35">
        <v>3641477900</v>
      </c>
      <c r="Y35" t="s">
        <v>158</v>
      </c>
      <c r="Z35" t="s">
        <v>156</v>
      </c>
      <c r="AA35">
        <v>228780</v>
      </c>
      <c r="AB35" t="s">
        <v>160</v>
      </c>
      <c r="AC35" t="s">
        <v>156</v>
      </c>
      <c r="AD35">
        <v>26300</v>
      </c>
      <c r="AE35" t="s">
        <v>161</v>
      </c>
      <c r="AF35" t="s">
        <v>156</v>
      </c>
      <c r="AG35" t="s">
        <v>159</v>
      </c>
      <c r="AH35" t="s">
        <v>162</v>
      </c>
      <c r="AI35" t="s">
        <v>156</v>
      </c>
      <c r="AJ35" t="s">
        <v>159</v>
      </c>
      <c r="AK35" t="s">
        <v>163</v>
      </c>
      <c r="AL35" t="s">
        <v>156</v>
      </c>
      <c r="AM35" t="s">
        <v>159</v>
      </c>
    </row>
    <row r="36" spans="1:39">
      <c r="A36" s="179">
        <v>350</v>
      </c>
      <c r="B36" s="179">
        <v>0</v>
      </c>
      <c r="C36" s="179" t="str">
        <v>B</v>
      </c>
      <c r="D36" s="252">
        <v>350</v>
      </c>
      <c r="E36" s="253">
        <v>0</v>
      </c>
      <c r="F36" s="252" t="str">
        <v>B</v>
      </c>
      <c r="G36" s="179">
        <v>350</v>
      </c>
      <c r="H36" s="179">
        <v>0</v>
      </c>
      <c r="I36" s="256" t="str">
        <v>B</v>
      </c>
      <c r="J36" s="253">
        <v>350</v>
      </c>
      <c r="K36" s="253">
        <v>0</v>
      </c>
      <c r="L36" s="253" t="str">
        <v>B</v>
      </c>
      <c r="M36" s="179">
        <v>350</v>
      </c>
      <c r="N36" s="179">
        <v>0</v>
      </c>
      <c r="O36" s="256" t="str">
        <v>B</v>
      </c>
      <c r="Q36">
        <v>5</v>
      </c>
      <c r="R36" t="s">
        <v>155</v>
      </c>
      <c r="S36" t="s">
        <v>215</v>
      </c>
      <c r="T36" t="s">
        <v>156</v>
      </c>
      <c r="U36">
        <v>270974</v>
      </c>
      <c r="V36" t="s">
        <v>157</v>
      </c>
      <c r="W36" t="s">
        <v>156</v>
      </c>
      <c r="X36">
        <v>4241809500</v>
      </c>
      <c r="Y36" t="s">
        <v>158</v>
      </c>
      <c r="Z36" t="s">
        <v>156</v>
      </c>
      <c r="AA36">
        <v>164626</v>
      </c>
      <c r="AB36" t="s">
        <v>160</v>
      </c>
      <c r="AC36" t="s">
        <v>156</v>
      </c>
      <c r="AD36">
        <v>106348</v>
      </c>
      <c r="AE36" t="s">
        <v>161</v>
      </c>
      <c r="AF36" t="s">
        <v>156</v>
      </c>
      <c r="AG36" t="s">
        <v>159</v>
      </c>
      <c r="AH36" t="s">
        <v>162</v>
      </c>
      <c r="AI36" t="s">
        <v>156</v>
      </c>
      <c r="AJ36" t="s">
        <v>159</v>
      </c>
      <c r="AK36" t="s">
        <v>163</v>
      </c>
      <c r="AL36" t="s">
        <v>156</v>
      </c>
      <c r="AM36" t="s">
        <v>159</v>
      </c>
    </row>
    <row r="37" spans="1:39">
      <c r="A37" s="179">
        <v>400</v>
      </c>
      <c r="B37" s="179">
        <v>0</v>
      </c>
      <c r="C37" s="179" t="str">
        <v>B</v>
      </c>
      <c r="D37" s="252">
        <v>400</v>
      </c>
      <c r="E37" s="253">
        <v>0</v>
      </c>
      <c r="F37" s="252" t="str">
        <v>B</v>
      </c>
      <c r="G37" s="179">
        <v>400</v>
      </c>
      <c r="H37" s="179">
        <v>0</v>
      </c>
      <c r="I37" s="256" t="str">
        <v>B</v>
      </c>
      <c r="J37" s="253">
        <v>400</v>
      </c>
      <c r="K37" s="253">
        <v>0</v>
      </c>
      <c r="L37" s="253" t="str">
        <v>B</v>
      </c>
      <c r="M37" s="179">
        <v>400</v>
      </c>
      <c r="N37" s="179">
        <v>0</v>
      </c>
      <c r="O37" s="256" t="str">
        <v>B</v>
      </c>
      <c r="Q37">
        <v>5</v>
      </c>
      <c r="R37" t="s">
        <v>155</v>
      </c>
      <c r="S37" t="s">
        <v>210</v>
      </c>
      <c r="T37" t="s">
        <v>156</v>
      </c>
      <c r="U37">
        <v>827600</v>
      </c>
      <c r="V37" t="s">
        <v>157</v>
      </c>
      <c r="W37" t="s">
        <v>156</v>
      </c>
      <c r="X37">
        <v>20566450800</v>
      </c>
      <c r="Y37" t="s">
        <v>158</v>
      </c>
      <c r="Z37" t="s">
        <v>156</v>
      </c>
      <c r="AA37">
        <v>345980</v>
      </c>
      <c r="AB37" t="s">
        <v>160</v>
      </c>
      <c r="AC37" t="s">
        <v>156</v>
      </c>
      <c r="AD37">
        <v>4746</v>
      </c>
      <c r="AE37" t="s">
        <v>161</v>
      </c>
      <c r="AF37" t="s">
        <v>156</v>
      </c>
      <c r="AG37" t="s">
        <v>159</v>
      </c>
      <c r="AH37" t="s">
        <v>162</v>
      </c>
      <c r="AI37" t="s">
        <v>156</v>
      </c>
      <c r="AJ37" t="s">
        <v>159</v>
      </c>
      <c r="AK37" t="s">
        <v>163</v>
      </c>
      <c r="AL37" t="s">
        <v>156</v>
      </c>
      <c r="AM37" t="s">
        <v>159</v>
      </c>
    </row>
    <row r="38" spans="1:39">
      <c r="A38" s="179">
        <v>450</v>
      </c>
      <c r="B38" s="179">
        <v>2</v>
      </c>
      <c r="C38" s="179" t="str">
        <v>B</v>
      </c>
      <c r="D38" s="252">
        <v>450</v>
      </c>
      <c r="E38" s="253">
        <v>0</v>
      </c>
      <c r="F38" s="252" t="str">
        <v>B</v>
      </c>
      <c r="G38" s="179">
        <v>450</v>
      </c>
      <c r="H38" s="179">
        <v>0</v>
      </c>
      <c r="I38" s="256" t="str">
        <v>B</v>
      </c>
      <c r="J38" s="253">
        <v>450</v>
      </c>
      <c r="K38" s="253">
        <v>8</v>
      </c>
      <c r="L38" s="253" t="str">
        <v>B</v>
      </c>
      <c r="M38" s="179">
        <v>450</v>
      </c>
      <c r="N38" s="179">
        <v>6</v>
      </c>
      <c r="O38" s="256" t="str">
        <v>B</v>
      </c>
      <c r="Q38">
        <v>5</v>
      </c>
      <c r="R38" t="s">
        <v>155</v>
      </c>
      <c r="S38" t="s">
        <v>212</v>
      </c>
      <c r="T38" t="s">
        <v>156</v>
      </c>
      <c r="U38">
        <v>13756</v>
      </c>
      <c r="V38" t="s">
        <v>157</v>
      </c>
      <c r="W38" t="s">
        <v>156</v>
      </c>
      <c r="X38">
        <v>687800000</v>
      </c>
      <c r="Y38" t="s">
        <v>158</v>
      </c>
      <c r="Z38" t="s">
        <v>156</v>
      </c>
      <c r="AA38">
        <v>6183</v>
      </c>
      <c r="AB38" t="s">
        <v>160</v>
      </c>
      <c r="AC38" t="s">
        <v>156</v>
      </c>
      <c r="AD38">
        <v>355</v>
      </c>
      <c r="AE38" t="s">
        <v>161</v>
      </c>
      <c r="AF38" t="s">
        <v>156</v>
      </c>
      <c r="AG38" t="s">
        <v>159</v>
      </c>
      <c r="AH38" t="s">
        <v>162</v>
      </c>
      <c r="AI38" t="s">
        <v>156</v>
      </c>
      <c r="AJ38" t="s">
        <v>159</v>
      </c>
      <c r="AK38" t="s">
        <v>163</v>
      </c>
      <c r="AL38" t="s">
        <v>156</v>
      </c>
      <c r="AM38" t="s">
        <v>159</v>
      </c>
    </row>
    <row r="39" spans="1:39">
      <c r="A39" s="179">
        <v>500</v>
      </c>
      <c r="B39" s="179">
        <v>0</v>
      </c>
      <c r="C39" s="179" t="str">
        <v>B</v>
      </c>
      <c r="D39" s="252">
        <v>500</v>
      </c>
      <c r="E39" s="253">
        <v>5</v>
      </c>
      <c r="F39" s="252" t="str">
        <v>B</v>
      </c>
      <c r="G39" s="179">
        <v>500</v>
      </c>
      <c r="H39" s="179">
        <v>2</v>
      </c>
      <c r="I39" s="256" t="str">
        <v>B</v>
      </c>
      <c r="J39" s="253">
        <v>500</v>
      </c>
      <c r="K39" s="253">
        <v>5</v>
      </c>
      <c r="L39" s="253" t="str">
        <v>B</v>
      </c>
      <c r="M39" s="179">
        <v>500</v>
      </c>
      <c r="N39" s="179">
        <v>5</v>
      </c>
      <c r="O39" s="256" t="str">
        <v>B</v>
      </c>
      <c r="Q39">
        <v>5</v>
      </c>
      <c r="R39" t="s">
        <v>155</v>
      </c>
      <c r="S39" t="s">
        <v>213</v>
      </c>
      <c r="T39" t="s">
        <v>156</v>
      </c>
      <c r="U39">
        <v>6789</v>
      </c>
      <c r="V39" t="s">
        <v>157</v>
      </c>
      <c r="W39" t="s">
        <v>156</v>
      </c>
      <c r="X39">
        <v>358070200</v>
      </c>
      <c r="Y39" t="s">
        <v>158</v>
      </c>
      <c r="Z39" t="s">
        <v>156</v>
      </c>
      <c r="AA39">
        <v>2584</v>
      </c>
      <c r="AB39" t="s">
        <v>160</v>
      </c>
      <c r="AC39" t="s">
        <v>156</v>
      </c>
      <c r="AD39">
        <v>2017</v>
      </c>
      <c r="AE39" t="s">
        <v>161</v>
      </c>
      <c r="AF39" t="s">
        <v>156</v>
      </c>
      <c r="AG39" t="s">
        <v>159</v>
      </c>
      <c r="AH39" t="s">
        <v>162</v>
      </c>
      <c r="AI39" t="s">
        <v>156</v>
      </c>
      <c r="AJ39" t="s">
        <v>159</v>
      </c>
      <c r="AK39" t="s">
        <v>163</v>
      </c>
      <c r="AL39" t="s">
        <v>156</v>
      </c>
      <c r="AM39" t="s">
        <v>159</v>
      </c>
    </row>
    <row r="40" spans="1:39">
      <c r="A40" s="179">
        <v>550</v>
      </c>
      <c r="B40" s="179">
        <v>0</v>
      </c>
      <c r="C40" s="179" t="str">
        <v>B</v>
      </c>
      <c r="D40" s="252">
        <v>550</v>
      </c>
      <c r="E40" s="253">
        <v>0</v>
      </c>
      <c r="F40" s="252" t="str">
        <v>B</v>
      </c>
      <c r="G40" s="179">
        <v>550</v>
      </c>
      <c r="H40" s="179">
        <v>0</v>
      </c>
      <c r="I40" s="256" t="str">
        <v>B</v>
      </c>
      <c r="J40" s="253">
        <v>550</v>
      </c>
      <c r="K40" s="253">
        <v>0</v>
      </c>
      <c r="L40" s="253" t="str">
        <v>B</v>
      </c>
      <c r="M40" s="179">
        <v>550</v>
      </c>
      <c r="N40" s="179">
        <v>0</v>
      </c>
      <c r="O40" s="256" t="str">
        <v>B</v>
      </c>
      <c r="Q40">
        <v>5</v>
      </c>
      <c r="R40" t="s">
        <v>155</v>
      </c>
      <c r="S40" t="s">
        <v>216</v>
      </c>
      <c r="T40" t="s">
        <v>156</v>
      </c>
      <c r="U40">
        <v>2943</v>
      </c>
      <c r="V40" t="s">
        <v>157</v>
      </c>
      <c r="W40" t="s">
        <v>156</v>
      </c>
      <c r="X40">
        <v>294300000</v>
      </c>
      <c r="Y40" t="s">
        <v>158</v>
      </c>
      <c r="Z40" t="s">
        <v>156</v>
      </c>
      <c r="AA40">
        <v>2440</v>
      </c>
      <c r="AB40" t="s">
        <v>160</v>
      </c>
      <c r="AC40" t="s">
        <v>156</v>
      </c>
      <c r="AD40">
        <v>154</v>
      </c>
      <c r="AE40" t="s">
        <v>161</v>
      </c>
      <c r="AF40" t="s">
        <v>156</v>
      </c>
      <c r="AG40" t="s">
        <v>159</v>
      </c>
      <c r="AH40" t="s">
        <v>162</v>
      </c>
      <c r="AI40" t="s">
        <v>156</v>
      </c>
      <c r="AJ40" t="s">
        <v>159</v>
      </c>
      <c r="AK40" t="s">
        <v>163</v>
      </c>
      <c r="AL40" t="s">
        <v>156</v>
      </c>
      <c r="AM40" t="s">
        <v>159</v>
      </c>
    </row>
    <row r="41" spans="1:39">
      <c r="A41" s="179">
        <v>600</v>
      </c>
      <c r="B41" s="179">
        <v>0</v>
      </c>
      <c r="C41" s="179" t="str">
        <v>B</v>
      </c>
      <c r="D41" s="252">
        <v>600</v>
      </c>
      <c r="E41" s="253">
        <v>0</v>
      </c>
      <c r="F41" s="252" t="str">
        <v>B</v>
      </c>
      <c r="G41" s="179">
        <v>600</v>
      </c>
      <c r="H41" s="179">
        <v>0</v>
      </c>
      <c r="I41" s="256" t="str">
        <v>B</v>
      </c>
      <c r="J41" s="253">
        <v>600</v>
      </c>
      <c r="K41" s="253">
        <v>0</v>
      </c>
      <c r="L41" s="253" t="str">
        <v>B</v>
      </c>
      <c r="M41" s="179">
        <v>600</v>
      </c>
      <c r="N41" s="179">
        <v>0</v>
      </c>
      <c r="O41" s="256" t="str">
        <v>B</v>
      </c>
      <c r="Q41">
        <v>5</v>
      </c>
      <c r="R41" t="s">
        <v>155</v>
      </c>
      <c r="S41" t="s">
        <v>217</v>
      </c>
      <c r="T41" t="s">
        <v>156</v>
      </c>
      <c r="U41">
        <v>1506</v>
      </c>
      <c r="V41" t="s">
        <v>157</v>
      </c>
      <c r="W41" t="s">
        <v>156</v>
      </c>
      <c r="X41">
        <v>157891500</v>
      </c>
      <c r="Y41" t="s">
        <v>158</v>
      </c>
      <c r="Z41" t="s">
        <v>156</v>
      </c>
      <c r="AA41">
        <v>759</v>
      </c>
      <c r="AB41" t="s">
        <v>160</v>
      </c>
      <c r="AC41" t="s">
        <v>156</v>
      </c>
      <c r="AD41">
        <v>527</v>
      </c>
      <c r="AE41" t="s">
        <v>161</v>
      </c>
      <c r="AF41" t="s">
        <v>156</v>
      </c>
      <c r="AG41" t="s">
        <v>159</v>
      </c>
      <c r="AH41" t="s">
        <v>162</v>
      </c>
      <c r="AI41" t="s">
        <v>156</v>
      </c>
      <c r="AJ41" t="s">
        <v>159</v>
      </c>
      <c r="AK41" t="s">
        <v>163</v>
      </c>
      <c r="AL41" t="s">
        <v>156</v>
      </c>
      <c r="AM41" t="s">
        <v>159</v>
      </c>
    </row>
    <row r="42" spans="1:39">
      <c r="A42" s="179">
        <v>650</v>
      </c>
      <c r="B42" s="179">
        <v>0</v>
      </c>
      <c r="C42" s="179" t="str">
        <v>B</v>
      </c>
      <c r="D42" s="252">
        <v>650</v>
      </c>
      <c r="E42" s="253">
        <v>0</v>
      </c>
      <c r="F42" s="252" t="str">
        <v>B</v>
      </c>
      <c r="G42" s="179">
        <v>650</v>
      </c>
      <c r="H42" s="179">
        <v>0</v>
      </c>
      <c r="I42" s="256" t="str">
        <v>B</v>
      </c>
      <c r="J42" s="253">
        <v>650</v>
      </c>
      <c r="K42" s="253">
        <v>0</v>
      </c>
      <c r="L42" s="253" t="str">
        <v>B</v>
      </c>
      <c r="M42" s="179">
        <v>650</v>
      </c>
      <c r="N42" s="179">
        <v>0</v>
      </c>
      <c r="O42" s="256" t="str">
        <v>B</v>
      </c>
      <c r="Q42">
        <v>5</v>
      </c>
      <c r="R42" t="s">
        <v>155</v>
      </c>
      <c r="S42" t="s">
        <v>218</v>
      </c>
      <c r="T42" t="s">
        <v>156</v>
      </c>
      <c r="U42">
        <v>527</v>
      </c>
      <c r="V42" t="s">
        <v>157</v>
      </c>
      <c r="W42" t="s">
        <v>156</v>
      </c>
      <c r="X42">
        <v>80675500</v>
      </c>
      <c r="Y42" t="s">
        <v>158</v>
      </c>
      <c r="Z42" t="s">
        <v>156</v>
      </c>
      <c r="AA42">
        <v>371</v>
      </c>
      <c r="AB42" t="s">
        <v>160</v>
      </c>
      <c r="AC42" t="s">
        <v>156</v>
      </c>
      <c r="AD42">
        <v>156</v>
      </c>
      <c r="AE42" t="s">
        <v>161</v>
      </c>
      <c r="AF42" t="s">
        <v>156</v>
      </c>
      <c r="AG42" t="s">
        <v>159</v>
      </c>
      <c r="AH42" t="s">
        <v>162</v>
      </c>
      <c r="AI42" t="s">
        <v>156</v>
      </c>
      <c r="AJ42" t="s">
        <v>159</v>
      </c>
      <c r="AK42" t="s">
        <v>163</v>
      </c>
      <c r="AL42" t="s">
        <v>156</v>
      </c>
      <c r="AM42" t="s">
        <v>159</v>
      </c>
    </row>
    <row r="43" spans="1:39">
      <c r="A43" s="179">
        <v>700</v>
      </c>
      <c r="B43" s="179">
        <v>0</v>
      </c>
      <c r="C43" s="179" t="str">
        <v>B</v>
      </c>
      <c r="D43" s="252">
        <v>700</v>
      </c>
      <c r="E43" s="253">
        <v>0</v>
      </c>
      <c r="F43" s="252" t="str">
        <v>B</v>
      </c>
      <c r="G43" s="179">
        <v>700</v>
      </c>
      <c r="H43" s="179">
        <v>0</v>
      </c>
      <c r="I43" s="256" t="str">
        <v>B</v>
      </c>
      <c r="J43" s="253">
        <v>700</v>
      </c>
      <c r="K43" s="253">
        <v>0</v>
      </c>
      <c r="L43" s="253" t="str">
        <v>B</v>
      </c>
      <c r="M43" s="179">
        <v>700</v>
      </c>
      <c r="N43" s="179">
        <v>0</v>
      </c>
      <c r="O43" s="256" t="str">
        <v>B</v>
      </c>
      <c r="Q43">
        <v>5</v>
      </c>
      <c r="R43" t="s">
        <v>155</v>
      </c>
      <c r="S43" t="s">
        <v>219</v>
      </c>
      <c r="T43" t="s">
        <v>156</v>
      </c>
      <c r="U43">
        <v>445</v>
      </c>
      <c r="V43" t="s">
        <v>157</v>
      </c>
      <c r="W43" t="s">
        <v>156</v>
      </c>
      <c r="X43">
        <v>114929000</v>
      </c>
      <c r="Y43" t="s">
        <v>158</v>
      </c>
      <c r="Z43" t="s">
        <v>156</v>
      </c>
      <c r="AA43" t="s">
        <v>159</v>
      </c>
      <c r="AB43" t="s">
        <v>160</v>
      </c>
      <c r="AC43" t="s">
        <v>156</v>
      </c>
      <c r="AD43" t="s">
        <v>159</v>
      </c>
      <c r="AE43" t="s">
        <v>161</v>
      </c>
      <c r="AF43" t="s">
        <v>156</v>
      </c>
      <c r="AG43" t="s">
        <v>159</v>
      </c>
      <c r="AH43" t="s">
        <v>162</v>
      </c>
      <c r="AI43" t="s">
        <v>156</v>
      </c>
      <c r="AJ43" t="s">
        <v>159</v>
      </c>
      <c r="AK43" t="s">
        <v>163</v>
      </c>
      <c r="AL43" t="s">
        <v>156</v>
      </c>
      <c r="AM43" t="s">
        <v>159</v>
      </c>
    </row>
    <row r="44" spans="1:39">
      <c r="A44" s="179">
        <v>750</v>
      </c>
      <c r="B44" s="179">
        <v>0</v>
      </c>
      <c r="C44" s="179" t="str">
        <v>B</v>
      </c>
      <c r="D44" s="252">
        <v>750</v>
      </c>
      <c r="E44" s="253">
        <v>0</v>
      </c>
      <c r="F44" s="252" t="str">
        <v>B</v>
      </c>
      <c r="G44" s="179">
        <v>750</v>
      </c>
      <c r="H44" s="179">
        <v>0</v>
      </c>
      <c r="I44" s="256" t="str">
        <v>B</v>
      </c>
      <c r="J44" s="253">
        <v>750</v>
      </c>
      <c r="K44" s="253">
        <v>0</v>
      </c>
      <c r="L44" s="253" t="str">
        <v>B</v>
      </c>
      <c r="M44" s="179">
        <v>750</v>
      </c>
      <c r="N44" s="179">
        <v>0</v>
      </c>
      <c r="O44" s="256" t="str">
        <v>B</v>
      </c>
    </row>
    <row r="45" spans="1:39">
      <c r="A45" s="179">
        <v>800</v>
      </c>
      <c r="B45" s="179">
        <v>0</v>
      </c>
      <c r="C45" s="179" t="str">
        <v>B</v>
      </c>
      <c r="D45" s="252">
        <v>800</v>
      </c>
      <c r="E45" s="253">
        <v>0</v>
      </c>
      <c r="F45" s="252" t="str">
        <v>B</v>
      </c>
      <c r="G45" s="179">
        <v>800</v>
      </c>
      <c r="H45" s="179">
        <v>0</v>
      </c>
      <c r="I45" s="256" t="str">
        <v>B</v>
      </c>
      <c r="J45" s="253">
        <v>800</v>
      </c>
      <c r="K45" s="253">
        <v>0</v>
      </c>
      <c r="L45" s="253" t="str">
        <v>B</v>
      </c>
      <c r="M45" s="179">
        <v>800</v>
      </c>
      <c r="N45" s="179">
        <v>0</v>
      </c>
      <c r="O45" s="256" t="str">
        <v>B</v>
      </c>
      <c r="Q45">
        <v>10</v>
      </c>
      <c r="R45" t="s">
        <v>155</v>
      </c>
      <c r="S45" t="s">
        <v>203</v>
      </c>
      <c r="T45" t="s">
        <v>156</v>
      </c>
      <c r="U45">
        <v>3704880</v>
      </c>
      <c r="V45" t="s">
        <v>157</v>
      </c>
      <c r="W45" t="s">
        <v>156</v>
      </c>
      <c r="X45">
        <v>2629928000</v>
      </c>
      <c r="Y45" t="s">
        <v>158</v>
      </c>
      <c r="Z45" t="s">
        <v>156</v>
      </c>
      <c r="AA45" t="s">
        <v>159</v>
      </c>
      <c r="AB45" t="s">
        <v>160</v>
      </c>
      <c r="AC45" t="s">
        <v>156</v>
      </c>
      <c r="AD45">
        <v>399084</v>
      </c>
      <c r="AE45" t="s">
        <v>161</v>
      </c>
      <c r="AF45" t="s">
        <v>156</v>
      </c>
      <c r="AG45" t="s">
        <v>159</v>
      </c>
      <c r="AH45" t="s">
        <v>162</v>
      </c>
      <c r="AI45" t="s">
        <v>156</v>
      </c>
      <c r="AJ45" t="s">
        <v>159</v>
      </c>
      <c r="AK45" t="s">
        <v>163</v>
      </c>
      <c r="AL45" t="s">
        <v>156</v>
      </c>
      <c r="AM45" t="s">
        <v>159</v>
      </c>
    </row>
    <row r="46" spans="1:39">
      <c r="A46" s="179">
        <v>850</v>
      </c>
      <c r="B46" s="179">
        <v>0</v>
      </c>
      <c r="C46" s="179" t="str">
        <v>B</v>
      </c>
      <c r="D46" s="252">
        <v>850</v>
      </c>
      <c r="E46" s="253">
        <v>0</v>
      </c>
      <c r="F46" s="252" t="str">
        <v>B</v>
      </c>
      <c r="G46" s="179">
        <v>850</v>
      </c>
      <c r="H46" s="179">
        <v>0</v>
      </c>
      <c r="I46" s="256" t="str">
        <v>B</v>
      </c>
      <c r="J46" s="253">
        <v>850</v>
      </c>
      <c r="K46" s="253">
        <v>0</v>
      </c>
      <c r="L46" s="253" t="str">
        <v>B</v>
      </c>
      <c r="M46" s="179">
        <v>850</v>
      </c>
      <c r="N46" s="179">
        <v>0</v>
      </c>
      <c r="O46" s="256" t="str">
        <v>B</v>
      </c>
      <c r="Q46">
        <v>10</v>
      </c>
      <c r="R46" t="s">
        <v>155</v>
      </c>
      <c r="S46" t="s">
        <v>204</v>
      </c>
      <c r="T46" t="s">
        <v>156</v>
      </c>
      <c r="U46">
        <v>5893461</v>
      </c>
      <c r="V46" t="s">
        <v>157</v>
      </c>
      <c r="W46" t="s">
        <v>156</v>
      </c>
      <c r="X46">
        <v>9482343100</v>
      </c>
      <c r="Y46" t="s">
        <v>158</v>
      </c>
      <c r="Z46" t="s">
        <v>156</v>
      </c>
      <c r="AA46" t="s">
        <v>159</v>
      </c>
      <c r="AB46" t="s">
        <v>160</v>
      </c>
      <c r="AC46" t="s">
        <v>156</v>
      </c>
      <c r="AD46">
        <v>4084206</v>
      </c>
      <c r="AE46" t="s">
        <v>161</v>
      </c>
      <c r="AF46" t="s">
        <v>156</v>
      </c>
      <c r="AG46" t="s">
        <v>159</v>
      </c>
      <c r="AH46" t="s">
        <v>162</v>
      </c>
      <c r="AI46" t="s">
        <v>156</v>
      </c>
      <c r="AJ46" t="s">
        <v>159</v>
      </c>
      <c r="AK46" t="s">
        <v>163</v>
      </c>
      <c r="AL46" t="s">
        <v>156</v>
      </c>
      <c r="AM46" t="s">
        <v>159</v>
      </c>
    </row>
    <row r="47" spans="1:39">
      <c r="A47" s="179">
        <v>900</v>
      </c>
      <c r="B47" s="179">
        <v>0</v>
      </c>
      <c r="C47" s="179" t="str">
        <v>B</v>
      </c>
      <c r="D47" s="252">
        <v>900</v>
      </c>
      <c r="E47" s="253">
        <v>0</v>
      </c>
      <c r="F47" s="252" t="str">
        <v>B</v>
      </c>
      <c r="G47" s="179">
        <v>900</v>
      </c>
      <c r="H47" s="179">
        <v>0</v>
      </c>
      <c r="I47" s="256" t="str">
        <v>B</v>
      </c>
      <c r="J47" s="253">
        <v>900</v>
      </c>
      <c r="K47" s="253">
        <v>0</v>
      </c>
      <c r="L47" s="253" t="str">
        <v>B</v>
      </c>
      <c r="M47" s="179">
        <v>900</v>
      </c>
      <c r="N47" s="179">
        <v>0</v>
      </c>
      <c r="O47" s="256" t="str">
        <v>B</v>
      </c>
      <c r="Q47">
        <v>10</v>
      </c>
      <c r="R47" t="s">
        <v>155</v>
      </c>
      <c r="S47" t="s">
        <v>21</v>
      </c>
      <c r="T47" t="s">
        <v>156</v>
      </c>
      <c r="U47">
        <v>49986</v>
      </c>
      <c r="V47" t="s">
        <v>157</v>
      </c>
      <c r="W47" t="s">
        <v>156</v>
      </c>
      <c r="X47">
        <v>126072200</v>
      </c>
      <c r="Y47" t="s">
        <v>158</v>
      </c>
      <c r="Z47" t="s">
        <v>156</v>
      </c>
      <c r="AA47" t="s">
        <v>159</v>
      </c>
      <c r="AB47" t="s">
        <v>160</v>
      </c>
      <c r="AC47" t="s">
        <v>156</v>
      </c>
      <c r="AD47">
        <v>5318</v>
      </c>
      <c r="AE47" t="s">
        <v>161</v>
      </c>
      <c r="AF47" t="s">
        <v>156</v>
      </c>
      <c r="AG47" t="s">
        <v>159</v>
      </c>
      <c r="AH47" t="s">
        <v>162</v>
      </c>
      <c r="AI47" t="s">
        <v>156</v>
      </c>
      <c r="AJ47" t="s">
        <v>159</v>
      </c>
      <c r="AK47" t="s">
        <v>163</v>
      </c>
      <c r="AL47" t="s">
        <v>156</v>
      </c>
      <c r="AM47" t="s">
        <v>159</v>
      </c>
    </row>
    <row r="48" spans="1:39">
      <c r="A48" s="179">
        <v>950</v>
      </c>
      <c r="B48" s="179">
        <v>0</v>
      </c>
      <c r="C48" s="179" t="str">
        <v>B</v>
      </c>
      <c r="D48" s="252">
        <v>950</v>
      </c>
      <c r="E48" s="253">
        <v>0</v>
      </c>
      <c r="F48" s="252" t="str">
        <v>B</v>
      </c>
      <c r="G48" s="179">
        <v>950</v>
      </c>
      <c r="H48" s="179">
        <v>0</v>
      </c>
      <c r="I48" s="256" t="str">
        <v>B</v>
      </c>
      <c r="J48" s="253">
        <v>950</v>
      </c>
      <c r="K48" s="253">
        <v>2</v>
      </c>
      <c r="L48" s="253" t="str">
        <v>B</v>
      </c>
      <c r="M48" s="179">
        <v>950</v>
      </c>
      <c r="N48" s="179">
        <v>1</v>
      </c>
      <c r="O48" s="256" t="str">
        <v>B</v>
      </c>
      <c r="Q48">
        <v>10</v>
      </c>
      <c r="R48" t="s">
        <v>155</v>
      </c>
      <c r="S48" t="s">
        <v>205</v>
      </c>
      <c r="T48" t="s">
        <v>156</v>
      </c>
      <c r="U48">
        <v>2310725</v>
      </c>
      <c r="V48" t="s">
        <v>157</v>
      </c>
      <c r="W48" t="s">
        <v>156</v>
      </c>
      <c r="X48">
        <v>11553625000</v>
      </c>
      <c r="Y48" t="s">
        <v>158</v>
      </c>
      <c r="Z48" t="s">
        <v>156</v>
      </c>
      <c r="AA48">
        <v>238916</v>
      </c>
      <c r="AB48" t="s">
        <v>160</v>
      </c>
      <c r="AC48" t="s">
        <v>156</v>
      </c>
      <c r="AD48">
        <v>158598</v>
      </c>
      <c r="AE48" t="s">
        <v>161</v>
      </c>
      <c r="AF48" t="s">
        <v>156</v>
      </c>
      <c r="AG48" t="s">
        <v>159</v>
      </c>
      <c r="AH48" t="s">
        <v>162</v>
      </c>
      <c r="AI48" t="s">
        <v>156</v>
      </c>
      <c r="AJ48" t="s">
        <v>159</v>
      </c>
      <c r="AK48" t="s">
        <v>163</v>
      </c>
      <c r="AL48" t="s">
        <v>156</v>
      </c>
      <c r="AM48" t="s">
        <v>159</v>
      </c>
    </row>
    <row r="49" spans="1:39">
      <c r="A49" s="179">
        <v>1000</v>
      </c>
      <c r="B49" s="179">
        <v>0</v>
      </c>
      <c r="C49" s="179" t="str">
        <v>B</v>
      </c>
      <c r="D49" s="252">
        <v>1000</v>
      </c>
      <c r="E49" s="253">
        <v>0</v>
      </c>
      <c r="F49" s="252" t="str">
        <v>B</v>
      </c>
      <c r="G49" s="179">
        <v>1000</v>
      </c>
      <c r="H49" s="179">
        <v>0</v>
      </c>
      <c r="I49" s="256" t="str">
        <v>B</v>
      </c>
      <c r="J49" s="253">
        <v>1000</v>
      </c>
      <c r="K49" s="253">
        <v>2</v>
      </c>
      <c r="L49" s="253" t="str">
        <v>B</v>
      </c>
      <c r="M49" s="179">
        <v>1000</v>
      </c>
      <c r="N49" s="179">
        <v>1</v>
      </c>
      <c r="O49" s="256" t="str">
        <v>B</v>
      </c>
      <c r="Q49">
        <v>10</v>
      </c>
      <c r="R49" t="s">
        <v>155</v>
      </c>
      <c r="S49" t="s">
        <v>22</v>
      </c>
      <c r="T49" t="s">
        <v>156</v>
      </c>
      <c r="U49">
        <v>2752038</v>
      </c>
      <c r="V49" t="s">
        <v>157</v>
      </c>
      <c r="W49" t="s">
        <v>156</v>
      </c>
      <c r="X49">
        <v>15065424600</v>
      </c>
      <c r="Y49" t="s">
        <v>158</v>
      </c>
      <c r="Z49" t="s">
        <v>156</v>
      </c>
      <c r="AA49">
        <v>520178</v>
      </c>
      <c r="AB49" t="s">
        <v>160</v>
      </c>
      <c r="AC49" t="s">
        <v>156</v>
      </c>
      <c r="AD49">
        <v>1752753</v>
      </c>
      <c r="AE49" t="s">
        <v>161</v>
      </c>
      <c r="AF49" t="s">
        <v>156</v>
      </c>
      <c r="AG49" t="s">
        <v>159</v>
      </c>
      <c r="AH49" t="s">
        <v>162</v>
      </c>
      <c r="AI49" t="s">
        <v>156</v>
      </c>
      <c r="AJ49" t="s">
        <v>159</v>
      </c>
      <c r="AK49" t="s">
        <v>163</v>
      </c>
      <c r="AL49" t="s">
        <v>156</v>
      </c>
      <c r="AM49" t="s">
        <v>159</v>
      </c>
    </row>
    <row r="50" spans="1:39">
      <c r="A50" s="179">
        <v>2000</v>
      </c>
      <c r="B50" s="179">
        <v>0</v>
      </c>
      <c r="C50" s="179" t="str">
        <v>B</v>
      </c>
      <c r="D50" s="252">
        <v>2000</v>
      </c>
      <c r="E50" s="253">
        <v>0</v>
      </c>
      <c r="F50" s="252" t="str">
        <v>B</v>
      </c>
      <c r="G50" s="179">
        <v>2000</v>
      </c>
      <c r="H50" s="179">
        <v>0</v>
      </c>
      <c r="I50" s="256" t="str">
        <v>B</v>
      </c>
      <c r="J50" s="253">
        <v>2000</v>
      </c>
      <c r="K50" s="253">
        <v>0</v>
      </c>
      <c r="L50" s="253" t="str">
        <v>B</v>
      </c>
      <c r="M50" s="179">
        <v>2000</v>
      </c>
      <c r="N50" s="179">
        <v>0</v>
      </c>
      <c r="O50" s="256" t="str">
        <v>B</v>
      </c>
      <c r="Q50">
        <v>10</v>
      </c>
      <c r="R50" t="s">
        <v>155</v>
      </c>
      <c r="S50" t="s">
        <v>220</v>
      </c>
      <c r="T50" t="s">
        <v>156</v>
      </c>
      <c r="U50">
        <v>10698</v>
      </c>
      <c r="V50" t="s">
        <v>157</v>
      </c>
      <c r="W50" t="s">
        <v>156</v>
      </c>
      <c r="X50">
        <v>68446000</v>
      </c>
      <c r="Y50" t="s">
        <v>158</v>
      </c>
      <c r="Z50" t="s">
        <v>156</v>
      </c>
      <c r="AA50">
        <v>2038</v>
      </c>
      <c r="AB50" t="s">
        <v>160</v>
      </c>
      <c r="AC50" t="s">
        <v>156</v>
      </c>
      <c r="AD50">
        <v>8660</v>
      </c>
      <c r="AE50" t="s">
        <v>161</v>
      </c>
      <c r="AF50" t="s">
        <v>156</v>
      </c>
      <c r="AG50" t="s">
        <v>159</v>
      </c>
      <c r="AH50" t="s">
        <v>162</v>
      </c>
      <c r="AI50" t="s">
        <v>156</v>
      </c>
      <c r="AJ50" t="s">
        <v>159</v>
      </c>
      <c r="AK50" t="s">
        <v>163</v>
      </c>
      <c r="AL50" t="s">
        <v>156</v>
      </c>
      <c r="AM50" t="s">
        <v>159</v>
      </c>
    </row>
    <row r="51" spans="1:39">
      <c r="A51" s="179">
        <v>3000</v>
      </c>
      <c r="B51" s="179">
        <v>0</v>
      </c>
      <c r="C51" s="179" t="str">
        <v>B</v>
      </c>
      <c r="D51" s="252">
        <v>3000</v>
      </c>
      <c r="E51" s="253">
        <v>0</v>
      </c>
      <c r="F51" s="252" t="str">
        <v>B</v>
      </c>
      <c r="G51" s="179">
        <v>3000</v>
      </c>
      <c r="H51" s="179">
        <v>0</v>
      </c>
      <c r="I51" s="256" t="str">
        <v>B</v>
      </c>
      <c r="J51" s="253">
        <v>3000</v>
      </c>
      <c r="K51" s="253">
        <v>0</v>
      </c>
      <c r="L51" s="253" t="str">
        <v>B</v>
      </c>
      <c r="M51" s="179">
        <v>3000</v>
      </c>
      <c r="N51" s="179">
        <v>0</v>
      </c>
      <c r="O51" s="256" t="str">
        <v>B</v>
      </c>
      <c r="Q51">
        <v>10</v>
      </c>
      <c r="R51" t="s">
        <v>155</v>
      </c>
      <c r="S51" t="s">
        <v>206</v>
      </c>
      <c r="T51" t="s">
        <v>156</v>
      </c>
      <c r="U51">
        <v>677322</v>
      </c>
      <c r="V51" t="s">
        <v>157</v>
      </c>
      <c r="W51" t="s">
        <v>156</v>
      </c>
      <c r="X51">
        <v>6773220000</v>
      </c>
      <c r="Y51" t="s">
        <v>158</v>
      </c>
      <c r="Z51" t="s">
        <v>156</v>
      </c>
      <c r="AA51">
        <v>128906</v>
      </c>
      <c r="AB51" t="s">
        <v>160</v>
      </c>
      <c r="AC51" t="s">
        <v>156</v>
      </c>
      <c r="AD51">
        <v>65286</v>
      </c>
      <c r="AE51" t="s">
        <v>161</v>
      </c>
      <c r="AF51" t="s">
        <v>156</v>
      </c>
      <c r="AG51" t="s">
        <v>159</v>
      </c>
      <c r="AH51" t="s">
        <v>162</v>
      </c>
      <c r="AI51" t="s">
        <v>156</v>
      </c>
      <c r="AJ51" t="s">
        <v>159</v>
      </c>
      <c r="AK51" t="s">
        <v>163</v>
      </c>
      <c r="AL51" t="s">
        <v>156</v>
      </c>
      <c r="AM51" t="s">
        <v>159</v>
      </c>
    </row>
    <row r="52" spans="1:39">
      <c r="A52" s="179">
        <v>4000</v>
      </c>
      <c r="B52" s="179">
        <v>0</v>
      </c>
      <c r="C52" s="179" t="str">
        <v>B</v>
      </c>
      <c r="D52" s="252">
        <v>4000</v>
      </c>
      <c r="E52" s="253">
        <v>0</v>
      </c>
      <c r="F52" s="252" t="str">
        <v>B</v>
      </c>
      <c r="G52" s="179">
        <v>4000</v>
      </c>
      <c r="H52" s="179">
        <v>0</v>
      </c>
      <c r="I52" s="256" t="str">
        <v>B</v>
      </c>
      <c r="J52" s="253">
        <v>4000</v>
      </c>
      <c r="K52" s="253">
        <v>0</v>
      </c>
      <c r="L52" s="253" t="str">
        <v>B</v>
      </c>
      <c r="M52" s="179">
        <v>4000</v>
      </c>
      <c r="N52" s="179">
        <v>0</v>
      </c>
      <c r="O52" s="256" t="str">
        <v>B</v>
      </c>
      <c r="Q52">
        <v>10</v>
      </c>
      <c r="R52" t="s">
        <v>155</v>
      </c>
      <c r="S52" t="s">
        <v>23</v>
      </c>
      <c r="T52" t="s">
        <v>156</v>
      </c>
      <c r="U52">
        <v>1428870</v>
      </c>
      <c r="V52" t="s">
        <v>157</v>
      </c>
      <c r="W52" t="s">
        <v>156</v>
      </c>
      <c r="X52">
        <v>16423743700</v>
      </c>
      <c r="Y52" t="s">
        <v>158</v>
      </c>
      <c r="Z52" t="s">
        <v>156</v>
      </c>
      <c r="AA52">
        <v>312455</v>
      </c>
      <c r="AB52" t="s">
        <v>160</v>
      </c>
      <c r="AC52" t="s">
        <v>156</v>
      </c>
      <c r="AD52">
        <v>609988</v>
      </c>
      <c r="AE52" t="s">
        <v>161</v>
      </c>
      <c r="AF52" t="s">
        <v>156</v>
      </c>
      <c r="AG52" t="s">
        <v>159</v>
      </c>
      <c r="AH52" t="s">
        <v>162</v>
      </c>
      <c r="AI52" t="s">
        <v>156</v>
      </c>
      <c r="AJ52" t="s">
        <v>159</v>
      </c>
      <c r="AK52" t="s">
        <v>163</v>
      </c>
      <c r="AL52" t="s">
        <v>156</v>
      </c>
      <c r="AM52" t="s">
        <v>159</v>
      </c>
    </row>
    <row r="53" spans="1:39">
      <c r="A53" s="179">
        <v>5000</v>
      </c>
      <c r="B53" s="179">
        <v>0</v>
      </c>
      <c r="C53" s="179" t="str">
        <v>B</v>
      </c>
      <c r="D53" s="252">
        <v>5000</v>
      </c>
      <c r="E53" s="253">
        <v>0</v>
      </c>
      <c r="F53" s="252" t="str">
        <v>B</v>
      </c>
      <c r="G53" s="179">
        <v>5000</v>
      </c>
      <c r="H53" s="179">
        <v>0</v>
      </c>
      <c r="I53" s="256" t="str">
        <v>B</v>
      </c>
      <c r="J53" s="253">
        <v>5000</v>
      </c>
      <c r="K53" s="253">
        <v>0</v>
      </c>
      <c r="L53" s="253" t="str">
        <v>B</v>
      </c>
      <c r="M53" s="179">
        <v>5000</v>
      </c>
      <c r="N53" s="179">
        <v>0</v>
      </c>
      <c r="O53" s="256" t="str">
        <v>B</v>
      </c>
      <c r="Q53">
        <v>10</v>
      </c>
      <c r="R53" t="s">
        <v>155</v>
      </c>
      <c r="S53" t="s">
        <v>207</v>
      </c>
      <c r="T53" t="s">
        <v>156</v>
      </c>
      <c r="U53">
        <v>736776</v>
      </c>
      <c r="V53" t="s">
        <v>157</v>
      </c>
      <c r="W53" t="s">
        <v>156</v>
      </c>
      <c r="X53">
        <v>12638863200</v>
      </c>
      <c r="Y53" t="s">
        <v>158</v>
      </c>
      <c r="Z53" t="s">
        <v>156</v>
      </c>
      <c r="AA53">
        <v>414660</v>
      </c>
      <c r="AB53" t="s">
        <v>160</v>
      </c>
      <c r="AC53" t="s">
        <v>156</v>
      </c>
      <c r="AD53">
        <v>204066</v>
      </c>
      <c r="AE53" t="s">
        <v>161</v>
      </c>
      <c r="AF53" t="s">
        <v>156</v>
      </c>
      <c r="AG53" t="s">
        <v>159</v>
      </c>
      <c r="AH53" t="s">
        <v>162</v>
      </c>
      <c r="AI53" t="s">
        <v>156</v>
      </c>
      <c r="AJ53" t="s">
        <v>159</v>
      </c>
      <c r="AK53" t="s">
        <v>163</v>
      </c>
      <c r="AL53" t="s">
        <v>156</v>
      </c>
      <c r="AM53" t="s">
        <v>159</v>
      </c>
    </row>
    <row r="54" spans="1:39">
      <c r="A54" s="179">
        <v>6000</v>
      </c>
      <c r="B54" s="179">
        <v>0</v>
      </c>
      <c r="C54" s="179" t="str">
        <v>B</v>
      </c>
      <c r="D54" s="253">
        <v>6000</v>
      </c>
      <c r="E54" s="253">
        <v>0</v>
      </c>
      <c r="F54" s="253" t="str">
        <v>B</v>
      </c>
      <c r="G54" s="179">
        <v>6000</v>
      </c>
      <c r="H54" s="179">
        <v>0</v>
      </c>
      <c r="I54" s="179" t="str">
        <v>B</v>
      </c>
      <c r="J54" s="253">
        <v>6000</v>
      </c>
      <c r="K54" s="253">
        <v>0</v>
      </c>
      <c r="L54" s="253" t="str">
        <v>B</v>
      </c>
      <c r="M54" s="179">
        <v>6000</v>
      </c>
      <c r="N54" s="179">
        <v>0</v>
      </c>
      <c r="O54" s="179" t="str">
        <v>B</v>
      </c>
      <c r="Q54">
        <v>10</v>
      </c>
      <c r="R54" t="s">
        <v>155</v>
      </c>
      <c r="S54" t="s">
        <v>208</v>
      </c>
      <c r="T54" t="s">
        <v>156</v>
      </c>
      <c r="U54">
        <v>659490</v>
      </c>
      <c r="V54" t="s">
        <v>157</v>
      </c>
      <c r="W54" t="s">
        <v>156</v>
      </c>
      <c r="X54">
        <v>14317293400</v>
      </c>
      <c r="Y54" t="s">
        <v>158</v>
      </c>
      <c r="Z54" t="s">
        <v>156</v>
      </c>
      <c r="AA54">
        <v>252697</v>
      </c>
      <c r="AB54" t="s">
        <v>160</v>
      </c>
      <c r="AC54" t="s">
        <v>156</v>
      </c>
      <c r="AD54">
        <v>55226</v>
      </c>
      <c r="AE54" t="s">
        <v>161</v>
      </c>
      <c r="AF54" t="s">
        <v>156</v>
      </c>
      <c r="AG54" t="s">
        <v>159</v>
      </c>
      <c r="AH54" t="s">
        <v>162</v>
      </c>
      <c r="AI54" t="s">
        <v>156</v>
      </c>
      <c r="AJ54" t="s">
        <v>159</v>
      </c>
      <c r="AK54" t="s">
        <v>163</v>
      </c>
      <c r="AL54" t="s">
        <v>156</v>
      </c>
      <c r="AM54" t="s">
        <v>159</v>
      </c>
    </row>
    <row r="55" spans="1:39" ht="16.8" thickBot="1">
      <c r="A55" s="196">
        <v>7000</v>
      </c>
      <c r="B55" s="196">
        <v>0</v>
      </c>
      <c r="C55" s="196" t="str">
        <v>B</v>
      </c>
      <c r="D55" s="254">
        <v>7000</v>
      </c>
      <c r="E55" s="254">
        <v>0</v>
      </c>
      <c r="F55" s="254" t="str">
        <v>B</v>
      </c>
      <c r="G55" s="196">
        <v>7000</v>
      </c>
      <c r="H55" s="196">
        <v>0</v>
      </c>
      <c r="I55" s="196" t="str">
        <v>B</v>
      </c>
      <c r="J55" s="254">
        <v>7000</v>
      </c>
      <c r="K55" s="254">
        <v>0</v>
      </c>
      <c r="L55" s="254" t="str">
        <v>B</v>
      </c>
      <c r="M55" s="196">
        <v>7000</v>
      </c>
      <c r="N55" s="196">
        <v>0</v>
      </c>
      <c r="O55" s="196" t="str">
        <v>B</v>
      </c>
      <c r="Q55">
        <v>10</v>
      </c>
      <c r="R55" t="s">
        <v>155</v>
      </c>
      <c r="S55" t="s">
        <v>209</v>
      </c>
      <c r="T55" t="s">
        <v>156</v>
      </c>
      <c r="U55">
        <v>165080</v>
      </c>
      <c r="V55" t="s">
        <v>157</v>
      </c>
      <c r="W55" t="s">
        <v>156</v>
      </c>
      <c r="X55">
        <v>4491030300</v>
      </c>
      <c r="Y55" t="s">
        <v>158</v>
      </c>
      <c r="Z55" t="s">
        <v>156</v>
      </c>
      <c r="AA55">
        <v>60870</v>
      </c>
      <c r="AB55" t="s">
        <v>160</v>
      </c>
      <c r="AC55" t="s">
        <v>156</v>
      </c>
      <c r="AD55">
        <v>4100</v>
      </c>
      <c r="AE55" t="s">
        <v>161</v>
      </c>
      <c r="AF55" t="s">
        <v>156</v>
      </c>
      <c r="AG55" t="s">
        <v>159</v>
      </c>
      <c r="AH55" t="s">
        <v>162</v>
      </c>
      <c r="AI55" t="s">
        <v>156</v>
      </c>
      <c r="AJ55" t="s">
        <v>159</v>
      </c>
      <c r="AK55" t="s">
        <v>163</v>
      </c>
      <c r="AL55" t="s">
        <v>156</v>
      </c>
      <c r="AM55" t="s">
        <v>159</v>
      </c>
    </row>
    <row r="56" spans="1:39">
      <c r="Q56">
        <v>10</v>
      </c>
      <c r="R56" t="s">
        <v>155</v>
      </c>
      <c r="S56" t="s">
        <v>210</v>
      </c>
      <c r="T56" t="s">
        <v>156</v>
      </c>
      <c r="U56">
        <v>261103</v>
      </c>
      <c r="V56" t="s">
        <v>157</v>
      </c>
      <c r="W56" t="s">
        <v>156</v>
      </c>
      <c r="X56">
        <v>13041974100</v>
      </c>
      <c r="Y56" t="s">
        <v>158</v>
      </c>
      <c r="Z56" t="s">
        <v>156</v>
      </c>
      <c r="AA56">
        <v>71809</v>
      </c>
      <c r="AB56" t="s">
        <v>160</v>
      </c>
      <c r="AC56" t="s">
        <v>156</v>
      </c>
      <c r="AD56">
        <v>5036</v>
      </c>
      <c r="AE56" t="s">
        <v>161</v>
      </c>
      <c r="AF56" t="s">
        <v>156</v>
      </c>
      <c r="AG56" t="s">
        <v>159</v>
      </c>
      <c r="AH56" t="s">
        <v>162</v>
      </c>
      <c r="AI56" t="s">
        <v>156</v>
      </c>
      <c r="AJ56" t="s">
        <v>159</v>
      </c>
      <c r="AK56" t="s">
        <v>163</v>
      </c>
      <c r="AL56" t="s">
        <v>156</v>
      </c>
      <c r="AM56" t="s">
        <v>159</v>
      </c>
    </row>
    <row r="57" spans="1:39">
      <c r="Q57">
        <v>10</v>
      </c>
      <c r="R57" t="s">
        <v>155</v>
      </c>
      <c r="S57" t="s">
        <v>211</v>
      </c>
      <c r="T57" t="s">
        <v>156</v>
      </c>
      <c r="U57">
        <v>537945</v>
      </c>
      <c r="V57" t="s">
        <v>157</v>
      </c>
      <c r="W57" t="s">
        <v>156</v>
      </c>
      <c r="X57">
        <v>28350280200</v>
      </c>
      <c r="Y57" t="s">
        <v>158</v>
      </c>
      <c r="Z57" t="s">
        <v>156</v>
      </c>
      <c r="AA57">
        <v>133548</v>
      </c>
      <c r="AB57" t="s">
        <v>160</v>
      </c>
      <c r="AC57" t="s">
        <v>156</v>
      </c>
      <c r="AD57">
        <v>133078</v>
      </c>
      <c r="AE57" t="s">
        <v>161</v>
      </c>
      <c r="AF57" t="s">
        <v>156</v>
      </c>
      <c r="AG57" t="s">
        <v>159</v>
      </c>
      <c r="AH57" t="s">
        <v>162</v>
      </c>
      <c r="AI57" t="s">
        <v>156</v>
      </c>
      <c r="AJ57" t="s">
        <v>159</v>
      </c>
      <c r="AK57" t="s">
        <v>163</v>
      </c>
      <c r="AL57" t="s">
        <v>156</v>
      </c>
      <c r="AM57" t="s">
        <v>159</v>
      </c>
    </row>
    <row r="58" spans="1:39">
      <c r="Q58">
        <v>10</v>
      </c>
      <c r="R58" t="s">
        <v>155</v>
      </c>
      <c r="S58" t="s">
        <v>212</v>
      </c>
      <c r="T58" t="s">
        <v>156</v>
      </c>
      <c r="U58">
        <v>10958</v>
      </c>
      <c r="V58" t="s">
        <v>157</v>
      </c>
      <c r="W58" t="s">
        <v>156</v>
      </c>
      <c r="X58">
        <v>1095800000</v>
      </c>
      <c r="Y58" t="s">
        <v>158</v>
      </c>
      <c r="Z58" t="s">
        <v>156</v>
      </c>
      <c r="AA58">
        <v>4579</v>
      </c>
      <c r="AB58" t="s">
        <v>160</v>
      </c>
      <c r="AC58" t="s">
        <v>156</v>
      </c>
      <c r="AD58">
        <v>331</v>
      </c>
      <c r="AE58" t="s">
        <v>161</v>
      </c>
      <c r="AF58" t="s">
        <v>156</v>
      </c>
      <c r="AG58" t="s">
        <v>159</v>
      </c>
      <c r="AH58" t="s">
        <v>162</v>
      </c>
      <c r="AI58" t="s">
        <v>156</v>
      </c>
      <c r="AJ58" t="s">
        <v>159</v>
      </c>
      <c r="AK58" t="s">
        <v>163</v>
      </c>
      <c r="AL58" t="s">
        <v>156</v>
      </c>
      <c r="AM58" t="s">
        <v>159</v>
      </c>
    </row>
    <row r="59" spans="1:39">
      <c r="Q59">
        <v>10</v>
      </c>
      <c r="R59" t="s">
        <v>155</v>
      </c>
      <c r="S59" t="s">
        <v>213</v>
      </c>
      <c r="T59" t="s">
        <v>156</v>
      </c>
      <c r="U59">
        <v>15004</v>
      </c>
      <c r="V59" t="s">
        <v>157</v>
      </c>
      <c r="W59" t="s">
        <v>156</v>
      </c>
      <c r="X59">
        <v>1569806500</v>
      </c>
      <c r="Y59" t="s">
        <v>158</v>
      </c>
      <c r="Z59" t="s">
        <v>156</v>
      </c>
      <c r="AA59">
        <v>4991</v>
      </c>
      <c r="AB59" t="s">
        <v>160</v>
      </c>
      <c r="AC59" t="s">
        <v>156</v>
      </c>
      <c r="AD59">
        <v>4535</v>
      </c>
      <c r="AE59" t="s">
        <v>161</v>
      </c>
      <c r="AF59" t="s">
        <v>156</v>
      </c>
      <c r="AG59" t="s">
        <v>159</v>
      </c>
      <c r="AH59" t="s">
        <v>162</v>
      </c>
      <c r="AI59" t="s">
        <v>156</v>
      </c>
      <c r="AJ59" t="s">
        <v>159</v>
      </c>
      <c r="AK59" t="s">
        <v>163</v>
      </c>
      <c r="AL59" t="s">
        <v>156</v>
      </c>
      <c r="AM59" t="s">
        <v>159</v>
      </c>
    </row>
    <row r="60" spans="1:39">
      <c r="Q60">
        <v>10</v>
      </c>
      <c r="R60" t="s">
        <v>155</v>
      </c>
      <c r="S60" t="s">
        <v>221</v>
      </c>
      <c r="T60" t="s">
        <v>156</v>
      </c>
      <c r="U60">
        <v>218</v>
      </c>
      <c r="V60" t="s">
        <v>157</v>
      </c>
      <c r="W60" t="s">
        <v>156</v>
      </c>
      <c r="X60">
        <v>33200500</v>
      </c>
      <c r="Y60" t="s">
        <v>158</v>
      </c>
      <c r="Z60" t="s">
        <v>156</v>
      </c>
      <c r="AA60">
        <v>88</v>
      </c>
      <c r="AB60" t="s">
        <v>160</v>
      </c>
      <c r="AC60" t="s">
        <v>156</v>
      </c>
      <c r="AD60">
        <v>23</v>
      </c>
      <c r="AE60" t="s">
        <v>161</v>
      </c>
      <c r="AF60" t="s">
        <v>156</v>
      </c>
      <c r="AG60" t="s">
        <v>159</v>
      </c>
      <c r="AH60" t="s">
        <v>162</v>
      </c>
      <c r="AI60" t="s">
        <v>156</v>
      </c>
      <c r="AJ60" t="s">
        <v>159</v>
      </c>
      <c r="AK60" t="s">
        <v>163</v>
      </c>
      <c r="AL60" t="s">
        <v>156</v>
      </c>
      <c r="AM60" t="s">
        <v>159</v>
      </c>
    </row>
    <row r="61" spans="1:39">
      <c r="Q61">
        <v>10</v>
      </c>
      <c r="R61" t="s">
        <v>155</v>
      </c>
      <c r="S61" t="s">
        <v>216</v>
      </c>
      <c r="T61" t="s">
        <v>156</v>
      </c>
      <c r="U61">
        <v>5031</v>
      </c>
      <c r="V61" t="s">
        <v>157</v>
      </c>
      <c r="W61" t="s">
        <v>156</v>
      </c>
      <c r="X61">
        <v>1006200000</v>
      </c>
      <c r="Y61" t="s">
        <v>158</v>
      </c>
      <c r="Z61" t="s">
        <v>156</v>
      </c>
      <c r="AA61">
        <v>4343</v>
      </c>
      <c r="AB61" t="s">
        <v>160</v>
      </c>
      <c r="AC61" t="s">
        <v>156</v>
      </c>
      <c r="AD61">
        <v>5</v>
      </c>
      <c r="AE61" t="s">
        <v>161</v>
      </c>
      <c r="AF61" t="s">
        <v>156</v>
      </c>
      <c r="AG61" t="s">
        <v>159</v>
      </c>
      <c r="AH61" t="s">
        <v>162</v>
      </c>
      <c r="AI61" t="s">
        <v>156</v>
      </c>
      <c r="AJ61" t="s">
        <v>159</v>
      </c>
      <c r="AK61" t="s">
        <v>163</v>
      </c>
      <c r="AL61" t="s">
        <v>156</v>
      </c>
      <c r="AM61" t="s">
        <v>159</v>
      </c>
    </row>
    <row r="62" spans="1:39">
      <c r="Q62">
        <v>10</v>
      </c>
      <c r="R62" t="s">
        <v>155</v>
      </c>
      <c r="S62" t="s">
        <v>219</v>
      </c>
      <c r="T62" t="s">
        <v>156</v>
      </c>
      <c r="U62">
        <v>195</v>
      </c>
      <c r="V62" t="s">
        <v>157</v>
      </c>
      <c r="W62" t="s">
        <v>156</v>
      </c>
      <c r="X62">
        <v>99928500</v>
      </c>
      <c r="Y62" t="s">
        <v>158</v>
      </c>
      <c r="Z62" t="s">
        <v>156</v>
      </c>
      <c r="AA62" t="s">
        <v>159</v>
      </c>
      <c r="AB62" t="s">
        <v>160</v>
      </c>
      <c r="AC62" t="s">
        <v>156</v>
      </c>
      <c r="AD62" t="s">
        <v>159</v>
      </c>
      <c r="AE62" t="s">
        <v>161</v>
      </c>
      <c r="AF62" t="s">
        <v>156</v>
      </c>
      <c r="AG62" t="s">
        <v>159</v>
      </c>
      <c r="AH62" t="s">
        <v>162</v>
      </c>
      <c r="AI62" t="s">
        <v>156</v>
      </c>
      <c r="AJ62" t="s">
        <v>159</v>
      </c>
      <c r="AK62" t="s">
        <v>163</v>
      </c>
      <c r="AL62" t="s">
        <v>156</v>
      </c>
      <c r="AM62" t="s">
        <v>159</v>
      </c>
    </row>
    <row r="64" spans="1:39">
      <c r="Q64">
        <v>50</v>
      </c>
      <c r="R64" t="s">
        <v>155</v>
      </c>
      <c r="S64" t="s">
        <v>203</v>
      </c>
      <c r="T64" t="s">
        <v>156</v>
      </c>
      <c r="U64">
        <v>7464022</v>
      </c>
      <c r="V64" t="s">
        <v>157</v>
      </c>
      <c r="W64" t="s">
        <v>156</v>
      </c>
      <c r="X64">
        <v>186600550000</v>
      </c>
      <c r="Y64" t="s">
        <v>158</v>
      </c>
      <c r="Z64" t="s">
        <v>156</v>
      </c>
      <c r="AA64" t="s">
        <v>159</v>
      </c>
      <c r="AB64" t="s">
        <v>160</v>
      </c>
      <c r="AC64" t="s">
        <v>156</v>
      </c>
      <c r="AD64">
        <v>1552794</v>
      </c>
      <c r="AE64" t="s">
        <v>161</v>
      </c>
      <c r="AF64" t="s">
        <v>156</v>
      </c>
      <c r="AG64" t="s">
        <v>159</v>
      </c>
      <c r="AH64" t="s">
        <v>162</v>
      </c>
      <c r="AI64" t="s">
        <v>156</v>
      </c>
      <c r="AJ64" t="s">
        <v>159</v>
      </c>
      <c r="AK64" t="s">
        <v>163</v>
      </c>
      <c r="AL64" t="s">
        <v>156</v>
      </c>
      <c r="AM64" t="s">
        <v>159</v>
      </c>
    </row>
    <row r="65" spans="17:39">
      <c r="Q65">
        <v>50</v>
      </c>
      <c r="R65" t="s">
        <v>155</v>
      </c>
      <c r="S65" t="s">
        <v>204</v>
      </c>
      <c r="T65" t="s">
        <v>156</v>
      </c>
      <c r="U65">
        <v>2374965</v>
      </c>
      <c r="V65" t="s">
        <v>157</v>
      </c>
      <c r="W65" t="s">
        <v>156</v>
      </c>
      <c r="X65">
        <v>88871282000</v>
      </c>
      <c r="Y65" t="s">
        <v>158</v>
      </c>
      <c r="Z65" t="s">
        <v>156</v>
      </c>
      <c r="AA65" t="s">
        <v>159</v>
      </c>
      <c r="AB65" t="s">
        <v>160</v>
      </c>
      <c r="AC65" t="s">
        <v>156</v>
      </c>
      <c r="AD65">
        <v>1282582</v>
      </c>
      <c r="AE65" t="s">
        <v>161</v>
      </c>
      <c r="AF65" t="s">
        <v>156</v>
      </c>
      <c r="AG65" t="s">
        <v>159</v>
      </c>
      <c r="AH65" t="s">
        <v>162</v>
      </c>
      <c r="AI65" t="s">
        <v>156</v>
      </c>
      <c r="AJ65" t="s">
        <v>159</v>
      </c>
      <c r="AK65" t="s">
        <v>163</v>
      </c>
      <c r="AL65" t="s">
        <v>156</v>
      </c>
      <c r="AM65" t="s">
        <v>159</v>
      </c>
    </row>
    <row r="66" spans="17:39">
      <c r="Q66">
        <v>50</v>
      </c>
      <c r="R66" t="s">
        <v>155</v>
      </c>
      <c r="S66" t="s">
        <v>21</v>
      </c>
      <c r="T66" t="s">
        <v>156</v>
      </c>
      <c r="U66">
        <v>447798</v>
      </c>
      <c r="V66" t="s">
        <v>157</v>
      </c>
      <c r="W66" t="s">
        <v>156</v>
      </c>
      <c r="X66">
        <v>24995730000</v>
      </c>
      <c r="Y66" t="s">
        <v>158</v>
      </c>
      <c r="Z66" t="s">
        <v>156</v>
      </c>
      <c r="AA66" t="s">
        <v>159</v>
      </c>
      <c r="AB66" t="s">
        <v>160</v>
      </c>
      <c r="AC66" t="s">
        <v>156</v>
      </c>
      <c r="AD66">
        <v>311691</v>
      </c>
      <c r="AE66" t="s">
        <v>161</v>
      </c>
      <c r="AF66" t="s">
        <v>156</v>
      </c>
      <c r="AG66" t="s">
        <v>159</v>
      </c>
      <c r="AH66" t="s">
        <v>162</v>
      </c>
      <c r="AI66" t="s">
        <v>156</v>
      </c>
      <c r="AJ66" t="s">
        <v>159</v>
      </c>
      <c r="AK66" t="s">
        <v>163</v>
      </c>
      <c r="AL66" t="s">
        <v>156</v>
      </c>
      <c r="AM66" t="s">
        <v>159</v>
      </c>
    </row>
    <row r="67" spans="17:39">
      <c r="Q67">
        <v>50</v>
      </c>
      <c r="R67" t="s">
        <v>155</v>
      </c>
      <c r="S67" t="s">
        <v>224</v>
      </c>
      <c r="T67" t="s">
        <v>156</v>
      </c>
      <c r="U67">
        <v>121960</v>
      </c>
      <c r="V67" t="s">
        <v>157</v>
      </c>
      <c r="W67" t="s">
        <v>156</v>
      </c>
      <c r="X67">
        <v>10866575000</v>
      </c>
      <c r="Y67" t="s">
        <v>158</v>
      </c>
      <c r="Z67" t="s">
        <v>156</v>
      </c>
      <c r="AA67" t="s">
        <v>159</v>
      </c>
      <c r="AB67" t="s">
        <v>160</v>
      </c>
      <c r="AC67" t="s">
        <v>156</v>
      </c>
      <c r="AD67">
        <v>64241</v>
      </c>
      <c r="AE67" t="s">
        <v>161</v>
      </c>
      <c r="AF67" t="s">
        <v>156</v>
      </c>
      <c r="AG67" t="s">
        <v>159</v>
      </c>
      <c r="AH67" t="s">
        <v>162</v>
      </c>
      <c r="AI67" t="s">
        <v>156</v>
      </c>
      <c r="AJ67" t="s">
        <v>159</v>
      </c>
      <c r="AK67" t="s">
        <v>163</v>
      </c>
      <c r="AL67" t="s">
        <v>156</v>
      </c>
      <c r="AM67" t="s">
        <v>159</v>
      </c>
    </row>
    <row r="68" spans="17:39">
      <c r="Q68">
        <v>50</v>
      </c>
      <c r="R68" t="s">
        <v>155</v>
      </c>
      <c r="S68" t="s">
        <v>205</v>
      </c>
      <c r="T68" t="s">
        <v>156</v>
      </c>
      <c r="U68">
        <v>4497572</v>
      </c>
      <c r="V68" t="s">
        <v>157</v>
      </c>
      <c r="W68" t="s">
        <v>156</v>
      </c>
      <c r="X68">
        <v>490743975500</v>
      </c>
      <c r="Y68" t="s">
        <v>158</v>
      </c>
      <c r="Z68" t="s">
        <v>156</v>
      </c>
      <c r="AA68" t="s">
        <v>159</v>
      </c>
      <c r="AB68" t="s">
        <v>160</v>
      </c>
      <c r="AC68" t="s">
        <v>156</v>
      </c>
      <c r="AD68">
        <v>676817</v>
      </c>
      <c r="AE68" t="s">
        <v>161</v>
      </c>
      <c r="AF68" t="s">
        <v>156</v>
      </c>
      <c r="AG68" t="s">
        <v>159</v>
      </c>
      <c r="AH68" t="s">
        <v>162</v>
      </c>
      <c r="AI68" t="s">
        <v>156</v>
      </c>
      <c r="AJ68" t="s">
        <v>159</v>
      </c>
      <c r="AK68" t="s">
        <v>163</v>
      </c>
      <c r="AL68" t="s">
        <v>156</v>
      </c>
      <c r="AM68" t="s">
        <v>159</v>
      </c>
    </row>
    <row r="69" spans="17:39">
      <c r="Q69">
        <v>50</v>
      </c>
      <c r="R69" t="s">
        <v>155</v>
      </c>
      <c r="S69" t="s">
        <v>22</v>
      </c>
      <c r="T69" t="s">
        <v>156</v>
      </c>
      <c r="U69">
        <v>150192</v>
      </c>
      <c r="V69" t="s">
        <v>157</v>
      </c>
      <c r="W69" t="s">
        <v>156</v>
      </c>
      <c r="X69">
        <v>19987329000</v>
      </c>
      <c r="Y69" t="s">
        <v>158</v>
      </c>
      <c r="Z69" t="s">
        <v>156</v>
      </c>
      <c r="AA69" t="s">
        <v>159</v>
      </c>
      <c r="AB69" t="s">
        <v>160</v>
      </c>
      <c r="AC69" t="s">
        <v>156</v>
      </c>
      <c r="AD69">
        <v>5470</v>
      </c>
      <c r="AE69" t="s">
        <v>161</v>
      </c>
      <c r="AF69" t="s">
        <v>156</v>
      </c>
      <c r="AG69" t="s">
        <v>159</v>
      </c>
      <c r="AH69" t="s">
        <v>162</v>
      </c>
      <c r="AI69" t="s">
        <v>156</v>
      </c>
      <c r="AJ69" t="s">
        <v>159</v>
      </c>
      <c r="AK69" t="s">
        <v>163</v>
      </c>
      <c r="AL69" t="s">
        <v>156</v>
      </c>
      <c r="AM69" t="s">
        <v>159</v>
      </c>
    </row>
    <row r="70" spans="17:39">
      <c r="Q70">
        <v>50</v>
      </c>
      <c r="R70" t="s">
        <v>155</v>
      </c>
      <c r="S70" t="s">
        <v>206</v>
      </c>
      <c r="T70" t="s">
        <v>156</v>
      </c>
      <c r="U70">
        <v>614309</v>
      </c>
      <c r="V70" t="s">
        <v>157</v>
      </c>
      <c r="W70" t="s">
        <v>156</v>
      </c>
      <c r="X70">
        <v>153577250000</v>
      </c>
      <c r="Y70" t="s">
        <v>158</v>
      </c>
      <c r="Z70" t="s">
        <v>156</v>
      </c>
      <c r="AA70">
        <v>165367</v>
      </c>
      <c r="AB70" t="s">
        <v>160</v>
      </c>
      <c r="AC70" t="s">
        <v>156</v>
      </c>
      <c r="AD70">
        <v>40366</v>
      </c>
      <c r="AE70" t="s">
        <v>161</v>
      </c>
      <c r="AF70" t="s">
        <v>156</v>
      </c>
      <c r="AG70" t="s">
        <v>159</v>
      </c>
      <c r="AH70" t="s">
        <v>162</v>
      </c>
      <c r="AI70" t="s">
        <v>156</v>
      </c>
      <c r="AJ70" t="s">
        <v>159</v>
      </c>
      <c r="AK70" t="s">
        <v>163</v>
      </c>
      <c r="AL70" t="s">
        <v>156</v>
      </c>
      <c r="AM70" t="s">
        <v>159</v>
      </c>
    </row>
    <row r="71" spans="17:39">
      <c r="Q71">
        <v>50</v>
      </c>
      <c r="R71" t="s">
        <v>155</v>
      </c>
      <c r="S71" t="s">
        <v>23</v>
      </c>
      <c r="T71" t="s">
        <v>156</v>
      </c>
      <c r="U71">
        <v>962700</v>
      </c>
      <c r="V71" t="s">
        <v>157</v>
      </c>
      <c r="W71" t="s">
        <v>156</v>
      </c>
      <c r="X71">
        <v>256861356000</v>
      </c>
      <c r="Y71" t="s">
        <v>158</v>
      </c>
      <c r="Z71" t="s">
        <v>156</v>
      </c>
      <c r="AA71">
        <v>224892</v>
      </c>
      <c r="AB71" t="s">
        <v>160</v>
      </c>
      <c r="AC71" t="s">
        <v>156</v>
      </c>
      <c r="AD71">
        <v>320713</v>
      </c>
      <c r="AE71" t="s">
        <v>161</v>
      </c>
      <c r="AF71" t="s">
        <v>156</v>
      </c>
      <c r="AG71" t="s">
        <v>159</v>
      </c>
      <c r="AH71" t="s">
        <v>162</v>
      </c>
      <c r="AI71" t="s">
        <v>156</v>
      </c>
      <c r="AJ71" t="s">
        <v>159</v>
      </c>
      <c r="AK71" t="s">
        <v>163</v>
      </c>
      <c r="AL71" t="s">
        <v>156</v>
      </c>
      <c r="AM71" t="s">
        <v>159</v>
      </c>
    </row>
    <row r="72" spans="17:39">
      <c r="Q72">
        <v>50</v>
      </c>
      <c r="R72" t="s">
        <v>155</v>
      </c>
      <c r="S72" t="s">
        <v>207</v>
      </c>
      <c r="T72" t="s">
        <v>156</v>
      </c>
      <c r="U72">
        <v>682927</v>
      </c>
      <c r="V72" t="s">
        <v>157</v>
      </c>
      <c r="W72" t="s">
        <v>156</v>
      </c>
      <c r="X72">
        <v>336900557500</v>
      </c>
      <c r="Y72" t="s">
        <v>158</v>
      </c>
      <c r="Z72" t="s">
        <v>156</v>
      </c>
      <c r="AA72">
        <v>212935</v>
      </c>
      <c r="AB72" t="s">
        <v>160</v>
      </c>
      <c r="AC72" t="s">
        <v>156</v>
      </c>
      <c r="AD72">
        <v>63648</v>
      </c>
      <c r="AE72" t="s">
        <v>161</v>
      </c>
      <c r="AF72" t="s">
        <v>156</v>
      </c>
      <c r="AG72" t="s">
        <v>159</v>
      </c>
      <c r="AH72" t="s">
        <v>162</v>
      </c>
      <c r="AI72" t="s">
        <v>156</v>
      </c>
      <c r="AJ72" t="s">
        <v>159</v>
      </c>
      <c r="AK72" t="s">
        <v>163</v>
      </c>
      <c r="AL72" t="s">
        <v>156</v>
      </c>
      <c r="AM72" t="s">
        <v>159</v>
      </c>
    </row>
    <row r="73" spans="17:39">
      <c r="Q73">
        <v>50</v>
      </c>
      <c r="R73" t="s">
        <v>155</v>
      </c>
      <c r="S73" t="s">
        <v>208</v>
      </c>
      <c r="T73" t="s">
        <v>156</v>
      </c>
      <c r="U73">
        <v>714624</v>
      </c>
      <c r="V73" t="s">
        <v>157</v>
      </c>
      <c r="W73" t="s">
        <v>156</v>
      </c>
      <c r="X73">
        <v>372965445500</v>
      </c>
      <c r="Y73" t="s">
        <v>158</v>
      </c>
      <c r="Z73" t="s">
        <v>156</v>
      </c>
      <c r="AA73">
        <v>165236</v>
      </c>
      <c r="AB73" t="s">
        <v>160</v>
      </c>
      <c r="AC73" t="s">
        <v>156</v>
      </c>
      <c r="AD73">
        <v>322657</v>
      </c>
      <c r="AE73" t="s">
        <v>161</v>
      </c>
      <c r="AF73" t="s">
        <v>156</v>
      </c>
      <c r="AG73" t="s">
        <v>159</v>
      </c>
      <c r="AH73" t="s">
        <v>162</v>
      </c>
      <c r="AI73" t="s">
        <v>156</v>
      </c>
      <c r="AJ73" t="s">
        <v>159</v>
      </c>
      <c r="AK73" t="s">
        <v>163</v>
      </c>
      <c r="AL73" t="s">
        <v>156</v>
      </c>
      <c r="AM73" t="s">
        <v>159</v>
      </c>
    </row>
    <row r="74" spans="17:39">
      <c r="Q74">
        <v>50</v>
      </c>
      <c r="R74" t="s">
        <v>155</v>
      </c>
      <c r="S74" t="s">
        <v>209</v>
      </c>
      <c r="T74" t="s">
        <v>156</v>
      </c>
      <c r="U74">
        <v>337590</v>
      </c>
      <c r="V74" t="s">
        <v>157</v>
      </c>
      <c r="W74" t="s">
        <v>156</v>
      </c>
      <c r="X74">
        <v>252991192000</v>
      </c>
      <c r="Y74" t="s">
        <v>158</v>
      </c>
      <c r="Z74" t="s">
        <v>156</v>
      </c>
      <c r="AA74">
        <v>306050</v>
      </c>
      <c r="AB74" t="s">
        <v>160</v>
      </c>
      <c r="AC74" t="s">
        <v>156</v>
      </c>
      <c r="AD74">
        <v>5475</v>
      </c>
      <c r="AE74" t="s">
        <v>161</v>
      </c>
      <c r="AF74" t="s">
        <v>156</v>
      </c>
      <c r="AG74" t="s">
        <v>159</v>
      </c>
      <c r="AH74" t="s">
        <v>162</v>
      </c>
      <c r="AI74" t="s">
        <v>156</v>
      </c>
      <c r="AJ74" t="s">
        <v>159</v>
      </c>
      <c r="AK74" t="s">
        <v>163</v>
      </c>
      <c r="AL74" t="s">
        <v>156</v>
      </c>
      <c r="AM74" t="s">
        <v>159</v>
      </c>
    </row>
    <row r="75" spans="17:39">
      <c r="Q75">
        <v>50</v>
      </c>
      <c r="R75" t="s">
        <v>155</v>
      </c>
      <c r="S75" t="s">
        <v>215</v>
      </c>
      <c r="T75" t="s">
        <v>156</v>
      </c>
      <c r="U75">
        <v>150469</v>
      </c>
      <c r="V75" t="s">
        <v>157</v>
      </c>
      <c r="W75" t="s">
        <v>156</v>
      </c>
      <c r="X75">
        <v>115389029500</v>
      </c>
      <c r="Y75" t="s">
        <v>158</v>
      </c>
      <c r="Z75" t="s">
        <v>156</v>
      </c>
      <c r="AA75">
        <v>133163</v>
      </c>
      <c r="AB75" t="s">
        <v>160</v>
      </c>
      <c r="AC75" t="s">
        <v>156</v>
      </c>
      <c r="AD75">
        <v>8954</v>
      </c>
      <c r="AE75" t="s">
        <v>161</v>
      </c>
      <c r="AF75" t="s">
        <v>156</v>
      </c>
      <c r="AG75" t="s">
        <v>159</v>
      </c>
      <c r="AH75" t="s">
        <v>162</v>
      </c>
      <c r="AI75" t="s">
        <v>156</v>
      </c>
      <c r="AJ75" t="s">
        <v>159</v>
      </c>
      <c r="AK75" t="s">
        <v>163</v>
      </c>
      <c r="AL75" t="s">
        <v>156</v>
      </c>
      <c r="AM75" t="s">
        <v>159</v>
      </c>
    </row>
    <row r="76" spans="17:39">
      <c r="Q76">
        <v>50</v>
      </c>
      <c r="R76" t="s">
        <v>155</v>
      </c>
      <c r="S76" t="s">
        <v>222</v>
      </c>
      <c r="T76" t="s">
        <v>156</v>
      </c>
      <c r="U76">
        <v>255465</v>
      </c>
      <c r="V76" t="s">
        <v>157</v>
      </c>
      <c r="W76" t="s">
        <v>156</v>
      </c>
      <c r="X76">
        <v>255465000000</v>
      </c>
      <c r="Y76" t="s">
        <v>158</v>
      </c>
      <c r="Z76" t="s">
        <v>156</v>
      </c>
      <c r="AA76">
        <v>46265</v>
      </c>
      <c r="AB76" t="s">
        <v>160</v>
      </c>
      <c r="AC76" t="s">
        <v>156</v>
      </c>
      <c r="AD76">
        <v>3799</v>
      </c>
      <c r="AE76" t="s">
        <v>161</v>
      </c>
      <c r="AF76" t="s">
        <v>156</v>
      </c>
      <c r="AG76" t="s">
        <v>159</v>
      </c>
      <c r="AH76" t="s">
        <v>162</v>
      </c>
      <c r="AI76" t="s">
        <v>156</v>
      </c>
      <c r="AJ76" t="s">
        <v>159</v>
      </c>
      <c r="AK76" t="s">
        <v>163</v>
      </c>
      <c r="AL76" t="s">
        <v>156</v>
      </c>
      <c r="AM76" t="s">
        <v>159</v>
      </c>
    </row>
    <row r="77" spans="17:39">
      <c r="Q77">
        <v>50</v>
      </c>
      <c r="R77" t="s">
        <v>155</v>
      </c>
      <c r="S77" t="s">
        <v>223</v>
      </c>
      <c r="T77" t="s">
        <v>156</v>
      </c>
      <c r="U77">
        <v>105033</v>
      </c>
      <c r="V77" t="s">
        <v>157</v>
      </c>
      <c r="W77" t="s">
        <v>156</v>
      </c>
      <c r="X77">
        <v>108177524000</v>
      </c>
      <c r="Y77" t="s">
        <v>158</v>
      </c>
      <c r="Z77" t="s">
        <v>156</v>
      </c>
      <c r="AA77">
        <v>17059</v>
      </c>
      <c r="AB77" t="s">
        <v>160</v>
      </c>
      <c r="AC77" t="s">
        <v>156</v>
      </c>
      <c r="AD77">
        <v>7519</v>
      </c>
      <c r="AE77" t="s">
        <v>161</v>
      </c>
      <c r="AF77" t="s">
        <v>156</v>
      </c>
      <c r="AG77" t="s">
        <v>159</v>
      </c>
      <c r="AH77" t="s">
        <v>162</v>
      </c>
      <c r="AI77" t="s">
        <v>156</v>
      </c>
      <c r="AJ77" t="s">
        <v>159</v>
      </c>
      <c r="AK77" t="s">
        <v>163</v>
      </c>
      <c r="AL77" t="s">
        <v>156</v>
      </c>
      <c r="AM77" t="s">
        <v>159</v>
      </c>
    </row>
    <row r="78" spans="17:39">
      <c r="Q78">
        <v>50</v>
      </c>
      <c r="R78" t="s">
        <v>155</v>
      </c>
      <c r="S78" t="s">
        <v>210</v>
      </c>
      <c r="T78" t="s">
        <v>156</v>
      </c>
      <c r="U78">
        <v>570054</v>
      </c>
      <c r="V78" t="s">
        <v>157</v>
      </c>
      <c r="W78" t="s">
        <v>156</v>
      </c>
      <c r="X78">
        <v>712567500000</v>
      </c>
      <c r="Y78" t="s">
        <v>158</v>
      </c>
      <c r="Z78" t="s">
        <v>156</v>
      </c>
      <c r="AA78">
        <v>419574</v>
      </c>
      <c r="AB78" t="s">
        <v>160</v>
      </c>
      <c r="AC78" t="s">
        <v>156</v>
      </c>
      <c r="AD78" t="s">
        <v>159</v>
      </c>
      <c r="AE78" t="s">
        <v>161</v>
      </c>
      <c r="AF78" t="s">
        <v>156</v>
      </c>
      <c r="AG78" t="s">
        <v>159</v>
      </c>
      <c r="AH78" t="s">
        <v>162</v>
      </c>
      <c r="AI78" t="s">
        <v>156</v>
      </c>
      <c r="AJ78" t="s">
        <v>159</v>
      </c>
      <c r="AK78" t="s">
        <v>163</v>
      </c>
      <c r="AL78" t="s">
        <v>156</v>
      </c>
      <c r="AM78" t="s">
        <v>159</v>
      </c>
    </row>
    <row r="79" spans="17:39">
      <c r="Q79">
        <v>50</v>
      </c>
      <c r="R79" t="s">
        <v>155</v>
      </c>
      <c r="S79" t="s">
        <v>212</v>
      </c>
      <c r="T79" t="s">
        <v>156</v>
      </c>
      <c r="U79">
        <v>2937</v>
      </c>
      <c r="V79" t="s">
        <v>157</v>
      </c>
      <c r="W79" t="s">
        <v>156</v>
      </c>
      <c r="X79">
        <v>7342500000</v>
      </c>
      <c r="Y79" t="s">
        <v>158</v>
      </c>
      <c r="Z79" t="s">
        <v>156</v>
      </c>
      <c r="AA79">
        <v>1523</v>
      </c>
      <c r="AB79" t="s">
        <v>160</v>
      </c>
      <c r="AC79" t="s">
        <v>156</v>
      </c>
      <c r="AD79">
        <v>87</v>
      </c>
      <c r="AE79" t="s">
        <v>161</v>
      </c>
      <c r="AF79" t="s">
        <v>156</v>
      </c>
      <c r="AG79" t="s">
        <v>159</v>
      </c>
      <c r="AH79" t="s">
        <v>162</v>
      </c>
      <c r="AI79" t="s">
        <v>156</v>
      </c>
      <c r="AJ79" t="s">
        <v>159</v>
      </c>
      <c r="AK79" t="s">
        <v>163</v>
      </c>
      <c r="AL79" t="s">
        <v>156</v>
      </c>
      <c r="AM79" t="s">
        <v>159</v>
      </c>
    </row>
    <row r="80" spans="17:39">
      <c r="Q80">
        <v>50</v>
      </c>
      <c r="R80" t="s">
        <v>155</v>
      </c>
      <c r="S80" t="s">
        <v>213</v>
      </c>
      <c r="T80" t="s">
        <v>156</v>
      </c>
      <c r="U80">
        <v>8971</v>
      </c>
      <c r="V80" t="s">
        <v>157</v>
      </c>
      <c r="W80" t="s">
        <v>156</v>
      </c>
      <c r="X80">
        <v>22997918500</v>
      </c>
      <c r="Y80" t="s">
        <v>158</v>
      </c>
      <c r="Z80" t="s">
        <v>156</v>
      </c>
      <c r="AA80">
        <v>3782</v>
      </c>
      <c r="AB80" t="s">
        <v>160</v>
      </c>
      <c r="AC80" t="s">
        <v>156</v>
      </c>
      <c r="AD80">
        <v>2018</v>
      </c>
      <c r="AE80" t="s">
        <v>161</v>
      </c>
      <c r="AF80" t="s">
        <v>156</v>
      </c>
      <c r="AG80" t="s">
        <v>159</v>
      </c>
      <c r="AH80" t="s">
        <v>162</v>
      </c>
      <c r="AI80" t="s">
        <v>156</v>
      </c>
      <c r="AJ80" t="s">
        <v>159</v>
      </c>
      <c r="AK80" t="s">
        <v>163</v>
      </c>
      <c r="AL80" t="s">
        <v>156</v>
      </c>
      <c r="AM80" t="s">
        <v>159</v>
      </c>
    </row>
    <row r="81" spans="17:39">
      <c r="Q81">
        <v>50</v>
      </c>
      <c r="R81" t="s">
        <v>155</v>
      </c>
      <c r="S81" t="s">
        <v>216</v>
      </c>
      <c r="T81" t="s">
        <v>156</v>
      </c>
      <c r="U81">
        <v>5305</v>
      </c>
      <c r="V81" t="s">
        <v>157</v>
      </c>
      <c r="W81" t="s">
        <v>156</v>
      </c>
      <c r="X81">
        <v>26525000000</v>
      </c>
      <c r="Y81" t="s">
        <v>158</v>
      </c>
      <c r="Z81" t="s">
        <v>156</v>
      </c>
      <c r="AA81">
        <v>3192</v>
      </c>
      <c r="AB81" t="s">
        <v>160</v>
      </c>
      <c r="AC81" t="s">
        <v>156</v>
      </c>
      <c r="AD81">
        <v>190</v>
      </c>
      <c r="AE81" t="s">
        <v>161</v>
      </c>
      <c r="AF81" t="s">
        <v>156</v>
      </c>
      <c r="AG81" t="s">
        <v>159</v>
      </c>
      <c r="AH81" t="s">
        <v>162</v>
      </c>
      <c r="AI81" t="s">
        <v>156</v>
      </c>
      <c r="AJ81" t="s">
        <v>159</v>
      </c>
      <c r="AK81" t="s">
        <v>163</v>
      </c>
      <c r="AL81" t="s">
        <v>156</v>
      </c>
      <c r="AM81" t="s">
        <v>159</v>
      </c>
    </row>
    <row r="82" spans="17:39">
      <c r="Q82">
        <v>50</v>
      </c>
      <c r="R82" t="s">
        <v>155</v>
      </c>
      <c r="S82" t="s">
        <v>214</v>
      </c>
      <c r="T82" t="s">
        <v>156</v>
      </c>
      <c r="U82">
        <v>794</v>
      </c>
      <c r="V82" t="s">
        <v>157</v>
      </c>
      <c r="W82" t="s">
        <v>156</v>
      </c>
      <c r="X82">
        <v>9925000000</v>
      </c>
      <c r="Y82" t="s">
        <v>158</v>
      </c>
      <c r="Z82" t="s">
        <v>156</v>
      </c>
      <c r="AA82">
        <v>717</v>
      </c>
      <c r="AB82" t="s">
        <v>160</v>
      </c>
      <c r="AC82" t="s">
        <v>156</v>
      </c>
      <c r="AD82" t="s">
        <v>159</v>
      </c>
      <c r="AE82" t="s">
        <v>161</v>
      </c>
      <c r="AF82" t="s">
        <v>156</v>
      </c>
      <c r="AG82" t="s">
        <v>159</v>
      </c>
      <c r="AH82" t="s">
        <v>162</v>
      </c>
      <c r="AI82" t="s">
        <v>156</v>
      </c>
      <c r="AJ82" t="s">
        <v>159</v>
      </c>
      <c r="AK82" t="s">
        <v>163</v>
      </c>
      <c r="AL82" t="s">
        <v>156</v>
      </c>
      <c r="AM82" t="s">
        <v>159</v>
      </c>
    </row>
    <row r="83" spans="17:39">
      <c r="Q83">
        <v>50</v>
      </c>
      <c r="R83" t="s">
        <v>155</v>
      </c>
      <c r="S83" t="s">
        <v>219</v>
      </c>
      <c r="T83" t="s">
        <v>156</v>
      </c>
      <c r="U83">
        <v>502</v>
      </c>
      <c r="V83" t="s">
        <v>157</v>
      </c>
      <c r="W83" t="s">
        <v>156</v>
      </c>
      <c r="X83">
        <v>6313774500</v>
      </c>
      <c r="Y83" t="s">
        <v>158</v>
      </c>
      <c r="Z83" t="s">
        <v>156</v>
      </c>
      <c r="AA83">
        <v>438</v>
      </c>
      <c r="AB83" t="s">
        <v>160</v>
      </c>
      <c r="AC83" t="s">
        <v>156</v>
      </c>
      <c r="AD83" t="s">
        <v>159</v>
      </c>
      <c r="AE83" t="s">
        <v>161</v>
      </c>
      <c r="AF83" t="s">
        <v>156</v>
      </c>
      <c r="AG83" t="s">
        <v>159</v>
      </c>
      <c r="AH83" t="s">
        <v>162</v>
      </c>
      <c r="AI83" t="s">
        <v>156</v>
      </c>
      <c r="AJ83" t="s">
        <v>159</v>
      </c>
      <c r="AK83" t="s">
        <v>163</v>
      </c>
      <c r="AL83" t="s">
        <v>156</v>
      </c>
      <c r="AM83" t="s">
        <v>159</v>
      </c>
    </row>
    <row r="84" spans="17:39">
      <c r="Q84">
        <v>50</v>
      </c>
      <c r="R84" t="s">
        <v>155</v>
      </c>
      <c r="S84" t="s">
        <v>225</v>
      </c>
      <c r="T84" t="s">
        <v>156</v>
      </c>
      <c r="U84">
        <v>187</v>
      </c>
      <c r="V84" t="s">
        <v>157</v>
      </c>
      <c r="W84" t="s">
        <v>156</v>
      </c>
      <c r="X84">
        <v>4675000000</v>
      </c>
      <c r="Y84" t="s">
        <v>158</v>
      </c>
      <c r="Z84" t="s">
        <v>156</v>
      </c>
      <c r="AA84">
        <v>162</v>
      </c>
      <c r="AB84" t="s">
        <v>160</v>
      </c>
      <c r="AC84" t="s">
        <v>156</v>
      </c>
      <c r="AD84" t="s">
        <v>159</v>
      </c>
      <c r="AE84" t="s">
        <v>161</v>
      </c>
      <c r="AF84" t="s">
        <v>156</v>
      </c>
      <c r="AG84" t="s">
        <v>159</v>
      </c>
      <c r="AH84" t="s">
        <v>162</v>
      </c>
      <c r="AI84" t="s">
        <v>156</v>
      </c>
      <c r="AJ84" t="s">
        <v>159</v>
      </c>
      <c r="AK84" t="s">
        <v>163</v>
      </c>
      <c r="AL84" t="s">
        <v>156</v>
      </c>
      <c r="AM84" t="s">
        <v>159</v>
      </c>
    </row>
    <row r="85" spans="17:39">
      <c r="Q85">
        <v>50</v>
      </c>
      <c r="R85" t="s">
        <v>155</v>
      </c>
      <c r="S85" t="s">
        <v>226</v>
      </c>
      <c r="T85" t="s">
        <v>156</v>
      </c>
      <c r="U85">
        <v>182</v>
      </c>
      <c r="V85" t="s">
        <v>157</v>
      </c>
      <c r="W85" t="s">
        <v>156</v>
      </c>
      <c r="X85">
        <v>4686938500</v>
      </c>
      <c r="Y85" t="s">
        <v>158</v>
      </c>
      <c r="Z85" t="s">
        <v>156</v>
      </c>
      <c r="AA85">
        <v>137</v>
      </c>
      <c r="AB85" t="s">
        <v>160</v>
      </c>
      <c r="AC85" t="s">
        <v>156</v>
      </c>
      <c r="AD85" t="s">
        <v>159</v>
      </c>
      <c r="AE85" t="s">
        <v>161</v>
      </c>
      <c r="AF85" t="s">
        <v>156</v>
      </c>
      <c r="AG85" t="s">
        <v>159</v>
      </c>
      <c r="AH85" t="s">
        <v>162</v>
      </c>
      <c r="AI85" t="s">
        <v>156</v>
      </c>
      <c r="AJ85" t="s">
        <v>159</v>
      </c>
      <c r="AK85" t="s">
        <v>163</v>
      </c>
      <c r="AL85" t="s">
        <v>156</v>
      </c>
      <c r="AM85" t="s">
        <v>159</v>
      </c>
    </row>
    <row r="87" spans="17:39">
      <c r="Q87">
        <v>100</v>
      </c>
      <c r="R87" t="s">
        <v>155</v>
      </c>
      <c r="S87" t="s">
        <v>203</v>
      </c>
      <c r="T87" t="s">
        <v>156</v>
      </c>
      <c r="U87">
        <v>1122629</v>
      </c>
      <c r="V87" t="s">
        <v>157</v>
      </c>
      <c r="W87" t="s">
        <v>156</v>
      </c>
      <c r="X87">
        <v>56131450000</v>
      </c>
      <c r="Y87" t="s">
        <v>158</v>
      </c>
      <c r="Z87" t="s">
        <v>156</v>
      </c>
      <c r="AA87" t="s">
        <v>159</v>
      </c>
      <c r="AB87" t="s">
        <v>160</v>
      </c>
      <c r="AC87" t="s">
        <v>156</v>
      </c>
      <c r="AD87">
        <v>387139</v>
      </c>
      <c r="AE87" t="s">
        <v>161</v>
      </c>
      <c r="AF87" t="s">
        <v>156</v>
      </c>
      <c r="AG87" t="s">
        <v>159</v>
      </c>
      <c r="AH87" t="s">
        <v>162</v>
      </c>
      <c r="AI87" t="s">
        <v>156</v>
      </c>
      <c r="AJ87" t="s">
        <v>159</v>
      </c>
      <c r="AK87" t="s">
        <v>163</v>
      </c>
      <c r="AL87" t="s">
        <v>156</v>
      </c>
      <c r="AM87" t="s">
        <v>159</v>
      </c>
    </row>
    <row r="88" spans="17:39">
      <c r="Q88">
        <v>100</v>
      </c>
      <c r="R88" t="s">
        <v>155</v>
      </c>
      <c r="S88" t="s">
        <v>204</v>
      </c>
      <c r="T88" t="s">
        <v>156</v>
      </c>
      <c r="U88">
        <v>3974590</v>
      </c>
      <c r="V88" t="s">
        <v>157</v>
      </c>
      <c r="W88" t="s">
        <v>156</v>
      </c>
      <c r="X88">
        <v>248578282500</v>
      </c>
      <c r="Y88" t="s">
        <v>158</v>
      </c>
      <c r="Z88" t="s">
        <v>156</v>
      </c>
      <c r="AA88" t="s">
        <v>159</v>
      </c>
      <c r="AB88" t="s">
        <v>160</v>
      </c>
      <c r="AC88" t="s">
        <v>156</v>
      </c>
      <c r="AD88">
        <v>2793621</v>
      </c>
      <c r="AE88" t="s">
        <v>161</v>
      </c>
      <c r="AF88" t="s">
        <v>156</v>
      </c>
      <c r="AG88" t="s">
        <v>159</v>
      </c>
      <c r="AH88" t="s">
        <v>162</v>
      </c>
      <c r="AI88" t="s">
        <v>156</v>
      </c>
      <c r="AJ88" t="s">
        <v>159</v>
      </c>
      <c r="AK88" t="s">
        <v>163</v>
      </c>
      <c r="AL88" t="s">
        <v>156</v>
      </c>
      <c r="AM88" t="s">
        <v>159</v>
      </c>
    </row>
    <row r="89" spans="17:39">
      <c r="Q89">
        <v>100</v>
      </c>
      <c r="R89" t="s">
        <v>155</v>
      </c>
      <c r="S89" t="s">
        <v>21</v>
      </c>
      <c r="T89" t="s">
        <v>156</v>
      </c>
      <c r="U89">
        <v>94342</v>
      </c>
      <c r="V89" t="s">
        <v>157</v>
      </c>
      <c r="W89" t="s">
        <v>156</v>
      </c>
      <c r="X89">
        <v>10958351000</v>
      </c>
      <c r="Y89" t="s">
        <v>158</v>
      </c>
      <c r="Z89" t="s">
        <v>156</v>
      </c>
      <c r="AA89" t="s">
        <v>159</v>
      </c>
      <c r="AB89" t="s">
        <v>160</v>
      </c>
      <c r="AC89" t="s">
        <v>156</v>
      </c>
      <c r="AD89">
        <v>11191</v>
      </c>
      <c r="AE89" t="s">
        <v>161</v>
      </c>
      <c r="AF89" t="s">
        <v>156</v>
      </c>
      <c r="AG89" t="s">
        <v>159</v>
      </c>
      <c r="AH89" t="s">
        <v>162</v>
      </c>
      <c r="AI89" t="s">
        <v>156</v>
      </c>
      <c r="AJ89" t="s">
        <v>159</v>
      </c>
      <c r="AK89" t="s">
        <v>163</v>
      </c>
      <c r="AL89" t="s">
        <v>156</v>
      </c>
      <c r="AM89" t="s">
        <v>159</v>
      </c>
    </row>
    <row r="90" spans="17:39">
      <c r="Q90">
        <v>100</v>
      </c>
      <c r="R90" t="s">
        <v>155</v>
      </c>
      <c r="S90" t="s">
        <v>205</v>
      </c>
      <c r="T90" t="s">
        <v>156</v>
      </c>
      <c r="U90">
        <v>3000201</v>
      </c>
      <c r="V90" t="s">
        <v>157</v>
      </c>
      <c r="W90" t="s">
        <v>156</v>
      </c>
      <c r="X90">
        <v>750050250000</v>
      </c>
      <c r="Y90" t="s">
        <v>158</v>
      </c>
      <c r="Z90" t="s">
        <v>156</v>
      </c>
      <c r="AA90" t="s">
        <v>159</v>
      </c>
      <c r="AB90" t="s">
        <v>160</v>
      </c>
      <c r="AC90" t="s">
        <v>156</v>
      </c>
      <c r="AD90">
        <v>804904</v>
      </c>
      <c r="AE90" t="s">
        <v>161</v>
      </c>
      <c r="AF90" t="s">
        <v>156</v>
      </c>
      <c r="AG90" t="s">
        <v>159</v>
      </c>
      <c r="AH90" t="s">
        <v>162</v>
      </c>
      <c r="AI90" t="s">
        <v>156</v>
      </c>
      <c r="AJ90" t="s">
        <v>159</v>
      </c>
      <c r="AK90" t="s">
        <v>163</v>
      </c>
      <c r="AL90" t="s">
        <v>156</v>
      </c>
      <c r="AM90" t="s">
        <v>159</v>
      </c>
    </row>
    <row r="91" spans="17:39">
      <c r="Q91">
        <v>100</v>
      </c>
      <c r="R91" t="s">
        <v>155</v>
      </c>
      <c r="S91" t="s">
        <v>22</v>
      </c>
      <c r="T91" t="s">
        <v>156</v>
      </c>
      <c r="U91">
        <v>5022261</v>
      </c>
      <c r="V91" t="s">
        <v>157</v>
      </c>
      <c r="W91" t="s">
        <v>156</v>
      </c>
      <c r="X91">
        <v>1316823119000</v>
      </c>
      <c r="Y91" t="s">
        <v>158</v>
      </c>
      <c r="Z91" t="s">
        <v>156</v>
      </c>
      <c r="AA91" t="s">
        <v>159</v>
      </c>
      <c r="AB91" t="s">
        <v>160</v>
      </c>
      <c r="AC91" t="s">
        <v>156</v>
      </c>
      <c r="AD91">
        <v>2839948</v>
      </c>
      <c r="AE91" t="s">
        <v>161</v>
      </c>
      <c r="AF91" t="s">
        <v>156</v>
      </c>
      <c r="AG91" t="s">
        <v>159</v>
      </c>
      <c r="AH91" t="s">
        <v>162</v>
      </c>
      <c r="AI91" t="s">
        <v>156</v>
      </c>
      <c r="AJ91" t="s">
        <v>159</v>
      </c>
      <c r="AK91" t="s">
        <v>163</v>
      </c>
      <c r="AL91" t="s">
        <v>156</v>
      </c>
      <c r="AM91" t="s">
        <v>159</v>
      </c>
    </row>
    <row r="92" spans="17:39">
      <c r="Q92">
        <v>100</v>
      </c>
      <c r="R92" t="s">
        <v>155</v>
      </c>
      <c r="S92" t="s">
        <v>220</v>
      </c>
      <c r="T92" t="s">
        <v>156</v>
      </c>
      <c r="U92">
        <v>5569</v>
      </c>
      <c r="V92" t="s">
        <v>157</v>
      </c>
      <c r="W92" t="s">
        <v>156</v>
      </c>
      <c r="X92">
        <v>1716502000</v>
      </c>
      <c r="Y92" t="s">
        <v>158</v>
      </c>
      <c r="Z92" t="s">
        <v>156</v>
      </c>
      <c r="AA92" t="s">
        <v>159</v>
      </c>
      <c r="AB92" t="s">
        <v>160</v>
      </c>
      <c r="AC92" t="s">
        <v>156</v>
      </c>
      <c r="AD92">
        <v>5569</v>
      </c>
      <c r="AE92" t="s">
        <v>161</v>
      </c>
      <c r="AF92" t="s">
        <v>156</v>
      </c>
      <c r="AG92" t="s">
        <v>159</v>
      </c>
      <c r="AH92" t="s">
        <v>162</v>
      </c>
      <c r="AI92" t="s">
        <v>156</v>
      </c>
      <c r="AJ92" t="s">
        <v>159</v>
      </c>
      <c r="AK92" t="s">
        <v>163</v>
      </c>
      <c r="AL92" t="s">
        <v>156</v>
      </c>
      <c r="AM92" t="s">
        <v>159</v>
      </c>
    </row>
    <row r="93" spans="17:39">
      <c r="Q93">
        <v>100</v>
      </c>
      <c r="R93" t="s">
        <v>155</v>
      </c>
      <c r="S93" t="s">
        <v>206</v>
      </c>
      <c r="T93" t="s">
        <v>156</v>
      </c>
      <c r="U93">
        <v>936309</v>
      </c>
      <c r="V93" t="s">
        <v>157</v>
      </c>
      <c r="W93" t="s">
        <v>156</v>
      </c>
      <c r="X93">
        <v>468154500000</v>
      </c>
      <c r="Y93" t="s">
        <v>158</v>
      </c>
      <c r="Z93" t="s">
        <v>156</v>
      </c>
      <c r="AA93">
        <v>237903</v>
      </c>
      <c r="AB93" t="s">
        <v>160</v>
      </c>
      <c r="AC93" t="s">
        <v>156</v>
      </c>
      <c r="AD93">
        <v>167169</v>
      </c>
      <c r="AE93" t="s">
        <v>161</v>
      </c>
      <c r="AF93" t="s">
        <v>156</v>
      </c>
      <c r="AG93" t="s">
        <v>159</v>
      </c>
      <c r="AH93" t="s">
        <v>162</v>
      </c>
      <c r="AI93" t="s">
        <v>156</v>
      </c>
      <c r="AJ93" t="s">
        <v>159</v>
      </c>
      <c r="AK93" t="s">
        <v>163</v>
      </c>
      <c r="AL93" t="s">
        <v>156</v>
      </c>
      <c r="AM93" t="s">
        <v>159</v>
      </c>
    </row>
    <row r="94" spans="17:39">
      <c r="Q94">
        <v>100</v>
      </c>
      <c r="R94" t="s">
        <v>155</v>
      </c>
      <c r="S94" t="s">
        <v>23</v>
      </c>
      <c r="T94" t="s">
        <v>156</v>
      </c>
      <c r="U94">
        <v>1500405</v>
      </c>
      <c r="V94" t="s">
        <v>157</v>
      </c>
      <c r="W94" t="s">
        <v>156</v>
      </c>
      <c r="X94">
        <v>788550916500</v>
      </c>
      <c r="Y94" t="s">
        <v>158</v>
      </c>
      <c r="Z94" t="s">
        <v>156</v>
      </c>
      <c r="AA94">
        <v>275070</v>
      </c>
      <c r="AB94" t="s">
        <v>160</v>
      </c>
      <c r="AC94" t="s">
        <v>156</v>
      </c>
      <c r="AD94">
        <v>810101</v>
      </c>
      <c r="AE94" t="s">
        <v>161</v>
      </c>
      <c r="AF94" t="s">
        <v>156</v>
      </c>
      <c r="AG94" t="s">
        <v>159</v>
      </c>
      <c r="AH94" t="s">
        <v>162</v>
      </c>
      <c r="AI94" t="s">
        <v>156</v>
      </c>
      <c r="AJ94" t="s">
        <v>159</v>
      </c>
      <c r="AK94" t="s">
        <v>163</v>
      </c>
      <c r="AL94" t="s">
        <v>156</v>
      </c>
      <c r="AM94" t="s">
        <v>159</v>
      </c>
    </row>
    <row r="95" spans="17:39">
      <c r="Q95">
        <v>100</v>
      </c>
      <c r="R95" t="s">
        <v>155</v>
      </c>
      <c r="S95" t="s">
        <v>207</v>
      </c>
      <c r="T95" t="s">
        <v>156</v>
      </c>
      <c r="U95">
        <v>1050970</v>
      </c>
      <c r="V95" t="s">
        <v>157</v>
      </c>
      <c r="W95" t="s">
        <v>156</v>
      </c>
      <c r="X95">
        <v>976086669500</v>
      </c>
      <c r="Y95" t="s">
        <v>158</v>
      </c>
      <c r="Z95" t="s">
        <v>156</v>
      </c>
      <c r="AA95">
        <v>456231</v>
      </c>
      <c r="AB95" t="s">
        <v>160</v>
      </c>
      <c r="AC95" t="s">
        <v>156</v>
      </c>
      <c r="AD95">
        <v>238363</v>
      </c>
      <c r="AE95" t="s">
        <v>161</v>
      </c>
      <c r="AF95" t="s">
        <v>156</v>
      </c>
      <c r="AG95" t="s">
        <v>159</v>
      </c>
      <c r="AH95" t="s">
        <v>162</v>
      </c>
      <c r="AI95" t="s">
        <v>156</v>
      </c>
      <c r="AJ95" t="s">
        <v>159</v>
      </c>
      <c r="AK95" t="s">
        <v>163</v>
      </c>
      <c r="AL95" t="s">
        <v>156</v>
      </c>
      <c r="AM95" t="s">
        <v>159</v>
      </c>
    </row>
    <row r="96" spans="17:39">
      <c r="Q96">
        <v>100</v>
      </c>
      <c r="R96" t="s">
        <v>155</v>
      </c>
      <c r="S96" t="s">
        <v>208</v>
      </c>
      <c r="T96" t="s">
        <v>156</v>
      </c>
      <c r="U96">
        <v>293575</v>
      </c>
      <c r="V96" t="s">
        <v>157</v>
      </c>
      <c r="W96" t="s">
        <v>156</v>
      </c>
      <c r="X96">
        <v>311257313500</v>
      </c>
      <c r="Y96" t="s">
        <v>158</v>
      </c>
      <c r="Z96" t="s">
        <v>156</v>
      </c>
      <c r="AA96">
        <v>146447</v>
      </c>
      <c r="AB96" t="s">
        <v>160</v>
      </c>
      <c r="AC96" t="s">
        <v>156</v>
      </c>
      <c r="AD96">
        <v>13355</v>
      </c>
      <c r="AE96" t="s">
        <v>161</v>
      </c>
      <c r="AF96" t="s">
        <v>156</v>
      </c>
      <c r="AG96" t="s">
        <v>159</v>
      </c>
      <c r="AH96" t="s">
        <v>162</v>
      </c>
      <c r="AI96" t="s">
        <v>156</v>
      </c>
      <c r="AJ96" t="s">
        <v>159</v>
      </c>
      <c r="AK96" t="s">
        <v>163</v>
      </c>
      <c r="AL96" t="s">
        <v>156</v>
      </c>
      <c r="AM96" t="s">
        <v>159</v>
      </c>
    </row>
    <row r="97" spans="17:39">
      <c r="Q97">
        <v>100</v>
      </c>
      <c r="R97" t="s">
        <v>155</v>
      </c>
      <c r="S97" t="s">
        <v>209</v>
      </c>
      <c r="T97" t="s">
        <v>156</v>
      </c>
      <c r="U97">
        <v>76564</v>
      </c>
      <c r="V97" t="s">
        <v>157</v>
      </c>
      <c r="W97" t="s">
        <v>156</v>
      </c>
      <c r="X97">
        <v>106142767000</v>
      </c>
      <c r="Y97" t="s">
        <v>158</v>
      </c>
      <c r="Z97" t="s">
        <v>156</v>
      </c>
      <c r="AA97">
        <v>38972</v>
      </c>
      <c r="AB97" t="s">
        <v>160</v>
      </c>
      <c r="AC97" t="s">
        <v>156</v>
      </c>
      <c r="AD97">
        <v>589</v>
      </c>
      <c r="AE97" t="s">
        <v>161</v>
      </c>
      <c r="AF97" t="s">
        <v>156</v>
      </c>
      <c r="AG97" t="s">
        <v>159</v>
      </c>
      <c r="AH97" t="s">
        <v>162</v>
      </c>
      <c r="AI97" t="s">
        <v>156</v>
      </c>
      <c r="AJ97" t="s">
        <v>159</v>
      </c>
      <c r="AK97" t="s">
        <v>163</v>
      </c>
      <c r="AL97" t="s">
        <v>156</v>
      </c>
      <c r="AM97" t="s">
        <v>159</v>
      </c>
    </row>
    <row r="98" spans="17:39">
      <c r="Q98">
        <v>100</v>
      </c>
      <c r="R98" t="s">
        <v>155</v>
      </c>
      <c r="S98" t="s">
        <v>215</v>
      </c>
      <c r="T98" t="s">
        <v>156</v>
      </c>
      <c r="U98">
        <v>38750</v>
      </c>
      <c r="V98" t="s">
        <v>157</v>
      </c>
      <c r="W98" t="s">
        <v>156</v>
      </c>
      <c r="X98">
        <v>59103304000</v>
      </c>
      <c r="Y98" t="s">
        <v>158</v>
      </c>
      <c r="Z98" t="s">
        <v>156</v>
      </c>
      <c r="AA98">
        <v>37940</v>
      </c>
      <c r="AB98" t="s">
        <v>160</v>
      </c>
      <c r="AC98" t="s">
        <v>156</v>
      </c>
      <c r="AD98">
        <v>4</v>
      </c>
      <c r="AE98" t="s">
        <v>161</v>
      </c>
      <c r="AF98" t="s">
        <v>156</v>
      </c>
      <c r="AG98" t="s">
        <v>159</v>
      </c>
      <c r="AH98" t="s">
        <v>162</v>
      </c>
      <c r="AI98" t="s">
        <v>156</v>
      </c>
      <c r="AJ98" t="s">
        <v>159</v>
      </c>
      <c r="AK98" t="s">
        <v>163</v>
      </c>
      <c r="AL98" t="s">
        <v>156</v>
      </c>
      <c r="AM98" t="s">
        <v>159</v>
      </c>
    </row>
    <row r="99" spans="17:39">
      <c r="Q99">
        <v>100</v>
      </c>
      <c r="R99" t="s">
        <v>155</v>
      </c>
      <c r="S99" t="s">
        <v>222</v>
      </c>
      <c r="T99" t="s">
        <v>156</v>
      </c>
      <c r="U99">
        <v>27821</v>
      </c>
      <c r="V99" t="s">
        <v>157</v>
      </c>
      <c r="W99" t="s">
        <v>156</v>
      </c>
      <c r="X99">
        <v>51721126500</v>
      </c>
      <c r="Y99" t="s">
        <v>158</v>
      </c>
      <c r="Z99" t="s">
        <v>156</v>
      </c>
      <c r="AA99">
        <v>27821</v>
      </c>
      <c r="AB99" t="s">
        <v>160</v>
      </c>
      <c r="AC99" t="s">
        <v>156</v>
      </c>
      <c r="AD99" t="s">
        <v>159</v>
      </c>
      <c r="AE99" t="s">
        <v>161</v>
      </c>
      <c r="AF99" t="s">
        <v>156</v>
      </c>
      <c r="AG99" t="s">
        <v>159</v>
      </c>
      <c r="AH99" t="s">
        <v>162</v>
      </c>
      <c r="AI99" t="s">
        <v>156</v>
      </c>
      <c r="AJ99" t="s">
        <v>159</v>
      </c>
      <c r="AK99" t="s">
        <v>163</v>
      </c>
      <c r="AL99" t="s">
        <v>156</v>
      </c>
      <c r="AM99" t="s">
        <v>159</v>
      </c>
    </row>
    <row r="100" spans="17:39">
      <c r="Q100">
        <v>100</v>
      </c>
      <c r="R100" t="s">
        <v>155</v>
      </c>
      <c r="S100" t="s">
        <v>223</v>
      </c>
      <c r="T100" t="s">
        <v>156</v>
      </c>
      <c r="U100">
        <v>77692</v>
      </c>
      <c r="V100" t="s">
        <v>157</v>
      </c>
      <c r="W100" t="s">
        <v>156</v>
      </c>
      <c r="X100">
        <v>157155241000</v>
      </c>
      <c r="Y100" t="s">
        <v>158</v>
      </c>
      <c r="Z100" t="s">
        <v>156</v>
      </c>
      <c r="AA100">
        <v>77692</v>
      </c>
      <c r="AB100" t="s">
        <v>160</v>
      </c>
      <c r="AC100" t="s">
        <v>156</v>
      </c>
      <c r="AD100" t="s">
        <v>159</v>
      </c>
      <c r="AE100" t="s">
        <v>161</v>
      </c>
      <c r="AF100" t="s">
        <v>156</v>
      </c>
      <c r="AG100" t="s">
        <v>159</v>
      </c>
      <c r="AH100" t="s">
        <v>162</v>
      </c>
      <c r="AI100" t="s">
        <v>156</v>
      </c>
      <c r="AJ100" t="s">
        <v>159</v>
      </c>
      <c r="AK100" t="s">
        <v>163</v>
      </c>
      <c r="AL100" t="s">
        <v>156</v>
      </c>
      <c r="AM100" t="s">
        <v>159</v>
      </c>
    </row>
    <row r="101" spans="17:39">
      <c r="Q101">
        <v>100</v>
      </c>
      <c r="R101" t="s">
        <v>155</v>
      </c>
      <c r="S101" t="s">
        <v>210</v>
      </c>
      <c r="T101" t="s">
        <v>156</v>
      </c>
      <c r="U101">
        <v>138685</v>
      </c>
      <c r="V101" t="s">
        <v>157</v>
      </c>
      <c r="W101" t="s">
        <v>156</v>
      </c>
      <c r="X101">
        <v>346626015000</v>
      </c>
      <c r="Y101" t="s">
        <v>158</v>
      </c>
      <c r="Z101" t="s">
        <v>156</v>
      </c>
      <c r="AA101">
        <v>51301</v>
      </c>
      <c r="AB101" t="s">
        <v>160</v>
      </c>
      <c r="AC101" t="s">
        <v>156</v>
      </c>
      <c r="AD101">
        <v>4228</v>
      </c>
      <c r="AE101" t="s">
        <v>161</v>
      </c>
      <c r="AF101" t="s">
        <v>156</v>
      </c>
      <c r="AG101" t="s">
        <v>159</v>
      </c>
      <c r="AH101" t="s">
        <v>162</v>
      </c>
      <c r="AI101" t="s">
        <v>156</v>
      </c>
      <c r="AJ101" t="s">
        <v>159</v>
      </c>
      <c r="AK101" t="s">
        <v>163</v>
      </c>
      <c r="AL101" t="s">
        <v>156</v>
      </c>
      <c r="AM101" t="s">
        <v>159</v>
      </c>
    </row>
    <row r="102" spans="17:39">
      <c r="Q102">
        <v>100</v>
      </c>
      <c r="R102" t="s">
        <v>155</v>
      </c>
      <c r="S102" t="s">
        <v>211</v>
      </c>
      <c r="T102" t="s">
        <v>156</v>
      </c>
      <c r="U102">
        <v>435531</v>
      </c>
      <c r="V102" t="s">
        <v>157</v>
      </c>
      <c r="W102" t="s">
        <v>156</v>
      </c>
      <c r="X102">
        <v>1121064046500</v>
      </c>
      <c r="Y102" t="s">
        <v>158</v>
      </c>
      <c r="Z102" t="s">
        <v>156</v>
      </c>
      <c r="AA102">
        <v>155697</v>
      </c>
      <c r="AB102" t="s">
        <v>160</v>
      </c>
      <c r="AC102" t="s">
        <v>156</v>
      </c>
      <c r="AD102">
        <v>118752</v>
      </c>
      <c r="AE102" t="s">
        <v>161</v>
      </c>
      <c r="AF102" t="s">
        <v>156</v>
      </c>
      <c r="AG102" t="s">
        <v>159</v>
      </c>
      <c r="AH102" t="s">
        <v>162</v>
      </c>
      <c r="AI102" t="s">
        <v>156</v>
      </c>
      <c r="AJ102" t="s">
        <v>159</v>
      </c>
      <c r="AK102" t="s">
        <v>163</v>
      </c>
      <c r="AL102" t="s">
        <v>156</v>
      </c>
      <c r="AM102" t="s">
        <v>159</v>
      </c>
    </row>
    <row r="103" spans="17:39">
      <c r="Q103">
        <v>100</v>
      </c>
      <c r="R103" t="s">
        <v>155</v>
      </c>
      <c r="S103" t="s">
        <v>212</v>
      </c>
      <c r="T103" t="s">
        <v>156</v>
      </c>
      <c r="U103">
        <v>5579</v>
      </c>
      <c r="V103" t="s">
        <v>157</v>
      </c>
      <c r="W103" t="s">
        <v>156</v>
      </c>
      <c r="X103">
        <v>27895000000</v>
      </c>
      <c r="Y103" t="s">
        <v>158</v>
      </c>
      <c r="Z103" t="s">
        <v>156</v>
      </c>
      <c r="AA103">
        <v>2615</v>
      </c>
      <c r="AB103" t="s">
        <v>160</v>
      </c>
      <c r="AC103" t="s">
        <v>156</v>
      </c>
      <c r="AD103">
        <v>341</v>
      </c>
      <c r="AE103" t="s">
        <v>161</v>
      </c>
      <c r="AF103" t="s">
        <v>156</v>
      </c>
      <c r="AG103" t="s">
        <v>159</v>
      </c>
      <c r="AH103" t="s">
        <v>162</v>
      </c>
      <c r="AI103" t="s">
        <v>156</v>
      </c>
      <c r="AJ103" t="s">
        <v>159</v>
      </c>
      <c r="AK103" t="s">
        <v>163</v>
      </c>
      <c r="AL103" t="s">
        <v>156</v>
      </c>
      <c r="AM103" t="s">
        <v>159</v>
      </c>
    </row>
    <row r="104" spans="17:39">
      <c r="Q104">
        <v>100</v>
      </c>
      <c r="R104" t="s">
        <v>155</v>
      </c>
      <c r="S104" t="s">
        <v>213</v>
      </c>
      <c r="T104" t="s">
        <v>156</v>
      </c>
      <c r="U104">
        <v>11052</v>
      </c>
      <c r="V104" t="s">
        <v>157</v>
      </c>
      <c r="W104" t="s">
        <v>156</v>
      </c>
      <c r="X104">
        <v>56837465500</v>
      </c>
      <c r="Y104" t="s">
        <v>158</v>
      </c>
      <c r="Z104" t="s">
        <v>156</v>
      </c>
      <c r="AA104">
        <v>4128</v>
      </c>
      <c r="AB104" t="s">
        <v>160</v>
      </c>
      <c r="AC104" t="s">
        <v>156</v>
      </c>
      <c r="AD104">
        <v>3967</v>
      </c>
      <c r="AE104" t="s">
        <v>161</v>
      </c>
      <c r="AF104" t="s">
        <v>156</v>
      </c>
      <c r="AG104" t="s">
        <v>159</v>
      </c>
      <c r="AH104" t="s">
        <v>162</v>
      </c>
      <c r="AI104" t="s">
        <v>156</v>
      </c>
      <c r="AJ104" t="s">
        <v>159</v>
      </c>
      <c r="AK104" t="s">
        <v>163</v>
      </c>
      <c r="AL104" t="s">
        <v>156</v>
      </c>
      <c r="AM104" t="s">
        <v>159</v>
      </c>
    </row>
    <row r="105" spans="17:39">
      <c r="Q105">
        <v>100</v>
      </c>
      <c r="R105" t="s">
        <v>155</v>
      </c>
      <c r="S105" t="s">
        <v>216</v>
      </c>
      <c r="T105" t="s">
        <v>156</v>
      </c>
      <c r="U105">
        <v>4589</v>
      </c>
      <c r="V105" t="s">
        <v>157</v>
      </c>
      <c r="W105" t="s">
        <v>156</v>
      </c>
      <c r="X105">
        <v>45890000000</v>
      </c>
      <c r="Y105" t="s">
        <v>158</v>
      </c>
      <c r="Z105" t="s">
        <v>156</v>
      </c>
      <c r="AA105">
        <v>3940</v>
      </c>
      <c r="AB105" t="s">
        <v>160</v>
      </c>
      <c r="AC105" t="s">
        <v>156</v>
      </c>
      <c r="AD105">
        <v>4</v>
      </c>
      <c r="AE105" t="s">
        <v>161</v>
      </c>
      <c r="AF105" t="s">
        <v>156</v>
      </c>
      <c r="AG105" t="s">
        <v>159</v>
      </c>
      <c r="AH105" t="s">
        <v>162</v>
      </c>
      <c r="AI105" t="s">
        <v>156</v>
      </c>
      <c r="AJ105" t="s">
        <v>159</v>
      </c>
      <c r="AK105" t="s">
        <v>163</v>
      </c>
      <c r="AL105" t="s">
        <v>156</v>
      </c>
      <c r="AM105" t="s">
        <v>159</v>
      </c>
    </row>
    <row r="106" spans="17:39">
      <c r="Q106">
        <v>100</v>
      </c>
      <c r="R106" t="s">
        <v>155</v>
      </c>
      <c r="S106" t="s">
        <v>214</v>
      </c>
      <c r="T106" t="s">
        <v>156</v>
      </c>
      <c r="U106">
        <v>588</v>
      </c>
      <c r="V106" t="s">
        <v>157</v>
      </c>
      <c r="W106" t="s">
        <v>156</v>
      </c>
      <c r="X106">
        <v>14700000000</v>
      </c>
      <c r="Y106" t="s">
        <v>158</v>
      </c>
      <c r="Z106" t="s">
        <v>156</v>
      </c>
      <c r="AA106">
        <v>452</v>
      </c>
      <c r="AB106" t="s">
        <v>160</v>
      </c>
      <c r="AC106" t="s">
        <v>156</v>
      </c>
      <c r="AD106" t="s">
        <v>159</v>
      </c>
      <c r="AE106" t="s">
        <v>161</v>
      </c>
      <c r="AF106" t="s">
        <v>156</v>
      </c>
      <c r="AG106" t="s">
        <v>159</v>
      </c>
      <c r="AH106" t="s">
        <v>162</v>
      </c>
      <c r="AI106" t="s">
        <v>156</v>
      </c>
      <c r="AJ106" t="s">
        <v>159</v>
      </c>
      <c r="AK106" t="s">
        <v>163</v>
      </c>
      <c r="AL106" t="s">
        <v>156</v>
      </c>
      <c r="AM106" t="s">
        <v>159</v>
      </c>
    </row>
    <row r="107" spans="17:39">
      <c r="Q107">
        <v>100</v>
      </c>
      <c r="R107" t="s">
        <v>155</v>
      </c>
      <c r="S107" t="s">
        <v>219</v>
      </c>
      <c r="T107" t="s">
        <v>156</v>
      </c>
      <c r="U107">
        <v>517</v>
      </c>
      <c r="V107" t="s">
        <v>157</v>
      </c>
      <c r="W107" t="s">
        <v>156</v>
      </c>
      <c r="X107">
        <v>13050242500</v>
      </c>
      <c r="Y107" t="s">
        <v>158</v>
      </c>
      <c r="Z107" t="s">
        <v>156</v>
      </c>
      <c r="AA107">
        <v>371</v>
      </c>
      <c r="AB107" t="s">
        <v>160</v>
      </c>
      <c r="AC107" t="s">
        <v>156</v>
      </c>
      <c r="AD107" t="s">
        <v>159</v>
      </c>
      <c r="AE107" t="s">
        <v>161</v>
      </c>
      <c r="AF107" t="s">
        <v>156</v>
      </c>
      <c r="AG107" t="s">
        <v>159</v>
      </c>
      <c r="AH107" t="s">
        <v>162</v>
      </c>
      <c r="AI107" t="s">
        <v>156</v>
      </c>
      <c r="AJ107" t="s">
        <v>159</v>
      </c>
      <c r="AK107" t="s">
        <v>163</v>
      </c>
      <c r="AL107" t="s">
        <v>156</v>
      </c>
      <c r="AM107" t="s">
        <v>159</v>
      </c>
    </row>
    <row r="108" spans="17:39">
      <c r="Q108">
        <v>100</v>
      </c>
      <c r="R108" t="s">
        <v>155</v>
      </c>
      <c r="S108" t="s">
        <v>225</v>
      </c>
      <c r="T108" t="s">
        <v>156</v>
      </c>
      <c r="U108">
        <v>106</v>
      </c>
      <c r="V108" t="s">
        <v>157</v>
      </c>
      <c r="W108" t="s">
        <v>156</v>
      </c>
      <c r="X108">
        <v>5300000000</v>
      </c>
      <c r="Y108" t="s">
        <v>158</v>
      </c>
      <c r="Z108" t="s">
        <v>156</v>
      </c>
      <c r="AA108">
        <v>94</v>
      </c>
      <c r="AB108" t="s">
        <v>160</v>
      </c>
      <c r="AC108" t="s">
        <v>156</v>
      </c>
      <c r="AD108" t="s">
        <v>159</v>
      </c>
      <c r="AE108" t="s">
        <v>161</v>
      </c>
      <c r="AF108" t="s">
        <v>156</v>
      </c>
      <c r="AG108" t="s">
        <v>159</v>
      </c>
      <c r="AH108" t="s">
        <v>162</v>
      </c>
      <c r="AI108" t="s">
        <v>156</v>
      </c>
      <c r="AJ108" t="s">
        <v>159</v>
      </c>
      <c r="AK108" t="s">
        <v>163</v>
      </c>
      <c r="AL108" t="s">
        <v>156</v>
      </c>
      <c r="AM108" t="s">
        <v>159</v>
      </c>
    </row>
    <row r="109" spans="17:39">
      <c r="Q109">
        <v>100</v>
      </c>
      <c r="R109" t="s">
        <v>155</v>
      </c>
      <c r="S109" t="s">
        <v>226</v>
      </c>
      <c r="T109" t="s">
        <v>156</v>
      </c>
      <c r="U109">
        <v>100</v>
      </c>
      <c r="V109" t="s">
        <v>157</v>
      </c>
      <c r="W109" t="s">
        <v>156</v>
      </c>
      <c r="X109">
        <v>5045371000</v>
      </c>
      <c r="Y109" t="s">
        <v>158</v>
      </c>
      <c r="Z109" t="s">
        <v>156</v>
      </c>
      <c r="AA109">
        <v>79</v>
      </c>
      <c r="AB109" t="s">
        <v>160</v>
      </c>
      <c r="AC109" t="s">
        <v>156</v>
      </c>
      <c r="AD109" t="s">
        <v>159</v>
      </c>
      <c r="AE109" t="s">
        <v>161</v>
      </c>
      <c r="AF109" t="s">
        <v>156</v>
      </c>
      <c r="AG109" t="s">
        <v>159</v>
      </c>
      <c r="AH109" t="s">
        <v>162</v>
      </c>
      <c r="AI109" t="s">
        <v>156</v>
      </c>
      <c r="AJ109" t="s">
        <v>159</v>
      </c>
      <c r="AK109" t="s">
        <v>163</v>
      </c>
      <c r="AL109" t="s">
        <v>156</v>
      </c>
      <c r="AM109" t="s">
        <v>159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336E-A298-4794-AD32-208618765AFD}">
  <sheetPr>
    <tabColor theme="0" tint="-0.499984740745262"/>
  </sheetPr>
  <dimension ref="A1:AM97"/>
  <sheetViews>
    <sheetView workbookViewId="0"/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184</v>
      </c>
      <c r="B1" s="289"/>
      <c r="C1" s="290"/>
      <c r="D1" s="291" t="s">
        <v>185</v>
      </c>
      <c r="E1" s="292"/>
      <c r="F1" s="293"/>
      <c r="G1" s="288" t="s">
        <v>186</v>
      </c>
      <c r="H1" s="289"/>
      <c r="I1" s="290"/>
      <c r="J1" s="291" t="s">
        <v>187</v>
      </c>
      <c r="K1" s="292"/>
      <c r="L1" s="293"/>
      <c r="M1" s="288" t="s">
        <v>188</v>
      </c>
      <c r="N1" s="289"/>
      <c r="O1" s="290"/>
      <c r="R1" t="s">
        <v>192</v>
      </c>
    </row>
    <row r="2" spans="1:39" ht="16.8" thickBot="1">
      <c r="A2" s="294">
        <v>0.9251214629568788</v>
      </c>
      <c r="B2" s="295"/>
      <c r="C2" s="296"/>
      <c r="D2" s="297">
        <v>0.92490444042038744</v>
      </c>
      <c r="E2" s="298"/>
      <c r="F2" s="299"/>
      <c r="G2" s="294">
        <v>0.9249134855540575</v>
      </c>
      <c r="H2" s="295"/>
      <c r="I2" s="296"/>
      <c r="J2" s="297">
        <v>0.92507843419032409</v>
      </c>
      <c r="K2" s="298"/>
      <c r="L2" s="299"/>
      <c r="M2" s="294">
        <v>0.92465246811063528</v>
      </c>
      <c r="N2" s="295"/>
      <c r="O2" s="296"/>
    </row>
    <row r="3" spans="1:39" ht="16.8" thickBot="1">
      <c r="A3" s="160" t="s">
        <v>166</v>
      </c>
      <c r="B3" s="160" t="s">
        <v>189</v>
      </c>
      <c r="C3" s="248" t="s">
        <v>168</v>
      </c>
      <c r="D3" s="249" t="s">
        <v>166</v>
      </c>
      <c r="E3" s="249" t="s">
        <v>189</v>
      </c>
      <c r="F3" s="250" t="s">
        <v>168</v>
      </c>
      <c r="G3" s="160" t="s">
        <v>166</v>
      </c>
      <c r="H3" s="160" t="s">
        <v>189</v>
      </c>
      <c r="I3" s="248" t="s">
        <v>168</v>
      </c>
      <c r="J3" s="249" t="s">
        <v>166</v>
      </c>
      <c r="K3" s="249" t="s">
        <v>189</v>
      </c>
      <c r="L3" s="250" t="s">
        <v>168</v>
      </c>
      <c r="M3" s="160" t="s">
        <v>166</v>
      </c>
      <c r="N3" s="160" t="s">
        <v>189</v>
      </c>
      <c r="O3" s="248" t="s">
        <v>168</v>
      </c>
      <c r="R3" s="163" t="s">
        <v>193</v>
      </c>
      <c r="S3" s="257" t="s">
        <v>194</v>
      </c>
      <c r="T3" s="257" t="s">
        <v>195</v>
      </c>
      <c r="U3" s="257" t="s">
        <v>196</v>
      </c>
      <c r="V3" s="257" t="s">
        <v>197</v>
      </c>
      <c r="W3" s="257" t="s">
        <v>198</v>
      </c>
      <c r="X3" s="248" t="s">
        <v>199</v>
      </c>
    </row>
    <row r="4" spans="1:39">
      <c r="A4" s="153">
        <v>-1</v>
      </c>
      <c r="B4" s="153">
        <v>790959</v>
      </c>
      <c r="C4" s="153" t="s">
        <v>190</v>
      </c>
      <c r="D4" s="251">
        <v>-1</v>
      </c>
      <c r="E4" s="162">
        <v>802691</v>
      </c>
      <c r="F4" s="251" t="s">
        <v>190</v>
      </c>
      <c r="G4" s="153">
        <v>-1</v>
      </c>
      <c r="H4" s="153">
        <v>807790</v>
      </c>
      <c r="I4" s="255" t="s">
        <v>190</v>
      </c>
      <c r="J4" s="162">
        <v>-1</v>
      </c>
      <c r="K4" s="162">
        <v>788711</v>
      </c>
      <c r="L4" s="251" t="s">
        <v>190</v>
      </c>
      <c r="M4" s="153">
        <v>-1</v>
      </c>
      <c r="N4" s="153">
        <v>821893</v>
      </c>
      <c r="O4" s="255" t="s">
        <v>190</v>
      </c>
      <c r="R4" s="168">
        <v>1</v>
      </c>
      <c r="S4" s="258">
        <v>0.92442100000000005</v>
      </c>
      <c r="T4" s="258">
        <v>0.122159</v>
      </c>
      <c r="U4" s="259" t="s">
        <v>200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97570</v>
      </c>
      <c r="C5" s="179" t="s">
        <v>191</v>
      </c>
      <c r="D5" s="252">
        <v>0</v>
      </c>
      <c r="E5" s="253">
        <v>97883</v>
      </c>
      <c r="F5" s="252" t="s">
        <v>191</v>
      </c>
      <c r="G5" s="179">
        <v>0</v>
      </c>
      <c r="H5" s="179">
        <v>37060</v>
      </c>
      <c r="I5" s="256" t="s">
        <v>191</v>
      </c>
      <c r="J5" s="253">
        <v>0</v>
      </c>
      <c r="K5" s="253">
        <v>97570</v>
      </c>
      <c r="L5" s="253" t="s">
        <v>190</v>
      </c>
      <c r="M5" s="179">
        <v>0</v>
      </c>
      <c r="N5" s="179">
        <v>11212</v>
      </c>
      <c r="O5" s="256" t="s">
        <v>190</v>
      </c>
      <c r="R5" s="186">
        <v>5</v>
      </c>
      <c r="S5" s="217">
        <v>0.92508199999999996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1523</v>
      </c>
      <c r="C6" s="179" t="s">
        <v>191</v>
      </c>
      <c r="D6" s="252">
        <v>1</v>
      </c>
      <c r="E6" s="253">
        <v>3000</v>
      </c>
      <c r="F6" s="252" t="s">
        <v>191</v>
      </c>
      <c r="G6" s="179">
        <v>1</v>
      </c>
      <c r="H6" s="179">
        <v>58950</v>
      </c>
      <c r="I6" s="256" t="s">
        <v>191</v>
      </c>
      <c r="J6" s="253">
        <v>1</v>
      </c>
      <c r="K6" s="253">
        <v>1500</v>
      </c>
      <c r="L6" s="253" t="s">
        <v>191</v>
      </c>
      <c r="M6" s="179">
        <v>1</v>
      </c>
      <c r="N6" s="179">
        <v>39741</v>
      </c>
      <c r="O6" s="256" t="s">
        <v>191</v>
      </c>
      <c r="R6" s="186">
        <v>10</v>
      </c>
      <c r="S6" s="217">
        <v>0.92513199999999995</v>
      </c>
      <c r="T6" s="217">
        <v>8.1793000000000005E-2</v>
      </c>
      <c r="U6" s="217">
        <v>0.16206999999999999</v>
      </c>
      <c r="V6">
        <v>300000000</v>
      </c>
      <c r="W6">
        <f>SUM(AA45:AA62,AD45:AD62)</f>
        <v>9640371</v>
      </c>
      <c r="X6" s="261">
        <f t="shared" si="0"/>
        <v>3.2134570000000001E-2</v>
      </c>
    </row>
    <row r="7" spans="1:39">
      <c r="A7" s="179">
        <v>2</v>
      </c>
      <c r="B7" s="179">
        <v>0</v>
      </c>
      <c r="C7" s="179" t="s">
        <v>191</v>
      </c>
      <c r="D7" s="252">
        <v>2</v>
      </c>
      <c r="E7" s="253">
        <v>6000</v>
      </c>
      <c r="F7" s="252" t="s">
        <v>191</v>
      </c>
      <c r="G7" s="179">
        <v>2</v>
      </c>
      <c r="H7" s="179">
        <v>500</v>
      </c>
      <c r="I7" s="256" t="s">
        <v>191</v>
      </c>
      <c r="J7" s="253">
        <v>2</v>
      </c>
      <c r="K7" s="253">
        <v>0</v>
      </c>
      <c r="L7" s="253" t="s">
        <v>191</v>
      </c>
      <c r="M7" s="179">
        <v>2</v>
      </c>
      <c r="N7" s="179">
        <v>945</v>
      </c>
      <c r="O7" s="256" t="s">
        <v>191</v>
      </c>
      <c r="R7" s="186">
        <v>50</v>
      </c>
      <c r="S7" s="217">
        <v>0.92536099999999999</v>
      </c>
      <c r="T7" s="217">
        <v>4.9854999999999997E-2</v>
      </c>
      <c r="U7" s="217">
        <v>0.337065</v>
      </c>
      <c r="V7">
        <v>100000000</v>
      </c>
      <c r="W7">
        <f>SUM(AA64:AA77,AD64:AD77)</f>
        <v>5723247</v>
      </c>
      <c r="X7" s="261">
        <f t="shared" si="0"/>
        <v>5.7232470000000001E-2</v>
      </c>
    </row>
    <row r="8" spans="1:39" ht="16.8" thickBot="1">
      <c r="A8" s="179">
        <v>3</v>
      </c>
      <c r="B8" s="179">
        <v>0</v>
      </c>
      <c r="C8" s="179" t="s">
        <v>191</v>
      </c>
      <c r="D8" s="252">
        <v>3</v>
      </c>
      <c r="E8" s="253">
        <v>0</v>
      </c>
      <c r="F8" s="252" t="s">
        <v>191</v>
      </c>
      <c r="G8" s="179">
        <v>3</v>
      </c>
      <c r="H8" s="179">
        <v>0</v>
      </c>
      <c r="I8" s="256" t="s">
        <v>191</v>
      </c>
      <c r="J8" s="253">
        <v>3</v>
      </c>
      <c r="K8" s="253">
        <v>0</v>
      </c>
      <c r="L8" s="253" t="s">
        <v>191</v>
      </c>
      <c r="M8" s="179">
        <v>3</v>
      </c>
      <c r="N8" s="179">
        <v>0</v>
      </c>
      <c r="O8" s="256" t="s">
        <v>191</v>
      </c>
      <c r="R8" s="203">
        <v>100</v>
      </c>
      <c r="S8" s="262">
        <v>0.92468700000000004</v>
      </c>
      <c r="T8" s="262">
        <v>0.131463</v>
      </c>
      <c r="U8" s="262">
        <v>0.220799</v>
      </c>
      <c r="V8" s="263">
        <v>100000000</v>
      </c>
      <c r="W8" s="263">
        <f>SUM(AA79:AA97,AD79:AD97)</f>
        <v>9874309</v>
      </c>
      <c r="X8" s="264">
        <f t="shared" si="0"/>
        <v>9.8743090000000006E-2</v>
      </c>
    </row>
    <row r="9" spans="1:39">
      <c r="A9" s="179">
        <v>4</v>
      </c>
      <c r="B9" s="179">
        <v>64244</v>
      </c>
      <c r="C9" s="179" t="s">
        <v>191</v>
      </c>
      <c r="D9" s="252">
        <v>4</v>
      </c>
      <c r="E9" s="253">
        <v>45000</v>
      </c>
      <c r="F9" s="252" t="s">
        <v>191</v>
      </c>
      <c r="G9" s="179">
        <v>4</v>
      </c>
      <c r="H9" s="179">
        <v>23100</v>
      </c>
      <c r="I9" s="256" t="s">
        <v>191</v>
      </c>
      <c r="J9" s="253">
        <v>4</v>
      </c>
      <c r="K9" s="253">
        <v>64200</v>
      </c>
      <c r="L9" s="253" t="s">
        <v>191</v>
      </c>
      <c r="M9" s="179">
        <v>4</v>
      </c>
      <c r="N9" s="179">
        <v>30000</v>
      </c>
      <c r="O9" s="256" t="s">
        <v>191</v>
      </c>
    </row>
    <row r="10" spans="1:39">
      <c r="A10" s="179">
        <v>5</v>
      </c>
      <c r="B10" s="179">
        <v>1729</v>
      </c>
      <c r="C10" s="179" t="s">
        <v>191</v>
      </c>
      <c r="D10" s="252">
        <v>5</v>
      </c>
      <c r="E10" s="253">
        <v>1545</v>
      </c>
      <c r="F10" s="252" t="s">
        <v>191</v>
      </c>
      <c r="G10" s="179">
        <v>5</v>
      </c>
      <c r="H10" s="179">
        <v>27525</v>
      </c>
      <c r="I10" s="256" t="s">
        <v>191</v>
      </c>
      <c r="J10" s="253">
        <v>5</v>
      </c>
      <c r="K10" s="253">
        <v>1729</v>
      </c>
      <c r="L10" s="253" t="s">
        <v>191</v>
      </c>
      <c r="M10" s="179">
        <v>5</v>
      </c>
      <c r="N10" s="179">
        <v>50250</v>
      </c>
      <c r="O10" s="256" t="s">
        <v>191</v>
      </c>
    </row>
    <row r="11" spans="1:39">
      <c r="A11" s="179">
        <v>6</v>
      </c>
      <c r="B11" s="179">
        <v>0</v>
      </c>
      <c r="C11" s="179" t="s">
        <v>191</v>
      </c>
      <c r="D11" s="252">
        <v>6</v>
      </c>
      <c r="E11" s="253">
        <v>0</v>
      </c>
      <c r="F11" s="252" t="s">
        <v>191</v>
      </c>
      <c r="G11" s="179">
        <v>6</v>
      </c>
      <c r="H11" s="179">
        <v>105</v>
      </c>
      <c r="I11" s="256" t="s">
        <v>191</v>
      </c>
      <c r="J11" s="253">
        <v>6</v>
      </c>
      <c r="K11" s="253">
        <v>0</v>
      </c>
      <c r="L11" s="253" t="s">
        <v>191</v>
      </c>
      <c r="M11" s="179">
        <v>6</v>
      </c>
      <c r="N11" s="179">
        <v>56</v>
      </c>
      <c r="O11" s="256" t="s">
        <v>191</v>
      </c>
      <c r="R11" t="s">
        <v>155</v>
      </c>
      <c r="S11" t="s">
        <v>203</v>
      </c>
      <c r="T11" t="s">
        <v>156</v>
      </c>
      <c r="U11">
        <v>9755188</v>
      </c>
      <c r="V11" t="s">
        <v>157</v>
      </c>
      <c r="W11" t="s">
        <v>156</v>
      </c>
      <c r="X11">
        <v>975518800</v>
      </c>
      <c r="Y11" t="s">
        <v>158</v>
      </c>
      <c r="Z11" t="s">
        <v>156</v>
      </c>
      <c r="AA11" t="s">
        <v>159</v>
      </c>
      <c r="AB11" t="s">
        <v>160</v>
      </c>
      <c r="AC11" t="s">
        <v>156</v>
      </c>
      <c r="AD11">
        <v>9755188</v>
      </c>
      <c r="AE11" t="s">
        <v>161</v>
      </c>
      <c r="AF11" t="s">
        <v>156</v>
      </c>
      <c r="AG11" t="s">
        <v>159</v>
      </c>
      <c r="AH11" t="s">
        <v>162</v>
      </c>
      <c r="AI11" t="s">
        <v>156</v>
      </c>
      <c r="AJ11" t="s">
        <v>159</v>
      </c>
      <c r="AK11" t="s">
        <v>163</v>
      </c>
      <c r="AL11" t="s">
        <v>156</v>
      </c>
      <c r="AM11" t="s">
        <v>159</v>
      </c>
    </row>
    <row r="12" spans="1:39">
      <c r="A12" s="179">
        <v>7</v>
      </c>
      <c r="B12" s="179">
        <v>0</v>
      </c>
      <c r="C12" s="179" t="s">
        <v>191</v>
      </c>
      <c r="D12" s="252">
        <v>7</v>
      </c>
      <c r="E12" s="253">
        <v>0</v>
      </c>
      <c r="F12" s="252" t="s">
        <v>191</v>
      </c>
      <c r="G12" s="179">
        <v>7</v>
      </c>
      <c r="H12" s="179">
        <v>0</v>
      </c>
      <c r="I12" s="256" t="s">
        <v>191</v>
      </c>
      <c r="J12" s="253">
        <v>7</v>
      </c>
      <c r="K12" s="253">
        <v>0</v>
      </c>
      <c r="L12" s="253" t="s">
        <v>191</v>
      </c>
      <c r="M12" s="179">
        <v>7</v>
      </c>
      <c r="N12" s="179">
        <v>0</v>
      </c>
      <c r="O12" s="256" t="s">
        <v>191</v>
      </c>
      <c r="R12" t="s">
        <v>155</v>
      </c>
      <c r="S12" t="s">
        <v>204</v>
      </c>
      <c r="T12" t="s">
        <v>156</v>
      </c>
      <c r="U12">
        <v>152207</v>
      </c>
      <c r="V12" t="s">
        <v>157</v>
      </c>
      <c r="W12" t="s">
        <v>156</v>
      </c>
      <c r="X12">
        <v>30441400</v>
      </c>
      <c r="Y12" t="s">
        <v>158</v>
      </c>
      <c r="Z12" t="s">
        <v>156</v>
      </c>
      <c r="AA12" t="s">
        <v>159</v>
      </c>
      <c r="AB12" t="s">
        <v>160</v>
      </c>
      <c r="AC12" t="s">
        <v>156</v>
      </c>
      <c r="AD12">
        <v>30555</v>
      </c>
      <c r="AE12" t="s">
        <v>161</v>
      </c>
      <c r="AF12" t="s">
        <v>156</v>
      </c>
      <c r="AG12" t="s">
        <v>159</v>
      </c>
      <c r="AH12" t="s">
        <v>162</v>
      </c>
      <c r="AI12" t="s">
        <v>156</v>
      </c>
      <c r="AJ12" t="s">
        <v>159</v>
      </c>
      <c r="AK12" t="s">
        <v>163</v>
      </c>
      <c r="AL12" t="s">
        <v>156</v>
      </c>
      <c r="AM12" t="s">
        <v>159</v>
      </c>
    </row>
    <row r="13" spans="1:39">
      <c r="A13" s="179">
        <v>8</v>
      </c>
      <c r="B13" s="179">
        <v>0</v>
      </c>
      <c r="C13" s="179" t="s">
        <v>191</v>
      </c>
      <c r="D13" s="252">
        <v>8</v>
      </c>
      <c r="E13" s="253">
        <v>0</v>
      </c>
      <c r="F13" s="252" t="s">
        <v>191</v>
      </c>
      <c r="G13" s="179">
        <v>8</v>
      </c>
      <c r="H13" s="179">
        <v>0</v>
      </c>
      <c r="I13" s="256" t="s">
        <v>191</v>
      </c>
      <c r="J13" s="253">
        <v>8</v>
      </c>
      <c r="K13" s="253">
        <v>0</v>
      </c>
      <c r="L13" s="253" t="s">
        <v>191</v>
      </c>
      <c r="M13" s="179">
        <v>8</v>
      </c>
      <c r="N13" s="179">
        <v>0</v>
      </c>
      <c r="O13" s="256" t="s">
        <v>191</v>
      </c>
      <c r="R13" t="s">
        <v>155</v>
      </c>
      <c r="S13" t="s">
        <v>205</v>
      </c>
      <c r="T13" t="s">
        <v>156</v>
      </c>
      <c r="U13">
        <v>6417437</v>
      </c>
      <c r="V13" t="s">
        <v>157</v>
      </c>
      <c r="W13" t="s">
        <v>156</v>
      </c>
      <c r="X13">
        <v>3208718500</v>
      </c>
      <c r="Y13" t="s">
        <v>158</v>
      </c>
      <c r="Z13" t="s">
        <v>156</v>
      </c>
      <c r="AA13" t="s">
        <v>159</v>
      </c>
      <c r="AB13" t="s">
        <v>160</v>
      </c>
      <c r="AC13" t="s">
        <v>156</v>
      </c>
      <c r="AD13">
        <v>2139248</v>
      </c>
      <c r="AE13" t="s">
        <v>161</v>
      </c>
      <c r="AF13" t="s">
        <v>156</v>
      </c>
      <c r="AG13" t="s">
        <v>159</v>
      </c>
      <c r="AH13" t="s">
        <v>162</v>
      </c>
      <c r="AI13" t="s">
        <v>156</v>
      </c>
      <c r="AJ13" t="s">
        <v>159</v>
      </c>
      <c r="AK13" t="s">
        <v>163</v>
      </c>
      <c r="AL13" t="s">
        <v>156</v>
      </c>
      <c r="AM13" t="s">
        <v>159</v>
      </c>
    </row>
    <row r="14" spans="1:39">
      <c r="A14" s="179">
        <v>9</v>
      </c>
      <c r="B14" s="179">
        <v>14775</v>
      </c>
      <c r="C14" s="179" t="s">
        <v>191</v>
      </c>
      <c r="D14" s="252">
        <v>9</v>
      </c>
      <c r="E14" s="253">
        <v>7650</v>
      </c>
      <c r="F14" s="252" t="s">
        <v>191</v>
      </c>
      <c r="G14" s="179">
        <v>9</v>
      </c>
      <c r="H14" s="179">
        <v>6773</v>
      </c>
      <c r="I14" s="256" t="s">
        <v>191</v>
      </c>
      <c r="J14" s="253">
        <v>9</v>
      </c>
      <c r="K14" s="253">
        <v>12900</v>
      </c>
      <c r="L14" s="253" t="s">
        <v>191</v>
      </c>
      <c r="M14" s="179">
        <v>9</v>
      </c>
      <c r="N14" s="179">
        <v>9375</v>
      </c>
      <c r="O14" s="256" t="s">
        <v>191</v>
      </c>
      <c r="R14" t="s">
        <v>155</v>
      </c>
      <c r="S14" t="s">
        <v>22</v>
      </c>
      <c r="T14" t="s">
        <v>156</v>
      </c>
      <c r="U14">
        <v>172541</v>
      </c>
      <c r="V14" t="s">
        <v>157</v>
      </c>
      <c r="W14" t="s">
        <v>156</v>
      </c>
      <c r="X14">
        <v>103524600</v>
      </c>
      <c r="Y14" t="s">
        <v>158</v>
      </c>
      <c r="Z14" t="s">
        <v>156</v>
      </c>
      <c r="AA14" t="s">
        <v>159</v>
      </c>
      <c r="AB14" t="s">
        <v>160</v>
      </c>
      <c r="AC14" t="s">
        <v>156</v>
      </c>
      <c r="AD14">
        <v>172541</v>
      </c>
      <c r="AE14" t="s">
        <v>161</v>
      </c>
      <c r="AF14" t="s">
        <v>156</v>
      </c>
      <c r="AG14" t="s">
        <v>159</v>
      </c>
      <c r="AH14" t="s">
        <v>162</v>
      </c>
      <c r="AI14" t="s">
        <v>156</v>
      </c>
      <c r="AJ14" t="s">
        <v>159</v>
      </c>
      <c r="AK14" t="s">
        <v>163</v>
      </c>
      <c r="AL14" t="s">
        <v>156</v>
      </c>
      <c r="AM14" t="s">
        <v>159</v>
      </c>
    </row>
    <row r="15" spans="1:39">
      <c r="A15" s="179">
        <v>10</v>
      </c>
      <c r="B15" s="179">
        <v>7500</v>
      </c>
      <c r="C15" s="179" t="s">
        <v>191</v>
      </c>
      <c r="D15" s="252">
        <v>10</v>
      </c>
      <c r="E15" s="253">
        <v>8700</v>
      </c>
      <c r="F15" s="252" t="s">
        <v>191</v>
      </c>
      <c r="G15" s="179">
        <v>10</v>
      </c>
      <c r="H15" s="179">
        <v>14284</v>
      </c>
      <c r="I15" s="256" t="s">
        <v>191</v>
      </c>
      <c r="J15" s="253">
        <v>10</v>
      </c>
      <c r="K15" s="253">
        <v>9269</v>
      </c>
      <c r="L15" s="253" t="s">
        <v>191</v>
      </c>
      <c r="M15" s="179">
        <v>10</v>
      </c>
      <c r="N15" s="179">
        <v>15000</v>
      </c>
      <c r="O15" s="256" t="s">
        <v>191</v>
      </c>
      <c r="R15" t="s">
        <v>155</v>
      </c>
      <c r="S15" t="s">
        <v>206</v>
      </c>
      <c r="T15" t="s">
        <v>156</v>
      </c>
      <c r="U15">
        <v>1478807</v>
      </c>
      <c r="V15" t="s">
        <v>157</v>
      </c>
      <c r="W15" t="s">
        <v>156</v>
      </c>
      <c r="X15">
        <v>1478807000</v>
      </c>
      <c r="Y15" t="s">
        <v>158</v>
      </c>
      <c r="Z15" t="s">
        <v>156</v>
      </c>
      <c r="AA15" t="s">
        <v>159</v>
      </c>
      <c r="AB15" t="s">
        <v>160</v>
      </c>
      <c r="AC15" t="s">
        <v>156</v>
      </c>
      <c r="AD15">
        <v>544867</v>
      </c>
      <c r="AE15" t="s">
        <v>161</v>
      </c>
      <c r="AF15" t="s">
        <v>156</v>
      </c>
      <c r="AG15" t="s">
        <v>159</v>
      </c>
      <c r="AH15" t="s">
        <v>162</v>
      </c>
      <c r="AI15" t="s">
        <v>156</v>
      </c>
      <c r="AJ15" t="s">
        <v>159</v>
      </c>
      <c r="AK15" t="s">
        <v>163</v>
      </c>
      <c r="AL15" t="s">
        <v>156</v>
      </c>
      <c r="AM15" t="s">
        <v>159</v>
      </c>
    </row>
    <row r="16" spans="1:39">
      <c r="A16" s="179">
        <v>15</v>
      </c>
      <c r="B16" s="179">
        <v>7500</v>
      </c>
      <c r="C16" s="179" t="s">
        <v>191</v>
      </c>
      <c r="D16" s="252">
        <v>15</v>
      </c>
      <c r="E16" s="253">
        <v>4305</v>
      </c>
      <c r="F16" s="252" t="s">
        <v>191</v>
      </c>
      <c r="G16" s="179">
        <v>15</v>
      </c>
      <c r="H16" s="179">
        <v>7368</v>
      </c>
      <c r="I16" s="256" t="s">
        <v>191</v>
      </c>
      <c r="J16" s="253">
        <v>15</v>
      </c>
      <c r="K16" s="253">
        <v>8982</v>
      </c>
      <c r="L16" s="253" t="s">
        <v>191</v>
      </c>
      <c r="M16" s="179">
        <v>15</v>
      </c>
      <c r="N16" s="179">
        <v>10500</v>
      </c>
      <c r="O16" s="256" t="s">
        <v>191</v>
      </c>
      <c r="R16" t="s">
        <v>155</v>
      </c>
      <c r="S16" t="s">
        <v>23</v>
      </c>
      <c r="T16" t="s">
        <v>156</v>
      </c>
      <c r="U16">
        <v>750491</v>
      </c>
      <c r="V16" t="s">
        <v>157</v>
      </c>
      <c r="W16" t="s">
        <v>156</v>
      </c>
      <c r="X16">
        <v>968719300</v>
      </c>
      <c r="Y16" t="s">
        <v>158</v>
      </c>
      <c r="Z16" t="s">
        <v>156</v>
      </c>
      <c r="AA16" t="s">
        <v>159</v>
      </c>
      <c r="AB16" t="s">
        <v>160</v>
      </c>
      <c r="AC16" t="s">
        <v>156</v>
      </c>
      <c r="AD16">
        <v>750491</v>
      </c>
      <c r="AE16" t="s">
        <v>161</v>
      </c>
      <c r="AF16" t="s">
        <v>156</v>
      </c>
      <c r="AG16" t="s">
        <v>159</v>
      </c>
      <c r="AH16" t="s">
        <v>162</v>
      </c>
      <c r="AI16" t="s">
        <v>156</v>
      </c>
      <c r="AJ16" t="s">
        <v>159</v>
      </c>
      <c r="AK16" t="s">
        <v>163</v>
      </c>
      <c r="AL16" t="s">
        <v>156</v>
      </c>
      <c r="AM16" t="s">
        <v>159</v>
      </c>
    </row>
    <row r="17" spans="1:39">
      <c r="A17" s="179">
        <v>20</v>
      </c>
      <c r="B17" s="179">
        <v>5100</v>
      </c>
      <c r="C17" s="179" t="s">
        <v>191</v>
      </c>
      <c r="D17" s="252">
        <v>20</v>
      </c>
      <c r="E17" s="253">
        <v>9450</v>
      </c>
      <c r="F17" s="252" t="s">
        <v>191</v>
      </c>
      <c r="G17" s="179">
        <v>20</v>
      </c>
      <c r="H17" s="179">
        <v>6600</v>
      </c>
      <c r="I17" s="256" t="s">
        <v>191</v>
      </c>
      <c r="J17" s="253">
        <v>20</v>
      </c>
      <c r="K17" s="253">
        <v>5131</v>
      </c>
      <c r="L17" s="253" t="s">
        <v>191</v>
      </c>
      <c r="M17" s="179">
        <v>20</v>
      </c>
      <c r="N17" s="179">
        <v>2609</v>
      </c>
      <c r="O17" s="256" t="s">
        <v>191</v>
      </c>
      <c r="R17" t="s">
        <v>155</v>
      </c>
      <c r="S17" t="s">
        <v>207</v>
      </c>
      <c r="T17" t="s">
        <v>156</v>
      </c>
      <c r="U17">
        <v>749839</v>
      </c>
      <c r="V17" t="s">
        <v>157</v>
      </c>
      <c r="W17" t="s">
        <v>156</v>
      </c>
      <c r="X17">
        <v>1451040000</v>
      </c>
      <c r="Y17" t="s">
        <v>158</v>
      </c>
      <c r="Z17" t="s">
        <v>156</v>
      </c>
      <c r="AA17" t="s">
        <v>159</v>
      </c>
      <c r="AB17" t="s">
        <v>160</v>
      </c>
      <c r="AC17" t="s">
        <v>156</v>
      </c>
      <c r="AD17">
        <v>262598</v>
      </c>
      <c r="AE17" t="s">
        <v>161</v>
      </c>
      <c r="AF17" t="s">
        <v>156</v>
      </c>
      <c r="AG17" t="s">
        <v>159</v>
      </c>
      <c r="AH17" t="s">
        <v>162</v>
      </c>
      <c r="AI17" t="s">
        <v>156</v>
      </c>
      <c r="AJ17" t="s">
        <v>159</v>
      </c>
      <c r="AK17" t="s">
        <v>163</v>
      </c>
      <c r="AL17" t="s">
        <v>156</v>
      </c>
      <c r="AM17" t="s">
        <v>159</v>
      </c>
    </row>
    <row r="18" spans="1:39">
      <c r="A18" s="179">
        <v>25</v>
      </c>
      <c r="B18" s="179">
        <v>1695</v>
      </c>
      <c r="C18" s="179" t="s">
        <v>191</v>
      </c>
      <c r="D18" s="252">
        <v>25</v>
      </c>
      <c r="E18" s="253">
        <v>2550</v>
      </c>
      <c r="F18" s="252" t="s">
        <v>191</v>
      </c>
      <c r="G18" s="179">
        <v>25</v>
      </c>
      <c r="H18" s="179">
        <v>1650</v>
      </c>
      <c r="I18" s="256" t="s">
        <v>191</v>
      </c>
      <c r="J18" s="253">
        <v>25</v>
      </c>
      <c r="K18" s="253">
        <v>1635</v>
      </c>
      <c r="L18" s="253" t="s">
        <v>191</v>
      </c>
      <c r="M18" s="179">
        <v>25</v>
      </c>
      <c r="N18" s="179">
        <v>777</v>
      </c>
      <c r="O18" s="256" t="s">
        <v>191</v>
      </c>
      <c r="R18" t="s">
        <v>155</v>
      </c>
      <c r="S18" t="s">
        <v>208</v>
      </c>
      <c r="T18" t="s">
        <v>156</v>
      </c>
      <c r="U18">
        <v>509765</v>
      </c>
      <c r="V18" t="s">
        <v>157</v>
      </c>
      <c r="W18" t="s">
        <v>156</v>
      </c>
      <c r="X18">
        <v>1244903600</v>
      </c>
      <c r="Y18" t="s">
        <v>158</v>
      </c>
      <c r="Z18" t="s">
        <v>156</v>
      </c>
      <c r="AA18" t="s">
        <v>159</v>
      </c>
      <c r="AB18" t="s">
        <v>160</v>
      </c>
      <c r="AC18" t="s">
        <v>156</v>
      </c>
      <c r="AD18">
        <v>46891</v>
      </c>
      <c r="AE18" t="s">
        <v>161</v>
      </c>
      <c r="AF18" t="s">
        <v>156</v>
      </c>
      <c r="AG18" t="s">
        <v>159</v>
      </c>
      <c r="AH18" t="s">
        <v>162</v>
      </c>
      <c r="AI18" t="s">
        <v>156</v>
      </c>
      <c r="AJ18" t="s">
        <v>159</v>
      </c>
      <c r="AK18" t="s">
        <v>163</v>
      </c>
      <c r="AL18" t="s">
        <v>156</v>
      </c>
      <c r="AM18" t="s">
        <v>159</v>
      </c>
    </row>
    <row r="19" spans="1:39">
      <c r="A19" s="179">
        <v>30</v>
      </c>
      <c r="B19" s="179">
        <v>0</v>
      </c>
      <c r="C19" s="179" t="s">
        <v>191</v>
      </c>
      <c r="D19" s="252">
        <v>30</v>
      </c>
      <c r="E19" s="253">
        <v>2700</v>
      </c>
      <c r="F19" s="252" t="s">
        <v>191</v>
      </c>
      <c r="G19" s="179">
        <v>30</v>
      </c>
      <c r="H19" s="179">
        <v>0</v>
      </c>
      <c r="I19" s="256" t="s">
        <v>191</v>
      </c>
      <c r="J19" s="253">
        <v>30</v>
      </c>
      <c r="K19" s="253">
        <v>0</v>
      </c>
      <c r="L19" s="253" t="s">
        <v>191</v>
      </c>
      <c r="M19" s="179">
        <v>30</v>
      </c>
      <c r="N19" s="179">
        <v>389</v>
      </c>
      <c r="O19" s="256" t="s">
        <v>191</v>
      </c>
      <c r="R19" t="s">
        <v>155</v>
      </c>
      <c r="S19" t="s">
        <v>209</v>
      </c>
      <c r="T19" t="s">
        <v>156</v>
      </c>
      <c r="U19">
        <v>169621</v>
      </c>
      <c r="V19" t="s">
        <v>157</v>
      </c>
      <c r="W19" t="s">
        <v>156</v>
      </c>
      <c r="X19">
        <v>503892600</v>
      </c>
      <c r="Y19" t="s">
        <v>158</v>
      </c>
      <c r="Z19" t="s">
        <v>156</v>
      </c>
      <c r="AA19" t="s">
        <v>159</v>
      </c>
      <c r="AB19" t="s">
        <v>160</v>
      </c>
      <c r="AC19" t="s">
        <v>156</v>
      </c>
      <c r="AD19">
        <v>18829</v>
      </c>
      <c r="AE19" t="s">
        <v>161</v>
      </c>
      <c r="AF19" t="s">
        <v>156</v>
      </c>
      <c r="AG19" t="s">
        <v>159</v>
      </c>
      <c r="AH19" t="s">
        <v>162</v>
      </c>
      <c r="AI19" t="s">
        <v>156</v>
      </c>
      <c r="AJ19" t="s">
        <v>159</v>
      </c>
      <c r="AK19" t="s">
        <v>163</v>
      </c>
      <c r="AL19" t="s">
        <v>156</v>
      </c>
      <c r="AM19" t="s">
        <v>159</v>
      </c>
    </row>
    <row r="20" spans="1:39">
      <c r="A20" s="179">
        <v>35</v>
      </c>
      <c r="B20" s="179">
        <v>0</v>
      </c>
      <c r="C20" s="179" t="s">
        <v>191</v>
      </c>
      <c r="D20" s="252">
        <v>35</v>
      </c>
      <c r="E20" s="253">
        <v>0</v>
      </c>
      <c r="F20" s="252" t="s">
        <v>191</v>
      </c>
      <c r="G20" s="179">
        <v>35</v>
      </c>
      <c r="H20" s="179">
        <v>0</v>
      </c>
      <c r="I20" s="256" t="s">
        <v>191</v>
      </c>
      <c r="J20" s="253">
        <v>35</v>
      </c>
      <c r="K20" s="253">
        <v>0</v>
      </c>
      <c r="L20" s="253" t="s">
        <v>191</v>
      </c>
      <c r="M20" s="179">
        <v>35</v>
      </c>
      <c r="N20" s="179">
        <v>278</v>
      </c>
      <c r="O20" s="256" t="s">
        <v>191</v>
      </c>
      <c r="R20" t="s">
        <v>155</v>
      </c>
      <c r="S20" t="s">
        <v>210</v>
      </c>
      <c r="T20" t="s">
        <v>156</v>
      </c>
      <c r="U20">
        <v>539156</v>
      </c>
      <c r="V20" t="s">
        <v>157</v>
      </c>
      <c r="W20" t="s">
        <v>156</v>
      </c>
      <c r="X20">
        <v>2695780000</v>
      </c>
      <c r="Y20" t="s">
        <v>158</v>
      </c>
      <c r="Z20" t="s">
        <v>156</v>
      </c>
      <c r="AA20" t="s">
        <v>159</v>
      </c>
      <c r="AB20" t="s">
        <v>160</v>
      </c>
      <c r="AC20" t="s">
        <v>156</v>
      </c>
      <c r="AD20">
        <v>59535</v>
      </c>
      <c r="AE20" t="s">
        <v>161</v>
      </c>
      <c r="AF20" t="s">
        <v>156</v>
      </c>
      <c r="AG20" t="s">
        <v>159</v>
      </c>
      <c r="AH20" t="s">
        <v>162</v>
      </c>
      <c r="AI20" t="s">
        <v>156</v>
      </c>
      <c r="AJ20" t="s">
        <v>159</v>
      </c>
      <c r="AK20" t="s">
        <v>163</v>
      </c>
      <c r="AL20" t="s">
        <v>156</v>
      </c>
      <c r="AM20" t="s">
        <v>159</v>
      </c>
    </row>
    <row r="21" spans="1:39">
      <c r="A21" s="179">
        <v>40</v>
      </c>
      <c r="B21" s="179">
        <v>0</v>
      </c>
      <c r="C21" s="179" t="s">
        <v>191</v>
      </c>
      <c r="D21" s="252">
        <v>40</v>
      </c>
      <c r="E21" s="253">
        <v>0</v>
      </c>
      <c r="F21" s="252" t="s">
        <v>191</v>
      </c>
      <c r="G21" s="179">
        <v>40</v>
      </c>
      <c r="H21" s="179">
        <v>0</v>
      </c>
      <c r="I21" s="256" t="s">
        <v>191</v>
      </c>
      <c r="J21" s="253">
        <v>40</v>
      </c>
      <c r="K21" s="253">
        <v>0</v>
      </c>
      <c r="L21" s="253" t="s">
        <v>191</v>
      </c>
      <c r="M21" s="179">
        <v>40</v>
      </c>
      <c r="N21" s="179">
        <v>777</v>
      </c>
      <c r="O21" s="256" t="s">
        <v>191</v>
      </c>
      <c r="R21" t="s">
        <v>155</v>
      </c>
      <c r="S21" t="s">
        <v>211</v>
      </c>
      <c r="T21" t="s">
        <v>156</v>
      </c>
      <c r="U21">
        <v>180209</v>
      </c>
      <c r="V21" t="s">
        <v>157</v>
      </c>
      <c r="W21" t="s">
        <v>156</v>
      </c>
      <c r="X21">
        <v>990081500</v>
      </c>
      <c r="Y21" t="s">
        <v>158</v>
      </c>
      <c r="Z21" t="s">
        <v>156</v>
      </c>
      <c r="AA21" t="s">
        <v>159</v>
      </c>
      <c r="AB21" t="s">
        <v>160</v>
      </c>
      <c r="AC21" t="s">
        <v>156</v>
      </c>
      <c r="AD21">
        <v>146376</v>
      </c>
      <c r="AE21" t="s">
        <v>161</v>
      </c>
      <c r="AF21" t="s">
        <v>156</v>
      </c>
      <c r="AG21" t="s">
        <v>159</v>
      </c>
      <c r="AH21" t="s">
        <v>162</v>
      </c>
      <c r="AI21" t="s">
        <v>156</v>
      </c>
      <c r="AJ21" t="s">
        <v>159</v>
      </c>
      <c r="AK21" t="s">
        <v>163</v>
      </c>
      <c r="AL21" t="s">
        <v>156</v>
      </c>
      <c r="AM21" t="s">
        <v>159</v>
      </c>
    </row>
    <row r="22" spans="1:39">
      <c r="A22" s="179">
        <v>45</v>
      </c>
      <c r="B22" s="179">
        <v>5400</v>
      </c>
      <c r="C22" s="179" t="s">
        <v>191</v>
      </c>
      <c r="D22" s="252">
        <v>45</v>
      </c>
      <c r="E22" s="253">
        <v>8265</v>
      </c>
      <c r="F22" s="252" t="s">
        <v>191</v>
      </c>
      <c r="G22" s="179">
        <v>45</v>
      </c>
      <c r="H22" s="179">
        <v>2610</v>
      </c>
      <c r="I22" s="256" t="s">
        <v>191</v>
      </c>
      <c r="J22" s="253">
        <v>45</v>
      </c>
      <c r="K22" s="253">
        <v>5470</v>
      </c>
      <c r="L22" s="253" t="s">
        <v>191</v>
      </c>
      <c r="M22" s="179">
        <v>45</v>
      </c>
      <c r="N22" s="179">
        <v>1388</v>
      </c>
      <c r="O22" s="256" t="s">
        <v>191</v>
      </c>
      <c r="R22" t="s">
        <v>155</v>
      </c>
      <c r="S22" t="s">
        <v>212</v>
      </c>
      <c r="T22" t="s">
        <v>156</v>
      </c>
      <c r="U22">
        <v>9852</v>
      </c>
      <c r="V22" t="s">
        <v>157</v>
      </c>
      <c r="W22" t="s">
        <v>156</v>
      </c>
      <c r="X22">
        <v>98520000</v>
      </c>
      <c r="Y22" t="s">
        <v>158</v>
      </c>
      <c r="Z22" t="s">
        <v>156</v>
      </c>
      <c r="AA22" t="s">
        <v>159</v>
      </c>
      <c r="AB22" t="s">
        <v>160</v>
      </c>
      <c r="AC22" t="s">
        <v>156</v>
      </c>
      <c r="AD22">
        <v>3425</v>
      </c>
      <c r="AE22" t="s">
        <v>161</v>
      </c>
      <c r="AF22" t="s">
        <v>156</v>
      </c>
      <c r="AG22" t="s">
        <v>159</v>
      </c>
      <c r="AH22" t="s">
        <v>162</v>
      </c>
      <c r="AI22" t="s">
        <v>156</v>
      </c>
      <c r="AJ22" t="s">
        <v>159</v>
      </c>
      <c r="AK22" t="s">
        <v>163</v>
      </c>
      <c r="AL22" t="s">
        <v>156</v>
      </c>
      <c r="AM22" t="s">
        <v>159</v>
      </c>
    </row>
    <row r="23" spans="1:39">
      <c r="A23" s="179">
        <v>50</v>
      </c>
      <c r="B23" s="179">
        <v>1800</v>
      </c>
      <c r="C23" s="179" t="s">
        <v>191</v>
      </c>
      <c r="D23" s="252">
        <v>50</v>
      </c>
      <c r="E23" s="253">
        <v>0</v>
      </c>
      <c r="F23" s="252" t="s">
        <v>191</v>
      </c>
      <c r="G23" s="179">
        <v>50</v>
      </c>
      <c r="H23" s="179">
        <v>5370</v>
      </c>
      <c r="I23" s="256" t="s">
        <v>191</v>
      </c>
      <c r="J23" s="253">
        <v>50</v>
      </c>
      <c r="K23" s="253">
        <v>2683</v>
      </c>
      <c r="L23" s="253" t="s">
        <v>191</v>
      </c>
      <c r="M23" s="179">
        <v>50</v>
      </c>
      <c r="N23" s="179">
        <v>4598</v>
      </c>
      <c r="O23" s="256" t="s">
        <v>191</v>
      </c>
      <c r="R23" t="s">
        <v>155</v>
      </c>
      <c r="S23" t="s">
        <v>213</v>
      </c>
      <c r="T23" t="s">
        <v>156</v>
      </c>
      <c r="U23">
        <v>10551</v>
      </c>
      <c r="V23" t="s">
        <v>157</v>
      </c>
      <c r="W23" t="s">
        <v>156</v>
      </c>
      <c r="X23">
        <v>112345800</v>
      </c>
      <c r="Y23" t="s">
        <v>158</v>
      </c>
      <c r="Z23" t="s">
        <v>156</v>
      </c>
      <c r="AA23" t="s">
        <v>159</v>
      </c>
      <c r="AB23" t="s">
        <v>160</v>
      </c>
      <c r="AC23" t="s">
        <v>156</v>
      </c>
      <c r="AD23">
        <v>7902</v>
      </c>
      <c r="AE23" t="s">
        <v>161</v>
      </c>
      <c r="AF23" t="s">
        <v>156</v>
      </c>
      <c r="AG23" t="s">
        <v>159</v>
      </c>
      <c r="AH23" t="s">
        <v>162</v>
      </c>
      <c r="AI23" t="s">
        <v>156</v>
      </c>
      <c r="AJ23" t="s">
        <v>159</v>
      </c>
      <c r="AK23" t="s">
        <v>163</v>
      </c>
      <c r="AL23" t="s">
        <v>156</v>
      </c>
      <c r="AM23" t="s">
        <v>159</v>
      </c>
    </row>
    <row r="24" spans="1:39">
      <c r="A24" s="179">
        <v>60</v>
      </c>
      <c r="B24" s="179">
        <v>0</v>
      </c>
      <c r="C24" s="179" t="s">
        <v>191</v>
      </c>
      <c r="D24" s="252">
        <v>60</v>
      </c>
      <c r="E24" s="253">
        <v>0</v>
      </c>
      <c r="F24" s="252" t="s">
        <v>191</v>
      </c>
      <c r="G24" s="179">
        <v>60</v>
      </c>
      <c r="H24" s="179">
        <v>0</v>
      </c>
      <c r="I24" s="256" t="s">
        <v>191</v>
      </c>
      <c r="J24" s="253">
        <v>60</v>
      </c>
      <c r="K24" s="253">
        <v>0</v>
      </c>
      <c r="L24" s="253" t="s">
        <v>191</v>
      </c>
      <c r="M24" s="179">
        <v>60</v>
      </c>
      <c r="N24" s="179">
        <v>0</v>
      </c>
      <c r="O24" s="256" t="s">
        <v>191</v>
      </c>
      <c r="R24" t="s">
        <v>155</v>
      </c>
      <c r="S24" t="s">
        <v>214</v>
      </c>
      <c r="T24" t="s">
        <v>156</v>
      </c>
      <c r="U24">
        <v>205</v>
      </c>
      <c r="V24" t="s">
        <v>157</v>
      </c>
      <c r="W24" t="s">
        <v>156</v>
      </c>
      <c r="X24">
        <v>10250000</v>
      </c>
      <c r="Y24" t="s">
        <v>158</v>
      </c>
      <c r="Z24" t="s">
        <v>156</v>
      </c>
      <c r="AA24" t="s">
        <v>159</v>
      </c>
      <c r="AB24" t="s">
        <v>160</v>
      </c>
      <c r="AC24" t="s">
        <v>156</v>
      </c>
      <c r="AD24" t="s">
        <v>159</v>
      </c>
      <c r="AE24" t="s">
        <v>161</v>
      </c>
      <c r="AF24" t="s">
        <v>156</v>
      </c>
      <c r="AG24" t="s">
        <v>159</v>
      </c>
      <c r="AH24" t="s">
        <v>162</v>
      </c>
      <c r="AI24" t="s">
        <v>156</v>
      </c>
      <c r="AJ24" t="s">
        <v>159</v>
      </c>
      <c r="AK24" t="s">
        <v>163</v>
      </c>
      <c r="AL24" t="s">
        <v>156</v>
      </c>
      <c r="AM24" t="s">
        <v>159</v>
      </c>
    </row>
    <row r="25" spans="1:39">
      <c r="A25" s="179">
        <v>70</v>
      </c>
      <c r="B25" s="179">
        <v>0</v>
      </c>
      <c r="C25" s="179" t="s">
        <v>191</v>
      </c>
      <c r="D25" s="252">
        <v>70</v>
      </c>
      <c r="E25" s="253">
        <v>0</v>
      </c>
      <c r="F25" s="252" t="s">
        <v>191</v>
      </c>
      <c r="G25" s="179">
        <v>70</v>
      </c>
      <c r="H25" s="179">
        <v>0</v>
      </c>
      <c r="I25" s="256" t="s">
        <v>191</v>
      </c>
      <c r="J25" s="253">
        <v>70</v>
      </c>
      <c r="K25" s="253">
        <v>0</v>
      </c>
      <c r="L25" s="253" t="s">
        <v>191</v>
      </c>
      <c r="M25" s="179">
        <v>70</v>
      </c>
      <c r="N25" s="179">
        <v>0</v>
      </c>
      <c r="O25" s="256" t="s">
        <v>191</v>
      </c>
    </row>
    <row r="26" spans="1:39">
      <c r="A26" s="179">
        <v>80</v>
      </c>
      <c r="B26" s="179">
        <v>0</v>
      </c>
      <c r="C26" s="179" t="s">
        <v>191</v>
      </c>
      <c r="D26" s="252">
        <v>80</v>
      </c>
      <c r="E26" s="253">
        <v>0</v>
      </c>
      <c r="F26" s="252" t="s">
        <v>191</v>
      </c>
      <c r="G26" s="179">
        <v>80</v>
      </c>
      <c r="H26" s="179">
        <v>0</v>
      </c>
      <c r="I26" s="256" t="s">
        <v>191</v>
      </c>
      <c r="J26" s="253">
        <v>80</v>
      </c>
      <c r="K26" s="253">
        <v>0</v>
      </c>
      <c r="L26" s="253" t="s">
        <v>191</v>
      </c>
      <c r="M26" s="179">
        <v>80</v>
      </c>
      <c r="N26" s="179">
        <v>0</v>
      </c>
      <c r="O26" s="256" t="s">
        <v>191</v>
      </c>
      <c r="R26" t="s">
        <v>155</v>
      </c>
      <c r="S26" t="s">
        <v>203</v>
      </c>
      <c r="T26" t="s">
        <v>156</v>
      </c>
      <c r="U26">
        <v>9789906</v>
      </c>
      <c r="V26" t="s">
        <v>157</v>
      </c>
      <c r="W26" t="s">
        <v>156</v>
      </c>
      <c r="X26">
        <v>3645464700</v>
      </c>
      <c r="Y26" t="s">
        <v>158</v>
      </c>
      <c r="Z26" t="s">
        <v>156</v>
      </c>
      <c r="AA26" t="s">
        <v>159</v>
      </c>
      <c r="AB26" t="s">
        <v>160</v>
      </c>
      <c r="AC26" t="s">
        <v>156</v>
      </c>
      <c r="AD26">
        <v>1451276</v>
      </c>
      <c r="AE26" t="s">
        <v>161</v>
      </c>
      <c r="AF26" t="s">
        <v>156</v>
      </c>
      <c r="AG26" t="s">
        <v>159</v>
      </c>
      <c r="AH26" t="s">
        <v>162</v>
      </c>
      <c r="AI26" t="s">
        <v>156</v>
      </c>
      <c r="AJ26" t="s">
        <v>159</v>
      </c>
      <c r="AK26" t="s">
        <v>163</v>
      </c>
      <c r="AL26" t="s">
        <v>156</v>
      </c>
      <c r="AM26" t="s">
        <v>159</v>
      </c>
    </row>
    <row r="27" spans="1:39">
      <c r="A27" s="179">
        <v>90</v>
      </c>
      <c r="B27" s="179">
        <v>98</v>
      </c>
      <c r="C27" s="179" t="s">
        <v>191</v>
      </c>
      <c r="D27" s="252">
        <v>90</v>
      </c>
      <c r="E27" s="253">
        <v>138</v>
      </c>
      <c r="F27" s="252" t="s">
        <v>191</v>
      </c>
      <c r="G27" s="179">
        <v>90</v>
      </c>
      <c r="H27" s="179">
        <v>110</v>
      </c>
      <c r="I27" s="256" t="s">
        <v>191</v>
      </c>
      <c r="J27" s="253">
        <v>90</v>
      </c>
      <c r="K27" s="253">
        <v>90</v>
      </c>
      <c r="L27" s="253" t="s">
        <v>191</v>
      </c>
      <c r="M27" s="179">
        <v>90</v>
      </c>
      <c r="N27" s="179">
        <v>56</v>
      </c>
      <c r="O27" s="256" t="s">
        <v>191</v>
      </c>
      <c r="R27" t="s">
        <v>155</v>
      </c>
      <c r="S27" t="s">
        <v>204</v>
      </c>
      <c r="T27" t="s">
        <v>156</v>
      </c>
      <c r="U27">
        <v>300187</v>
      </c>
      <c r="V27" t="s">
        <v>157</v>
      </c>
      <c r="W27" t="s">
        <v>156</v>
      </c>
      <c r="X27">
        <v>273465800</v>
      </c>
      <c r="Y27" t="s">
        <v>158</v>
      </c>
      <c r="Z27" t="s">
        <v>156</v>
      </c>
      <c r="AA27" t="s">
        <v>159</v>
      </c>
      <c r="AB27" t="s">
        <v>160</v>
      </c>
      <c r="AC27" t="s">
        <v>156</v>
      </c>
      <c r="AD27">
        <v>131738</v>
      </c>
      <c r="AE27" t="s">
        <v>161</v>
      </c>
      <c r="AF27" t="s">
        <v>156</v>
      </c>
      <c r="AG27" t="s">
        <v>159</v>
      </c>
      <c r="AH27" t="s">
        <v>162</v>
      </c>
      <c r="AI27" t="s">
        <v>156</v>
      </c>
      <c r="AJ27" t="s">
        <v>159</v>
      </c>
      <c r="AK27" t="s">
        <v>163</v>
      </c>
      <c r="AL27" t="s">
        <v>156</v>
      </c>
      <c r="AM27" t="s">
        <v>159</v>
      </c>
    </row>
    <row r="28" spans="1:39">
      <c r="A28" s="179">
        <v>100</v>
      </c>
      <c r="B28" s="179">
        <v>105</v>
      </c>
      <c r="C28" s="179" t="s">
        <v>191</v>
      </c>
      <c r="D28" s="252">
        <v>100</v>
      </c>
      <c r="E28" s="253">
        <v>68</v>
      </c>
      <c r="F28" s="252" t="s">
        <v>191</v>
      </c>
      <c r="G28" s="179">
        <v>100</v>
      </c>
      <c r="H28" s="179">
        <v>150</v>
      </c>
      <c r="I28" s="256" t="s">
        <v>191</v>
      </c>
      <c r="J28" s="253">
        <v>100</v>
      </c>
      <c r="K28" s="253">
        <v>120</v>
      </c>
      <c r="L28" s="253" t="s">
        <v>191</v>
      </c>
      <c r="M28" s="179">
        <v>100</v>
      </c>
      <c r="N28" s="179">
        <v>111</v>
      </c>
      <c r="O28" s="256" t="s">
        <v>191</v>
      </c>
      <c r="R28" t="s">
        <v>155</v>
      </c>
      <c r="S28" t="s">
        <v>21</v>
      </c>
      <c r="T28" t="s">
        <v>156</v>
      </c>
      <c r="U28">
        <v>599434</v>
      </c>
      <c r="V28" t="s">
        <v>157</v>
      </c>
      <c r="W28" t="s">
        <v>156</v>
      </c>
      <c r="X28">
        <v>766524100</v>
      </c>
      <c r="Y28" t="s">
        <v>158</v>
      </c>
      <c r="Z28" t="s">
        <v>156</v>
      </c>
      <c r="AA28" t="s">
        <v>159</v>
      </c>
      <c r="AB28" t="s">
        <v>160</v>
      </c>
      <c r="AC28" t="s">
        <v>156</v>
      </c>
      <c r="AD28">
        <v>599434</v>
      </c>
      <c r="AE28" t="s">
        <v>161</v>
      </c>
      <c r="AF28" t="s">
        <v>156</v>
      </c>
      <c r="AG28" t="s">
        <v>159</v>
      </c>
      <c r="AH28" t="s">
        <v>162</v>
      </c>
      <c r="AI28" t="s">
        <v>156</v>
      </c>
      <c r="AJ28" t="s">
        <v>159</v>
      </c>
      <c r="AK28" t="s">
        <v>163</v>
      </c>
      <c r="AL28" t="s">
        <v>156</v>
      </c>
      <c r="AM28" t="s">
        <v>159</v>
      </c>
    </row>
    <row r="29" spans="1:39">
      <c r="A29" s="179">
        <v>120</v>
      </c>
      <c r="B29" s="179">
        <v>0</v>
      </c>
      <c r="C29" s="179" t="s">
        <v>191</v>
      </c>
      <c r="D29" s="252">
        <v>120</v>
      </c>
      <c r="E29" s="253">
        <v>0</v>
      </c>
      <c r="F29" s="252" t="s">
        <v>191</v>
      </c>
      <c r="G29" s="179">
        <v>120</v>
      </c>
      <c r="H29" s="179">
        <v>0</v>
      </c>
      <c r="I29" s="256" t="s">
        <v>191</v>
      </c>
      <c r="J29" s="253">
        <v>120</v>
      </c>
      <c r="K29" s="253">
        <v>0</v>
      </c>
      <c r="L29" s="253" t="s">
        <v>191</v>
      </c>
      <c r="M29" s="179">
        <v>120</v>
      </c>
      <c r="N29" s="179">
        <v>0</v>
      </c>
      <c r="O29" s="256" t="s">
        <v>191</v>
      </c>
      <c r="R29" t="s">
        <v>155</v>
      </c>
      <c r="S29" t="s">
        <v>205</v>
      </c>
      <c r="T29" t="s">
        <v>156</v>
      </c>
      <c r="U29">
        <v>4500174</v>
      </c>
      <c r="V29" t="s">
        <v>157</v>
      </c>
      <c r="W29" t="s">
        <v>156</v>
      </c>
      <c r="X29">
        <v>10920661900</v>
      </c>
      <c r="Y29" t="s">
        <v>158</v>
      </c>
      <c r="Z29" t="s">
        <v>156</v>
      </c>
      <c r="AA29">
        <v>547632</v>
      </c>
      <c r="AB29" t="s">
        <v>160</v>
      </c>
      <c r="AC29" t="s">
        <v>156</v>
      </c>
      <c r="AD29">
        <v>395533</v>
      </c>
      <c r="AE29" t="s">
        <v>161</v>
      </c>
      <c r="AF29" t="s">
        <v>156</v>
      </c>
      <c r="AG29" t="s">
        <v>159</v>
      </c>
      <c r="AH29" t="s">
        <v>162</v>
      </c>
      <c r="AI29" t="s">
        <v>156</v>
      </c>
      <c r="AJ29" t="s">
        <v>159</v>
      </c>
      <c r="AK29" t="s">
        <v>163</v>
      </c>
      <c r="AL29" t="s">
        <v>156</v>
      </c>
      <c r="AM29" t="s">
        <v>159</v>
      </c>
    </row>
    <row r="30" spans="1:39">
      <c r="A30" s="179">
        <v>140</v>
      </c>
      <c r="B30" s="179">
        <v>0</v>
      </c>
      <c r="C30" s="179" t="s">
        <v>191</v>
      </c>
      <c r="D30" s="252">
        <v>140</v>
      </c>
      <c r="E30" s="253">
        <v>0</v>
      </c>
      <c r="F30" s="252" t="s">
        <v>191</v>
      </c>
      <c r="G30" s="179">
        <v>140</v>
      </c>
      <c r="H30" s="179">
        <v>2</v>
      </c>
      <c r="I30" s="256" t="s">
        <v>191</v>
      </c>
      <c r="J30" s="253">
        <v>140</v>
      </c>
      <c r="K30" s="253">
        <v>0</v>
      </c>
      <c r="L30" s="253" t="s">
        <v>191</v>
      </c>
      <c r="M30" s="179">
        <v>140</v>
      </c>
      <c r="N30" s="179">
        <v>0</v>
      </c>
      <c r="O30" s="256" t="s">
        <v>191</v>
      </c>
      <c r="R30" t="s">
        <v>155</v>
      </c>
      <c r="S30" t="s">
        <v>22</v>
      </c>
      <c r="T30" t="s">
        <v>156</v>
      </c>
      <c r="U30">
        <v>154433</v>
      </c>
      <c r="V30" t="s">
        <v>157</v>
      </c>
      <c r="W30" t="s">
        <v>156</v>
      </c>
      <c r="X30">
        <v>447120600</v>
      </c>
      <c r="Y30" t="s">
        <v>158</v>
      </c>
      <c r="Z30" t="s">
        <v>156</v>
      </c>
      <c r="AA30">
        <v>64460</v>
      </c>
      <c r="AB30" t="s">
        <v>160</v>
      </c>
      <c r="AC30" t="s">
        <v>156</v>
      </c>
      <c r="AD30">
        <v>12463</v>
      </c>
      <c r="AE30" t="s">
        <v>161</v>
      </c>
      <c r="AF30" t="s">
        <v>156</v>
      </c>
      <c r="AG30" t="s">
        <v>159</v>
      </c>
      <c r="AH30" t="s">
        <v>162</v>
      </c>
      <c r="AI30" t="s">
        <v>156</v>
      </c>
      <c r="AJ30" t="s">
        <v>159</v>
      </c>
      <c r="AK30" t="s">
        <v>163</v>
      </c>
      <c r="AL30" t="s">
        <v>156</v>
      </c>
      <c r="AM30" t="s">
        <v>159</v>
      </c>
    </row>
    <row r="31" spans="1:39">
      <c r="A31" s="179">
        <v>160</v>
      </c>
      <c r="B31" s="179">
        <v>0</v>
      </c>
      <c r="C31" s="179" t="s">
        <v>191</v>
      </c>
      <c r="D31" s="252">
        <v>160</v>
      </c>
      <c r="E31" s="253">
        <v>0</v>
      </c>
      <c r="F31" s="252" t="s">
        <v>191</v>
      </c>
      <c r="G31" s="179">
        <v>160</v>
      </c>
      <c r="H31" s="179">
        <v>0</v>
      </c>
      <c r="I31" s="256" t="s">
        <v>191</v>
      </c>
      <c r="J31" s="253">
        <v>160</v>
      </c>
      <c r="K31" s="253">
        <v>0</v>
      </c>
      <c r="L31" s="253" t="s">
        <v>191</v>
      </c>
      <c r="M31" s="179">
        <v>160</v>
      </c>
      <c r="N31" s="179">
        <v>0</v>
      </c>
      <c r="O31" s="256" t="s">
        <v>191</v>
      </c>
      <c r="R31" t="s">
        <v>155</v>
      </c>
      <c r="S31" t="s">
        <v>206</v>
      </c>
      <c r="T31" t="s">
        <v>156</v>
      </c>
      <c r="U31">
        <v>763866</v>
      </c>
      <c r="V31" t="s">
        <v>157</v>
      </c>
      <c r="W31" t="s">
        <v>156</v>
      </c>
      <c r="X31">
        <v>3819330000</v>
      </c>
      <c r="Y31" t="s">
        <v>158</v>
      </c>
      <c r="Z31" t="s">
        <v>156</v>
      </c>
      <c r="AA31">
        <v>168486</v>
      </c>
      <c r="AB31" t="s">
        <v>160</v>
      </c>
      <c r="AC31" t="s">
        <v>156</v>
      </c>
      <c r="AD31">
        <v>88079</v>
      </c>
      <c r="AE31" t="s">
        <v>161</v>
      </c>
      <c r="AF31" t="s">
        <v>156</v>
      </c>
      <c r="AG31" t="s">
        <v>159</v>
      </c>
      <c r="AH31" t="s">
        <v>162</v>
      </c>
      <c r="AI31" t="s">
        <v>156</v>
      </c>
      <c r="AJ31" t="s">
        <v>159</v>
      </c>
      <c r="AK31" t="s">
        <v>163</v>
      </c>
      <c r="AL31" t="s">
        <v>156</v>
      </c>
      <c r="AM31" t="s">
        <v>159</v>
      </c>
    </row>
    <row r="32" spans="1:39">
      <c r="A32" s="179">
        <v>180</v>
      </c>
      <c r="B32" s="179">
        <v>0</v>
      </c>
      <c r="C32" s="179" t="s">
        <v>191</v>
      </c>
      <c r="D32" s="252">
        <v>180</v>
      </c>
      <c r="E32" s="253">
        <v>30</v>
      </c>
      <c r="F32" s="252" t="s">
        <v>191</v>
      </c>
      <c r="G32" s="179">
        <v>180</v>
      </c>
      <c r="H32" s="179">
        <v>51</v>
      </c>
      <c r="I32" s="256" t="s">
        <v>191</v>
      </c>
      <c r="J32" s="253">
        <v>180</v>
      </c>
      <c r="K32" s="253">
        <v>0</v>
      </c>
      <c r="L32" s="253" t="s">
        <v>191</v>
      </c>
      <c r="M32" s="179">
        <v>180</v>
      </c>
      <c r="N32" s="179">
        <v>45</v>
      </c>
      <c r="O32" s="256" t="s">
        <v>191</v>
      </c>
      <c r="R32" t="s">
        <v>155</v>
      </c>
      <c r="S32" t="s">
        <v>23</v>
      </c>
      <c r="T32" t="s">
        <v>156</v>
      </c>
      <c r="U32">
        <v>869364</v>
      </c>
      <c r="V32" t="s">
        <v>157</v>
      </c>
      <c r="W32" t="s">
        <v>156</v>
      </c>
      <c r="X32">
        <v>5266796600</v>
      </c>
      <c r="Y32" t="s">
        <v>158</v>
      </c>
      <c r="Z32" t="s">
        <v>156</v>
      </c>
      <c r="AA32">
        <v>220318</v>
      </c>
      <c r="AB32" t="s">
        <v>160</v>
      </c>
      <c r="AC32" t="s">
        <v>156</v>
      </c>
      <c r="AD32">
        <v>440883</v>
      </c>
      <c r="AE32" t="s">
        <v>161</v>
      </c>
      <c r="AF32" t="s">
        <v>156</v>
      </c>
      <c r="AG32" t="s">
        <v>159</v>
      </c>
      <c r="AH32" t="s">
        <v>162</v>
      </c>
      <c r="AI32" t="s">
        <v>156</v>
      </c>
      <c r="AJ32" t="s">
        <v>159</v>
      </c>
      <c r="AK32" t="s">
        <v>163</v>
      </c>
      <c r="AL32" t="s">
        <v>156</v>
      </c>
      <c r="AM32" t="s">
        <v>159</v>
      </c>
    </row>
    <row r="33" spans="1:39">
      <c r="A33" s="179">
        <v>200</v>
      </c>
      <c r="B33" s="179">
        <v>0</v>
      </c>
      <c r="C33" s="179" t="s">
        <v>191</v>
      </c>
      <c r="D33" s="252">
        <v>200</v>
      </c>
      <c r="E33" s="253">
        <v>15</v>
      </c>
      <c r="F33" s="252" t="s">
        <v>191</v>
      </c>
      <c r="G33" s="179">
        <v>200</v>
      </c>
      <c r="H33" s="179">
        <v>0</v>
      </c>
      <c r="I33" s="256" t="s">
        <v>191</v>
      </c>
      <c r="J33" s="253">
        <v>200</v>
      </c>
      <c r="K33" s="253">
        <v>0</v>
      </c>
      <c r="L33" s="253" t="s">
        <v>191</v>
      </c>
      <c r="M33" s="179">
        <v>200</v>
      </c>
      <c r="N33" s="179">
        <v>0</v>
      </c>
      <c r="O33" s="256" t="s">
        <v>191</v>
      </c>
      <c r="R33" t="s">
        <v>155</v>
      </c>
      <c r="S33" t="s">
        <v>207</v>
      </c>
      <c r="T33" t="s">
        <v>156</v>
      </c>
      <c r="U33">
        <v>431354</v>
      </c>
      <c r="V33" t="s">
        <v>157</v>
      </c>
      <c r="W33" t="s">
        <v>156</v>
      </c>
      <c r="X33">
        <v>3955755700</v>
      </c>
      <c r="Y33" t="s">
        <v>158</v>
      </c>
      <c r="Z33" t="s">
        <v>156</v>
      </c>
      <c r="AA33">
        <v>277720</v>
      </c>
      <c r="AB33" t="s">
        <v>160</v>
      </c>
      <c r="AC33" t="s">
        <v>156</v>
      </c>
      <c r="AD33">
        <v>37460</v>
      </c>
      <c r="AE33" t="s">
        <v>161</v>
      </c>
      <c r="AF33" t="s">
        <v>156</v>
      </c>
      <c r="AG33" t="s">
        <v>159</v>
      </c>
      <c r="AH33" t="s">
        <v>162</v>
      </c>
      <c r="AI33" t="s">
        <v>156</v>
      </c>
      <c r="AJ33" t="s">
        <v>159</v>
      </c>
      <c r="AK33" t="s">
        <v>163</v>
      </c>
      <c r="AL33" t="s">
        <v>156</v>
      </c>
      <c r="AM33" t="s">
        <v>159</v>
      </c>
    </row>
    <row r="34" spans="1:39">
      <c r="A34" s="179">
        <v>250</v>
      </c>
      <c r="B34" s="179">
        <v>0</v>
      </c>
      <c r="C34" s="179" t="s">
        <v>191</v>
      </c>
      <c r="D34" s="252">
        <v>250</v>
      </c>
      <c r="E34" s="253">
        <v>0</v>
      </c>
      <c r="F34" s="252" t="s">
        <v>191</v>
      </c>
      <c r="G34" s="179">
        <v>250</v>
      </c>
      <c r="H34" s="179">
        <v>0</v>
      </c>
      <c r="I34" s="256" t="s">
        <v>191</v>
      </c>
      <c r="J34" s="253">
        <v>250</v>
      </c>
      <c r="K34" s="253">
        <v>0</v>
      </c>
      <c r="L34" s="253" t="s">
        <v>191</v>
      </c>
      <c r="M34" s="179">
        <v>250</v>
      </c>
      <c r="N34" s="179">
        <v>0</v>
      </c>
      <c r="O34" s="256" t="s">
        <v>191</v>
      </c>
      <c r="R34" t="s">
        <v>155</v>
      </c>
      <c r="S34" t="s">
        <v>208</v>
      </c>
      <c r="T34" t="s">
        <v>156</v>
      </c>
      <c r="U34">
        <v>946060</v>
      </c>
      <c r="V34" t="s">
        <v>157</v>
      </c>
      <c r="W34" t="s">
        <v>156</v>
      </c>
      <c r="X34">
        <v>10166434700</v>
      </c>
      <c r="Y34" t="s">
        <v>158</v>
      </c>
      <c r="Z34" t="s">
        <v>156</v>
      </c>
      <c r="AA34">
        <v>213479</v>
      </c>
      <c r="AB34" t="s">
        <v>160</v>
      </c>
      <c r="AC34" t="s">
        <v>156</v>
      </c>
      <c r="AD34">
        <v>496752</v>
      </c>
      <c r="AE34" t="s">
        <v>161</v>
      </c>
      <c r="AF34" t="s">
        <v>156</v>
      </c>
      <c r="AG34" t="s">
        <v>159</v>
      </c>
      <c r="AH34" t="s">
        <v>162</v>
      </c>
      <c r="AI34" t="s">
        <v>156</v>
      </c>
      <c r="AJ34" t="s">
        <v>159</v>
      </c>
      <c r="AK34" t="s">
        <v>163</v>
      </c>
      <c r="AL34" t="s">
        <v>156</v>
      </c>
      <c r="AM34" t="s">
        <v>159</v>
      </c>
    </row>
    <row r="35" spans="1:39">
      <c r="A35" s="179">
        <v>300</v>
      </c>
      <c r="B35" s="179">
        <v>0</v>
      </c>
      <c r="C35" s="179" t="s">
        <v>191</v>
      </c>
      <c r="D35" s="252">
        <v>300</v>
      </c>
      <c r="E35" s="253">
        <v>5</v>
      </c>
      <c r="F35" s="252" t="s">
        <v>191</v>
      </c>
      <c r="G35" s="179">
        <v>300</v>
      </c>
      <c r="H35" s="179">
        <v>0</v>
      </c>
      <c r="I35" s="256" t="s">
        <v>191</v>
      </c>
      <c r="J35" s="253">
        <v>300</v>
      </c>
      <c r="K35" s="253">
        <v>0</v>
      </c>
      <c r="L35" s="253" t="s">
        <v>191</v>
      </c>
      <c r="M35" s="179">
        <v>300</v>
      </c>
      <c r="N35" s="179">
        <v>0</v>
      </c>
      <c r="O35" s="256" t="s">
        <v>191</v>
      </c>
      <c r="R35" t="s">
        <v>155</v>
      </c>
      <c r="S35" t="s">
        <v>209</v>
      </c>
      <c r="T35" t="s">
        <v>156</v>
      </c>
      <c r="U35">
        <v>255080</v>
      </c>
      <c r="V35" t="s">
        <v>157</v>
      </c>
      <c r="W35" t="s">
        <v>156</v>
      </c>
      <c r="X35">
        <v>3641477900</v>
      </c>
      <c r="Y35" t="s">
        <v>158</v>
      </c>
      <c r="Z35" t="s">
        <v>156</v>
      </c>
      <c r="AA35">
        <v>228780</v>
      </c>
      <c r="AB35" t="s">
        <v>160</v>
      </c>
      <c r="AC35" t="s">
        <v>156</v>
      </c>
      <c r="AD35">
        <v>26300</v>
      </c>
      <c r="AE35" t="s">
        <v>161</v>
      </c>
      <c r="AF35" t="s">
        <v>156</v>
      </c>
      <c r="AG35" t="s">
        <v>159</v>
      </c>
      <c r="AH35" t="s">
        <v>162</v>
      </c>
      <c r="AI35" t="s">
        <v>156</v>
      </c>
      <c r="AJ35" t="s">
        <v>159</v>
      </c>
      <c r="AK35" t="s">
        <v>163</v>
      </c>
      <c r="AL35" t="s">
        <v>156</v>
      </c>
      <c r="AM35" t="s">
        <v>159</v>
      </c>
    </row>
    <row r="36" spans="1:39">
      <c r="A36" s="179">
        <v>350</v>
      </c>
      <c r="B36" s="179">
        <v>0</v>
      </c>
      <c r="C36" s="179" t="s">
        <v>191</v>
      </c>
      <c r="D36" s="252">
        <v>350</v>
      </c>
      <c r="E36" s="253">
        <v>0</v>
      </c>
      <c r="F36" s="252" t="s">
        <v>191</v>
      </c>
      <c r="G36" s="179">
        <v>350</v>
      </c>
      <c r="H36" s="179">
        <v>0</v>
      </c>
      <c r="I36" s="256" t="s">
        <v>191</v>
      </c>
      <c r="J36" s="253">
        <v>350</v>
      </c>
      <c r="K36" s="253">
        <v>0</v>
      </c>
      <c r="L36" s="253" t="s">
        <v>191</v>
      </c>
      <c r="M36" s="179">
        <v>350</v>
      </c>
      <c r="N36" s="179">
        <v>0</v>
      </c>
      <c r="O36" s="256" t="s">
        <v>191</v>
      </c>
      <c r="R36" t="s">
        <v>155</v>
      </c>
      <c r="S36" t="s">
        <v>215</v>
      </c>
      <c r="T36" t="s">
        <v>156</v>
      </c>
      <c r="U36">
        <v>270974</v>
      </c>
      <c r="V36" t="s">
        <v>157</v>
      </c>
      <c r="W36" t="s">
        <v>156</v>
      </c>
      <c r="X36">
        <v>4241809500</v>
      </c>
      <c r="Y36" t="s">
        <v>158</v>
      </c>
      <c r="Z36" t="s">
        <v>156</v>
      </c>
      <c r="AA36">
        <v>164626</v>
      </c>
      <c r="AB36" t="s">
        <v>160</v>
      </c>
      <c r="AC36" t="s">
        <v>156</v>
      </c>
      <c r="AD36">
        <v>106348</v>
      </c>
      <c r="AE36" t="s">
        <v>161</v>
      </c>
      <c r="AF36" t="s">
        <v>156</v>
      </c>
      <c r="AG36" t="s">
        <v>159</v>
      </c>
      <c r="AH36" t="s">
        <v>162</v>
      </c>
      <c r="AI36" t="s">
        <v>156</v>
      </c>
      <c r="AJ36" t="s">
        <v>159</v>
      </c>
      <c r="AK36" t="s">
        <v>163</v>
      </c>
      <c r="AL36" t="s">
        <v>156</v>
      </c>
      <c r="AM36" t="s">
        <v>159</v>
      </c>
    </row>
    <row r="37" spans="1:39">
      <c r="A37" s="179">
        <v>400</v>
      </c>
      <c r="B37" s="179">
        <v>0</v>
      </c>
      <c r="C37" s="179" t="s">
        <v>191</v>
      </c>
      <c r="D37" s="252">
        <v>400</v>
      </c>
      <c r="E37" s="253">
        <v>0</v>
      </c>
      <c r="F37" s="252" t="s">
        <v>191</v>
      </c>
      <c r="G37" s="179">
        <v>400</v>
      </c>
      <c r="H37" s="179">
        <v>0</v>
      </c>
      <c r="I37" s="256" t="s">
        <v>191</v>
      </c>
      <c r="J37" s="253">
        <v>400</v>
      </c>
      <c r="K37" s="253">
        <v>0</v>
      </c>
      <c r="L37" s="253" t="s">
        <v>191</v>
      </c>
      <c r="M37" s="179">
        <v>400</v>
      </c>
      <c r="N37" s="179">
        <v>0</v>
      </c>
      <c r="O37" s="256" t="s">
        <v>191</v>
      </c>
      <c r="R37" t="s">
        <v>155</v>
      </c>
      <c r="S37" t="s">
        <v>210</v>
      </c>
      <c r="T37" t="s">
        <v>156</v>
      </c>
      <c r="U37">
        <v>827600</v>
      </c>
      <c r="V37" t="s">
        <v>157</v>
      </c>
      <c r="W37" t="s">
        <v>156</v>
      </c>
      <c r="X37">
        <v>20566450800</v>
      </c>
      <c r="Y37" t="s">
        <v>158</v>
      </c>
      <c r="Z37" t="s">
        <v>156</v>
      </c>
      <c r="AA37">
        <v>345980</v>
      </c>
      <c r="AB37" t="s">
        <v>160</v>
      </c>
      <c r="AC37" t="s">
        <v>156</v>
      </c>
      <c r="AD37">
        <v>4746</v>
      </c>
      <c r="AE37" t="s">
        <v>161</v>
      </c>
      <c r="AF37" t="s">
        <v>156</v>
      </c>
      <c r="AG37" t="s">
        <v>159</v>
      </c>
      <c r="AH37" t="s">
        <v>162</v>
      </c>
      <c r="AI37" t="s">
        <v>156</v>
      </c>
      <c r="AJ37" t="s">
        <v>159</v>
      </c>
      <c r="AK37" t="s">
        <v>163</v>
      </c>
      <c r="AL37" t="s">
        <v>156</v>
      </c>
      <c r="AM37" t="s">
        <v>159</v>
      </c>
    </row>
    <row r="38" spans="1:39">
      <c r="A38" s="179">
        <v>450</v>
      </c>
      <c r="B38" s="179">
        <v>2</v>
      </c>
      <c r="C38" s="179" t="s">
        <v>191</v>
      </c>
      <c r="D38" s="252">
        <v>450</v>
      </c>
      <c r="E38" s="253">
        <v>0</v>
      </c>
      <c r="F38" s="252" t="s">
        <v>191</v>
      </c>
      <c r="G38" s="179">
        <v>450</v>
      </c>
      <c r="H38" s="179">
        <v>0</v>
      </c>
      <c r="I38" s="256" t="s">
        <v>191</v>
      </c>
      <c r="J38" s="253">
        <v>450</v>
      </c>
      <c r="K38" s="253">
        <v>0</v>
      </c>
      <c r="L38" s="253" t="s">
        <v>191</v>
      </c>
      <c r="M38" s="179">
        <v>450</v>
      </c>
      <c r="N38" s="179">
        <v>0</v>
      </c>
      <c r="O38" s="256" t="s">
        <v>191</v>
      </c>
      <c r="R38" t="s">
        <v>155</v>
      </c>
      <c r="S38" t="s">
        <v>212</v>
      </c>
      <c r="T38" t="s">
        <v>156</v>
      </c>
      <c r="U38">
        <v>13756</v>
      </c>
      <c r="V38" t="s">
        <v>157</v>
      </c>
      <c r="W38" t="s">
        <v>156</v>
      </c>
      <c r="X38">
        <v>687800000</v>
      </c>
      <c r="Y38" t="s">
        <v>158</v>
      </c>
      <c r="Z38" t="s">
        <v>156</v>
      </c>
      <c r="AA38">
        <v>6183</v>
      </c>
      <c r="AB38" t="s">
        <v>160</v>
      </c>
      <c r="AC38" t="s">
        <v>156</v>
      </c>
      <c r="AD38">
        <v>355</v>
      </c>
      <c r="AE38" t="s">
        <v>161</v>
      </c>
      <c r="AF38" t="s">
        <v>156</v>
      </c>
      <c r="AG38" t="s">
        <v>159</v>
      </c>
      <c r="AH38" t="s">
        <v>162</v>
      </c>
      <c r="AI38" t="s">
        <v>156</v>
      </c>
      <c r="AJ38" t="s">
        <v>159</v>
      </c>
      <c r="AK38" t="s">
        <v>163</v>
      </c>
      <c r="AL38" t="s">
        <v>156</v>
      </c>
      <c r="AM38" t="s">
        <v>159</v>
      </c>
    </row>
    <row r="39" spans="1:39">
      <c r="A39" s="179">
        <v>500</v>
      </c>
      <c r="B39" s="179">
        <v>0</v>
      </c>
      <c r="C39" s="179" t="s">
        <v>191</v>
      </c>
      <c r="D39" s="252">
        <v>500</v>
      </c>
      <c r="E39" s="253">
        <v>5</v>
      </c>
      <c r="F39" s="252" t="s">
        <v>191</v>
      </c>
      <c r="G39" s="179">
        <v>500</v>
      </c>
      <c r="H39" s="179">
        <v>2</v>
      </c>
      <c r="I39" s="256" t="s">
        <v>191</v>
      </c>
      <c r="J39" s="253">
        <v>500</v>
      </c>
      <c r="K39" s="253">
        <v>10</v>
      </c>
      <c r="L39" s="253" t="s">
        <v>191</v>
      </c>
      <c r="M39" s="179">
        <v>500</v>
      </c>
      <c r="N39" s="179">
        <v>0</v>
      </c>
      <c r="O39" s="256" t="s">
        <v>191</v>
      </c>
      <c r="R39" t="s">
        <v>155</v>
      </c>
      <c r="S39" t="s">
        <v>213</v>
      </c>
      <c r="T39" t="s">
        <v>156</v>
      </c>
      <c r="U39">
        <v>6789</v>
      </c>
      <c r="V39" t="s">
        <v>157</v>
      </c>
      <c r="W39" t="s">
        <v>156</v>
      </c>
      <c r="X39">
        <v>358070200</v>
      </c>
      <c r="Y39" t="s">
        <v>158</v>
      </c>
      <c r="Z39" t="s">
        <v>156</v>
      </c>
      <c r="AA39">
        <v>2584</v>
      </c>
      <c r="AB39" t="s">
        <v>160</v>
      </c>
      <c r="AC39" t="s">
        <v>156</v>
      </c>
      <c r="AD39">
        <v>2017</v>
      </c>
      <c r="AE39" t="s">
        <v>161</v>
      </c>
      <c r="AF39" t="s">
        <v>156</v>
      </c>
      <c r="AG39" t="s">
        <v>159</v>
      </c>
      <c r="AH39" t="s">
        <v>162</v>
      </c>
      <c r="AI39" t="s">
        <v>156</v>
      </c>
      <c r="AJ39" t="s">
        <v>159</v>
      </c>
      <c r="AK39" t="s">
        <v>163</v>
      </c>
      <c r="AL39" t="s">
        <v>156</v>
      </c>
      <c r="AM39" t="s">
        <v>159</v>
      </c>
    </row>
    <row r="40" spans="1:39">
      <c r="A40" s="179">
        <v>550</v>
      </c>
      <c r="B40" s="179">
        <v>0</v>
      </c>
      <c r="C40" s="179" t="s">
        <v>191</v>
      </c>
      <c r="D40" s="252">
        <v>550</v>
      </c>
      <c r="E40" s="253">
        <v>0</v>
      </c>
      <c r="F40" s="252" t="s">
        <v>191</v>
      </c>
      <c r="G40" s="179">
        <v>550</v>
      </c>
      <c r="H40" s="179">
        <v>0</v>
      </c>
      <c r="I40" s="256" t="s">
        <v>191</v>
      </c>
      <c r="J40" s="253">
        <v>550</v>
      </c>
      <c r="K40" s="253">
        <v>0</v>
      </c>
      <c r="L40" s="253" t="s">
        <v>191</v>
      </c>
      <c r="M40" s="179">
        <v>550</v>
      </c>
      <c r="N40" s="179">
        <v>0</v>
      </c>
      <c r="O40" s="256" t="s">
        <v>191</v>
      </c>
      <c r="R40" t="s">
        <v>155</v>
      </c>
      <c r="S40" t="s">
        <v>216</v>
      </c>
      <c r="T40" t="s">
        <v>156</v>
      </c>
      <c r="U40">
        <v>2943</v>
      </c>
      <c r="V40" t="s">
        <v>157</v>
      </c>
      <c r="W40" t="s">
        <v>156</v>
      </c>
      <c r="X40">
        <v>294300000</v>
      </c>
      <c r="Y40" t="s">
        <v>158</v>
      </c>
      <c r="Z40" t="s">
        <v>156</v>
      </c>
      <c r="AA40">
        <v>2440</v>
      </c>
      <c r="AB40" t="s">
        <v>160</v>
      </c>
      <c r="AC40" t="s">
        <v>156</v>
      </c>
      <c r="AD40">
        <v>154</v>
      </c>
      <c r="AE40" t="s">
        <v>161</v>
      </c>
      <c r="AF40" t="s">
        <v>156</v>
      </c>
      <c r="AG40" t="s">
        <v>159</v>
      </c>
      <c r="AH40" t="s">
        <v>162</v>
      </c>
      <c r="AI40" t="s">
        <v>156</v>
      </c>
      <c r="AJ40" t="s">
        <v>159</v>
      </c>
      <c r="AK40" t="s">
        <v>163</v>
      </c>
      <c r="AL40" t="s">
        <v>156</v>
      </c>
      <c r="AM40" t="s">
        <v>159</v>
      </c>
    </row>
    <row r="41" spans="1:39">
      <c r="A41" s="179">
        <v>600</v>
      </c>
      <c r="B41" s="179">
        <v>0</v>
      </c>
      <c r="C41" s="179" t="s">
        <v>191</v>
      </c>
      <c r="D41" s="252">
        <v>600</v>
      </c>
      <c r="E41" s="253">
        <v>0</v>
      </c>
      <c r="F41" s="252" t="s">
        <v>191</v>
      </c>
      <c r="G41" s="179">
        <v>600</v>
      </c>
      <c r="H41" s="179">
        <v>0</v>
      </c>
      <c r="I41" s="256" t="s">
        <v>191</v>
      </c>
      <c r="J41" s="253">
        <v>600</v>
      </c>
      <c r="K41" s="253">
        <v>0</v>
      </c>
      <c r="L41" s="253" t="s">
        <v>191</v>
      </c>
      <c r="M41" s="179">
        <v>600</v>
      </c>
      <c r="N41" s="179">
        <v>0</v>
      </c>
      <c r="O41" s="256" t="s">
        <v>191</v>
      </c>
      <c r="R41" t="s">
        <v>155</v>
      </c>
      <c r="S41" t="s">
        <v>217</v>
      </c>
      <c r="T41" t="s">
        <v>156</v>
      </c>
      <c r="U41">
        <v>1506</v>
      </c>
      <c r="V41" t="s">
        <v>157</v>
      </c>
      <c r="W41" t="s">
        <v>156</v>
      </c>
      <c r="X41">
        <v>157891500</v>
      </c>
      <c r="Y41" t="s">
        <v>158</v>
      </c>
      <c r="Z41" t="s">
        <v>156</v>
      </c>
      <c r="AA41">
        <v>759</v>
      </c>
      <c r="AB41" t="s">
        <v>160</v>
      </c>
      <c r="AC41" t="s">
        <v>156</v>
      </c>
      <c r="AD41">
        <v>527</v>
      </c>
      <c r="AE41" t="s">
        <v>161</v>
      </c>
      <c r="AF41" t="s">
        <v>156</v>
      </c>
      <c r="AG41" t="s">
        <v>159</v>
      </c>
      <c r="AH41" t="s">
        <v>162</v>
      </c>
      <c r="AI41" t="s">
        <v>156</v>
      </c>
      <c r="AJ41" t="s">
        <v>159</v>
      </c>
      <c r="AK41" t="s">
        <v>163</v>
      </c>
      <c r="AL41" t="s">
        <v>156</v>
      </c>
      <c r="AM41" t="s">
        <v>159</v>
      </c>
    </row>
    <row r="42" spans="1:39">
      <c r="A42" s="179">
        <v>650</v>
      </c>
      <c r="B42" s="179">
        <v>0</v>
      </c>
      <c r="C42" s="179" t="s">
        <v>191</v>
      </c>
      <c r="D42" s="252">
        <v>650</v>
      </c>
      <c r="E42" s="253">
        <v>0</v>
      </c>
      <c r="F42" s="252" t="s">
        <v>191</v>
      </c>
      <c r="G42" s="179">
        <v>650</v>
      </c>
      <c r="H42" s="179">
        <v>0</v>
      </c>
      <c r="I42" s="256" t="s">
        <v>191</v>
      </c>
      <c r="J42" s="253">
        <v>650</v>
      </c>
      <c r="K42" s="253">
        <v>0</v>
      </c>
      <c r="L42" s="253" t="s">
        <v>191</v>
      </c>
      <c r="M42" s="179">
        <v>650</v>
      </c>
      <c r="N42" s="179">
        <v>0</v>
      </c>
      <c r="O42" s="256" t="s">
        <v>191</v>
      </c>
      <c r="R42" t="s">
        <v>155</v>
      </c>
      <c r="S42" t="s">
        <v>218</v>
      </c>
      <c r="T42" t="s">
        <v>156</v>
      </c>
      <c r="U42">
        <v>527</v>
      </c>
      <c r="V42" t="s">
        <v>157</v>
      </c>
      <c r="W42" t="s">
        <v>156</v>
      </c>
      <c r="X42">
        <v>80675500</v>
      </c>
      <c r="Y42" t="s">
        <v>158</v>
      </c>
      <c r="Z42" t="s">
        <v>156</v>
      </c>
      <c r="AA42">
        <v>371</v>
      </c>
      <c r="AB42" t="s">
        <v>160</v>
      </c>
      <c r="AC42" t="s">
        <v>156</v>
      </c>
      <c r="AD42">
        <v>156</v>
      </c>
      <c r="AE42" t="s">
        <v>161</v>
      </c>
      <c r="AF42" t="s">
        <v>156</v>
      </c>
      <c r="AG42" t="s">
        <v>159</v>
      </c>
      <c r="AH42" t="s">
        <v>162</v>
      </c>
      <c r="AI42" t="s">
        <v>156</v>
      </c>
      <c r="AJ42" t="s">
        <v>159</v>
      </c>
      <c r="AK42" t="s">
        <v>163</v>
      </c>
      <c r="AL42" t="s">
        <v>156</v>
      </c>
      <c r="AM42" t="s">
        <v>159</v>
      </c>
    </row>
    <row r="43" spans="1:39">
      <c r="A43" s="179">
        <v>700</v>
      </c>
      <c r="B43" s="179">
        <v>0</v>
      </c>
      <c r="C43" s="179" t="s">
        <v>191</v>
      </c>
      <c r="D43" s="252">
        <v>700</v>
      </c>
      <c r="E43" s="253">
        <v>0</v>
      </c>
      <c r="F43" s="252" t="s">
        <v>191</v>
      </c>
      <c r="G43" s="179">
        <v>700</v>
      </c>
      <c r="H43" s="179">
        <v>0</v>
      </c>
      <c r="I43" s="256" t="s">
        <v>191</v>
      </c>
      <c r="J43" s="253">
        <v>700</v>
      </c>
      <c r="K43" s="253">
        <v>0</v>
      </c>
      <c r="L43" s="253" t="s">
        <v>191</v>
      </c>
      <c r="M43" s="179">
        <v>700</v>
      </c>
      <c r="N43" s="179">
        <v>0</v>
      </c>
      <c r="O43" s="256" t="s">
        <v>191</v>
      </c>
      <c r="R43" t="s">
        <v>155</v>
      </c>
      <c r="S43" t="s">
        <v>219</v>
      </c>
      <c r="T43" t="s">
        <v>156</v>
      </c>
      <c r="U43">
        <v>445</v>
      </c>
      <c r="V43" t="s">
        <v>157</v>
      </c>
      <c r="W43" t="s">
        <v>156</v>
      </c>
      <c r="X43">
        <v>114929000</v>
      </c>
      <c r="Y43" t="s">
        <v>158</v>
      </c>
      <c r="Z43" t="s">
        <v>156</v>
      </c>
      <c r="AA43" t="s">
        <v>159</v>
      </c>
      <c r="AB43" t="s">
        <v>160</v>
      </c>
      <c r="AC43" t="s">
        <v>156</v>
      </c>
      <c r="AD43" t="s">
        <v>159</v>
      </c>
      <c r="AE43" t="s">
        <v>161</v>
      </c>
      <c r="AF43" t="s">
        <v>156</v>
      </c>
      <c r="AG43" t="s">
        <v>159</v>
      </c>
      <c r="AH43" t="s">
        <v>162</v>
      </c>
      <c r="AI43" t="s">
        <v>156</v>
      </c>
      <c r="AJ43" t="s">
        <v>159</v>
      </c>
      <c r="AK43" t="s">
        <v>163</v>
      </c>
      <c r="AL43" t="s">
        <v>156</v>
      </c>
      <c r="AM43" t="s">
        <v>159</v>
      </c>
    </row>
    <row r="44" spans="1:39">
      <c r="A44" s="179">
        <v>750</v>
      </c>
      <c r="B44" s="179">
        <v>0</v>
      </c>
      <c r="C44" s="179" t="s">
        <v>191</v>
      </c>
      <c r="D44" s="252">
        <v>750</v>
      </c>
      <c r="E44" s="253">
        <v>0</v>
      </c>
      <c r="F44" s="252" t="s">
        <v>191</v>
      </c>
      <c r="G44" s="179">
        <v>750</v>
      </c>
      <c r="H44" s="179">
        <v>0</v>
      </c>
      <c r="I44" s="256" t="s">
        <v>191</v>
      </c>
      <c r="J44" s="253">
        <v>750</v>
      </c>
      <c r="K44" s="253">
        <v>0</v>
      </c>
      <c r="L44" s="253" t="s">
        <v>191</v>
      </c>
      <c r="M44" s="179">
        <v>750</v>
      </c>
      <c r="N44" s="179">
        <v>0</v>
      </c>
      <c r="O44" s="256" t="s">
        <v>191</v>
      </c>
    </row>
    <row r="45" spans="1:39">
      <c r="A45" s="179">
        <v>800</v>
      </c>
      <c r="B45" s="179">
        <v>0</v>
      </c>
      <c r="C45" s="179" t="s">
        <v>191</v>
      </c>
      <c r="D45" s="252">
        <v>800</v>
      </c>
      <c r="E45" s="253">
        <v>0</v>
      </c>
      <c r="F45" s="252" t="s">
        <v>191</v>
      </c>
      <c r="G45" s="179">
        <v>800</v>
      </c>
      <c r="H45" s="179">
        <v>0</v>
      </c>
      <c r="I45" s="256" t="s">
        <v>191</v>
      </c>
      <c r="J45" s="253">
        <v>800</v>
      </c>
      <c r="K45" s="253">
        <v>0</v>
      </c>
      <c r="L45" s="253" t="s">
        <v>191</v>
      </c>
      <c r="M45" s="179">
        <v>800</v>
      </c>
      <c r="N45" s="179">
        <v>0</v>
      </c>
      <c r="O45" s="256" t="s">
        <v>191</v>
      </c>
      <c r="R45" t="s">
        <v>155</v>
      </c>
      <c r="S45" t="s">
        <v>203</v>
      </c>
      <c r="T45" t="s">
        <v>156</v>
      </c>
      <c r="U45">
        <v>3704880</v>
      </c>
      <c r="V45" t="s">
        <v>157</v>
      </c>
      <c r="W45" t="s">
        <v>156</v>
      </c>
      <c r="X45">
        <v>2629928000</v>
      </c>
      <c r="Y45" t="s">
        <v>158</v>
      </c>
      <c r="Z45" t="s">
        <v>156</v>
      </c>
      <c r="AA45" t="s">
        <v>159</v>
      </c>
      <c r="AB45" t="s">
        <v>160</v>
      </c>
      <c r="AC45" t="s">
        <v>156</v>
      </c>
      <c r="AD45">
        <v>399084</v>
      </c>
      <c r="AE45" t="s">
        <v>161</v>
      </c>
      <c r="AF45" t="s">
        <v>156</v>
      </c>
      <c r="AG45" t="s">
        <v>159</v>
      </c>
      <c r="AH45" t="s">
        <v>162</v>
      </c>
      <c r="AI45" t="s">
        <v>156</v>
      </c>
      <c r="AJ45" t="s">
        <v>159</v>
      </c>
      <c r="AK45" t="s">
        <v>163</v>
      </c>
      <c r="AL45" t="s">
        <v>156</v>
      </c>
      <c r="AM45" t="s">
        <v>159</v>
      </c>
    </row>
    <row r="46" spans="1:39">
      <c r="A46" s="179">
        <v>850</v>
      </c>
      <c r="B46" s="179">
        <v>0</v>
      </c>
      <c r="C46" s="179" t="s">
        <v>191</v>
      </c>
      <c r="D46" s="252">
        <v>850</v>
      </c>
      <c r="E46" s="253">
        <v>0</v>
      </c>
      <c r="F46" s="252" t="s">
        <v>191</v>
      </c>
      <c r="G46" s="179">
        <v>850</v>
      </c>
      <c r="H46" s="179">
        <v>0</v>
      </c>
      <c r="I46" s="256" t="s">
        <v>191</v>
      </c>
      <c r="J46" s="253">
        <v>850</v>
      </c>
      <c r="K46" s="253">
        <v>0</v>
      </c>
      <c r="L46" s="253" t="s">
        <v>191</v>
      </c>
      <c r="M46" s="179">
        <v>850</v>
      </c>
      <c r="N46" s="179">
        <v>0</v>
      </c>
      <c r="O46" s="256" t="s">
        <v>191</v>
      </c>
      <c r="R46" t="s">
        <v>155</v>
      </c>
      <c r="S46" t="s">
        <v>204</v>
      </c>
      <c r="T46" t="s">
        <v>156</v>
      </c>
      <c r="U46">
        <v>5893461</v>
      </c>
      <c r="V46" t="s">
        <v>157</v>
      </c>
      <c r="W46" t="s">
        <v>156</v>
      </c>
      <c r="X46">
        <v>9482343100</v>
      </c>
      <c r="Y46" t="s">
        <v>158</v>
      </c>
      <c r="Z46" t="s">
        <v>156</v>
      </c>
      <c r="AA46" t="s">
        <v>159</v>
      </c>
      <c r="AB46" t="s">
        <v>160</v>
      </c>
      <c r="AC46" t="s">
        <v>156</v>
      </c>
      <c r="AD46">
        <v>4084206</v>
      </c>
      <c r="AE46" t="s">
        <v>161</v>
      </c>
      <c r="AF46" t="s">
        <v>156</v>
      </c>
      <c r="AG46" t="s">
        <v>159</v>
      </c>
      <c r="AH46" t="s">
        <v>162</v>
      </c>
      <c r="AI46" t="s">
        <v>156</v>
      </c>
      <c r="AJ46" t="s">
        <v>159</v>
      </c>
      <c r="AK46" t="s">
        <v>163</v>
      </c>
      <c r="AL46" t="s">
        <v>156</v>
      </c>
      <c r="AM46" t="s">
        <v>159</v>
      </c>
    </row>
    <row r="47" spans="1:39">
      <c r="A47" s="179">
        <v>900</v>
      </c>
      <c r="B47" s="179">
        <v>0</v>
      </c>
      <c r="C47" s="179" t="s">
        <v>191</v>
      </c>
      <c r="D47" s="252">
        <v>900</v>
      </c>
      <c r="E47" s="253">
        <v>0</v>
      </c>
      <c r="F47" s="252" t="s">
        <v>191</v>
      </c>
      <c r="G47" s="179">
        <v>900</v>
      </c>
      <c r="H47" s="179">
        <v>0</v>
      </c>
      <c r="I47" s="256" t="s">
        <v>191</v>
      </c>
      <c r="J47" s="253">
        <v>900</v>
      </c>
      <c r="K47" s="253">
        <v>0</v>
      </c>
      <c r="L47" s="253" t="s">
        <v>191</v>
      </c>
      <c r="M47" s="179">
        <v>900</v>
      </c>
      <c r="N47" s="179">
        <v>0</v>
      </c>
      <c r="O47" s="256" t="s">
        <v>191</v>
      </c>
      <c r="R47" t="s">
        <v>155</v>
      </c>
      <c r="S47" t="s">
        <v>21</v>
      </c>
      <c r="T47" t="s">
        <v>156</v>
      </c>
      <c r="U47">
        <v>49986</v>
      </c>
      <c r="V47" t="s">
        <v>157</v>
      </c>
      <c r="W47" t="s">
        <v>156</v>
      </c>
      <c r="X47">
        <v>126072200</v>
      </c>
      <c r="Y47" t="s">
        <v>158</v>
      </c>
      <c r="Z47" t="s">
        <v>156</v>
      </c>
      <c r="AA47" t="s">
        <v>159</v>
      </c>
      <c r="AB47" t="s">
        <v>160</v>
      </c>
      <c r="AC47" t="s">
        <v>156</v>
      </c>
      <c r="AD47">
        <v>5318</v>
      </c>
      <c r="AE47" t="s">
        <v>161</v>
      </c>
      <c r="AF47" t="s">
        <v>156</v>
      </c>
      <c r="AG47" t="s">
        <v>159</v>
      </c>
      <c r="AH47" t="s">
        <v>162</v>
      </c>
      <c r="AI47" t="s">
        <v>156</v>
      </c>
      <c r="AJ47" t="s">
        <v>159</v>
      </c>
      <c r="AK47" t="s">
        <v>163</v>
      </c>
      <c r="AL47" t="s">
        <v>156</v>
      </c>
      <c r="AM47" t="s">
        <v>159</v>
      </c>
    </row>
    <row r="48" spans="1:39">
      <c r="A48" s="179">
        <v>950</v>
      </c>
      <c r="B48" s="179">
        <v>0</v>
      </c>
      <c r="C48" s="179" t="s">
        <v>191</v>
      </c>
      <c r="D48" s="252">
        <v>950</v>
      </c>
      <c r="E48" s="253">
        <v>0</v>
      </c>
      <c r="F48" s="252" t="s">
        <v>191</v>
      </c>
      <c r="G48" s="179">
        <v>950</v>
      </c>
      <c r="H48" s="179">
        <v>0</v>
      </c>
      <c r="I48" s="256" t="s">
        <v>191</v>
      </c>
      <c r="J48" s="253">
        <v>950</v>
      </c>
      <c r="K48" s="253">
        <v>0</v>
      </c>
      <c r="L48" s="253" t="s">
        <v>191</v>
      </c>
      <c r="M48" s="179">
        <v>950</v>
      </c>
      <c r="N48" s="179">
        <v>0</v>
      </c>
      <c r="O48" s="256" t="s">
        <v>191</v>
      </c>
      <c r="R48" t="s">
        <v>155</v>
      </c>
      <c r="S48" t="s">
        <v>205</v>
      </c>
      <c r="T48" t="s">
        <v>156</v>
      </c>
      <c r="U48">
        <v>2310725</v>
      </c>
      <c r="V48" t="s">
        <v>157</v>
      </c>
      <c r="W48" t="s">
        <v>156</v>
      </c>
      <c r="X48">
        <v>11553625000</v>
      </c>
      <c r="Y48" t="s">
        <v>158</v>
      </c>
      <c r="Z48" t="s">
        <v>156</v>
      </c>
      <c r="AA48">
        <v>238916</v>
      </c>
      <c r="AB48" t="s">
        <v>160</v>
      </c>
      <c r="AC48" t="s">
        <v>156</v>
      </c>
      <c r="AD48">
        <v>158598</v>
      </c>
      <c r="AE48" t="s">
        <v>161</v>
      </c>
      <c r="AF48" t="s">
        <v>156</v>
      </c>
      <c r="AG48" t="s">
        <v>159</v>
      </c>
      <c r="AH48" t="s">
        <v>162</v>
      </c>
      <c r="AI48" t="s">
        <v>156</v>
      </c>
      <c r="AJ48" t="s">
        <v>159</v>
      </c>
      <c r="AK48" t="s">
        <v>163</v>
      </c>
      <c r="AL48" t="s">
        <v>156</v>
      </c>
      <c r="AM48" t="s">
        <v>159</v>
      </c>
    </row>
    <row r="49" spans="1:39">
      <c r="A49" s="179">
        <v>1000</v>
      </c>
      <c r="B49" s="179">
        <v>0</v>
      </c>
      <c r="C49" s="179" t="s">
        <v>191</v>
      </c>
      <c r="D49" s="252">
        <v>1000</v>
      </c>
      <c r="E49" s="253">
        <v>0</v>
      </c>
      <c r="F49" s="252" t="s">
        <v>191</v>
      </c>
      <c r="G49" s="179">
        <v>1000</v>
      </c>
      <c r="H49" s="179">
        <v>0</v>
      </c>
      <c r="I49" s="256" t="s">
        <v>191</v>
      </c>
      <c r="J49" s="253">
        <v>1000</v>
      </c>
      <c r="K49" s="253">
        <v>0</v>
      </c>
      <c r="L49" s="253" t="s">
        <v>191</v>
      </c>
      <c r="M49" s="179">
        <v>1000</v>
      </c>
      <c r="N49" s="179">
        <v>0</v>
      </c>
      <c r="O49" s="256" t="s">
        <v>191</v>
      </c>
      <c r="R49" t="s">
        <v>155</v>
      </c>
      <c r="S49" t="s">
        <v>22</v>
      </c>
      <c r="T49" t="s">
        <v>156</v>
      </c>
      <c r="U49">
        <v>2752038</v>
      </c>
      <c r="V49" t="s">
        <v>157</v>
      </c>
      <c r="W49" t="s">
        <v>156</v>
      </c>
      <c r="X49">
        <v>15065424600</v>
      </c>
      <c r="Y49" t="s">
        <v>158</v>
      </c>
      <c r="Z49" t="s">
        <v>156</v>
      </c>
      <c r="AA49">
        <v>520178</v>
      </c>
      <c r="AB49" t="s">
        <v>160</v>
      </c>
      <c r="AC49" t="s">
        <v>156</v>
      </c>
      <c r="AD49">
        <v>1752753</v>
      </c>
      <c r="AE49" t="s">
        <v>161</v>
      </c>
      <c r="AF49" t="s">
        <v>156</v>
      </c>
      <c r="AG49" t="s">
        <v>159</v>
      </c>
      <c r="AH49" t="s">
        <v>162</v>
      </c>
      <c r="AI49" t="s">
        <v>156</v>
      </c>
      <c r="AJ49" t="s">
        <v>159</v>
      </c>
      <c r="AK49" t="s">
        <v>163</v>
      </c>
      <c r="AL49" t="s">
        <v>156</v>
      </c>
      <c r="AM49" t="s">
        <v>159</v>
      </c>
    </row>
    <row r="50" spans="1:39">
      <c r="A50" s="179">
        <v>2000</v>
      </c>
      <c r="B50" s="179">
        <v>0</v>
      </c>
      <c r="C50" s="179" t="s">
        <v>191</v>
      </c>
      <c r="D50" s="252">
        <v>2000</v>
      </c>
      <c r="E50" s="253">
        <v>0</v>
      </c>
      <c r="F50" s="252" t="s">
        <v>191</v>
      </c>
      <c r="G50" s="179">
        <v>2000</v>
      </c>
      <c r="H50" s="179">
        <v>0</v>
      </c>
      <c r="I50" s="256" t="s">
        <v>191</v>
      </c>
      <c r="J50" s="253">
        <v>2000</v>
      </c>
      <c r="K50" s="253">
        <v>0</v>
      </c>
      <c r="L50" s="253" t="s">
        <v>191</v>
      </c>
      <c r="M50" s="179">
        <v>2000</v>
      </c>
      <c r="N50" s="179">
        <v>0</v>
      </c>
      <c r="O50" s="256" t="s">
        <v>191</v>
      </c>
      <c r="R50" t="s">
        <v>155</v>
      </c>
      <c r="S50" t="s">
        <v>220</v>
      </c>
      <c r="T50" t="s">
        <v>156</v>
      </c>
      <c r="U50">
        <v>10698</v>
      </c>
      <c r="V50" t="s">
        <v>157</v>
      </c>
      <c r="W50" t="s">
        <v>156</v>
      </c>
      <c r="X50">
        <v>68446000</v>
      </c>
      <c r="Y50" t="s">
        <v>158</v>
      </c>
      <c r="Z50" t="s">
        <v>156</v>
      </c>
      <c r="AA50">
        <v>2038</v>
      </c>
      <c r="AB50" t="s">
        <v>160</v>
      </c>
      <c r="AC50" t="s">
        <v>156</v>
      </c>
      <c r="AD50">
        <v>8660</v>
      </c>
      <c r="AE50" t="s">
        <v>161</v>
      </c>
      <c r="AF50" t="s">
        <v>156</v>
      </c>
      <c r="AG50" t="s">
        <v>159</v>
      </c>
      <c r="AH50" t="s">
        <v>162</v>
      </c>
      <c r="AI50" t="s">
        <v>156</v>
      </c>
      <c r="AJ50" t="s">
        <v>159</v>
      </c>
      <c r="AK50" t="s">
        <v>163</v>
      </c>
      <c r="AL50" t="s">
        <v>156</v>
      </c>
      <c r="AM50" t="s">
        <v>159</v>
      </c>
    </row>
    <row r="51" spans="1:39">
      <c r="A51" s="179">
        <v>3000</v>
      </c>
      <c r="B51" s="179">
        <v>0</v>
      </c>
      <c r="C51" s="179" t="s">
        <v>191</v>
      </c>
      <c r="D51" s="252">
        <v>3000</v>
      </c>
      <c r="E51" s="253">
        <v>0</v>
      </c>
      <c r="F51" s="252" t="s">
        <v>191</v>
      </c>
      <c r="G51" s="179">
        <v>3000</v>
      </c>
      <c r="H51" s="179">
        <v>0</v>
      </c>
      <c r="I51" s="256" t="s">
        <v>191</v>
      </c>
      <c r="J51" s="253">
        <v>3000</v>
      </c>
      <c r="K51" s="253">
        <v>0</v>
      </c>
      <c r="L51" s="253" t="s">
        <v>191</v>
      </c>
      <c r="M51" s="179">
        <v>3000</v>
      </c>
      <c r="N51" s="179">
        <v>0</v>
      </c>
      <c r="O51" s="256" t="s">
        <v>191</v>
      </c>
      <c r="R51" t="s">
        <v>155</v>
      </c>
      <c r="S51" t="s">
        <v>206</v>
      </c>
      <c r="T51" t="s">
        <v>156</v>
      </c>
      <c r="U51">
        <v>677322</v>
      </c>
      <c r="V51" t="s">
        <v>157</v>
      </c>
      <c r="W51" t="s">
        <v>156</v>
      </c>
      <c r="X51">
        <v>6773220000</v>
      </c>
      <c r="Y51" t="s">
        <v>158</v>
      </c>
      <c r="Z51" t="s">
        <v>156</v>
      </c>
      <c r="AA51">
        <v>128906</v>
      </c>
      <c r="AB51" t="s">
        <v>160</v>
      </c>
      <c r="AC51" t="s">
        <v>156</v>
      </c>
      <c r="AD51">
        <v>65286</v>
      </c>
      <c r="AE51" t="s">
        <v>161</v>
      </c>
      <c r="AF51" t="s">
        <v>156</v>
      </c>
      <c r="AG51" t="s">
        <v>159</v>
      </c>
      <c r="AH51" t="s">
        <v>162</v>
      </c>
      <c r="AI51" t="s">
        <v>156</v>
      </c>
      <c r="AJ51" t="s">
        <v>159</v>
      </c>
      <c r="AK51" t="s">
        <v>163</v>
      </c>
      <c r="AL51" t="s">
        <v>156</v>
      </c>
      <c r="AM51" t="s">
        <v>159</v>
      </c>
    </row>
    <row r="52" spans="1:39">
      <c r="A52" s="179">
        <v>4000</v>
      </c>
      <c r="B52" s="179">
        <v>0</v>
      </c>
      <c r="C52" s="179" t="s">
        <v>191</v>
      </c>
      <c r="D52" s="252">
        <v>4000</v>
      </c>
      <c r="E52" s="253">
        <v>0</v>
      </c>
      <c r="F52" s="252" t="s">
        <v>191</v>
      </c>
      <c r="G52" s="179">
        <v>4000</v>
      </c>
      <c r="H52" s="179">
        <v>0</v>
      </c>
      <c r="I52" s="256" t="s">
        <v>191</v>
      </c>
      <c r="J52" s="253">
        <v>4000</v>
      </c>
      <c r="K52" s="253">
        <v>0</v>
      </c>
      <c r="L52" s="253" t="s">
        <v>191</v>
      </c>
      <c r="M52" s="179">
        <v>4000</v>
      </c>
      <c r="N52" s="179">
        <v>0</v>
      </c>
      <c r="O52" s="256" t="s">
        <v>191</v>
      </c>
      <c r="R52" t="s">
        <v>155</v>
      </c>
      <c r="S52" t="s">
        <v>23</v>
      </c>
      <c r="T52" t="s">
        <v>156</v>
      </c>
      <c r="U52">
        <v>1428870</v>
      </c>
      <c r="V52" t="s">
        <v>157</v>
      </c>
      <c r="W52" t="s">
        <v>156</v>
      </c>
      <c r="X52">
        <v>16423743700</v>
      </c>
      <c r="Y52" t="s">
        <v>158</v>
      </c>
      <c r="Z52" t="s">
        <v>156</v>
      </c>
      <c r="AA52">
        <v>312455</v>
      </c>
      <c r="AB52" t="s">
        <v>160</v>
      </c>
      <c r="AC52" t="s">
        <v>156</v>
      </c>
      <c r="AD52">
        <v>609988</v>
      </c>
      <c r="AE52" t="s">
        <v>161</v>
      </c>
      <c r="AF52" t="s">
        <v>156</v>
      </c>
      <c r="AG52" t="s">
        <v>159</v>
      </c>
      <c r="AH52" t="s">
        <v>162</v>
      </c>
      <c r="AI52" t="s">
        <v>156</v>
      </c>
      <c r="AJ52" t="s">
        <v>159</v>
      </c>
      <c r="AK52" t="s">
        <v>163</v>
      </c>
      <c r="AL52" t="s">
        <v>156</v>
      </c>
      <c r="AM52" t="s">
        <v>159</v>
      </c>
    </row>
    <row r="53" spans="1:39">
      <c r="A53" s="179">
        <v>5000</v>
      </c>
      <c r="B53" s="179">
        <v>0</v>
      </c>
      <c r="C53" s="179" t="s">
        <v>191</v>
      </c>
      <c r="D53" s="252">
        <v>5000</v>
      </c>
      <c r="E53" s="253">
        <v>0</v>
      </c>
      <c r="F53" s="252" t="s">
        <v>191</v>
      </c>
      <c r="G53" s="179">
        <v>5000</v>
      </c>
      <c r="H53" s="179">
        <v>0</v>
      </c>
      <c r="I53" s="256" t="s">
        <v>191</v>
      </c>
      <c r="J53" s="253">
        <v>5000</v>
      </c>
      <c r="K53" s="253">
        <v>0</v>
      </c>
      <c r="L53" s="253" t="s">
        <v>191</v>
      </c>
      <c r="M53" s="179">
        <v>5000</v>
      </c>
      <c r="N53" s="179">
        <v>0</v>
      </c>
      <c r="O53" s="256" t="s">
        <v>191</v>
      </c>
      <c r="R53" t="s">
        <v>155</v>
      </c>
      <c r="S53" t="s">
        <v>207</v>
      </c>
      <c r="T53" t="s">
        <v>156</v>
      </c>
      <c r="U53">
        <v>736776</v>
      </c>
      <c r="V53" t="s">
        <v>157</v>
      </c>
      <c r="W53" t="s">
        <v>156</v>
      </c>
      <c r="X53">
        <v>12638863200</v>
      </c>
      <c r="Y53" t="s">
        <v>158</v>
      </c>
      <c r="Z53" t="s">
        <v>156</v>
      </c>
      <c r="AA53">
        <v>414660</v>
      </c>
      <c r="AB53" t="s">
        <v>160</v>
      </c>
      <c r="AC53" t="s">
        <v>156</v>
      </c>
      <c r="AD53">
        <v>204066</v>
      </c>
      <c r="AE53" t="s">
        <v>161</v>
      </c>
      <c r="AF53" t="s">
        <v>156</v>
      </c>
      <c r="AG53" t="s">
        <v>159</v>
      </c>
      <c r="AH53" t="s">
        <v>162</v>
      </c>
      <c r="AI53" t="s">
        <v>156</v>
      </c>
      <c r="AJ53" t="s">
        <v>159</v>
      </c>
      <c r="AK53" t="s">
        <v>163</v>
      </c>
      <c r="AL53" t="s">
        <v>156</v>
      </c>
      <c r="AM53" t="s">
        <v>159</v>
      </c>
    </row>
    <row r="54" spans="1:39">
      <c r="A54" s="179">
        <v>6000</v>
      </c>
      <c r="B54" s="179">
        <v>0</v>
      </c>
      <c r="C54" s="179" t="s">
        <v>191</v>
      </c>
      <c r="D54" s="253">
        <v>6000</v>
      </c>
      <c r="E54" s="253">
        <v>0</v>
      </c>
      <c r="F54" s="253" t="s">
        <v>191</v>
      </c>
      <c r="G54" s="179">
        <v>6000</v>
      </c>
      <c r="H54" s="179">
        <v>0</v>
      </c>
      <c r="I54" s="179" t="s">
        <v>191</v>
      </c>
      <c r="J54" s="253">
        <v>6000</v>
      </c>
      <c r="K54" s="253">
        <v>0</v>
      </c>
      <c r="L54" s="253" t="s">
        <v>191</v>
      </c>
      <c r="M54" s="179">
        <v>6000</v>
      </c>
      <c r="N54" s="179">
        <v>0</v>
      </c>
      <c r="O54" s="179" t="s">
        <v>191</v>
      </c>
      <c r="R54" t="s">
        <v>155</v>
      </c>
      <c r="S54" t="s">
        <v>208</v>
      </c>
      <c r="T54" t="s">
        <v>156</v>
      </c>
      <c r="U54">
        <v>659490</v>
      </c>
      <c r="V54" t="s">
        <v>157</v>
      </c>
      <c r="W54" t="s">
        <v>156</v>
      </c>
      <c r="X54">
        <v>14317293400</v>
      </c>
      <c r="Y54" t="s">
        <v>158</v>
      </c>
      <c r="Z54" t="s">
        <v>156</v>
      </c>
      <c r="AA54">
        <v>252697</v>
      </c>
      <c r="AB54" t="s">
        <v>160</v>
      </c>
      <c r="AC54" t="s">
        <v>156</v>
      </c>
      <c r="AD54">
        <v>55226</v>
      </c>
      <c r="AE54" t="s">
        <v>161</v>
      </c>
      <c r="AF54" t="s">
        <v>156</v>
      </c>
      <c r="AG54" t="s">
        <v>159</v>
      </c>
      <c r="AH54" t="s">
        <v>162</v>
      </c>
      <c r="AI54" t="s">
        <v>156</v>
      </c>
      <c r="AJ54" t="s">
        <v>159</v>
      </c>
      <c r="AK54" t="s">
        <v>163</v>
      </c>
      <c r="AL54" t="s">
        <v>156</v>
      </c>
      <c r="AM54" t="s">
        <v>159</v>
      </c>
    </row>
    <row r="55" spans="1:39" ht="16.8" thickBot="1">
      <c r="A55" s="196">
        <v>7000</v>
      </c>
      <c r="B55" s="196">
        <v>0</v>
      </c>
      <c r="C55" s="196" t="s">
        <v>191</v>
      </c>
      <c r="D55" s="254">
        <v>7000</v>
      </c>
      <c r="E55" s="254">
        <v>0</v>
      </c>
      <c r="F55" s="254" t="s">
        <v>191</v>
      </c>
      <c r="G55" s="196">
        <v>7000</v>
      </c>
      <c r="H55" s="196">
        <v>0</v>
      </c>
      <c r="I55" s="196" t="s">
        <v>191</v>
      </c>
      <c r="J55" s="254">
        <v>7000</v>
      </c>
      <c r="K55" s="254">
        <v>0</v>
      </c>
      <c r="L55" s="254" t="s">
        <v>191</v>
      </c>
      <c r="M55" s="196">
        <v>7000</v>
      </c>
      <c r="N55" s="196">
        <v>0</v>
      </c>
      <c r="O55" s="196" t="s">
        <v>191</v>
      </c>
      <c r="R55" t="s">
        <v>155</v>
      </c>
      <c r="S55" t="s">
        <v>209</v>
      </c>
      <c r="T55" t="s">
        <v>156</v>
      </c>
      <c r="U55">
        <v>165080</v>
      </c>
      <c r="V55" t="s">
        <v>157</v>
      </c>
      <c r="W55" t="s">
        <v>156</v>
      </c>
      <c r="X55">
        <v>4491030300</v>
      </c>
      <c r="Y55" t="s">
        <v>158</v>
      </c>
      <c r="Z55" t="s">
        <v>156</v>
      </c>
      <c r="AA55">
        <v>60870</v>
      </c>
      <c r="AB55" t="s">
        <v>160</v>
      </c>
      <c r="AC55" t="s">
        <v>156</v>
      </c>
      <c r="AD55">
        <v>4100</v>
      </c>
      <c r="AE55" t="s">
        <v>161</v>
      </c>
      <c r="AF55" t="s">
        <v>156</v>
      </c>
      <c r="AG55" t="s">
        <v>159</v>
      </c>
      <c r="AH55" t="s">
        <v>162</v>
      </c>
      <c r="AI55" t="s">
        <v>156</v>
      </c>
      <c r="AJ55" t="s">
        <v>159</v>
      </c>
      <c r="AK55" t="s">
        <v>163</v>
      </c>
      <c r="AL55" t="s">
        <v>156</v>
      </c>
      <c r="AM55" t="s">
        <v>159</v>
      </c>
    </row>
    <row r="56" spans="1:39">
      <c r="R56" t="s">
        <v>155</v>
      </c>
      <c r="S56" t="s">
        <v>210</v>
      </c>
      <c r="T56" t="s">
        <v>156</v>
      </c>
      <c r="U56">
        <v>261103</v>
      </c>
      <c r="V56" t="s">
        <v>157</v>
      </c>
      <c r="W56" t="s">
        <v>156</v>
      </c>
      <c r="X56">
        <v>13041974100</v>
      </c>
      <c r="Y56" t="s">
        <v>158</v>
      </c>
      <c r="Z56" t="s">
        <v>156</v>
      </c>
      <c r="AA56">
        <v>71809</v>
      </c>
      <c r="AB56" t="s">
        <v>160</v>
      </c>
      <c r="AC56" t="s">
        <v>156</v>
      </c>
      <c r="AD56">
        <v>5036</v>
      </c>
      <c r="AE56" t="s">
        <v>161</v>
      </c>
      <c r="AF56" t="s">
        <v>156</v>
      </c>
      <c r="AG56" t="s">
        <v>159</v>
      </c>
      <c r="AH56" t="s">
        <v>162</v>
      </c>
      <c r="AI56" t="s">
        <v>156</v>
      </c>
      <c r="AJ56" t="s">
        <v>159</v>
      </c>
      <c r="AK56" t="s">
        <v>163</v>
      </c>
      <c r="AL56" t="s">
        <v>156</v>
      </c>
      <c r="AM56" t="s">
        <v>159</v>
      </c>
    </row>
    <row r="57" spans="1:39">
      <c r="R57" t="s">
        <v>155</v>
      </c>
      <c r="S57" t="s">
        <v>211</v>
      </c>
      <c r="T57" t="s">
        <v>156</v>
      </c>
      <c r="U57">
        <v>537945</v>
      </c>
      <c r="V57" t="s">
        <v>157</v>
      </c>
      <c r="W57" t="s">
        <v>156</v>
      </c>
      <c r="X57">
        <v>28350280200</v>
      </c>
      <c r="Y57" t="s">
        <v>158</v>
      </c>
      <c r="Z57" t="s">
        <v>156</v>
      </c>
      <c r="AA57">
        <v>133548</v>
      </c>
      <c r="AB57" t="s">
        <v>160</v>
      </c>
      <c r="AC57" t="s">
        <v>156</v>
      </c>
      <c r="AD57">
        <v>133078</v>
      </c>
      <c r="AE57" t="s">
        <v>161</v>
      </c>
      <c r="AF57" t="s">
        <v>156</v>
      </c>
      <c r="AG57" t="s">
        <v>159</v>
      </c>
      <c r="AH57" t="s">
        <v>162</v>
      </c>
      <c r="AI57" t="s">
        <v>156</v>
      </c>
      <c r="AJ57" t="s">
        <v>159</v>
      </c>
      <c r="AK57" t="s">
        <v>163</v>
      </c>
      <c r="AL57" t="s">
        <v>156</v>
      </c>
      <c r="AM57" t="s">
        <v>159</v>
      </c>
    </row>
    <row r="58" spans="1:39">
      <c r="R58" t="s">
        <v>155</v>
      </c>
      <c r="S58" t="s">
        <v>212</v>
      </c>
      <c r="T58" t="s">
        <v>156</v>
      </c>
      <c r="U58">
        <v>10958</v>
      </c>
      <c r="V58" t="s">
        <v>157</v>
      </c>
      <c r="W58" t="s">
        <v>156</v>
      </c>
      <c r="X58">
        <v>1095800000</v>
      </c>
      <c r="Y58" t="s">
        <v>158</v>
      </c>
      <c r="Z58" t="s">
        <v>156</v>
      </c>
      <c r="AA58">
        <v>4579</v>
      </c>
      <c r="AB58" t="s">
        <v>160</v>
      </c>
      <c r="AC58" t="s">
        <v>156</v>
      </c>
      <c r="AD58">
        <v>331</v>
      </c>
      <c r="AE58" t="s">
        <v>161</v>
      </c>
      <c r="AF58" t="s">
        <v>156</v>
      </c>
      <c r="AG58" t="s">
        <v>159</v>
      </c>
      <c r="AH58" t="s">
        <v>162</v>
      </c>
      <c r="AI58" t="s">
        <v>156</v>
      </c>
      <c r="AJ58" t="s">
        <v>159</v>
      </c>
      <c r="AK58" t="s">
        <v>163</v>
      </c>
      <c r="AL58" t="s">
        <v>156</v>
      </c>
      <c r="AM58" t="s">
        <v>159</v>
      </c>
    </row>
    <row r="59" spans="1:39">
      <c r="R59" t="s">
        <v>155</v>
      </c>
      <c r="S59" t="s">
        <v>213</v>
      </c>
      <c r="T59" t="s">
        <v>156</v>
      </c>
      <c r="U59">
        <v>15004</v>
      </c>
      <c r="V59" t="s">
        <v>157</v>
      </c>
      <c r="W59" t="s">
        <v>156</v>
      </c>
      <c r="X59">
        <v>1569806500</v>
      </c>
      <c r="Y59" t="s">
        <v>158</v>
      </c>
      <c r="Z59" t="s">
        <v>156</v>
      </c>
      <c r="AA59">
        <v>4991</v>
      </c>
      <c r="AB59" t="s">
        <v>160</v>
      </c>
      <c r="AC59" t="s">
        <v>156</v>
      </c>
      <c r="AD59">
        <v>4535</v>
      </c>
      <c r="AE59" t="s">
        <v>161</v>
      </c>
      <c r="AF59" t="s">
        <v>156</v>
      </c>
      <c r="AG59" t="s">
        <v>159</v>
      </c>
      <c r="AH59" t="s">
        <v>162</v>
      </c>
      <c r="AI59" t="s">
        <v>156</v>
      </c>
      <c r="AJ59" t="s">
        <v>159</v>
      </c>
      <c r="AK59" t="s">
        <v>163</v>
      </c>
      <c r="AL59" t="s">
        <v>156</v>
      </c>
      <c r="AM59" t="s">
        <v>159</v>
      </c>
    </row>
    <row r="60" spans="1:39">
      <c r="R60" t="s">
        <v>155</v>
      </c>
      <c r="S60" t="s">
        <v>221</v>
      </c>
      <c r="T60" t="s">
        <v>156</v>
      </c>
      <c r="U60">
        <v>218</v>
      </c>
      <c r="V60" t="s">
        <v>157</v>
      </c>
      <c r="W60" t="s">
        <v>156</v>
      </c>
      <c r="X60">
        <v>33200500</v>
      </c>
      <c r="Y60" t="s">
        <v>158</v>
      </c>
      <c r="Z60" t="s">
        <v>156</v>
      </c>
      <c r="AA60">
        <v>88</v>
      </c>
      <c r="AB60" t="s">
        <v>160</v>
      </c>
      <c r="AC60" t="s">
        <v>156</v>
      </c>
      <c r="AD60">
        <v>23</v>
      </c>
      <c r="AE60" t="s">
        <v>161</v>
      </c>
      <c r="AF60" t="s">
        <v>156</v>
      </c>
      <c r="AG60" t="s">
        <v>159</v>
      </c>
      <c r="AH60" t="s">
        <v>162</v>
      </c>
      <c r="AI60" t="s">
        <v>156</v>
      </c>
      <c r="AJ60" t="s">
        <v>159</v>
      </c>
      <c r="AK60" t="s">
        <v>163</v>
      </c>
      <c r="AL60" t="s">
        <v>156</v>
      </c>
      <c r="AM60" t="s">
        <v>159</v>
      </c>
    </row>
    <row r="61" spans="1:39">
      <c r="R61" t="s">
        <v>155</v>
      </c>
      <c r="S61" t="s">
        <v>216</v>
      </c>
      <c r="T61" t="s">
        <v>156</v>
      </c>
      <c r="U61">
        <v>5031</v>
      </c>
      <c r="V61" t="s">
        <v>157</v>
      </c>
      <c r="W61" t="s">
        <v>156</v>
      </c>
      <c r="X61">
        <v>1006200000</v>
      </c>
      <c r="Y61" t="s">
        <v>158</v>
      </c>
      <c r="Z61" t="s">
        <v>156</v>
      </c>
      <c r="AA61">
        <v>4343</v>
      </c>
      <c r="AB61" t="s">
        <v>160</v>
      </c>
      <c r="AC61" t="s">
        <v>156</v>
      </c>
      <c r="AD61">
        <v>5</v>
      </c>
      <c r="AE61" t="s">
        <v>161</v>
      </c>
      <c r="AF61" t="s">
        <v>156</v>
      </c>
      <c r="AG61" t="s">
        <v>159</v>
      </c>
      <c r="AH61" t="s">
        <v>162</v>
      </c>
      <c r="AI61" t="s">
        <v>156</v>
      </c>
      <c r="AJ61" t="s">
        <v>159</v>
      </c>
      <c r="AK61" t="s">
        <v>163</v>
      </c>
      <c r="AL61" t="s">
        <v>156</v>
      </c>
      <c r="AM61" t="s">
        <v>159</v>
      </c>
    </row>
    <row r="62" spans="1:39">
      <c r="R62" t="s">
        <v>155</v>
      </c>
      <c r="S62" t="s">
        <v>219</v>
      </c>
      <c r="T62" t="s">
        <v>156</v>
      </c>
      <c r="U62">
        <v>195</v>
      </c>
      <c r="V62" t="s">
        <v>157</v>
      </c>
      <c r="W62" t="s">
        <v>156</v>
      </c>
      <c r="X62">
        <v>99928500</v>
      </c>
      <c r="Y62" t="s">
        <v>158</v>
      </c>
      <c r="Z62" t="s">
        <v>156</v>
      </c>
      <c r="AA62" t="s">
        <v>159</v>
      </c>
      <c r="AB62" t="s">
        <v>160</v>
      </c>
      <c r="AC62" t="s">
        <v>156</v>
      </c>
      <c r="AD62" t="s">
        <v>159</v>
      </c>
      <c r="AE62" t="s">
        <v>161</v>
      </c>
      <c r="AF62" t="s">
        <v>156</v>
      </c>
      <c r="AG62" t="s">
        <v>159</v>
      </c>
      <c r="AH62" t="s">
        <v>162</v>
      </c>
      <c r="AI62" t="s">
        <v>156</v>
      </c>
      <c r="AJ62" t="s">
        <v>159</v>
      </c>
      <c r="AK62" t="s">
        <v>163</v>
      </c>
      <c r="AL62" t="s">
        <v>156</v>
      </c>
      <c r="AM62" t="s">
        <v>159</v>
      </c>
    </row>
    <row r="64" spans="1:39">
      <c r="R64" t="s">
        <v>155</v>
      </c>
      <c r="S64" t="s">
        <v>203</v>
      </c>
      <c r="T64" t="s">
        <v>156</v>
      </c>
      <c r="U64">
        <v>9762635</v>
      </c>
      <c r="V64" t="s">
        <v>157</v>
      </c>
      <c r="W64" t="s">
        <v>156</v>
      </c>
      <c r="X64">
        <v>48813175000</v>
      </c>
      <c r="Y64" t="s">
        <v>158</v>
      </c>
      <c r="Z64" t="s">
        <v>156</v>
      </c>
      <c r="AA64" t="s">
        <v>159</v>
      </c>
      <c r="AB64" t="s">
        <v>160</v>
      </c>
      <c r="AC64" t="s">
        <v>156</v>
      </c>
      <c r="AD64">
        <v>2028963</v>
      </c>
      <c r="AE64" t="s">
        <v>161</v>
      </c>
      <c r="AF64" t="s">
        <v>156</v>
      </c>
      <c r="AG64" t="s">
        <v>159</v>
      </c>
      <c r="AH64" t="s">
        <v>162</v>
      </c>
      <c r="AI64" t="s">
        <v>156</v>
      </c>
      <c r="AJ64" t="s">
        <v>159</v>
      </c>
      <c r="AK64" t="s">
        <v>163</v>
      </c>
      <c r="AL64" t="s">
        <v>156</v>
      </c>
      <c r="AM64" t="s">
        <v>159</v>
      </c>
    </row>
    <row r="65" spans="18:39">
      <c r="R65" t="s">
        <v>155</v>
      </c>
      <c r="S65" t="s">
        <v>204</v>
      </c>
      <c r="T65" t="s">
        <v>156</v>
      </c>
      <c r="U65">
        <v>149248</v>
      </c>
      <c r="V65" t="s">
        <v>157</v>
      </c>
      <c r="W65" t="s">
        <v>156</v>
      </c>
      <c r="X65">
        <v>1115452100</v>
      </c>
      <c r="Y65" t="s">
        <v>158</v>
      </c>
      <c r="Z65" t="s">
        <v>156</v>
      </c>
      <c r="AA65" t="s">
        <v>159</v>
      </c>
      <c r="AB65" t="s">
        <v>160</v>
      </c>
      <c r="AC65" t="s">
        <v>156</v>
      </c>
      <c r="AD65">
        <v>80834</v>
      </c>
      <c r="AE65" t="s">
        <v>161</v>
      </c>
      <c r="AF65" t="s">
        <v>156</v>
      </c>
      <c r="AG65" t="s">
        <v>159</v>
      </c>
      <c r="AH65" t="s">
        <v>162</v>
      </c>
      <c r="AI65" t="s">
        <v>156</v>
      </c>
      <c r="AJ65" t="s">
        <v>159</v>
      </c>
      <c r="AK65" t="s">
        <v>163</v>
      </c>
      <c r="AL65" t="s">
        <v>156</v>
      </c>
      <c r="AM65" t="s">
        <v>159</v>
      </c>
    </row>
    <row r="66" spans="18:39">
      <c r="R66" t="s">
        <v>155</v>
      </c>
      <c r="S66" t="s">
        <v>205</v>
      </c>
      <c r="T66" t="s">
        <v>156</v>
      </c>
      <c r="U66">
        <v>6417718</v>
      </c>
      <c r="V66" t="s">
        <v>157</v>
      </c>
      <c r="W66" t="s">
        <v>156</v>
      </c>
      <c r="X66">
        <v>140048110000</v>
      </c>
      <c r="Y66" t="s">
        <v>158</v>
      </c>
      <c r="Z66" t="s">
        <v>156</v>
      </c>
      <c r="AA66" t="s">
        <v>159</v>
      </c>
      <c r="AB66" t="s">
        <v>160</v>
      </c>
      <c r="AC66" t="s">
        <v>156</v>
      </c>
      <c r="AD66">
        <v>966167</v>
      </c>
      <c r="AE66" t="s">
        <v>161</v>
      </c>
      <c r="AF66" t="s">
        <v>156</v>
      </c>
      <c r="AG66" t="s">
        <v>159</v>
      </c>
      <c r="AH66" t="s">
        <v>162</v>
      </c>
      <c r="AI66" t="s">
        <v>156</v>
      </c>
      <c r="AJ66" t="s">
        <v>159</v>
      </c>
      <c r="AK66" t="s">
        <v>163</v>
      </c>
      <c r="AL66" t="s">
        <v>156</v>
      </c>
      <c r="AM66" t="s">
        <v>159</v>
      </c>
    </row>
    <row r="67" spans="18:39">
      <c r="R67" t="s">
        <v>155</v>
      </c>
      <c r="S67" t="s">
        <v>22</v>
      </c>
      <c r="T67" t="s">
        <v>156</v>
      </c>
      <c r="U67">
        <v>172384</v>
      </c>
      <c r="V67" t="s">
        <v>157</v>
      </c>
      <c r="W67" t="s">
        <v>156</v>
      </c>
      <c r="X67">
        <v>4588466100</v>
      </c>
      <c r="Y67" t="s">
        <v>158</v>
      </c>
      <c r="Z67" t="s">
        <v>156</v>
      </c>
      <c r="AA67" t="s">
        <v>159</v>
      </c>
      <c r="AB67" t="s">
        <v>160</v>
      </c>
      <c r="AC67" t="s">
        <v>156</v>
      </c>
      <c r="AD67">
        <v>6214</v>
      </c>
      <c r="AE67" t="s">
        <v>161</v>
      </c>
      <c r="AF67" t="s">
        <v>156</v>
      </c>
      <c r="AG67" t="s">
        <v>159</v>
      </c>
      <c r="AH67" t="s">
        <v>162</v>
      </c>
      <c r="AI67" t="s">
        <v>156</v>
      </c>
      <c r="AJ67" t="s">
        <v>159</v>
      </c>
      <c r="AK67" t="s">
        <v>163</v>
      </c>
      <c r="AL67" t="s">
        <v>156</v>
      </c>
      <c r="AM67" t="s">
        <v>159</v>
      </c>
    </row>
    <row r="68" spans="18:39">
      <c r="R68" t="s">
        <v>155</v>
      </c>
      <c r="S68" t="s">
        <v>206</v>
      </c>
      <c r="T68" t="s">
        <v>156</v>
      </c>
      <c r="U68">
        <v>1288594</v>
      </c>
      <c r="V68" t="s">
        <v>157</v>
      </c>
      <c r="W68" t="s">
        <v>156</v>
      </c>
      <c r="X68">
        <v>64429700000</v>
      </c>
      <c r="Y68" t="s">
        <v>158</v>
      </c>
      <c r="Z68" t="s">
        <v>156</v>
      </c>
      <c r="AA68">
        <v>423467</v>
      </c>
      <c r="AB68" t="s">
        <v>160</v>
      </c>
      <c r="AC68" t="s">
        <v>156</v>
      </c>
      <c r="AD68">
        <v>77630</v>
      </c>
      <c r="AE68" t="s">
        <v>161</v>
      </c>
      <c r="AF68" t="s">
        <v>156</v>
      </c>
      <c r="AG68" t="s">
        <v>159</v>
      </c>
      <c r="AH68" t="s">
        <v>162</v>
      </c>
      <c r="AI68" t="s">
        <v>156</v>
      </c>
      <c r="AJ68" t="s">
        <v>159</v>
      </c>
      <c r="AK68" t="s">
        <v>163</v>
      </c>
      <c r="AL68" t="s">
        <v>156</v>
      </c>
      <c r="AM68" t="s">
        <v>159</v>
      </c>
    </row>
    <row r="69" spans="18:39">
      <c r="R69" t="s">
        <v>155</v>
      </c>
      <c r="S69" t="s">
        <v>23</v>
      </c>
      <c r="T69" t="s">
        <v>156</v>
      </c>
      <c r="U69">
        <v>926559</v>
      </c>
      <c r="V69" t="s">
        <v>157</v>
      </c>
      <c r="W69" t="s">
        <v>156</v>
      </c>
      <c r="X69">
        <v>49449920300</v>
      </c>
      <c r="Y69" t="s">
        <v>158</v>
      </c>
      <c r="Z69" t="s">
        <v>156</v>
      </c>
      <c r="AA69">
        <v>267730</v>
      </c>
      <c r="AB69" t="s">
        <v>160</v>
      </c>
      <c r="AC69" t="s">
        <v>156</v>
      </c>
      <c r="AD69">
        <v>285394</v>
      </c>
      <c r="AE69" t="s">
        <v>161</v>
      </c>
      <c r="AF69" t="s">
        <v>156</v>
      </c>
      <c r="AG69" t="s">
        <v>159</v>
      </c>
      <c r="AH69" t="s">
        <v>162</v>
      </c>
      <c r="AI69" t="s">
        <v>156</v>
      </c>
      <c r="AJ69" t="s">
        <v>159</v>
      </c>
      <c r="AK69" t="s">
        <v>163</v>
      </c>
      <c r="AL69" t="s">
        <v>156</v>
      </c>
      <c r="AM69" t="s">
        <v>159</v>
      </c>
    </row>
    <row r="70" spans="18:39">
      <c r="R70" t="s">
        <v>155</v>
      </c>
      <c r="S70" t="s">
        <v>207</v>
      </c>
      <c r="T70" t="s">
        <v>156</v>
      </c>
      <c r="U70">
        <v>897978</v>
      </c>
      <c r="V70" t="s">
        <v>157</v>
      </c>
      <c r="W70" t="s">
        <v>156</v>
      </c>
      <c r="X70">
        <v>88717798000</v>
      </c>
      <c r="Y70" t="s">
        <v>158</v>
      </c>
      <c r="Z70" t="s">
        <v>156</v>
      </c>
      <c r="AA70">
        <v>338114</v>
      </c>
      <c r="AB70" t="s">
        <v>160</v>
      </c>
      <c r="AC70" t="s">
        <v>156</v>
      </c>
      <c r="AD70">
        <v>75936</v>
      </c>
      <c r="AE70" t="s">
        <v>161</v>
      </c>
      <c r="AF70" t="s">
        <v>156</v>
      </c>
      <c r="AG70" t="s">
        <v>159</v>
      </c>
      <c r="AH70" t="s">
        <v>162</v>
      </c>
      <c r="AI70" t="s">
        <v>156</v>
      </c>
      <c r="AJ70" t="s">
        <v>159</v>
      </c>
      <c r="AK70" t="s">
        <v>163</v>
      </c>
      <c r="AL70" t="s">
        <v>156</v>
      </c>
      <c r="AM70" t="s">
        <v>159</v>
      </c>
    </row>
    <row r="71" spans="18:39">
      <c r="R71" t="s">
        <v>155</v>
      </c>
      <c r="S71" t="s">
        <v>208</v>
      </c>
      <c r="T71" t="s">
        <v>156</v>
      </c>
      <c r="U71">
        <v>513910</v>
      </c>
      <c r="V71" t="s">
        <v>157</v>
      </c>
      <c r="W71" t="s">
        <v>156</v>
      </c>
      <c r="X71">
        <v>53597845800</v>
      </c>
      <c r="Y71" t="s">
        <v>158</v>
      </c>
      <c r="Z71" t="s">
        <v>156</v>
      </c>
      <c r="AA71">
        <v>147850</v>
      </c>
      <c r="AB71" t="s">
        <v>160</v>
      </c>
      <c r="AC71" t="s">
        <v>156</v>
      </c>
      <c r="AD71">
        <v>215059</v>
      </c>
      <c r="AE71" t="s">
        <v>161</v>
      </c>
      <c r="AF71" t="s">
        <v>156</v>
      </c>
      <c r="AG71" t="s">
        <v>159</v>
      </c>
      <c r="AH71" t="s">
        <v>162</v>
      </c>
      <c r="AI71" t="s">
        <v>156</v>
      </c>
      <c r="AJ71" t="s">
        <v>159</v>
      </c>
      <c r="AK71" t="s">
        <v>163</v>
      </c>
      <c r="AL71" t="s">
        <v>156</v>
      </c>
      <c r="AM71" t="s">
        <v>159</v>
      </c>
    </row>
    <row r="72" spans="18:39">
      <c r="R72" t="s">
        <v>155</v>
      </c>
      <c r="S72" t="s">
        <v>209</v>
      </c>
      <c r="T72" t="s">
        <v>156</v>
      </c>
      <c r="U72">
        <v>163483</v>
      </c>
      <c r="V72" t="s">
        <v>157</v>
      </c>
      <c r="W72" t="s">
        <v>156</v>
      </c>
      <c r="X72">
        <v>24508608000</v>
      </c>
      <c r="Y72" t="s">
        <v>158</v>
      </c>
      <c r="Z72" t="s">
        <v>156</v>
      </c>
      <c r="AA72">
        <v>151645</v>
      </c>
      <c r="AB72" t="s">
        <v>160</v>
      </c>
      <c r="AC72" t="s">
        <v>156</v>
      </c>
      <c r="AD72">
        <v>1993</v>
      </c>
      <c r="AE72" t="s">
        <v>161</v>
      </c>
      <c r="AF72" t="s">
        <v>156</v>
      </c>
      <c r="AG72" t="s">
        <v>159</v>
      </c>
      <c r="AH72" t="s">
        <v>162</v>
      </c>
      <c r="AI72" t="s">
        <v>156</v>
      </c>
      <c r="AJ72" t="s">
        <v>159</v>
      </c>
      <c r="AK72" t="s">
        <v>163</v>
      </c>
      <c r="AL72" t="s">
        <v>156</v>
      </c>
      <c r="AM72" t="s">
        <v>159</v>
      </c>
    </row>
    <row r="73" spans="18:39">
      <c r="R73" t="s">
        <v>155</v>
      </c>
      <c r="S73" t="s">
        <v>210</v>
      </c>
      <c r="T73" t="s">
        <v>156</v>
      </c>
      <c r="U73">
        <v>546551</v>
      </c>
      <c r="V73" t="s">
        <v>157</v>
      </c>
      <c r="W73" t="s">
        <v>156</v>
      </c>
      <c r="X73">
        <v>136637750000</v>
      </c>
      <c r="Y73" t="s">
        <v>158</v>
      </c>
      <c r="Z73" t="s">
        <v>156</v>
      </c>
      <c r="AA73">
        <v>430415</v>
      </c>
      <c r="AB73" t="s">
        <v>160</v>
      </c>
      <c r="AC73" t="s">
        <v>156</v>
      </c>
      <c r="AD73" t="s">
        <v>159</v>
      </c>
      <c r="AE73" t="s">
        <v>161</v>
      </c>
      <c r="AF73" t="s">
        <v>156</v>
      </c>
      <c r="AG73" t="s">
        <v>159</v>
      </c>
      <c r="AH73" t="s">
        <v>162</v>
      </c>
      <c r="AI73" t="s">
        <v>156</v>
      </c>
      <c r="AJ73" t="s">
        <v>159</v>
      </c>
      <c r="AK73" t="s">
        <v>163</v>
      </c>
      <c r="AL73" t="s">
        <v>156</v>
      </c>
      <c r="AM73" t="s">
        <v>159</v>
      </c>
    </row>
    <row r="74" spans="18:39">
      <c r="R74" t="s">
        <v>155</v>
      </c>
      <c r="S74" t="s">
        <v>211</v>
      </c>
      <c r="T74" t="s">
        <v>156</v>
      </c>
      <c r="U74">
        <v>268148</v>
      </c>
      <c r="V74" t="s">
        <v>157</v>
      </c>
      <c r="W74" t="s">
        <v>156</v>
      </c>
      <c r="X74">
        <v>68488388100</v>
      </c>
      <c r="Y74" t="s">
        <v>158</v>
      </c>
      <c r="Z74" t="s">
        <v>156</v>
      </c>
      <c r="AA74">
        <v>211855</v>
      </c>
      <c r="AB74" t="s">
        <v>160</v>
      </c>
      <c r="AC74" t="s">
        <v>156</v>
      </c>
      <c r="AD74" t="s">
        <v>159</v>
      </c>
      <c r="AE74" t="s">
        <v>161</v>
      </c>
      <c r="AF74" t="s">
        <v>156</v>
      </c>
      <c r="AG74" t="s">
        <v>159</v>
      </c>
      <c r="AH74" t="s">
        <v>162</v>
      </c>
      <c r="AI74" t="s">
        <v>156</v>
      </c>
      <c r="AJ74" t="s">
        <v>159</v>
      </c>
      <c r="AK74" t="s">
        <v>163</v>
      </c>
      <c r="AL74" t="s">
        <v>156</v>
      </c>
      <c r="AM74" t="s">
        <v>159</v>
      </c>
    </row>
    <row r="75" spans="18:39">
      <c r="R75" t="s">
        <v>155</v>
      </c>
      <c r="S75" t="s">
        <v>212</v>
      </c>
      <c r="T75" t="s">
        <v>156</v>
      </c>
      <c r="U75">
        <v>9068</v>
      </c>
      <c r="V75" t="s">
        <v>157</v>
      </c>
      <c r="W75" t="s">
        <v>156</v>
      </c>
      <c r="X75">
        <v>4534000000</v>
      </c>
      <c r="Y75" t="s">
        <v>158</v>
      </c>
      <c r="Z75" t="s">
        <v>156</v>
      </c>
      <c r="AA75">
        <v>5427</v>
      </c>
      <c r="AB75" t="s">
        <v>160</v>
      </c>
      <c r="AC75" t="s">
        <v>156</v>
      </c>
      <c r="AD75">
        <v>253</v>
      </c>
      <c r="AE75" t="s">
        <v>161</v>
      </c>
      <c r="AF75" t="s">
        <v>156</v>
      </c>
      <c r="AG75" t="s">
        <v>159</v>
      </c>
      <c r="AH75" t="s">
        <v>162</v>
      </c>
      <c r="AI75" t="s">
        <v>156</v>
      </c>
      <c r="AJ75" t="s">
        <v>159</v>
      </c>
      <c r="AK75" t="s">
        <v>163</v>
      </c>
      <c r="AL75" t="s">
        <v>156</v>
      </c>
      <c r="AM75" t="s">
        <v>159</v>
      </c>
    </row>
    <row r="76" spans="18:39">
      <c r="R76" t="s">
        <v>155</v>
      </c>
      <c r="S76" t="s">
        <v>213</v>
      </c>
      <c r="T76" t="s">
        <v>156</v>
      </c>
      <c r="U76">
        <v>11972</v>
      </c>
      <c r="V76" t="s">
        <v>157</v>
      </c>
      <c r="W76" t="s">
        <v>156</v>
      </c>
      <c r="X76">
        <v>6131559100</v>
      </c>
      <c r="Y76" t="s">
        <v>158</v>
      </c>
      <c r="Z76" t="s">
        <v>156</v>
      </c>
      <c r="AA76">
        <v>5840</v>
      </c>
      <c r="AB76" t="s">
        <v>160</v>
      </c>
      <c r="AC76" t="s">
        <v>156</v>
      </c>
      <c r="AD76">
        <v>2461</v>
      </c>
      <c r="AE76" t="s">
        <v>161</v>
      </c>
      <c r="AF76" t="s">
        <v>156</v>
      </c>
      <c r="AG76" t="s">
        <v>159</v>
      </c>
      <c r="AH76" t="s">
        <v>162</v>
      </c>
      <c r="AI76" t="s">
        <v>156</v>
      </c>
      <c r="AJ76" t="s">
        <v>159</v>
      </c>
      <c r="AK76" t="s">
        <v>163</v>
      </c>
      <c r="AL76" t="s">
        <v>156</v>
      </c>
      <c r="AM76" t="s">
        <v>159</v>
      </c>
    </row>
    <row r="77" spans="18:39">
      <c r="R77" t="s">
        <v>155</v>
      </c>
      <c r="S77" t="s">
        <v>219</v>
      </c>
      <c r="T77" t="s">
        <v>156</v>
      </c>
      <c r="U77">
        <v>1006</v>
      </c>
      <c r="V77" t="s">
        <v>157</v>
      </c>
      <c r="W77" t="s">
        <v>156</v>
      </c>
      <c r="X77">
        <v>2546268000</v>
      </c>
      <c r="Y77" t="s">
        <v>158</v>
      </c>
      <c r="Z77" t="s">
        <v>156</v>
      </c>
      <c r="AA77" t="s">
        <v>159</v>
      </c>
      <c r="AB77" t="s">
        <v>160</v>
      </c>
      <c r="AC77" t="s">
        <v>156</v>
      </c>
      <c r="AD77" t="s">
        <v>159</v>
      </c>
      <c r="AE77" t="s">
        <v>161</v>
      </c>
      <c r="AF77" t="s">
        <v>156</v>
      </c>
      <c r="AG77" t="s">
        <v>159</v>
      </c>
      <c r="AH77" t="s">
        <v>162</v>
      </c>
      <c r="AI77" t="s">
        <v>156</v>
      </c>
      <c r="AJ77" t="s">
        <v>159</v>
      </c>
      <c r="AK77" t="s">
        <v>163</v>
      </c>
      <c r="AL77" t="s">
        <v>156</v>
      </c>
      <c r="AM77" t="s">
        <v>159</v>
      </c>
    </row>
    <row r="79" spans="18:39">
      <c r="R79" t="s">
        <v>155</v>
      </c>
      <c r="S79" t="s">
        <v>203</v>
      </c>
      <c r="T79" t="s">
        <v>156</v>
      </c>
      <c r="U79">
        <v>1121719</v>
      </c>
      <c r="V79" t="s">
        <v>157</v>
      </c>
      <c r="W79" t="s">
        <v>156</v>
      </c>
      <c r="X79">
        <v>11217190000</v>
      </c>
      <c r="Y79" t="s">
        <v>158</v>
      </c>
      <c r="Z79" t="s">
        <v>156</v>
      </c>
      <c r="AA79" t="s">
        <v>159</v>
      </c>
      <c r="AB79" t="s">
        <v>160</v>
      </c>
      <c r="AC79" t="s">
        <v>156</v>
      </c>
      <c r="AD79">
        <v>385376</v>
      </c>
      <c r="AE79" t="s">
        <v>161</v>
      </c>
      <c r="AF79" t="s">
        <v>156</v>
      </c>
      <c r="AG79" t="s">
        <v>159</v>
      </c>
      <c r="AH79" t="s">
        <v>162</v>
      </c>
      <c r="AI79" t="s">
        <v>156</v>
      </c>
      <c r="AJ79" t="s">
        <v>159</v>
      </c>
      <c r="AK79" t="s">
        <v>163</v>
      </c>
      <c r="AL79" t="s">
        <v>156</v>
      </c>
      <c r="AM79" t="s">
        <v>159</v>
      </c>
    </row>
    <row r="80" spans="18:39">
      <c r="R80" t="s">
        <v>155</v>
      </c>
      <c r="S80" t="s">
        <v>204</v>
      </c>
      <c r="T80" t="s">
        <v>156</v>
      </c>
      <c r="U80">
        <v>3975177</v>
      </c>
      <c r="V80" t="s">
        <v>157</v>
      </c>
      <c r="W80" t="s">
        <v>156</v>
      </c>
      <c r="X80">
        <v>49724742900</v>
      </c>
      <c r="Y80" t="s">
        <v>158</v>
      </c>
      <c r="Z80" t="s">
        <v>156</v>
      </c>
      <c r="AA80" t="s">
        <v>159</v>
      </c>
      <c r="AB80" t="s">
        <v>160</v>
      </c>
      <c r="AC80" t="s">
        <v>156</v>
      </c>
      <c r="AD80">
        <v>2794915</v>
      </c>
      <c r="AE80" t="s">
        <v>161</v>
      </c>
      <c r="AF80" t="s">
        <v>156</v>
      </c>
      <c r="AG80" t="s">
        <v>159</v>
      </c>
      <c r="AH80" t="s">
        <v>162</v>
      </c>
      <c r="AI80" t="s">
        <v>156</v>
      </c>
      <c r="AJ80" t="s">
        <v>159</v>
      </c>
      <c r="AK80" t="s">
        <v>163</v>
      </c>
      <c r="AL80" t="s">
        <v>156</v>
      </c>
      <c r="AM80" t="s">
        <v>159</v>
      </c>
    </row>
    <row r="81" spans="18:39">
      <c r="R81" t="s">
        <v>155</v>
      </c>
      <c r="S81" t="s">
        <v>21</v>
      </c>
      <c r="T81" t="s">
        <v>156</v>
      </c>
      <c r="U81">
        <v>94704</v>
      </c>
      <c r="V81" t="s">
        <v>157</v>
      </c>
      <c r="W81" t="s">
        <v>156</v>
      </c>
      <c r="X81">
        <v>2199981900</v>
      </c>
      <c r="Y81" t="s">
        <v>158</v>
      </c>
      <c r="Z81" t="s">
        <v>156</v>
      </c>
      <c r="AA81" t="s">
        <v>159</v>
      </c>
      <c r="AB81" t="s">
        <v>160</v>
      </c>
      <c r="AC81" t="s">
        <v>156</v>
      </c>
      <c r="AD81">
        <v>11273</v>
      </c>
      <c r="AE81" t="s">
        <v>161</v>
      </c>
      <c r="AF81" t="s">
        <v>156</v>
      </c>
      <c r="AG81" t="s">
        <v>159</v>
      </c>
      <c r="AH81" t="s">
        <v>162</v>
      </c>
      <c r="AI81" t="s">
        <v>156</v>
      </c>
      <c r="AJ81" t="s">
        <v>159</v>
      </c>
      <c r="AK81" t="s">
        <v>163</v>
      </c>
      <c r="AL81" t="s">
        <v>156</v>
      </c>
      <c r="AM81" t="s">
        <v>159</v>
      </c>
    </row>
    <row r="82" spans="18:39">
      <c r="R82" t="s">
        <v>155</v>
      </c>
      <c r="S82" t="s">
        <v>205</v>
      </c>
      <c r="T82" t="s">
        <v>156</v>
      </c>
      <c r="U82">
        <v>3001560</v>
      </c>
      <c r="V82" t="s">
        <v>157</v>
      </c>
      <c r="W82" t="s">
        <v>156</v>
      </c>
      <c r="X82">
        <v>150078000000</v>
      </c>
      <c r="Y82" t="s">
        <v>158</v>
      </c>
      <c r="Z82" t="s">
        <v>156</v>
      </c>
      <c r="AA82" t="s">
        <v>159</v>
      </c>
      <c r="AB82" t="s">
        <v>160</v>
      </c>
      <c r="AC82" t="s">
        <v>156</v>
      </c>
      <c r="AD82">
        <v>805307</v>
      </c>
      <c r="AE82" t="s">
        <v>161</v>
      </c>
      <c r="AF82" t="s">
        <v>156</v>
      </c>
      <c r="AG82" t="s">
        <v>159</v>
      </c>
      <c r="AH82" t="s">
        <v>162</v>
      </c>
      <c r="AI82" t="s">
        <v>156</v>
      </c>
      <c r="AJ82" t="s">
        <v>159</v>
      </c>
      <c r="AK82" t="s">
        <v>163</v>
      </c>
      <c r="AL82" t="s">
        <v>156</v>
      </c>
      <c r="AM82" t="s">
        <v>159</v>
      </c>
    </row>
    <row r="83" spans="18:39">
      <c r="R83" t="s">
        <v>155</v>
      </c>
      <c r="S83" t="s">
        <v>22</v>
      </c>
      <c r="T83" t="s">
        <v>156</v>
      </c>
      <c r="U83">
        <v>5022013</v>
      </c>
      <c r="V83" t="s">
        <v>157</v>
      </c>
      <c r="W83" t="s">
        <v>156</v>
      </c>
      <c r="X83">
        <v>263347920800</v>
      </c>
      <c r="Y83" t="s">
        <v>158</v>
      </c>
      <c r="Z83" t="s">
        <v>156</v>
      </c>
      <c r="AA83" t="s">
        <v>159</v>
      </c>
      <c r="AB83" t="s">
        <v>160</v>
      </c>
      <c r="AC83" t="s">
        <v>156</v>
      </c>
      <c r="AD83">
        <v>2838755</v>
      </c>
      <c r="AE83" t="s">
        <v>161</v>
      </c>
      <c r="AF83" t="s">
        <v>156</v>
      </c>
      <c r="AG83" t="s">
        <v>159</v>
      </c>
      <c r="AH83" t="s">
        <v>162</v>
      </c>
      <c r="AI83" t="s">
        <v>156</v>
      </c>
      <c r="AJ83" t="s">
        <v>159</v>
      </c>
      <c r="AK83" t="s">
        <v>163</v>
      </c>
      <c r="AL83" t="s">
        <v>156</v>
      </c>
      <c r="AM83" t="s">
        <v>159</v>
      </c>
    </row>
    <row r="84" spans="18:39">
      <c r="R84" t="s">
        <v>155</v>
      </c>
      <c r="S84" t="s">
        <v>220</v>
      </c>
      <c r="T84" t="s">
        <v>156</v>
      </c>
      <c r="U84">
        <v>5615</v>
      </c>
      <c r="V84" t="s">
        <v>157</v>
      </c>
      <c r="W84" t="s">
        <v>156</v>
      </c>
      <c r="X84">
        <v>345949800</v>
      </c>
      <c r="Y84" t="s">
        <v>158</v>
      </c>
      <c r="Z84" t="s">
        <v>156</v>
      </c>
      <c r="AA84" t="s">
        <v>159</v>
      </c>
      <c r="AB84" t="s">
        <v>160</v>
      </c>
      <c r="AC84" t="s">
        <v>156</v>
      </c>
      <c r="AD84">
        <v>5615</v>
      </c>
      <c r="AE84" t="s">
        <v>161</v>
      </c>
      <c r="AF84" t="s">
        <v>156</v>
      </c>
      <c r="AG84" t="s">
        <v>159</v>
      </c>
      <c r="AH84" t="s">
        <v>162</v>
      </c>
      <c r="AI84" t="s">
        <v>156</v>
      </c>
      <c r="AJ84" t="s">
        <v>159</v>
      </c>
      <c r="AK84" t="s">
        <v>163</v>
      </c>
      <c r="AL84" t="s">
        <v>156</v>
      </c>
      <c r="AM84" t="s">
        <v>159</v>
      </c>
    </row>
    <row r="85" spans="18:39">
      <c r="R85" t="s">
        <v>155</v>
      </c>
      <c r="S85" t="s">
        <v>206</v>
      </c>
      <c r="T85" t="s">
        <v>156</v>
      </c>
      <c r="U85">
        <v>938563</v>
      </c>
      <c r="V85" t="s">
        <v>157</v>
      </c>
      <c r="W85" t="s">
        <v>156</v>
      </c>
      <c r="X85">
        <v>93856300000</v>
      </c>
      <c r="Y85" t="s">
        <v>158</v>
      </c>
      <c r="Z85" t="s">
        <v>156</v>
      </c>
      <c r="AA85">
        <v>293450</v>
      </c>
      <c r="AB85" t="s">
        <v>160</v>
      </c>
      <c r="AC85" t="s">
        <v>156</v>
      </c>
      <c r="AD85">
        <v>154163</v>
      </c>
      <c r="AE85" t="s">
        <v>161</v>
      </c>
      <c r="AF85" t="s">
        <v>156</v>
      </c>
      <c r="AG85" t="s">
        <v>159</v>
      </c>
      <c r="AH85" t="s">
        <v>162</v>
      </c>
      <c r="AI85" t="s">
        <v>156</v>
      </c>
      <c r="AJ85" t="s">
        <v>159</v>
      </c>
      <c r="AK85" t="s">
        <v>163</v>
      </c>
      <c r="AL85" t="s">
        <v>156</v>
      </c>
      <c r="AM85" t="s">
        <v>159</v>
      </c>
    </row>
    <row r="86" spans="18:39">
      <c r="R86" t="s">
        <v>155</v>
      </c>
      <c r="S86" t="s">
        <v>23</v>
      </c>
      <c r="T86" t="s">
        <v>156</v>
      </c>
      <c r="U86">
        <v>1498892</v>
      </c>
      <c r="V86" t="s">
        <v>157</v>
      </c>
      <c r="W86" t="s">
        <v>156</v>
      </c>
      <c r="X86">
        <v>157552328300</v>
      </c>
      <c r="Y86" t="s">
        <v>158</v>
      </c>
      <c r="Z86" t="s">
        <v>156</v>
      </c>
      <c r="AA86">
        <v>344838</v>
      </c>
      <c r="AB86" t="s">
        <v>160</v>
      </c>
      <c r="AC86" t="s">
        <v>156</v>
      </c>
      <c r="AD86">
        <v>763592</v>
      </c>
      <c r="AE86" t="s">
        <v>161</v>
      </c>
      <c r="AF86" t="s">
        <v>156</v>
      </c>
      <c r="AG86" t="s">
        <v>159</v>
      </c>
      <c r="AH86" t="s">
        <v>162</v>
      </c>
      <c r="AI86" t="s">
        <v>156</v>
      </c>
      <c r="AJ86" t="s">
        <v>159</v>
      </c>
      <c r="AK86" t="s">
        <v>163</v>
      </c>
      <c r="AL86" t="s">
        <v>156</v>
      </c>
      <c r="AM86" t="s">
        <v>159</v>
      </c>
    </row>
    <row r="87" spans="18:39">
      <c r="R87" t="s">
        <v>155</v>
      </c>
      <c r="S87" t="s">
        <v>207</v>
      </c>
      <c r="T87" t="s">
        <v>156</v>
      </c>
      <c r="U87">
        <v>1051183</v>
      </c>
      <c r="V87" t="s">
        <v>157</v>
      </c>
      <c r="W87" t="s">
        <v>156</v>
      </c>
      <c r="X87">
        <v>196403019700</v>
      </c>
      <c r="Y87" t="s">
        <v>158</v>
      </c>
      <c r="Z87" t="s">
        <v>156</v>
      </c>
      <c r="AA87">
        <v>530823</v>
      </c>
      <c r="AB87" t="s">
        <v>160</v>
      </c>
      <c r="AC87" t="s">
        <v>156</v>
      </c>
      <c r="AD87">
        <v>208437</v>
      </c>
      <c r="AE87" t="s">
        <v>161</v>
      </c>
      <c r="AF87" t="s">
        <v>156</v>
      </c>
      <c r="AG87" t="s">
        <v>159</v>
      </c>
      <c r="AH87" t="s">
        <v>162</v>
      </c>
      <c r="AI87" t="s">
        <v>156</v>
      </c>
      <c r="AJ87" t="s">
        <v>159</v>
      </c>
      <c r="AK87" t="s">
        <v>163</v>
      </c>
      <c r="AL87" t="s">
        <v>156</v>
      </c>
      <c r="AM87" t="s">
        <v>159</v>
      </c>
    </row>
    <row r="88" spans="18:39">
      <c r="R88" t="s">
        <v>155</v>
      </c>
      <c r="S88" t="s">
        <v>208</v>
      </c>
      <c r="T88" t="s">
        <v>156</v>
      </c>
      <c r="U88">
        <v>260783</v>
      </c>
      <c r="V88" t="s">
        <v>157</v>
      </c>
      <c r="W88" t="s">
        <v>156</v>
      </c>
      <c r="X88">
        <v>55036261200</v>
      </c>
      <c r="Y88" t="s">
        <v>158</v>
      </c>
      <c r="Z88" t="s">
        <v>156</v>
      </c>
      <c r="AA88">
        <v>149402</v>
      </c>
      <c r="AB88" t="s">
        <v>160</v>
      </c>
      <c r="AC88" t="s">
        <v>156</v>
      </c>
      <c r="AD88">
        <v>10079</v>
      </c>
      <c r="AE88" t="s">
        <v>161</v>
      </c>
      <c r="AF88" t="s">
        <v>156</v>
      </c>
      <c r="AG88" t="s">
        <v>159</v>
      </c>
      <c r="AH88" t="s">
        <v>162</v>
      </c>
      <c r="AI88" t="s">
        <v>156</v>
      </c>
      <c r="AJ88" t="s">
        <v>159</v>
      </c>
      <c r="AK88" t="s">
        <v>163</v>
      </c>
      <c r="AL88" t="s">
        <v>156</v>
      </c>
      <c r="AM88" t="s">
        <v>159</v>
      </c>
    </row>
    <row r="89" spans="18:39">
      <c r="R89" t="s">
        <v>155</v>
      </c>
      <c r="S89" t="s">
        <v>209</v>
      </c>
      <c r="T89" t="s">
        <v>156</v>
      </c>
      <c r="U89">
        <v>77667</v>
      </c>
      <c r="V89" t="s">
        <v>157</v>
      </c>
      <c r="W89" t="s">
        <v>156</v>
      </c>
      <c r="X89">
        <v>21720138600</v>
      </c>
      <c r="Y89" t="s">
        <v>158</v>
      </c>
      <c r="Z89" t="s">
        <v>156</v>
      </c>
      <c r="AA89">
        <v>45030</v>
      </c>
      <c r="AB89" t="s">
        <v>160</v>
      </c>
      <c r="AC89" t="s">
        <v>156</v>
      </c>
      <c r="AD89">
        <v>512</v>
      </c>
      <c r="AE89" t="s">
        <v>161</v>
      </c>
      <c r="AF89" t="s">
        <v>156</v>
      </c>
      <c r="AG89" t="s">
        <v>159</v>
      </c>
      <c r="AH89" t="s">
        <v>162</v>
      </c>
      <c r="AI89" t="s">
        <v>156</v>
      </c>
      <c r="AJ89" t="s">
        <v>159</v>
      </c>
      <c r="AK89" t="s">
        <v>163</v>
      </c>
      <c r="AL89" t="s">
        <v>156</v>
      </c>
      <c r="AM89" t="s">
        <v>159</v>
      </c>
    </row>
    <row r="90" spans="18:39">
      <c r="R90" t="s">
        <v>155</v>
      </c>
      <c r="S90" t="s">
        <v>215</v>
      </c>
      <c r="T90" t="s">
        <v>156</v>
      </c>
      <c r="U90">
        <v>38784</v>
      </c>
      <c r="V90" t="s">
        <v>157</v>
      </c>
      <c r="W90" t="s">
        <v>156</v>
      </c>
      <c r="X90">
        <v>11832087100</v>
      </c>
      <c r="Y90" t="s">
        <v>158</v>
      </c>
      <c r="Z90" t="s">
        <v>156</v>
      </c>
      <c r="AA90">
        <v>38191</v>
      </c>
      <c r="AB90" t="s">
        <v>160</v>
      </c>
      <c r="AC90" t="s">
        <v>156</v>
      </c>
      <c r="AD90">
        <v>4</v>
      </c>
      <c r="AE90" t="s">
        <v>161</v>
      </c>
      <c r="AF90" t="s">
        <v>156</v>
      </c>
      <c r="AG90" t="s">
        <v>159</v>
      </c>
      <c r="AH90" t="s">
        <v>162</v>
      </c>
      <c r="AI90" t="s">
        <v>156</v>
      </c>
      <c r="AJ90" t="s">
        <v>159</v>
      </c>
      <c r="AK90" t="s">
        <v>163</v>
      </c>
      <c r="AL90" t="s">
        <v>156</v>
      </c>
      <c r="AM90" t="s">
        <v>159</v>
      </c>
    </row>
    <row r="91" spans="18:39">
      <c r="R91" t="s">
        <v>155</v>
      </c>
      <c r="S91" t="s">
        <v>222</v>
      </c>
      <c r="T91" t="s">
        <v>156</v>
      </c>
      <c r="U91">
        <v>27648</v>
      </c>
      <c r="V91" t="s">
        <v>157</v>
      </c>
      <c r="W91" t="s">
        <v>156</v>
      </c>
      <c r="X91">
        <v>10282764500</v>
      </c>
      <c r="Y91" t="s">
        <v>158</v>
      </c>
      <c r="Z91" t="s">
        <v>156</v>
      </c>
      <c r="AA91">
        <v>27648</v>
      </c>
      <c r="AB91" t="s">
        <v>160</v>
      </c>
      <c r="AC91" t="s">
        <v>156</v>
      </c>
      <c r="AD91" t="s">
        <v>159</v>
      </c>
      <c r="AE91" t="s">
        <v>161</v>
      </c>
      <c r="AF91" t="s">
        <v>156</v>
      </c>
      <c r="AG91" t="s">
        <v>159</v>
      </c>
      <c r="AH91" t="s">
        <v>162</v>
      </c>
      <c r="AI91" t="s">
        <v>156</v>
      </c>
      <c r="AJ91" t="s">
        <v>159</v>
      </c>
      <c r="AK91" t="s">
        <v>163</v>
      </c>
      <c r="AL91" t="s">
        <v>156</v>
      </c>
      <c r="AM91" t="s">
        <v>159</v>
      </c>
    </row>
    <row r="92" spans="18:39">
      <c r="R92" t="s">
        <v>155</v>
      </c>
      <c r="S92" t="s">
        <v>223</v>
      </c>
      <c r="T92" t="s">
        <v>156</v>
      </c>
      <c r="U92">
        <v>77585</v>
      </c>
      <c r="V92" t="s">
        <v>157</v>
      </c>
      <c r="W92" t="s">
        <v>156</v>
      </c>
      <c r="X92">
        <v>31387208600</v>
      </c>
      <c r="Y92" t="s">
        <v>158</v>
      </c>
      <c r="Z92" t="s">
        <v>156</v>
      </c>
      <c r="AA92">
        <v>77585</v>
      </c>
      <c r="AB92" t="s">
        <v>160</v>
      </c>
      <c r="AC92" t="s">
        <v>156</v>
      </c>
      <c r="AD92" t="s">
        <v>159</v>
      </c>
      <c r="AE92" t="s">
        <v>161</v>
      </c>
      <c r="AF92" t="s">
        <v>156</v>
      </c>
      <c r="AG92" t="s">
        <v>159</v>
      </c>
      <c r="AH92" t="s">
        <v>162</v>
      </c>
      <c r="AI92" t="s">
        <v>156</v>
      </c>
      <c r="AJ92" t="s">
        <v>159</v>
      </c>
      <c r="AK92" t="s">
        <v>163</v>
      </c>
      <c r="AL92" t="s">
        <v>156</v>
      </c>
      <c r="AM92" t="s">
        <v>159</v>
      </c>
    </row>
    <row r="93" spans="18:39">
      <c r="R93" t="s">
        <v>155</v>
      </c>
      <c r="S93" t="s">
        <v>210</v>
      </c>
      <c r="T93" t="s">
        <v>156</v>
      </c>
      <c r="U93">
        <v>138722</v>
      </c>
      <c r="V93" t="s">
        <v>157</v>
      </c>
      <c r="W93" t="s">
        <v>156</v>
      </c>
      <c r="X93">
        <v>69341988000</v>
      </c>
      <c r="Y93" t="s">
        <v>158</v>
      </c>
      <c r="Z93" t="s">
        <v>156</v>
      </c>
      <c r="AA93">
        <v>61074</v>
      </c>
      <c r="AB93" t="s">
        <v>160</v>
      </c>
      <c r="AC93" t="s">
        <v>156</v>
      </c>
      <c r="AD93">
        <v>3879</v>
      </c>
      <c r="AE93" t="s">
        <v>161</v>
      </c>
      <c r="AF93" t="s">
        <v>156</v>
      </c>
      <c r="AG93" t="s">
        <v>159</v>
      </c>
      <c r="AH93" t="s">
        <v>162</v>
      </c>
      <c r="AI93" t="s">
        <v>156</v>
      </c>
      <c r="AJ93" t="s">
        <v>159</v>
      </c>
      <c r="AK93" t="s">
        <v>163</v>
      </c>
      <c r="AL93" t="s">
        <v>156</v>
      </c>
      <c r="AM93" t="s">
        <v>159</v>
      </c>
    </row>
    <row r="94" spans="18:39">
      <c r="R94" t="s">
        <v>155</v>
      </c>
      <c r="S94" t="s">
        <v>211</v>
      </c>
      <c r="T94" t="s">
        <v>156</v>
      </c>
      <c r="U94">
        <v>460680</v>
      </c>
      <c r="V94" t="s">
        <v>157</v>
      </c>
      <c r="W94" t="s">
        <v>156</v>
      </c>
      <c r="X94">
        <v>237022817400</v>
      </c>
      <c r="Y94" t="s">
        <v>158</v>
      </c>
      <c r="Z94" t="s">
        <v>156</v>
      </c>
      <c r="AA94">
        <v>196354</v>
      </c>
      <c r="AB94" t="s">
        <v>160</v>
      </c>
      <c r="AC94" t="s">
        <v>156</v>
      </c>
      <c r="AD94">
        <v>112050</v>
      </c>
      <c r="AE94" t="s">
        <v>161</v>
      </c>
      <c r="AF94" t="s">
        <v>156</v>
      </c>
      <c r="AG94" t="s">
        <v>159</v>
      </c>
      <c r="AH94" t="s">
        <v>162</v>
      </c>
      <c r="AI94" t="s">
        <v>156</v>
      </c>
      <c r="AJ94" t="s">
        <v>159</v>
      </c>
      <c r="AK94" t="s">
        <v>163</v>
      </c>
      <c r="AL94" t="s">
        <v>156</v>
      </c>
      <c r="AM94" t="s">
        <v>159</v>
      </c>
    </row>
    <row r="95" spans="18:39">
      <c r="R95" t="s">
        <v>155</v>
      </c>
      <c r="S95" t="s">
        <v>212</v>
      </c>
      <c r="T95" t="s">
        <v>156</v>
      </c>
      <c r="U95">
        <v>5554</v>
      </c>
      <c r="V95" t="s">
        <v>157</v>
      </c>
      <c r="W95" t="s">
        <v>156</v>
      </c>
      <c r="X95">
        <v>5554000000</v>
      </c>
      <c r="Y95" t="s">
        <v>158</v>
      </c>
      <c r="Z95" t="s">
        <v>156</v>
      </c>
      <c r="AA95">
        <v>3000</v>
      </c>
      <c r="AB95" t="s">
        <v>160</v>
      </c>
      <c r="AC95" t="s">
        <v>156</v>
      </c>
      <c r="AD95">
        <v>313</v>
      </c>
      <c r="AE95" t="s">
        <v>161</v>
      </c>
      <c r="AF95" t="s">
        <v>156</v>
      </c>
      <c r="AG95" t="s">
        <v>159</v>
      </c>
      <c r="AH95" t="s">
        <v>162</v>
      </c>
      <c r="AI95" t="s">
        <v>156</v>
      </c>
      <c r="AJ95" t="s">
        <v>159</v>
      </c>
      <c r="AK95" t="s">
        <v>163</v>
      </c>
      <c r="AL95" t="s">
        <v>156</v>
      </c>
      <c r="AM95" t="s">
        <v>159</v>
      </c>
    </row>
    <row r="96" spans="18:39">
      <c r="R96" t="s">
        <v>155</v>
      </c>
      <c r="S96" t="s">
        <v>213</v>
      </c>
      <c r="T96" t="s">
        <v>156</v>
      </c>
      <c r="U96">
        <v>11231</v>
      </c>
      <c r="V96" t="s">
        <v>157</v>
      </c>
      <c r="W96" t="s">
        <v>156</v>
      </c>
      <c r="X96">
        <v>11546093500</v>
      </c>
      <c r="Y96" t="s">
        <v>158</v>
      </c>
      <c r="Z96" t="s">
        <v>156</v>
      </c>
      <c r="AA96">
        <v>5083</v>
      </c>
      <c r="AB96" t="s">
        <v>160</v>
      </c>
      <c r="AC96" t="s">
        <v>156</v>
      </c>
      <c r="AD96">
        <v>3588</v>
      </c>
      <c r="AE96" t="s">
        <v>161</v>
      </c>
      <c r="AF96" t="s">
        <v>156</v>
      </c>
      <c r="AG96" t="s">
        <v>159</v>
      </c>
      <c r="AH96" t="s">
        <v>162</v>
      </c>
      <c r="AI96" t="s">
        <v>156</v>
      </c>
      <c r="AJ96" t="s">
        <v>159</v>
      </c>
      <c r="AK96" t="s">
        <v>163</v>
      </c>
      <c r="AL96" t="s">
        <v>156</v>
      </c>
      <c r="AM96" t="s">
        <v>159</v>
      </c>
    </row>
    <row r="97" spans="18:39">
      <c r="R97" t="s">
        <v>155</v>
      </c>
      <c r="S97" t="s">
        <v>216</v>
      </c>
      <c r="T97" t="s">
        <v>156</v>
      </c>
      <c r="U97">
        <v>4486</v>
      </c>
      <c r="V97" t="s">
        <v>157</v>
      </c>
      <c r="W97" t="s">
        <v>156</v>
      </c>
      <c r="X97">
        <v>8972000000</v>
      </c>
      <c r="Y97" t="s">
        <v>158</v>
      </c>
      <c r="Z97" t="s">
        <v>156</v>
      </c>
      <c r="AA97">
        <v>3969</v>
      </c>
      <c r="AB97" t="s">
        <v>160</v>
      </c>
      <c r="AC97" t="s">
        <v>156</v>
      </c>
      <c r="AD97">
        <v>4</v>
      </c>
      <c r="AE97" t="s">
        <v>161</v>
      </c>
      <c r="AF97" t="s">
        <v>156</v>
      </c>
      <c r="AG97" t="s">
        <v>159</v>
      </c>
      <c r="AH97" t="s">
        <v>162</v>
      </c>
      <c r="AI97" t="s">
        <v>156</v>
      </c>
      <c r="AJ97" t="s">
        <v>159</v>
      </c>
      <c r="AK97" t="s">
        <v>163</v>
      </c>
      <c r="AL97" t="s">
        <v>156</v>
      </c>
      <c r="AM97" t="s">
        <v>159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DD74-6B2D-4B01-A720-46222DFAD138}">
  <dimension ref="B1:AF54"/>
  <sheetViews>
    <sheetView zoomScale="85" zoomScaleNormal="85" workbookViewId="0">
      <selection activeCell="L9" sqref="L9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1.3796900962112253</v>
      </c>
      <c r="V1" s="178">
        <f>SUM(V3:V54)</f>
        <v>0.91999479629021208</v>
      </c>
      <c r="AB1" s="272">
        <f>SUM(AB3:AB54)</f>
        <v>1.3873501853679813</v>
      </c>
      <c r="AF1" s="273">
        <f>SUM(AF3:AF54)</f>
        <v>0.92485711279982719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Sim_Mul_Bet1!$F$2:$F$100,
      (Sim_Mul_Bet1!$A$2:$A$100=C$2) * (Sim_Mul_Bet1!$C$2:$C$100=$B3),0
   ),
   0
)</f>
        <v>0.79597220999999996</v>
      </c>
      <c r="D3" s="166" cm="1">
        <f t="array" ref="D3">_xlfn.IFNA(
   _xlfn._xlws.FILTER(
      Sim_Mul_Bet1!$F$2:$F$100,
      (Sim_Mul_Bet1!$A$2:$A$100=D$2) * (Sim_Mul_Bet1!$C$2:$C$100=$B3),0
   ),
   0
)</f>
        <v>0.22225457000000001</v>
      </c>
      <c r="E3" s="156" cm="1">
        <f t="array" ref="E3">_xlfn.IFNA(
   _xlfn._xlws.FILTER(
      Sim_Mul_Bet1!$F$2:$F$100,
      (Sim_Mul_Bet1!$A$2:$A$100=E$2) * (Sim_Mul_Bet1!$C$2:$C$100=$B3),0
   ),
   0
)</f>
        <v>0</v>
      </c>
      <c r="F3" s="167" cm="1">
        <f t="array" ref="F3">_xlfn.IFNA(
   _xlfn._xlws.FILTER(
      Sim_Mul_Bet1!$L$2:$L$100,
      (Sim_Mul_Bet1!$A$2:$A$100=F$2) * (Sim_Mul_Bet1!$C$2:$C$100=$B3),0
   ),
   0
)</f>
        <v>0</v>
      </c>
      <c r="G3" s="167" cm="1">
        <f t="array" ref="G3">_xlfn.IFNA(
   _xlfn._xlws.FILTER(
      Sim_Mul_Bet1!$L$2:$L$100,
      (Sim_Mul_Bet1!$A$2:$A$100=G$2) * (Sim_Mul_Bet1!$C$2:$C$100=$B3),0
   ),
   0
)</f>
        <v>0</v>
      </c>
      <c r="H3" s="159" cm="1">
        <f t="array" ref="H3">_xlfn.IFNA(
   _xlfn._xlws.FILTER(
      Sim_Mul_Bet1!$L$2:$L$100,
      (Sim_Mul_Bet1!$A$2:$A$100=H$2) * (Sim_Mul_Bet1!$C$2:$C$100=$B3),0
   ),
   0
)</f>
        <v>0</v>
      </c>
      <c r="J3">
        <v>0</v>
      </c>
      <c r="K3" s="168">
        <v>-1</v>
      </c>
      <c r="L3" s="169" t="s">
        <v>92</v>
      </c>
      <c r="M3" s="170">
        <f>HLOOKUP(L3,$C$2:$E$54,J3+2,FALSE)</f>
        <v>0.79597220999999996</v>
      </c>
      <c r="N3" s="189">
        <f>HLOOKUP(L3,$F$2:$H$54,J3+2,FALSE)</f>
        <v>0</v>
      </c>
      <c r="O3" s="172">
        <f>1-SUM(O4:O53)</f>
        <v>0.79172869832433979</v>
      </c>
      <c r="P3" s="219">
        <f>1-SUM(P4:P53)</f>
        <v>0.86115246554955993</v>
      </c>
      <c r="Q3" s="172">
        <f>1-SUM(Q4:Q54)</f>
        <v>0.85905995358855425</v>
      </c>
      <c r="R3" s="173">
        <f t="shared" ref="R3:R54" si="0">N3*O3</f>
        <v>0</v>
      </c>
      <c r="T3" s="174">
        <f>1000000-SUM(T4:T54)</f>
        <v>791728</v>
      </c>
      <c r="U3" s="175" cm="1">
        <f t="array" ref="U3:U54">T3:T54/SUM($T$3:$T$54)</f>
        <v>0.79172799999999999</v>
      </c>
      <c r="V3" s="178">
        <f>U3*N3/1.5</f>
        <v>0</v>
      </c>
      <c r="Y3" s="172">
        <f>1-SUM(Y4:Y53)</f>
        <v>0.82889058106473601</v>
      </c>
      <c r="Z3" s="172">
        <f>1-SUM(Z4:Z53)</f>
        <v>0.88592705404315741</v>
      </c>
      <c r="AA3" s="172">
        <f>1-SUM(AA4:AA54)</f>
        <v>0.85905995358855425</v>
      </c>
      <c r="AB3" s="276">
        <f>N3*Y3</f>
        <v>0</v>
      </c>
      <c r="AD3" s="174">
        <f>1000000-SUM(AD4:AD54)</f>
        <v>828891</v>
      </c>
      <c r="AE3" s="175" cm="1">
        <f t="array" ref="AE3:AE54">AD3:AD54/SUM($T$3:$T$54)</f>
        <v>0.82889100000000004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Sim_Mul_Bet1!$F$2:$F$100,
      (Sim_Mul_Bet1!$A$2:$A$100=C$2) * (Sim_Mul_Bet1!$C$2:$C$100=$B4),0
   ),
   0
)</f>
        <v>5.7787289999999998E-2</v>
      </c>
      <c r="D4" s="181" cm="1">
        <f t="array" ref="D4">_xlfn.IFNA(
   _xlfn._xlws.FILTER(
      Sim_Mul_Bet1!$F$2:$F$100,
      (Sim_Mul_Bet1!$A$2:$A$100=D$2) * (Sim_Mul_Bet1!$C$2:$C$100=$B4),0
   ),
   0
)</f>
        <v>2.7786459999999999E-2</v>
      </c>
      <c r="E4" s="182" cm="1">
        <f t="array" ref="E4">_xlfn.IFNA(
   _xlfn._xlws.FILTER(
      Sim_Mul_Bet1!$F$2:$F$100,
      (Sim_Mul_Bet1!$A$2:$A$100=E$2) * (Sim_Mul_Bet1!$C$2:$C$100=$B4),0
   ),
   0
)</f>
        <v>0</v>
      </c>
      <c r="F4" s="183" cm="1">
        <f t="array" ref="F4">_xlfn.IFNA(
   _xlfn._xlws.FILTER(
      Sim_Mul_Bet1!$L$2:$L$100,
      (Sim_Mul_Bet1!$A$2:$A$100=F$2) * (Sim_Mul_Bet1!$C$2:$C$100=$B4),0
   ),
   0
)</f>
        <v>1</v>
      </c>
      <c r="G4" s="184" cm="1">
        <f t="array" ref="G4">_xlfn.IFNA(
   _xlfn._xlws.FILTER(
      Sim_Mul_Bet1!$L$2:$L$100,
      (Sim_Mul_Bet1!$A$2:$A$100=G$2) * (Sim_Mul_Bet1!$C$2:$C$100=$B4),0
   ),
   0
)</f>
        <v>1</v>
      </c>
      <c r="H4" s="185" cm="1">
        <f t="array" ref="H4">_xlfn.IFNA(
   _xlfn._xlws.FILTER(
      Sim_Mul_Bet1!$L$2:$L$100,
      (Sim_Mul_Bet1!$A$2:$A$100=H$2) * (Sim_Mul_Bet1!$C$2:$C$100=$B4),0
   ),
   0
)</f>
        <v>0</v>
      </c>
      <c r="J4">
        <v>1</v>
      </c>
      <c r="K4" s="186">
        <v>0</v>
      </c>
      <c r="L4" s="187" t="s">
        <v>93</v>
      </c>
      <c r="M4" s="188">
        <f t="shared" ref="M4:M54" si="1">HLOOKUP(L4,$C$2:$E$54,J4+2,FALSE)</f>
        <v>2.7786459999999999E-2</v>
      </c>
      <c r="N4" s="189">
        <f>HLOOKUP(L4,$F$2:$H$54,J4+2,FALSE)</f>
        <v>1</v>
      </c>
      <c r="O4" s="190">
        <f>P4*1.5</f>
        <v>9.7570090626049502E-2</v>
      </c>
      <c r="P4" s="190">
        <v>6.5046727084033001E-2</v>
      </c>
      <c r="Q4" s="190">
        <v>6.5046727084033001E-2</v>
      </c>
      <c r="R4" s="191">
        <f t="shared" si="0"/>
        <v>9.7570090626049502E-2</v>
      </c>
      <c r="T4" s="192">
        <f>ROUND(O4*1000000,0)</f>
        <v>97570</v>
      </c>
      <c r="U4">
        <v>9.7570000000000004E-2</v>
      </c>
      <c r="V4" s="193">
        <f t="shared" ref="V4:V54" si="2">U4*N4/1.5</f>
        <v>6.5046666666666669E-2</v>
      </c>
      <c r="W4" s="194"/>
      <c r="X4" s="217"/>
      <c r="Y4" s="190">
        <f>Z4*1.5</f>
        <v>7.5000000000000011E-2</v>
      </c>
      <c r="Z4" s="190">
        <v>0.05</v>
      </c>
      <c r="AA4" s="190">
        <v>6.5046727084033001E-2</v>
      </c>
      <c r="AB4" s="276">
        <f t="shared" ref="AB4:AB54" si="3">N4*Y4</f>
        <v>7.5000000000000011E-2</v>
      </c>
      <c r="AD4" s="192">
        <f t="shared" ref="AD4:AD54" si="4">ROUND(Y4*1000000,0)</f>
        <v>75000</v>
      </c>
      <c r="AE4">
        <v>7.4999999999999997E-2</v>
      </c>
      <c r="AF4" s="278">
        <f>AE4*N4/1.5</f>
        <v>4.9999999999999996E-2</v>
      </c>
    </row>
    <row r="5" spans="2:32">
      <c r="B5" s="179">
        <v>1</v>
      </c>
      <c r="C5" s="180" cm="1">
        <f t="array" ref="C5">_xlfn.IFNA(
   _xlfn._xlws.FILTER(
      Sim_Mul_Bet1!$F$2:$F$100,
      (Sim_Mul_Bet1!$A$2:$A$100=C$2) * (Sim_Mul_Bet1!$C$2:$C$100=$B5),0
   ),
   0
)</f>
        <v>5.0673100000000002E-3</v>
      </c>
      <c r="D5" s="181" cm="1">
        <f t="array" ref="D5">_xlfn.IFNA(
   _xlfn._xlws.FILTER(
      Sim_Mul_Bet1!$F$2:$F$100,
      (Sim_Mul_Bet1!$A$2:$A$100=D$2) * (Sim_Mul_Bet1!$C$2:$C$100=$B5),0
   ),
   0
)</f>
        <v>6.946658E-2</v>
      </c>
      <c r="E5" s="182" cm="1">
        <f t="array" ref="E5">_xlfn.IFNA(
   _xlfn._xlws.FILTER(
      Sim_Mul_Bet1!$F$2:$F$100,
      (Sim_Mul_Bet1!$A$2:$A$100=E$2) * (Sim_Mul_Bet1!$C$2:$C$100=$B5),0
   ),
   0
)</f>
        <v>0</v>
      </c>
      <c r="F5" s="183" cm="1">
        <f t="array" ref="F5">_xlfn.IFNA(
   _xlfn._xlws.FILTER(
      Sim_Mul_Bet1!$L$2:$L$100,
      (Sim_Mul_Bet1!$A$2:$A$100=F$2) * (Sim_Mul_Bet1!$C$2:$C$100=$B5),0
   ),
   0
)</f>
        <v>2</v>
      </c>
      <c r="G5" s="184" cm="1">
        <f t="array" ref="G5">_xlfn.IFNA(
   _xlfn._xlws.FILTER(
      Sim_Mul_Bet1!$L$2:$L$100,
      (Sim_Mul_Bet1!$A$2:$A$100=G$2) * (Sim_Mul_Bet1!$C$2:$C$100=$B5),0
   ),
   0
)</f>
        <v>2</v>
      </c>
      <c r="H5" s="185" cm="1">
        <f t="array" ref="H5">_xlfn.IFNA(
   _xlfn._xlws.FILTER(
      Sim_Mul_Bet1!$L$2:$L$100,
      (Sim_Mul_Bet1!$A$2:$A$100=H$2) * (Sim_Mul_Bet1!$C$2:$C$100=$B5),0
   ),
   0
)</f>
        <v>0</v>
      </c>
      <c r="J5">
        <v>2</v>
      </c>
      <c r="K5" s="186">
        <v>1</v>
      </c>
      <c r="L5" s="187" t="s">
        <v>93</v>
      </c>
      <c r="M5" s="188">
        <f t="shared" si="1"/>
        <v>6.946658E-2</v>
      </c>
      <c r="N5" s="189">
        <f t="shared" ref="N5:N54" si="5">HLOOKUP(L5,$F$2:$H$54,J5+2,FALSE)</f>
        <v>2</v>
      </c>
      <c r="O5" s="190">
        <f t="shared" ref="O5:O54" si="6">P5*1.5</f>
        <v>1.5232701130994848E-3</v>
      </c>
      <c r="P5" s="190">
        <v>1.01551340873299E-3</v>
      </c>
      <c r="Q5" s="190">
        <v>1.01551340873299E-3</v>
      </c>
      <c r="R5" s="191">
        <f t="shared" si="0"/>
        <v>3.0465402261989696E-3</v>
      </c>
      <c r="T5" s="192">
        <f t="shared" ref="T5:T54" si="7">ROUND(O5*1000000,0)</f>
        <v>1523</v>
      </c>
      <c r="U5" s="176">
        <v>1.523E-3</v>
      </c>
      <c r="V5" s="195">
        <f t="shared" si="2"/>
        <v>2.0306666666666667E-3</v>
      </c>
      <c r="W5" s="194"/>
      <c r="X5" s="217"/>
      <c r="Y5" s="190">
        <f t="shared" ref="Y5:Y54" si="8">Z5*1.5</f>
        <v>4.4999999999999999E-4</v>
      </c>
      <c r="Z5" s="190">
        <v>2.9999999999999997E-4</v>
      </c>
      <c r="AA5" s="190">
        <v>1.01551340873299E-3</v>
      </c>
      <c r="AB5" s="276">
        <f t="shared" si="3"/>
        <v>8.9999999999999998E-4</v>
      </c>
      <c r="AD5" s="192">
        <f t="shared" si="4"/>
        <v>450</v>
      </c>
      <c r="AE5" s="176">
        <v>4.4999999999999999E-4</v>
      </c>
      <c r="AF5" s="278">
        <f t="shared" ref="AF5:AF54" si="9">AE5*N5/1.5</f>
        <v>5.9999999999999995E-4</v>
      </c>
    </row>
    <row r="6" spans="2:32">
      <c r="B6" s="179">
        <v>2</v>
      </c>
      <c r="C6" s="180" cm="1">
        <f t="array" ref="C6">_xlfn.IFNA(
   _xlfn._xlws.FILTER(
      Sim_Mul_Bet1!$F$2:$F$100,
      (Sim_Mul_Bet1!$A$2:$A$100=C$2) * (Sim_Mul_Bet1!$C$2:$C$100=$B6),0
   ),
   0
)</f>
        <v>0</v>
      </c>
      <c r="D6" s="181" cm="1">
        <f t="array" ref="D6">_xlfn.IFNA(
   _xlfn._xlws.FILTER(
      Sim_Mul_Bet1!$F$2:$F$100,
      (Sim_Mul_Bet1!$A$2:$A$100=D$2) * (Sim_Mul_Bet1!$C$2:$C$100=$B6),0
   ),
   0
)</f>
        <v>0</v>
      </c>
      <c r="E6" s="182" cm="1">
        <f t="array" ref="E6">_xlfn.IFNA(
   _xlfn._xlws.FILTER(
      Sim_Mul_Bet1!$F$2:$F$100,
      (Sim_Mul_Bet1!$A$2:$A$100=E$2) * (Sim_Mul_Bet1!$C$2:$C$100=$B6),0
   ),
   0
)</f>
        <v>0</v>
      </c>
      <c r="F6" s="183" cm="1">
        <f t="array" ref="F6">_xlfn.IFNA(
   _xlfn._xlws.FILTER(
      Sim_Mul_Bet1!$L$2:$L$100,
      (Sim_Mul_Bet1!$A$2:$A$100=F$2) * (Sim_Mul_Bet1!$C$2:$C$100=$B6),0
   ),
   0
)</f>
        <v>0</v>
      </c>
      <c r="G6" s="184" cm="1">
        <f t="array" ref="G6">_xlfn.IFNA(
   _xlfn._xlws.FILTER(
      Sim_Mul_Bet1!$L$2:$L$100,
      (Sim_Mul_Bet1!$A$2:$A$100=G$2) * (Sim_Mul_Bet1!$C$2:$C$100=$B6),0
   ),
   0
)</f>
        <v>0</v>
      </c>
      <c r="H6" s="185" cm="1">
        <f t="array" ref="H6">_xlfn.IFNA(
   _xlfn._xlws.FILTER(
      Sim_Mul_Bet1!$L$2:$L$100,
      (Sim_Mul_Bet1!$A$2:$A$100=H$2) * (Sim_Mul_Bet1!$C$2:$C$100=$B6),0
   ),
   0
)</f>
        <v>0</v>
      </c>
      <c r="J6">
        <v>3</v>
      </c>
      <c r="K6" s="186">
        <v>2</v>
      </c>
      <c r="L6" s="187" t="s">
        <v>93</v>
      </c>
      <c r="M6" s="188">
        <f t="shared" si="1"/>
        <v>0</v>
      </c>
      <c r="N6" s="189">
        <f t="shared" si="5"/>
        <v>0</v>
      </c>
      <c r="O6" s="190">
        <f t="shared" si="6"/>
        <v>0</v>
      </c>
      <c r="P6" s="190">
        <v>0</v>
      </c>
      <c r="Q6" s="190">
        <v>0</v>
      </c>
      <c r="R6" s="191">
        <f t="shared" si="0"/>
        <v>0</v>
      </c>
      <c r="T6" s="192">
        <f t="shared" si="7"/>
        <v>0</v>
      </c>
      <c r="U6" s="176">
        <v>0</v>
      </c>
      <c r="V6" s="195">
        <f t="shared" si="2"/>
        <v>0</v>
      </c>
      <c r="W6" s="194"/>
      <c r="X6" s="217"/>
      <c r="Y6" s="190">
        <f t="shared" si="8"/>
        <v>0</v>
      </c>
      <c r="Z6" s="190">
        <v>0</v>
      </c>
      <c r="AA6" s="190">
        <v>0</v>
      </c>
      <c r="AB6" s="276">
        <f t="shared" si="3"/>
        <v>0</v>
      </c>
      <c r="AD6" s="192">
        <f t="shared" si="4"/>
        <v>0</v>
      </c>
      <c r="AE6" s="176">
        <v>0</v>
      </c>
      <c r="AF6" s="278">
        <f t="shared" si="9"/>
        <v>0</v>
      </c>
    </row>
    <row r="7" spans="2:32">
      <c r="B7" s="179">
        <v>3</v>
      </c>
      <c r="C7" s="180" cm="1">
        <f t="array" ref="C7">_xlfn.IFNA(
   _xlfn._xlws.FILTER(
      Sim_Mul_Bet1!$F$2:$F$100,
      (Sim_Mul_Bet1!$A$2:$A$100=C$2) * (Sim_Mul_Bet1!$C$2:$C$100=$B7),0
   ),
   0
)</f>
        <v>0</v>
      </c>
      <c r="D7" s="181" cm="1">
        <f t="array" ref="D7">_xlfn.IFNA(
   _xlfn._xlws.FILTER(
      Sim_Mul_Bet1!$F$2:$F$100,
      (Sim_Mul_Bet1!$A$2:$A$100=D$2) * (Sim_Mul_Bet1!$C$2:$C$100=$B7),0
   ),
   0
)</f>
        <v>0</v>
      </c>
      <c r="E7" s="182" cm="1">
        <f t="array" ref="E7">_xlfn.IFNA(
   _xlfn._xlws.FILTER(
      Sim_Mul_Bet1!$F$2:$F$100,
      (Sim_Mul_Bet1!$A$2:$A$100=E$2) * (Sim_Mul_Bet1!$C$2:$C$100=$B7),0
   ),
   0
)</f>
        <v>0</v>
      </c>
      <c r="F7" s="183" cm="1">
        <f t="array" ref="F7">_xlfn.IFNA(
   _xlfn._xlws.FILTER(
      Sim_Mul_Bet1!$L$2:$L$100,
      (Sim_Mul_Bet1!$A$2:$A$100=F$2) * (Sim_Mul_Bet1!$C$2:$C$100=$B7),0
   ),
   0
)</f>
        <v>0</v>
      </c>
      <c r="G7" s="184" cm="1">
        <f t="array" ref="G7">_xlfn.IFNA(
   _xlfn._xlws.FILTER(
      Sim_Mul_Bet1!$L$2:$L$100,
      (Sim_Mul_Bet1!$A$2:$A$100=G$2) * (Sim_Mul_Bet1!$C$2:$C$100=$B7),0
   ),
   0
)</f>
        <v>0</v>
      </c>
      <c r="H7" s="185" cm="1">
        <f t="array" ref="H7">_xlfn.IFNA(
   _xlfn._xlws.FILTER(
      Sim_Mul_Bet1!$L$2:$L$100,
      (Sim_Mul_Bet1!$A$2:$A$100=H$2) * (Sim_Mul_Bet1!$C$2:$C$100=$B7),0
   ),
   0
)</f>
        <v>0</v>
      </c>
      <c r="J7">
        <v>4</v>
      </c>
      <c r="K7" s="186">
        <v>3</v>
      </c>
      <c r="L7" s="187" t="s">
        <v>93</v>
      </c>
      <c r="M7" s="188">
        <f t="shared" si="1"/>
        <v>0</v>
      </c>
      <c r="N7" s="189">
        <f t="shared" si="5"/>
        <v>0</v>
      </c>
      <c r="O7" s="190">
        <f t="shared" si="6"/>
        <v>0</v>
      </c>
      <c r="P7" s="190">
        <v>0</v>
      </c>
      <c r="Q7" s="190">
        <v>0</v>
      </c>
      <c r="R7" s="191">
        <f t="shared" si="0"/>
        <v>0</v>
      </c>
      <c r="T7" s="192">
        <f t="shared" si="7"/>
        <v>0</v>
      </c>
      <c r="U7" s="176">
        <v>0</v>
      </c>
      <c r="V7" s="195">
        <f t="shared" si="2"/>
        <v>0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3"/>
        <v>0</v>
      </c>
      <c r="AD7" s="192">
        <f t="shared" si="4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Sim_Mul_Bet1!$F$2:$F$100,
      (Sim_Mul_Bet1!$A$2:$A$100=C$2) * (Sim_Mul_Bet1!$C$2:$C$100=$B8),0
   ),
   0
)</f>
        <v>7.3482169999999999E-2</v>
      </c>
      <c r="D8" s="181" cm="1">
        <f t="array" ref="D8">_xlfn.IFNA(
   _xlfn._xlws.FILTER(
      Sim_Mul_Bet1!$F$2:$F$100,
      (Sim_Mul_Bet1!$A$2:$A$100=D$2) * (Sim_Mul_Bet1!$C$2:$C$100=$B8),0
   ),
   0
)</f>
        <v>8.3292809999999995E-2</v>
      </c>
      <c r="E8" s="182" cm="1">
        <f t="array" ref="E8">_xlfn.IFNA(
   _xlfn._xlws.FILTER(
      Sim_Mul_Bet1!$F$2:$F$100,
      (Sim_Mul_Bet1!$A$2:$A$100=E$2) * (Sim_Mul_Bet1!$C$2:$C$100=$B8),0
   ),
   0
)</f>
        <v>0</v>
      </c>
      <c r="F8" s="183" cm="1">
        <f t="array" ref="F8">_xlfn.IFNA(
   _xlfn._xlws.FILTER(
      Sim_Mul_Bet1!$L$2:$L$100,
      (Sim_Mul_Bet1!$A$2:$A$100=F$2) * (Sim_Mul_Bet1!$C$2:$C$100=$B8),0
   ),
   0
)</f>
        <v>5</v>
      </c>
      <c r="G8" s="184" cm="1">
        <f t="array" ref="G8">_xlfn.IFNA(
   _xlfn._xlws.FILTER(
      Sim_Mul_Bet1!$L$2:$L$100,
      (Sim_Mul_Bet1!$A$2:$A$100=G$2) * (Sim_Mul_Bet1!$C$2:$C$100=$B8),0
   ),
   0
)</f>
        <v>5</v>
      </c>
      <c r="H8" s="185" cm="1">
        <f t="array" ref="H8">_xlfn.IFNA(
   _xlfn._xlws.FILTER(
      Sim_Mul_Bet1!$L$2:$L$100,
      (Sim_Mul_Bet1!$A$2:$A$100=H$2) * (Sim_Mul_Bet1!$C$2:$C$100=$B8),0
   ),
   0
)</f>
        <v>0</v>
      </c>
      <c r="J8">
        <v>5</v>
      </c>
      <c r="K8" s="186">
        <v>4</v>
      </c>
      <c r="L8" s="187" t="s">
        <v>93</v>
      </c>
      <c r="M8" s="188">
        <f t="shared" si="1"/>
        <v>8.3292809999999995E-2</v>
      </c>
      <c r="N8" s="189">
        <f t="shared" si="5"/>
        <v>5</v>
      </c>
      <c r="O8" s="190">
        <f t="shared" si="6"/>
        <v>6.4244374695409057E-2</v>
      </c>
      <c r="P8" s="190">
        <v>4.28295831302727E-2</v>
      </c>
      <c r="Q8" s="190">
        <v>4.28295831302727E-2</v>
      </c>
      <c r="R8" s="191">
        <f t="shared" si="0"/>
        <v>0.32122187347704528</v>
      </c>
      <c r="T8" s="192">
        <f t="shared" si="7"/>
        <v>64244</v>
      </c>
      <c r="U8" s="176">
        <v>6.4243999999999996E-2</v>
      </c>
      <c r="V8" s="195">
        <f t="shared" si="2"/>
        <v>0.21414666666666662</v>
      </c>
      <c r="W8" s="194"/>
      <c r="X8" s="217"/>
      <c r="Y8" s="190">
        <f t="shared" si="8"/>
        <v>3.7500000000000006E-2</v>
      </c>
      <c r="Z8" s="190">
        <v>2.5000000000000001E-2</v>
      </c>
      <c r="AA8" s="190">
        <v>4.28295831302727E-2</v>
      </c>
      <c r="AB8" s="276">
        <f t="shared" si="3"/>
        <v>0.18750000000000003</v>
      </c>
      <c r="AD8" s="192">
        <f t="shared" si="4"/>
        <v>37500</v>
      </c>
      <c r="AE8" s="176">
        <v>3.7499999999999999E-2</v>
      </c>
      <c r="AF8" s="278">
        <f t="shared" si="9"/>
        <v>0.125</v>
      </c>
    </row>
    <row r="9" spans="2:32">
      <c r="B9" s="179">
        <v>5</v>
      </c>
      <c r="C9" s="180" cm="1">
        <f t="array" ref="C9">_xlfn.IFNA(
   _xlfn._xlws.FILTER(
      Sim_Mul_Bet1!$F$2:$F$100,
      (Sim_Mul_Bet1!$A$2:$A$100=C$2) * (Sim_Mul_Bet1!$C$2:$C$100=$B9),0
   ),
   0
)</f>
        <v>7.9270000000000002E-4</v>
      </c>
      <c r="D9" s="181" cm="1">
        <f t="array" ref="D9">_xlfn.IFNA(
   _xlfn._xlws.FILTER(
      Sim_Mul_Bet1!$F$2:$F$100,
      (Sim_Mul_Bet1!$A$2:$A$100=D$2) * (Sim_Mul_Bet1!$C$2:$C$100=$B9),0
   ),
   0
)</f>
        <v>2.7786180000000001E-2</v>
      </c>
      <c r="E9" s="182" cm="1">
        <f t="array" ref="E9">_xlfn.IFNA(
   _xlfn._xlws.FILTER(
      Sim_Mul_Bet1!$F$2:$F$100,
      (Sim_Mul_Bet1!$A$2:$A$100=E$2) * (Sim_Mul_Bet1!$C$2:$C$100=$B9),0
   ),
   0
)</f>
        <v>0</v>
      </c>
      <c r="F9" s="183" cm="1">
        <f t="array" ref="F9">_xlfn.IFNA(
   _xlfn._xlws.FILTER(
      Sim_Mul_Bet1!$L$2:$L$100,
      (Sim_Mul_Bet1!$A$2:$A$100=F$2) * (Sim_Mul_Bet1!$C$2:$C$100=$B9),0
   ),
   0
)</f>
        <v>6</v>
      </c>
      <c r="G9" s="184" cm="1">
        <f t="array" ref="G9">_xlfn.IFNA(
   _xlfn._xlws.FILTER(
      Sim_Mul_Bet1!$L$2:$L$100,
      (Sim_Mul_Bet1!$A$2:$A$100=G$2) * (Sim_Mul_Bet1!$C$2:$C$100=$B9),0
   ),
   0
)</f>
        <v>6</v>
      </c>
      <c r="H9" s="185" cm="1">
        <f t="array" ref="H9">_xlfn.IFNA(
   _xlfn._xlws.FILTER(
      Sim_Mul_Bet1!$L$2:$L$100,
      (Sim_Mul_Bet1!$A$2:$A$100=H$2) * (Sim_Mul_Bet1!$C$2:$C$100=$B9),0
   ),
   0
)</f>
        <v>0</v>
      </c>
      <c r="J9">
        <v>6</v>
      </c>
      <c r="K9" s="186">
        <v>5</v>
      </c>
      <c r="L9" s="187" t="s">
        <v>93</v>
      </c>
      <c r="M9" s="188">
        <f t="shared" si="1"/>
        <v>2.7786180000000001E-2</v>
      </c>
      <c r="N9" s="189">
        <f t="shared" si="5"/>
        <v>6</v>
      </c>
      <c r="O9" s="190">
        <f t="shared" si="6"/>
        <v>1.72906624110216E-3</v>
      </c>
      <c r="P9" s="190">
        <v>1.15271082740144E-3</v>
      </c>
      <c r="Q9" s="190">
        <v>1.15271082740144E-3</v>
      </c>
      <c r="R9" s="191">
        <f t="shared" si="0"/>
        <v>1.0374397446612959E-2</v>
      </c>
      <c r="T9" s="192">
        <f t="shared" si="7"/>
        <v>1729</v>
      </c>
      <c r="U9" s="176">
        <v>1.7290000000000001E-3</v>
      </c>
      <c r="V9" s="195">
        <f t="shared" si="2"/>
        <v>6.9160000000000011E-3</v>
      </c>
      <c r="W9" s="194"/>
      <c r="X9" s="217"/>
      <c r="Y9" s="190">
        <f t="shared" si="8"/>
        <v>0</v>
      </c>
      <c r="Z9" s="190">
        <v>0</v>
      </c>
      <c r="AA9" s="190">
        <v>1.15271082740144E-3</v>
      </c>
      <c r="AB9" s="276">
        <f t="shared" si="3"/>
        <v>0</v>
      </c>
      <c r="AD9" s="192">
        <f t="shared" si="4"/>
        <v>0</v>
      </c>
      <c r="AE9" s="176">
        <v>0</v>
      </c>
      <c r="AF9" s="278">
        <f t="shared" si="9"/>
        <v>0</v>
      </c>
    </row>
    <row r="10" spans="2:32">
      <c r="B10" s="179">
        <v>6</v>
      </c>
      <c r="C10" s="180" cm="1">
        <f t="array" ref="C10">_xlfn.IFNA(
   _xlfn._xlws.FILTER(
      Sim_Mul_Bet1!$F$2:$F$100,
      (Sim_Mul_Bet1!$A$2:$A$100=C$2) * (Sim_Mul_Bet1!$C$2:$C$100=$B10),0
   ),
   0
)</f>
        <v>0</v>
      </c>
      <c r="D10" s="181" cm="1">
        <f t="array" ref="D10">_xlfn.IFNA(
   _xlfn._xlws.FILTER(
      Sim_Mul_Bet1!$F$2:$F$100,
      (Sim_Mul_Bet1!$A$2:$A$100=D$2) * (Sim_Mul_Bet1!$C$2:$C$100=$B10),0
   ),
   0
)</f>
        <v>0</v>
      </c>
      <c r="E10" s="182" cm="1">
        <f t="array" ref="E10">_xlfn.IFNA(
   _xlfn._xlws.FILTER(
      Sim_Mul_Bet1!$F$2:$F$100,
      (Sim_Mul_Bet1!$A$2:$A$100=E$2) * (Sim_Mul_Bet1!$C$2:$C$100=$B10),0
   ),
   0
)</f>
        <v>0</v>
      </c>
      <c r="F10" s="183" cm="1">
        <f t="array" ref="F10">_xlfn.IFNA(
   _xlfn._xlws.FILTER(
      Sim_Mul_Bet1!$L$2:$L$100,
      (Sim_Mul_Bet1!$A$2:$A$100=F$2) * (Sim_Mul_Bet1!$C$2:$C$100=$B10),0
   ),
   0
)</f>
        <v>0</v>
      </c>
      <c r="G10" s="184" cm="1">
        <f t="array" ref="G10">_xlfn.IFNA(
   _xlfn._xlws.FILTER(
      Sim_Mul_Bet1!$L$2:$L$100,
      (Sim_Mul_Bet1!$A$2:$A$100=G$2) * (Sim_Mul_Bet1!$C$2:$C$100=$B10),0
   ),
   0
)</f>
        <v>0</v>
      </c>
      <c r="H10" s="185" cm="1">
        <f t="array" ref="H10">_xlfn.IFNA(
   _xlfn._xlws.FILTER(
      Sim_Mul_Bet1!$L$2:$L$100,
      (Sim_Mul_Bet1!$A$2:$A$100=H$2) * (Sim_Mul_Bet1!$C$2:$C$100=$B10),0
   ),
   0
)</f>
        <v>0</v>
      </c>
      <c r="J10">
        <v>7</v>
      </c>
      <c r="K10" s="186">
        <v>6</v>
      </c>
      <c r="L10" s="187" t="s">
        <v>93</v>
      </c>
      <c r="M10" s="188">
        <f t="shared" si="1"/>
        <v>0</v>
      </c>
      <c r="N10" s="189">
        <f t="shared" si="5"/>
        <v>0</v>
      </c>
      <c r="O10" s="190">
        <f t="shared" si="6"/>
        <v>0</v>
      </c>
      <c r="P10" s="190">
        <v>0</v>
      </c>
      <c r="Q10" s="190">
        <v>0</v>
      </c>
      <c r="R10" s="191">
        <f t="shared" si="0"/>
        <v>0</v>
      </c>
      <c r="T10" s="192">
        <f t="shared" si="7"/>
        <v>0</v>
      </c>
      <c r="U10" s="176">
        <v>0</v>
      </c>
      <c r="V10" s="195">
        <f t="shared" si="2"/>
        <v>0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3"/>
        <v>0</v>
      </c>
      <c r="AD10" s="192">
        <f t="shared" si="4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Sim_Mul_Bet1!$F$2:$F$100,
      (Sim_Mul_Bet1!$A$2:$A$100=C$2) * (Sim_Mul_Bet1!$C$2:$C$100=$B11),0
   ),
   0
)</f>
        <v>0</v>
      </c>
      <c r="D11" s="181" cm="1">
        <f t="array" ref="D11">_xlfn.IFNA(
   _xlfn._xlws.FILTER(
      Sim_Mul_Bet1!$F$2:$F$100,
      (Sim_Mul_Bet1!$A$2:$A$100=D$2) * (Sim_Mul_Bet1!$C$2:$C$100=$B11),0
   ),
   0
)</f>
        <v>0</v>
      </c>
      <c r="E11" s="182" cm="1">
        <f t="array" ref="E11">_xlfn.IFNA(
   _xlfn._xlws.FILTER(
      Sim_Mul_Bet1!$F$2:$F$100,
      (Sim_Mul_Bet1!$A$2:$A$100=E$2) * (Sim_Mul_Bet1!$C$2:$C$100=$B11),0
   ),
   0
)</f>
        <v>0</v>
      </c>
      <c r="F11" s="183" cm="1">
        <f t="array" ref="F11">_xlfn.IFNA(
   _xlfn._xlws.FILTER(
      Sim_Mul_Bet1!$L$2:$L$100,
      (Sim_Mul_Bet1!$A$2:$A$100=F$2) * (Sim_Mul_Bet1!$C$2:$C$100=$B11),0
   ),
   0
)</f>
        <v>0</v>
      </c>
      <c r="G11" s="184" cm="1">
        <f t="array" ref="G11">_xlfn.IFNA(
   _xlfn._xlws.FILTER(
      Sim_Mul_Bet1!$L$2:$L$100,
      (Sim_Mul_Bet1!$A$2:$A$100=G$2) * (Sim_Mul_Bet1!$C$2:$C$100=$B11),0
   ),
   0
)</f>
        <v>0</v>
      </c>
      <c r="H11" s="185" cm="1">
        <f t="array" ref="H11">_xlfn.IFNA(
   _xlfn._xlws.FILTER(
      Sim_Mul_Bet1!$L$2:$L$100,
      (Sim_Mul_Bet1!$A$2:$A$100=H$2) * (Sim_Mul_Bet1!$C$2:$C$100=$B11),0
   ),
   0
)</f>
        <v>0</v>
      </c>
      <c r="J11">
        <v>8</v>
      </c>
      <c r="K11" s="186">
        <v>7</v>
      </c>
      <c r="L11" s="187" t="s">
        <v>93</v>
      </c>
      <c r="M11" s="188">
        <f t="shared" si="1"/>
        <v>0</v>
      </c>
      <c r="N11" s="189">
        <f t="shared" si="5"/>
        <v>0</v>
      </c>
      <c r="O11" s="190">
        <f t="shared" si="6"/>
        <v>0</v>
      </c>
      <c r="P11" s="190">
        <v>0</v>
      </c>
      <c r="Q11" s="190">
        <v>0</v>
      </c>
      <c r="R11" s="191">
        <f t="shared" si="0"/>
        <v>0</v>
      </c>
      <c r="T11" s="192">
        <f t="shared" si="7"/>
        <v>0</v>
      </c>
      <c r="U11" s="176">
        <v>0</v>
      </c>
      <c r="V11" s="195">
        <f t="shared" si="2"/>
        <v>0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3"/>
        <v>0</v>
      </c>
      <c r="AD11" s="192">
        <f t="shared" si="4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Sim_Mul_Bet1!$F$2:$F$100,
      (Sim_Mul_Bet1!$A$2:$A$100=C$2) * (Sim_Mul_Bet1!$C$2:$C$100=$B12),0
   ),
   0
)</f>
        <v>0</v>
      </c>
      <c r="D12" s="181" cm="1">
        <f t="array" ref="D12">_xlfn.IFNA(
   _xlfn._xlws.FILTER(
      Sim_Mul_Bet1!$F$2:$F$100,
      (Sim_Mul_Bet1!$A$2:$A$100=D$2) * (Sim_Mul_Bet1!$C$2:$C$100=$B12),0
   ),
   0
)</f>
        <v>0</v>
      </c>
      <c r="E12" s="182" cm="1">
        <f t="array" ref="E12">_xlfn.IFNA(
   _xlfn._xlws.FILTER(
      Sim_Mul_Bet1!$F$2:$F$100,
      (Sim_Mul_Bet1!$A$2:$A$100=E$2) * (Sim_Mul_Bet1!$C$2:$C$100=$B12),0
   ),
   0
)</f>
        <v>0</v>
      </c>
      <c r="F12" s="183" cm="1">
        <f t="array" ref="F12">_xlfn.IFNA(
   _xlfn._xlws.FILTER(
      Sim_Mul_Bet1!$L$2:$L$100,
      (Sim_Mul_Bet1!$A$2:$A$100=F$2) * (Sim_Mul_Bet1!$C$2:$C$100=$B12),0
   ),
   0
)</f>
        <v>0</v>
      </c>
      <c r="G12" s="184" cm="1">
        <f t="array" ref="G12">_xlfn.IFNA(
   _xlfn._xlws.FILTER(
      Sim_Mul_Bet1!$L$2:$L$100,
      (Sim_Mul_Bet1!$A$2:$A$100=G$2) * (Sim_Mul_Bet1!$C$2:$C$100=$B12),0
   ),
   0
)</f>
        <v>0</v>
      </c>
      <c r="H12" s="185" cm="1">
        <f t="array" ref="H12">_xlfn.IFNA(
   _xlfn._xlws.FILTER(
      Sim_Mul_Bet1!$L$2:$L$100,
      (Sim_Mul_Bet1!$A$2:$A$100=H$2) * (Sim_Mul_Bet1!$C$2:$C$100=$B12),0
   ),
   0
)</f>
        <v>0</v>
      </c>
      <c r="J12">
        <v>9</v>
      </c>
      <c r="K12" s="186">
        <v>8</v>
      </c>
      <c r="L12" s="187" t="s">
        <v>93</v>
      </c>
      <c r="M12" s="188">
        <f t="shared" si="1"/>
        <v>0</v>
      </c>
      <c r="N12" s="189">
        <f t="shared" si="5"/>
        <v>0</v>
      </c>
      <c r="O12" s="190">
        <f t="shared" si="6"/>
        <v>0</v>
      </c>
      <c r="P12" s="190">
        <v>0</v>
      </c>
      <c r="Q12" s="190">
        <v>0</v>
      </c>
      <c r="R12" s="191">
        <f t="shared" si="0"/>
        <v>0</v>
      </c>
      <c r="T12" s="192">
        <f t="shared" si="7"/>
        <v>0</v>
      </c>
      <c r="U12" s="176">
        <v>0</v>
      </c>
      <c r="V12" s="195">
        <f t="shared" si="2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3"/>
        <v>0</v>
      </c>
      <c r="AD12" s="192">
        <f t="shared" si="4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Sim_Mul_Bet1!$F$2:$F$100,
      (Sim_Mul_Bet1!$A$2:$A$100=C$2) * (Sim_Mul_Bet1!$C$2:$C$100=$B13),0
   ),
   0
)</f>
        <v>5.2606010000000002E-2</v>
      </c>
      <c r="D13" s="181" cm="1">
        <f t="array" ref="D13">_xlfn.IFNA(
   _xlfn._xlws.FILTER(
      Sim_Mul_Bet1!$F$2:$F$100,
      (Sim_Mul_Bet1!$A$2:$A$100=D$2) * (Sim_Mul_Bet1!$C$2:$C$100=$B13),0
   ),
   0
)</f>
        <v>8.7999729999999998E-2</v>
      </c>
      <c r="E13" s="182" cm="1">
        <f t="array" ref="E13">_xlfn.IFNA(
   _xlfn._xlws.FILTER(
      Sim_Mul_Bet1!$F$2:$F$100,
      (Sim_Mul_Bet1!$A$2:$A$100=E$2) * (Sim_Mul_Bet1!$C$2:$C$100=$B13),0
   ),
   0
)</f>
        <v>0</v>
      </c>
      <c r="F13" s="183" cm="1">
        <f t="array" ref="F13">_xlfn.IFNA(
   _xlfn._xlws.FILTER(
      Sim_Mul_Bet1!$L$2:$L$100,
      (Sim_Mul_Bet1!$A$2:$A$100=F$2) * (Sim_Mul_Bet1!$C$2:$C$100=$B13),0
   ),
   0
)</f>
        <v>10</v>
      </c>
      <c r="G13" s="184" cm="1">
        <f t="array" ref="G13">_xlfn.IFNA(
   _xlfn._xlws.FILTER(
      Sim_Mul_Bet1!$L$2:$L$100,
      (Sim_Mul_Bet1!$A$2:$A$100=G$2) * (Sim_Mul_Bet1!$C$2:$C$100=$B13),0
   ),
   0
)</f>
        <v>10</v>
      </c>
      <c r="H13" s="185" cm="1">
        <f t="array" ref="H13">_xlfn.IFNA(
   _xlfn._xlws.FILTER(
      Sim_Mul_Bet1!$L$2:$L$100,
      (Sim_Mul_Bet1!$A$2:$A$100=H$2) * (Sim_Mul_Bet1!$C$2:$C$100=$B13),0
   ),
   0
)</f>
        <v>0</v>
      </c>
      <c r="J13">
        <v>10</v>
      </c>
      <c r="K13" s="186">
        <v>9</v>
      </c>
      <c r="L13" s="187" t="s">
        <v>93</v>
      </c>
      <c r="M13" s="188">
        <f t="shared" si="1"/>
        <v>8.7999729999999998E-2</v>
      </c>
      <c r="N13" s="189">
        <f t="shared" si="5"/>
        <v>10</v>
      </c>
      <c r="O13" s="190">
        <f t="shared" si="6"/>
        <v>1.4005500000000001E-2</v>
      </c>
      <c r="P13" s="190">
        <v>9.3369999999999998E-3</v>
      </c>
      <c r="Q13" s="190">
        <v>8.4216489109639296E-3</v>
      </c>
      <c r="R13" s="191">
        <f t="shared" si="0"/>
        <v>0.14005500000000001</v>
      </c>
      <c r="T13" s="192">
        <f t="shared" si="7"/>
        <v>14006</v>
      </c>
      <c r="U13" s="176">
        <v>1.4005999999999999E-2</v>
      </c>
      <c r="V13" s="195">
        <f t="shared" si="2"/>
        <v>9.3373333333333322E-2</v>
      </c>
      <c r="W13" s="194"/>
      <c r="X13" s="217"/>
      <c r="Y13" s="190">
        <f t="shared" si="8"/>
        <v>0.03</v>
      </c>
      <c r="Z13" s="190">
        <v>0.02</v>
      </c>
      <c r="AA13" s="190">
        <v>8.4216489109639296E-3</v>
      </c>
      <c r="AB13" s="276">
        <f t="shared" si="3"/>
        <v>0.3</v>
      </c>
      <c r="AD13" s="192">
        <f t="shared" si="4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Sim_Mul_Bet1!$F$2:$F$100,
      (Sim_Mul_Bet1!$A$2:$A$100=C$2) * (Sim_Mul_Bet1!$C$2:$C$100=$B14),0
   ),
   0
)</f>
        <v>3.4448500000000002E-3</v>
      </c>
      <c r="D14" s="181" cm="1">
        <f t="array" ref="D14">_xlfn.IFNA(
   _xlfn._xlws.FILTER(
      Sim_Mul_Bet1!$F$2:$F$100,
      (Sim_Mul_Bet1!$A$2:$A$100=D$2) * (Sim_Mul_Bet1!$C$2:$C$100=$B14),0
   ),
   0
)</f>
        <v>5.0919279999999997E-2</v>
      </c>
      <c r="E14" s="182" cm="1">
        <f t="array" ref="E14">_xlfn.IFNA(
   _xlfn._xlws.FILTER(
      Sim_Mul_Bet1!$F$2:$F$100,
      (Sim_Mul_Bet1!$A$2:$A$100=E$2) * (Sim_Mul_Bet1!$C$2:$C$100=$B14),0
   ),
   0
)</f>
        <v>0</v>
      </c>
      <c r="F14" s="183" cm="1">
        <f t="array" ref="F14">_xlfn.IFNA(
   _xlfn._xlws.FILTER(
      Sim_Mul_Bet1!$L$2:$L$100,
      (Sim_Mul_Bet1!$A$2:$A$100=F$2) * (Sim_Mul_Bet1!$C$2:$C$100=$B14),0
   ),
   0
)</f>
        <v>12.12747724864653</v>
      </c>
      <c r="G14" s="184" cm="1">
        <f t="array" ref="G14">_xlfn.IFNA(
   _xlfn._xlws.FILTER(
      Sim_Mul_Bet1!$L$2:$L$100,
      (Sim_Mul_Bet1!$A$2:$A$100=G$2) * (Sim_Mul_Bet1!$C$2:$C$100=$B14),0
   ),
   0
)</f>
        <v>12.909499898663139</v>
      </c>
      <c r="H14" s="185" cm="1">
        <f t="array" ref="H14">_xlfn.IFNA(
   _xlfn._xlws.FILTER(
      Sim_Mul_Bet1!$L$2:$L$100,
      (Sim_Mul_Bet1!$A$2:$A$100=H$2) * (Sim_Mul_Bet1!$C$2:$C$100=$B14),0
   ),
   0
)</f>
        <v>0</v>
      </c>
      <c r="J14">
        <v>11</v>
      </c>
      <c r="K14" s="186">
        <v>10</v>
      </c>
      <c r="L14" s="187" t="s">
        <v>93</v>
      </c>
      <c r="M14" s="188">
        <f t="shared" si="1"/>
        <v>5.0919279999999997E-2</v>
      </c>
      <c r="N14" s="189">
        <f t="shared" si="5"/>
        <v>12.909499898663139</v>
      </c>
      <c r="O14" s="190">
        <f t="shared" si="6"/>
        <v>7.4999999999999997E-3</v>
      </c>
      <c r="P14" s="190">
        <v>5.0000000000000001E-3</v>
      </c>
      <c r="Q14" s="190">
        <v>6.17935490278763E-3</v>
      </c>
      <c r="R14" s="191">
        <f t="shared" si="0"/>
        <v>9.6821249239973539E-2</v>
      </c>
      <c r="T14" s="192">
        <f t="shared" si="7"/>
        <v>7500</v>
      </c>
      <c r="U14" s="176">
        <v>7.4999999999999997E-3</v>
      </c>
      <c r="V14" s="195">
        <f t="shared" si="2"/>
        <v>6.4547499493315688E-2</v>
      </c>
      <c r="W14" s="194"/>
      <c r="X14" s="217"/>
      <c r="Y14" s="190">
        <f t="shared" si="8"/>
        <v>1.5E-3</v>
      </c>
      <c r="Z14" s="190">
        <v>1E-3</v>
      </c>
      <c r="AA14" s="190">
        <v>6.17935490278763E-3</v>
      </c>
      <c r="AB14" s="276">
        <f t="shared" si="3"/>
        <v>1.9364249847994709E-2</v>
      </c>
      <c r="AD14" s="192">
        <f t="shared" si="4"/>
        <v>1500</v>
      </c>
      <c r="AE14" s="176">
        <v>1.5E-3</v>
      </c>
      <c r="AF14" s="278">
        <f t="shared" si="9"/>
        <v>1.290949989866314E-2</v>
      </c>
    </row>
    <row r="15" spans="2:32">
      <c r="B15" s="179">
        <v>15</v>
      </c>
      <c r="C15" s="180" cm="1">
        <f t="array" ref="C15">_xlfn.IFNA(
   _xlfn._xlws.FILTER(
      Sim_Mul_Bet1!$F$2:$F$100,
      (Sim_Mul_Bet1!$A$2:$A$100=C$2) * (Sim_Mul_Bet1!$C$2:$C$100=$B15),0
   ),
   0
)</f>
        <v>3.3634200000000002E-3</v>
      </c>
      <c r="D15" s="181" cm="1">
        <f t="array" ref="D15">_xlfn.IFNA(
   _xlfn._xlws.FILTER(
      Sim_Mul_Bet1!$F$2:$F$100,
      (Sim_Mul_Bet1!$A$2:$A$100=D$2) * (Sim_Mul_Bet1!$C$2:$C$100=$B15),0
   ),
   0
)</f>
        <v>5.7086530000000003E-2</v>
      </c>
      <c r="E15" s="182" cm="1">
        <f t="array" ref="E15">_xlfn.IFNA(
   _xlfn._xlws.FILTER(
      Sim_Mul_Bet1!$F$2:$F$100,
      (Sim_Mul_Bet1!$A$2:$A$100=E$2) * (Sim_Mul_Bet1!$C$2:$C$100=$B15),0
   ),
   0
)</f>
        <v>0</v>
      </c>
      <c r="F15" s="183" cm="1">
        <f t="array" ref="F15">_xlfn.IFNA(
   _xlfn._xlws.FILTER(
      Sim_Mul_Bet1!$L$2:$L$100,
      (Sim_Mul_Bet1!$A$2:$A$100=F$2) * (Sim_Mul_Bet1!$C$2:$C$100=$B15),0
   ),
   0
)</f>
        <v>19.96347765072456</v>
      </c>
      <c r="G15" s="184" cm="1">
        <f t="array" ref="G15">_xlfn.IFNA(
   _xlfn._xlws.FILTER(
      Sim_Mul_Bet1!$L$2:$L$100,
      (Sim_Mul_Bet1!$A$2:$A$100=G$2) * (Sim_Mul_Bet1!$C$2:$C$100=$B15),0
   ),
   0
)</f>
        <v>19.351528285218947</v>
      </c>
      <c r="H15" s="185" cm="1">
        <f t="array" ref="H15">_xlfn.IFNA(
   _xlfn._xlws.FILTER(
      Sim_Mul_Bet1!$L$2:$L$100,
      (Sim_Mul_Bet1!$A$2:$A$100=H$2) * (Sim_Mul_Bet1!$C$2:$C$100=$B15),0
   ),
   0
)</f>
        <v>0</v>
      </c>
      <c r="J15">
        <v>12</v>
      </c>
      <c r="K15" s="186">
        <v>15</v>
      </c>
      <c r="L15" s="187" t="s">
        <v>93</v>
      </c>
      <c r="M15" s="188">
        <f t="shared" si="1"/>
        <v>5.7086530000000003E-2</v>
      </c>
      <c r="N15" s="189">
        <f t="shared" si="5"/>
        <v>19.351528285218947</v>
      </c>
      <c r="O15" s="190">
        <f t="shared" si="6"/>
        <v>7.4999999999999997E-3</v>
      </c>
      <c r="P15" s="190">
        <v>5.0000000000000001E-3</v>
      </c>
      <c r="Q15" s="190">
        <v>5.9882885589978398E-3</v>
      </c>
      <c r="R15" s="191">
        <f t="shared" si="0"/>
        <v>0.14513646213914211</v>
      </c>
      <c r="T15" s="192">
        <f t="shared" si="7"/>
        <v>7500</v>
      </c>
      <c r="U15" s="176">
        <v>7.4999999999999997E-3</v>
      </c>
      <c r="V15" s="195">
        <f t="shared" si="2"/>
        <v>9.6757641426094734E-2</v>
      </c>
      <c r="W15" s="194"/>
      <c r="X15" s="217"/>
      <c r="Y15" s="190">
        <f t="shared" si="8"/>
        <v>1.8000000000000002E-2</v>
      </c>
      <c r="Z15" s="190">
        <v>1.2E-2</v>
      </c>
      <c r="AA15" s="190">
        <v>5.9882885589978398E-3</v>
      </c>
      <c r="AB15" s="276">
        <f t="shared" si="3"/>
        <v>0.34832750913394112</v>
      </c>
      <c r="AD15" s="192">
        <f t="shared" si="4"/>
        <v>18000</v>
      </c>
      <c r="AE15" s="176">
        <v>1.7999999999999999E-2</v>
      </c>
      <c r="AF15" s="278">
        <f t="shared" si="9"/>
        <v>0.23221833942262735</v>
      </c>
    </row>
    <row r="16" spans="2:32">
      <c r="B16" s="179">
        <v>20</v>
      </c>
      <c r="C16" s="180" cm="1">
        <f t="array" ref="C16">_xlfn.IFNA(
   _xlfn._xlws.FILTER(
      Sim_Mul_Bet1!$F$2:$F$100,
      (Sim_Mul_Bet1!$A$2:$A$100=C$2) * (Sim_Mul_Bet1!$C$2:$C$100=$B16),0
   ),
   0
)</f>
        <v>4.3267100000000001E-3</v>
      </c>
      <c r="D16" s="181" cm="1">
        <f t="array" ref="D16">_xlfn.IFNA(
   _xlfn._xlws.FILTER(
      Sim_Mul_Bet1!$F$2:$F$100,
      (Sim_Mul_Bet1!$A$2:$A$100=D$2) * (Sim_Mul_Bet1!$C$2:$C$100=$B16),0
   ),
   0
)</f>
        <v>7.1394819999999998E-2</v>
      </c>
      <c r="E16" s="182" cm="1">
        <f t="array" ref="E16">_xlfn.IFNA(
   _xlfn._xlws.FILTER(
      Sim_Mul_Bet1!$F$2:$F$100,
      (Sim_Mul_Bet1!$A$2:$A$100=E$2) * (Sim_Mul_Bet1!$C$2:$C$100=$B16),0
   ),
   0
)</f>
        <v>0</v>
      </c>
      <c r="F16" s="183" cm="1">
        <f t="array" ref="F16">_xlfn.IFNA(
   _xlfn._xlws.FILTER(
      Sim_Mul_Bet1!$L$2:$L$100,
      (Sim_Mul_Bet1!$A$2:$A$100=F$2) * (Sim_Mul_Bet1!$C$2:$C$100=$B16),0
   ),
   0
)</f>
        <v>24.660046548070014</v>
      </c>
      <c r="G16" s="184" cm="1">
        <f t="array" ref="G16">_xlfn.IFNA(
   _xlfn._xlws.FILTER(
      Sim_Mul_Bet1!$L$2:$L$100,
      (Sim_Mul_Bet1!$A$2:$A$100=G$2) * (Sim_Mul_Bet1!$C$2:$C$100=$B16),0
   ),
   0
)</f>
        <v>24.422288339686268</v>
      </c>
      <c r="H16" s="185" cm="1">
        <f t="array" ref="H16">_xlfn.IFNA(
   _xlfn._xlws.FILTER(
      Sim_Mul_Bet1!$L$2:$L$100,
      (Sim_Mul_Bet1!$A$2:$A$100=H$2) * (Sim_Mul_Bet1!$C$2:$C$100=$B16),0
   ),
   0
)</f>
        <v>0</v>
      </c>
      <c r="J16">
        <v>13</v>
      </c>
      <c r="K16" s="186">
        <v>20</v>
      </c>
      <c r="L16" s="187" t="s">
        <v>93</v>
      </c>
      <c r="M16" s="188">
        <f t="shared" si="1"/>
        <v>7.1394819999999998E-2</v>
      </c>
      <c r="N16" s="189">
        <f t="shared" si="5"/>
        <v>24.422288339686268</v>
      </c>
      <c r="O16" s="190">
        <f t="shared" si="6"/>
        <v>5.0999999999999995E-3</v>
      </c>
      <c r="P16" s="190">
        <v>3.3999999999999998E-3</v>
      </c>
      <c r="Q16" s="190">
        <v>3.4206767452058802E-3</v>
      </c>
      <c r="R16" s="191">
        <f t="shared" si="0"/>
        <v>0.12455367053239996</v>
      </c>
      <c r="T16" s="192">
        <f t="shared" si="7"/>
        <v>5100</v>
      </c>
      <c r="U16" s="176">
        <v>5.1000000000000004E-3</v>
      </c>
      <c r="V16" s="195">
        <f t="shared" si="2"/>
        <v>8.3035780354933322E-2</v>
      </c>
      <c r="W16" s="194"/>
      <c r="X16" s="217"/>
      <c r="Y16" s="190">
        <f t="shared" si="8"/>
        <v>1.5000000000000001E-4</v>
      </c>
      <c r="Z16" s="190">
        <v>1E-4</v>
      </c>
      <c r="AA16" s="190">
        <v>3.4206767452058802E-3</v>
      </c>
      <c r="AB16" s="276">
        <f t="shared" si="3"/>
        <v>3.6633432509529406E-3</v>
      </c>
      <c r="AD16" s="192">
        <f t="shared" si="4"/>
        <v>150</v>
      </c>
      <c r="AE16" s="176">
        <v>1.4999999999999999E-4</v>
      </c>
      <c r="AF16" s="278">
        <f t="shared" si="9"/>
        <v>2.4422288339686266E-3</v>
      </c>
    </row>
    <row r="17" spans="2:32">
      <c r="B17" s="179">
        <v>25</v>
      </c>
      <c r="C17" s="180" cm="1">
        <f t="array" ref="C17">_xlfn.IFNA(
   _xlfn._xlws.FILTER(
      Sim_Mul_Bet1!$F$2:$F$100,
      (Sim_Mul_Bet1!$A$2:$A$100=C$2) * (Sim_Mul_Bet1!$C$2:$C$100=$B17),0
   ),
   0
)</f>
        <v>2.1366000000000001E-4</v>
      </c>
      <c r="D17" s="181" cm="1">
        <f t="array" ref="D17">_xlfn.IFNA(
   _xlfn._xlws.FILTER(
      Sim_Mul_Bet1!$F$2:$F$100,
      (Sim_Mul_Bet1!$A$2:$A$100=D$2) * (Sim_Mul_Bet1!$C$2:$C$100=$B17),0
   ),
   0
)</f>
        <v>1.0419650000000001E-2</v>
      </c>
      <c r="E17" s="182" cm="1">
        <f t="array" ref="E17">_xlfn.IFNA(
   _xlfn._xlws.FILTER(
      Sim_Mul_Bet1!$F$2:$F$100,
      (Sim_Mul_Bet1!$A$2:$A$100=E$2) * (Sim_Mul_Bet1!$C$2:$C$100=$B17),0
   ),
   0
)</f>
        <v>0</v>
      </c>
      <c r="F17" s="183" cm="1">
        <f t="array" ref="F17">_xlfn.IFNA(
   _xlfn._xlws.FILTER(
      Sim_Mul_Bet1!$L$2:$L$100,
      (Sim_Mul_Bet1!$A$2:$A$100=F$2) * (Sim_Mul_Bet1!$C$2:$C$100=$B17),0
   ),
   0
)</f>
        <v>29.994945240101096</v>
      </c>
      <c r="G17" s="184" cm="1">
        <f t="array" ref="G17">_xlfn.IFNA(
   _xlfn._xlws.FILTER(
      Sim_Mul_Bet1!$L$2:$L$100,
      (Sim_Mul_Bet1!$A$2:$A$100=G$2) * (Sim_Mul_Bet1!$C$2:$C$100=$B17),0
   ),
   0
)</f>
        <v>29.70070779728686</v>
      </c>
      <c r="H17" s="185" cm="1">
        <f t="array" ref="H17">_xlfn.IFNA(
   _xlfn._xlws.FILTER(
      Sim_Mul_Bet1!$L$2:$L$100,
      (Sim_Mul_Bet1!$A$2:$A$100=H$2) * (Sim_Mul_Bet1!$C$2:$C$100=$B17),0
   ),
   0
)</f>
        <v>0</v>
      </c>
      <c r="J17">
        <v>14</v>
      </c>
      <c r="K17" s="186">
        <v>25</v>
      </c>
      <c r="L17" s="187" t="s">
        <v>93</v>
      </c>
      <c r="M17" s="188">
        <f t="shared" si="1"/>
        <v>1.0419650000000001E-2</v>
      </c>
      <c r="N17" s="189">
        <f t="shared" si="5"/>
        <v>29.70070779728686</v>
      </c>
      <c r="O17" s="190">
        <f t="shared" si="6"/>
        <v>1.6949999999999999E-3</v>
      </c>
      <c r="P17" s="190">
        <v>1.1299999999999999E-3</v>
      </c>
      <c r="Q17" s="190">
        <v>1.2856997362947801E-3</v>
      </c>
      <c r="R17" s="191">
        <f t="shared" si="0"/>
        <v>5.0342699716401228E-2</v>
      </c>
      <c r="T17" s="192">
        <f t="shared" si="7"/>
        <v>1695</v>
      </c>
      <c r="U17" s="176">
        <v>1.6949999999999999E-3</v>
      </c>
      <c r="V17" s="195">
        <f t="shared" si="2"/>
        <v>3.3561799810934149E-2</v>
      </c>
      <c r="W17" s="194"/>
      <c r="X17" s="217"/>
      <c r="Y17" s="190">
        <f t="shared" si="8"/>
        <v>1.5000000000000001E-4</v>
      </c>
      <c r="Z17" s="190">
        <v>1E-4</v>
      </c>
      <c r="AA17" s="190">
        <v>1.2856997362947801E-3</v>
      </c>
      <c r="AB17" s="276">
        <f t="shared" si="3"/>
        <v>4.4551061695930292E-3</v>
      </c>
      <c r="AD17" s="192">
        <f t="shared" si="4"/>
        <v>150</v>
      </c>
      <c r="AE17" s="176">
        <v>1.4999999999999999E-4</v>
      </c>
      <c r="AF17" s="278">
        <f t="shared" si="9"/>
        <v>2.9700707797286857E-3</v>
      </c>
    </row>
    <row r="18" spans="2:32">
      <c r="B18" s="179">
        <v>30</v>
      </c>
      <c r="C18" s="180" cm="1">
        <f t="array" ref="C18">_xlfn.IFNA(
   _xlfn._xlws.FILTER(
      Sim_Mul_Bet1!$F$2:$F$100,
      (Sim_Mul_Bet1!$A$2:$A$100=C$2) * (Sim_Mul_Bet1!$C$2:$C$100=$B18),0
   ),
   0
)</f>
        <v>0</v>
      </c>
      <c r="D18" s="181" cm="1">
        <f t="array" ref="D18">_xlfn.IFNA(
   _xlfn._xlws.FILTER(
      Sim_Mul_Bet1!$F$2:$F$100,
      (Sim_Mul_Bet1!$A$2:$A$100=D$2) * (Sim_Mul_Bet1!$C$2:$C$100=$B18),0
   ),
   0
)</f>
        <v>0</v>
      </c>
      <c r="E18" s="182" cm="1">
        <f t="array" ref="E18">_xlfn.IFNA(
   _xlfn._xlws.FILTER(
      Sim_Mul_Bet1!$F$2:$F$100,
      (Sim_Mul_Bet1!$A$2:$A$100=E$2) * (Sim_Mul_Bet1!$C$2:$C$100=$B18),0
   ),
   0
)</f>
        <v>0</v>
      </c>
      <c r="F18" s="183" cm="1">
        <f t="array" ref="F18">_xlfn.IFNA(
   _xlfn._xlws.FILTER(
      Sim_Mul_Bet1!$L$2:$L$100,
      (Sim_Mul_Bet1!$A$2:$A$100=F$2) * (Sim_Mul_Bet1!$C$2:$C$100=$B18),0
   ),
   0
)</f>
        <v>0</v>
      </c>
      <c r="G18" s="184" cm="1">
        <f t="array" ref="G18">_xlfn.IFNA(
   _xlfn._xlws.FILTER(
      Sim_Mul_Bet1!$L$2:$L$100,
      (Sim_Mul_Bet1!$A$2:$A$100=G$2) * (Sim_Mul_Bet1!$C$2:$C$100=$B18),0
   ),
   0
)</f>
        <v>0</v>
      </c>
      <c r="H18" s="185" cm="1">
        <f t="array" ref="H18">_xlfn.IFNA(
   _xlfn._xlws.FILTER(
      Sim_Mul_Bet1!$L$2:$L$100,
      (Sim_Mul_Bet1!$A$2:$A$100=H$2) * (Sim_Mul_Bet1!$C$2:$C$100=$B18),0
   ),
   0
)</f>
        <v>0</v>
      </c>
      <c r="J18">
        <v>15</v>
      </c>
      <c r="K18" s="186">
        <v>30</v>
      </c>
      <c r="L18" s="187" t="s">
        <v>93</v>
      </c>
      <c r="M18" s="188">
        <f t="shared" si="1"/>
        <v>0</v>
      </c>
      <c r="N18" s="189">
        <f t="shared" si="5"/>
        <v>0</v>
      </c>
      <c r="O18" s="190">
        <f t="shared" si="6"/>
        <v>0</v>
      </c>
      <c r="P18" s="190">
        <v>0</v>
      </c>
      <c r="Q18" s="190">
        <v>0</v>
      </c>
      <c r="R18" s="191">
        <f t="shared" si="0"/>
        <v>0</v>
      </c>
      <c r="T18" s="192">
        <f t="shared" si="7"/>
        <v>0</v>
      </c>
      <c r="U18" s="176">
        <v>0</v>
      </c>
      <c r="V18" s="195">
        <f t="shared" si="2"/>
        <v>0</v>
      </c>
      <c r="W18" s="194"/>
      <c r="X18" s="217"/>
      <c r="Y18" s="190">
        <f t="shared" si="8"/>
        <v>0</v>
      </c>
      <c r="Z18" s="190">
        <v>0</v>
      </c>
      <c r="AA18" s="190">
        <v>0</v>
      </c>
      <c r="AB18" s="276">
        <f t="shared" si="3"/>
        <v>0</v>
      </c>
      <c r="AD18" s="192">
        <f t="shared" si="4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Sim_Mul_Bet1!$F$2:$F$100,
      (Sim_Mul_Bet1!$A$2:$A$100=C$2) * (Sim_Mul_Bet1!$C$2:$C$100=$B19),0
   ),
   0
)</f>
        <v>0</v>
      </c>
      <c r="D19" s="181" cm="1">
        <f t="array" ref="D19">_xlfn.IFNA(
   _xlfn._xlws.FILTER(
      Sim_Mul_Bet1!$F$2:$F$100,
      (Sim_Mul_Bet1!$A$2:$A$100=D$2) * (Sim_Mul_Bet1!$C$2:$C$100=$B19),0
   ),
   0
)</f>
        <v>0</v>
      </c>
      <c r="E19" s="182" cm="1">
        <f t="array" ref="E19">_xlfn.IFNA(
   _xlfn._xlws.FILTER(
      Sim_Mul_Bet1!$F$2:$F$100,
      (Sim_Mul_Bet1!$A$2:$A$100=E$2) * (Sim_Mul_Bet1!$C$2:$C$100=$B19),0
   ),
   0
)</f>
        <v>0</v>
      </c>
      <c r="F19" s="183" cm="1">
        <f t="array" ref="F19">_xlfn.IFNA(
   _xlfn._xlws.FILTER(
      Sim_Mul_Bet1!$L$2:$L$100,
      (Sim_Mul_Bet1!$A$2:$A$100=F$2) * (Sim_Mul_Bet1!$C$2:$C$100=$B19),0
   ),
   0
)</f>
        <v>0</v>
      </c>
      <c r="G19" s="184" cm="1">
        <f t="array" ref="G19">_xlfn.IFNA(
   _xlfn._xlws.FILTER(
      Sim_Mul_Bet1!$L$2:$L$100,
      (Sim_Mul_Bet1!$A$2:$A$100=G$2) * (Sim_Mul_Bet1!$C$2:$C$100=$B19),0
   ),
   0
)</f>
        <v>0</v>
      </c>
      <c r="H19" s="185" cm="1">
        <f t="array" ref="H19">_xlfn.IFNA(
   _xlfn._xlws.FILTER(
      Sim_Mul_Bet1!$L$2:$L$100,
      (Sim_Mul_Bet1!$A$2:$A$100=H$2) * (Sim_Mul_Bet1!$C$2:$C$100=$B19),0
   ),
   0
)</f>
        <v>0</v>
      </c>
      <c r="J19">
        <v>16</v>
      </c>
      <c r="K19" s="186">
        <v>35</v>
      </c>
      <c r="L19" s="187" t="s">
        <v>93</v>
      </c>
      <c r="M19" s="188">
        <f t="shared" si="1"/>
        <v>0</v>
      </c>
      <c r="N19" s="189">
        <f t="shared" si="5"/>
        <v>0</v>
      </c>
      <c r="O19" s="190">
        <f t="shared" si="6"/>
        <v>0</v>
      </c>
      <c r="P19" s="190">
        <v>0</v>
      </c>
      <c r="Q19" s="190">
        <v>0</v>
      </c>
      <c r="R19" s="191">
        <f t="shared" si="0"/>
        <v>0</v>
      </c>
      <c r="T19" s="192">
        <f t="shared" si="7"/>
        <v>0</v>
      </c>
      <c r="U19" s="176">
        <v>0</v>
      </c>
      <c r="V19" s="195">
        <f t="shared" si="2"/>
        <v>0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3"/>
        <v>0</v>
      </c>
      <c r="AD19" s="192">
        <f t="shared" si="4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Sim_Mul_Bet1!$F$2:$F$100,
      (Sim_Mul_Bet1!$A$2:$A$100=C$2) * (Sim_Mul_Bet1!$C$2:$C$100=$B20),0
   ),
   0
)</f>
        <v>0</v>
      </c>
      <c r="D20" s="181" cm="1">
        <f t="array" ref="D20">_xlfn.IFNA(
   _xlfn._xlws.FILTER(
      Sim_Mul_Bet1!$F$2:$F$100,
      (Sim_Mul_Bet1!$A$2:$A$100=D$2) * (Sim_Mul_Bet1!$C$2:$C$100=$B20),0
   ),
   0
)</f>
        <v>0</v>
      </c>
      <c r="E20" s="182" cm="1">
        <f t="array" ref="E20">_xlfn.IFNA(
   _xlfn._xlws.FILTER(
      Sim_Mul_Bet1!$F$2:$F$100,
      (Sim_Mul_Bet1!$A$2:$A$100=E$2) * (Sim_Mul_Bet1!$C$2:$C$100=$B20),0
   ),
   0
)</f>
        <v>0</v>
      </c>
      <c r="F20" s="183" cm="1">
        <f t="array" ref="F20">_xlfn.IFNA(
   _xlfn._xlws.FILTER(
      Sim_Mul_Bet1!$L$2:$L$100,
      (Sim_Mul_Bet1!$A$2:$A$100=F$2) * (Sim_Mul_Bet1!$C$2:$C$100=$B20),0
   ),
   0
)</f>
        <v>0</v>
      </c>
      <c r="G20" s="184" cm="1">
        <f t="array" ref="G20">_xlfn.IFNA(
   _xlfn._xlws.FILTER(
      Sim_Mul_Bet1!$L$2:$L$100,
      (Sim_Mul_Bet1!$A$2:$A$100=G$2) * (Sim_Mul_Bet1!$C$2:$C$100=$B20),0
   ),
   0
)</f>
        <v>0</v>
      </c>
      <c r="H20" s="185" cm="1">
        <f t="array" ref="H20">_xlfn.IFNA(
   _xlfn._xlws.FILTER(
      Sim_Mul_Bet1!$L$2:$L$100,
      (Sim_Mul_Bet1!$A$2:$A$100=H$2) * (Sim_Mul_Bet1!$C$2:$C$100=$B20),0
   ),
   0
)</f>
        <v>0</v>
      </c>
      <c r="J20">
        <v>17</v>
      </c>
      <c r="K20" s="186">
        <v>40</v>
      </c>
      <c r="L20" s="187" t="s">
        <v>93</v>
      </c>
      <c r="M20" s="188">
        <f t="shared" si="1"/>
        <v>0</v>
      </c>
      <c r="N20" s="189">
        <f t="shared" si="5"/>
        <v>0</v>
      </c>
      <c r="O20" s="190">
        <f t="shared" si="6"/>
        <v>0</v>
      </c>
      <c r="P20" s="190">
        <v>0</v>
      </c>
      <c r="Q20" s="190">
        <v>0</v>
      </c>
      <c r="R20" s="191">
        <f t="shared" si="0"/>
        <v>0</v>
      </c>
      <c r="T20" s="192">
        <f t="shared" si="7"/>
        <v>0</v>
      </c>
      <c r="U20" s="176">
        <v>0</v>
      </c>
      <c r="V20" s="195">
        <f t="shared" si="2"/>
        <v>0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3"/>
        <v>0</v>
      </c>
      <c r="AD20" s="192">
        <f t="shared" si="4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Sim_Mul_Bet1!$F$2:$F$100,
      (Sim_Mul_Bet1!$A$2:$A$100=C$2) * (Sim_Mul_Bet1!$C$2:$C$100=$B21),0
   ),
   0
)</f>
        <v>1.74124E-3</v>
      </c>
      <c r="D21" s="181" cm="1">
        <f t="array" ref="D21">_xlfn.IFNA(
   _xlfn._xlws.FILTER(
      Sim_Mul_Bet1!$F$2:$F$100,
      (Sim_Mul_Bet1!$A$2:$A$100=D$2) * (Sim_Mul_Bet1!$C$2:$C$100=$B21),0
   ),
   0
)</f>
        <v>4.1692750000000001E-2</v>
      </c>
      <c r="E21" s="182" cm="1">
        <f t="array" ref="E21">_xlfn.IFNA(
   _xlfn._xlws.FILTER(
      Sim_Mul_Bet1!$F$2:$F$100,
      (Sim_Mul_Bet1!$A$2:$A$100=E$2) * (Sim_Mul_Bet1!$C$2:$C$100=$B21),0
   ),
   0
)</f>
        <v>0</v>
      </c>
      <c r="F21" s="183" cm="1">
        <f t="array" ref="F21">_xlfn.IFNA(
   _xlfn._xlws.FILTER(
      Sim_Mul_Bet1!$L$2:$L$100,
      (Sim_Mul_Bet1!$A$2:$A$100=F$2) * (Sim_Mul_Bet1!$C$2:$C$100=$B21),0
   ),
   0
)</f>
        <v>50</v>
      </c>
      <c r="G21" s="184" cm="1">
        <f t="array" ref="G21">_xlfn.IFNA(
   _xlfn._xlws.FILTER(
      Sim_Mul_Bet1!$L$2:$L$100,
      (Sim_Mul_Bet1!$A$2:$A$100=G$2) * (Sim_Mul_Bet1!$C$2:$C$100=$B21),0
   ),
   0
)</f>
        <v>50</v>
      </c>
      <c r="H21" s="185" cm="1">
        <f t="array" ref="H21">_xlfn.IFNA(
   _xlfn._xlws.FILTER(
      Sim_Mul_Bet1!$L$2:$L$100,
      (Sim_Mul_Bet1!$A$2:$A$100=H$2) * (Sim_Mul_Bet1!$C$2:$C$100=$B21),0
   ),
   0
)</f>
        <v>0</v>
      </c>
      <c r="J21">
        <v>18</v>
      </c>
      <c r="K21" s="186">
        <v>45</v>
      </c>
      <c r="L21" s="187" t="s">
        <v>93</v>
      </c>
      <c r="M21" s="188">
        <f t="shared" si="1"/>
        <v>4.1692750000000001E-2</v>
      </c>
      <c r="N21" s="189">
        <f t="shared" si="5"/>
        <v>50</v>
      </c>
      <c r="O21" s="190">
        <f t="shared" si="6"/>
        <v>5.4000000000000003E-3</v>
      </c>
      <c r="P21" s="190">
        <v>3.5999999999999999E-3</v>
      </c>
      <c r="Q21" s="190">
        <v>3.6466737201290502E-3</v>
      </c>
      <c r="R21" s="191">
        <f t="shared" si="0"/>
        <v>0.27</v>
      </c>
      <c r="T21" s="192">
        <f t="shared" si="7"/>
        <v>5400</v>
      </c>
      <c r="U21" s="176">
        <v>5.4000000000000003E-3</v>
      </c>
      <c r="V21" s="195">
        <f t="shared" si="2"/>
        <v>0.18000000000000002</v>
      </c>
      <c r="W21" s="194"/>
      <c r="X21" s="217"/>
      <c r="Y21" s="190">
        <f t="shared" si="8"/>
        <v>7.6049999999999998E-3</v>
      </c>
      <c r="Z21" s="190">
        <v>5.0699999999999999E-3</v>
      </c>
      <c r="AA21" s="190">
        <v>3.6466737201290502E-3</v>
      </c>
      <c r="AB21" s="276">
        <f t="shared" si="3"/>
        <v>0.38024999999999998</v>
      </c>
      <c r="AD21" s="192">
        <f t="shared" si="4"/>
        <v>7605</v>
      </c>
      <c r="AE21" s="176">
        <v>7.6049999999999998E-3</v>
      </c>
      <c r="AF21" s="278">
        <f t="shared" si="9"/>
        <v>0.2535</v>
      </c>
    </row>
    <row r="22" spans="2:32">
      <c r="B22" s="179">
        <v>50</v>
      </c>
      <c r="C22" s="180" cm="1">
        <f t="array" ref="C22">_xlfn.IFNA(
   _xlfn._xlws.FILTER(
      Sim_Mul_Bet1!$F$2:$F$100,
      (Sim_Mul_Bet1!$A$2:$A$100=C$2) * (Sim_Mul_Bet1!$C$2:$C$100=$B22),0
   ),
   0
)</f>
        <v>5.331E-4</v>
      </c>
      <c r="D22" s="181" cm="1">
        <f t="array" ref="D22">_xlfn.IFNA(
   _xlfn._xlws.FILTER(
      Sim_Mul_Bet1!$F$2:$F$100,
      (Sim_Mul_Bet1!$A$2:$A$100=D$2) * (Sim_Mul_Bet1!$C$2:$C$100=$B22),0
   ),
   0
)</f>
        <v>4.9348370000000003E-2</v>
      </c>
      <c r="E22" s="182" cm="1">
        <f t="array" ref="E22">_xlfn.IFNA(
   _xlfn._xlws.FILTER(
      Sim_Mul_Bet1!$F$2:$F$100,
      (Sim_Mul_Bet1!$A$2:$A$100=E$2) * (Sim_Mul_Bet1!$C$2:$C$100=$B22),0
   ),
   0
)</f>
        <v>0</v>
      </c>
      <c r="F22" s="183" cm="1">
        <f t="array" ref="F22">_xlfn.IFNA(
   _xlfn._xlws.FILTER(
      Sim_Mul_Bet1!$L$2:$L$100,
      (Sim_Mul_Bet1!$A$2:$A$100=F$2) * (Sim_Mul_Bet1!$C$2:$C$100=$B22),0
   ),
   0
)</f>
        <v>52.829656724817106</v>
      </c>
      <c r="G22" s="184" cm="1">
        <f t="array" ref="G22">_xlfn.IFNA(
   _xlfn._xlws.FILTER(
      Sim_Mul_Bet1!$L$2:$L$100,
      (Sim_Mul_Bet1!$A$2:$A$100=G$2) * (Sim_Mul_Bet1!$C$2:$C$100=$B22),0
   ),
   0
)</f>
        <v>54.935785923628281</v>
      </c>
      <c r="H22" s="185" cm="1">
        <f t="array" ref="H22">_xlfn.IFNA(
   _xlfn._xlws.FILTER(
      Sim_Mul_Bet1!$L$2:$L$100,
      (Sim_Mul_Bet1!$A$2:$A$100=H$2) * (Sim_Mul_Bet1!$C$2:$C$100=$B22),0
   ),
   0
)</f>
        <v>0</v>
      </c>
      <c r="J22">
        <v>19</v>
      </c>
      <c r="K22" s="186">
        <v>50</v>
      </c>
      <c r="L22" s="187" t="s">
        <v>93</v>
      </c>
      <c r="M22" s="188">
        <f t="shared" si="1"/>
        <v>4.9348370000000003E-2</v>
      </c>
      <c r="N22" s="189">
        <f t="shared" si="5"/>
        <v>54.935785923628281</v>
      </c>
      <c r="O22" s="190">
        <f t="shared" si="6"/>
        <v>1.8E-3</v>
      </c>
      <c r="P22" s="190">
        <v>1.1999999999999999E-3</v>
      </c>
      <c r="Q22" s="190">
        <v>1.7886166544199E-3</v>
      </c>
      <c r="R22" s="191">
        <f t="shared" si="0"/>
        <v>9.8884414662530909E-2</v>
      </c>
      <c r="T22" s="192">
        <f t="shared" si="7"/>
        <v>1800</v>
      </c>
      <c r="U22" s="176">
        <v>1.8E-3</v>
      </c>
      <c r="V22" s="195">
        <f t="shared" si="2"/>
        <v>6.5922943108353935E-2</v>
      </c>
      <c r="W22" s="194"/>
      <c r="X22" s="217"/>
      <c r="Y22" s="190">
        <f t="shared" si="8"/>
        <v>4.4999999999999999E-4</v>
      </c>
      <c r="Z22" s="190">
        <v>2.9999999999999997E-4</v>
      </c>
      <c r="AA22" s="190">
        <v>1.7886166544199E-3</v>
      </c>
      <c r="AB22" s="276">
        <f t="shared" si="3"/>
        <v>2.4721103665632727E-2</v>
      </c>
      <c r="AD22" s="192">
        <f t="shared" si="4"/>
        <v>450</v>
      </c>
      <c r="AE22" s="176">
        <v>4.4999999999999999E-4</v>
      </c>
      <c r="AF22" s="278">
        <f t="shared" si="9"/>
        <v>1.6480735777088484E-2</v>
      </c>
    </row>
    <row r="23" spans="2:32">
      <c r="B23" s="179">
        <v>60</v>
      </c>
      <c r="C23" s="180" cm="1">
        <f t="array" ref="C23">_xlfn.IFNA(
   _xlfn._xlws.FILTER(
      Sim_Mul_Bet1!$F$2:$F$100,
      (Sim_Mul_Bet1!$A$2:$A$100=C$2) * (Sim_Mul_Bet1!$C$2:$C$100=$B23),0
   ),
   0
)</f>
        <v>2.4099999999999998E-6</v>
      </c>
      <c r="D23" s="181" cm="1">
        <f t="array" ref="D23">_xlfn.IFNA(
   _xlfn._xlws.FILTER(
      Sim_Mul_Bet1!$F$2:$F$100,
      (Sim_Mul_Bet1!$A$2:$A$100=D$2) * (Sim_Mul_Bet1!$C$2:$C$100=$B23),0
   ),
   0
)</f>
        <v>1.0803800000000001E-2</v>
      </c>
      <c r="E23" s="182" cm="1">
        <f t="array" ref="E23">_xlfn.IFNA(
   _xlfn._xlws.FILTER(
      Sim_Mul_Bet1!$F$2:$F$100,
      (Sim_Mul_Bet1!$A$2:$A$100=E$2) * (Sim_Mul_Bet1!$C$2:$C$100=$B23),0
   ),
   0
)</f>
        <v>0</v>
      </c>
      <c r="F23" s="183" cm="1">
        <f t="array" ref="F23">_xlfn.IFNA(
   _xlfn._xlws.FILTER(
      Sim_Mul_Bet1!$L$2:$L$100,
      (Sim_Mul_Bet1!$A$2:$A$100=F$2) * (Sim_Mul_Bet1!$C$2:$C$100=$B23),0
   ),
   0
)</f>
        <v>62.352697095435687</v>
      </c>
      <c r="G23" s="184" cm="1">
        <f t="array" ref="G23">_xlfn.IFNA(
   _xlfn._xlws.FILTER(
      Sim_Mul_Bet1!$L$2:$L$100,
      (Sim_Mul_Bet1!$A$2:$A$100=G$2) * (Sim_Mul_Bet1!$C$2:$C$100=$B23),0
   ),
   0
)</f>
        <v>63.85731779559044</v>
      </c>
      <c r="H23" s="185" cm="1">
        <f t="array" ref="H23">_xlfn.IFNA(
   _xlfn._xlws.FILTER(
      Sim_Mul_Bet1!$L$2:$L$100,
      (Sim_Mul_Bet1!$A$2:$A$100=H$2) * (Sim_Mul_Bet1!$C$2:$C$100=$B23),0
   ),
   0
)</f>
        <v>0</v>
      </c>
      <c r="J23">
        <v>20</v>
      </c>
      <c r="K23" s="186">
        <v>60</v>
      </c>
      <c r="L23" s="187" t="s">
        <v>93</v>
      </c>
      <c r="M23" s="188">
        <f t="shared" si="1"/>
        <v>1.0803800000000001E-2</v>
      </c>
      <c r="N23" s="189">
        <f t="shared" si="5"/>
        <v>63.85731779559044</v>
      </c>
      <c r="O23" s="190">
        <f t="shared" si="6"/>
        <v>0</v>
      </c>
      <c r="P23" s="190">
        <v>0</v>
      </c>
      <c r="Q23" s="190">
        <v>0</v>
      </c>
      <c r="R23" s="191">
        <f t="shared" si="0"/>
        <v>0</v>
      </c>
      <c r="T23" s="192">
        <f t="shared" si="7"/>
        <v>0</v>
      </c>
      <c r="U23" s="176">
        <v>0</v>
      </c>
      <c r="V23" s="195">
        <f t="shared" si="2"/>
        <v>0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3"/>
        <v>0</v>
      </c>
      <c r="AD23" s="192">
        <f t="shared" si="4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Sim_Mul_Bet1!$F$2:$F$100,
      (Sim_Mul_Bet1!$A$2:$A$100=C$2) * (Sim_Mul_Bet1!$C$2:$C$100=$B24),0
   ),
   0
)</f>
        <v>0</v>
      </c>
      <c r="D24" s="181" cm="1">
        <f t="array" ref="D24">_xlfn.IFNA(
   _xlfn._xlws.FILTER(
      Sim_Mul_Bet1!$F$2:$F$100,
      (Sim_Mul_Bet1!$A$2:$A$100=D$2) * (Sim_Mul_Bet1!$C$2:$C$100=$B24),0
   ),
   0
)</f>
        <v>9.2589300000000003E-3</v>
      </c>
      <c r="E24" s="182" cm="1">
        <f t="array" ref="E24">_xlfn.IFNA(
   _xlfn._xlws.FILTER(
      Sim_Mul_Bet1!$F$2:$F$100,
      (Sim_Mul_Bet1!$A$2:$A$100=E$2) * (Sim_Mul_Bet1!$C$2:$C$100=$B24),0
   ),
   0
)</f>
        <v>0</v>
      </c>
      <c r="F24" s="183" cm="1">
        <f t="array" ref="F24">_xlfn.IFNA(
   _xlfn._xlws.FILTER(
      Sim_Mul_Bet1!$L$2:$L$100,
      (Sim_Mul_Bet1!$A$2:$A$100=F$2) * (Sim_Mul_Bet1!$C$2:$C$100=$B24),0
   ),
   0
)</f>
        <v>0</v>
      </c>
      <c r="G24" s="184" cm="1">
        <f t="array" ref="G24">_xlfn.IFNA(
   _xlfn._xlws.FILTER(
      Sim_Mul_Bet1!$L$2:$L$100,
      (Sim_Mul_Bet1!$A$2:$A$100=G$2) * (Sim_Mul_Bet1!$C$2:$C$100=$B24),0
   ),
   0
)</f>
        <v>75</v>
      </c>
      <c r="H24" s="185" cm="1">
        <f t="array" ref="H24">_xlfn.IFNA(
   _xlfn._xlws.FILTER(
      Sim_Mul_Bet1!$L$2:$L$100,
      (Sim_Mul_Bet1!$A$2:$A$100=H$2) * (Sim_Mul_Bet1!$C$2:$C$100=$B24),0
   ),
   0
)</f>
        <v>0</v>
      </c>
      <c r="J24">
        <v>21</v>
      </c>
      <c r="K24" s="186">
        <v>70</v>
      </c>
      <c r="L24" s="187" t="s">
        <v>93</v>
      </c>
      <c r="M24" s="188">
        <f t="shared" si="1"/>
        <v>9.2589300000000003E-3</v>
      </c>
      <c r="N24" s="189">
        <f t="shared" si="5"/>
        <v>75</v>
      </c>
      <c r="O24" s="190">
        <f t="shared" si="6"/>
        <v>0</v>
      </c>
      <c r="P24" s="190">
        <v>0</v>
      </c>
      <c r="Q24" s="190">
        <v>0</v>
      </c>
      <c r="R24" s="191">
        <f t="shared" si="0"/>
        <v>0</v>
      </c>
      <c r="T24" s="192">
        <f t="shared" si="7"/>
        <v>0</v>
      </c>
      <c r="U24" s="176">
        <v>0</v>
      </c>
      <c r="V24" s="195">
        <f t="shared" si="2"/>
        <v>0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3"/>
        <v>0</v>
      </c>
      <c r="AD24" s="192">
        <f t="shared" si="4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Sim_Mul_Bet1!$F$2:$F$100,
      (Sim_Mul_Bet1!$A$2:$A$100=C$2) * (Sim_Mul_Bet1!$C$2:$C$100=$B25),0
   ),
   0
)</f>
        <v>0</v>
      </c>
      <c r="D25" s="181" cm="1">
        <f t="array" ref="D25">_xlfn.IFNA(
   _xlfn._xlws.FILTER(
      Sim_Mul_Bet1!$F$2:$F$100,
      (Sim_Mul_Bet1!$A$2:$A$100=D$2) * (Sim_Mul_Bet1!$C$2:$C$100=$B25),0
   ),
   0
)</f>
        <v>0</v>
      </c>
      <c r="E25" s="182" cm="1">
        <f t="array" ref="E25">_xlfn.IFNA(
   _xlfn._xlws.FILTER(
      Sim_Mul_Bet1!$F$2:$F$100,
      (Sim_Mul_Bet1!$A$2:$A$100=E$2) * (Sim_Mul_Bet1!$C$2:$C$100=$B25),0
   ),
   0
)</f>
        <v>0</v>
      </c>
      <c r="F25" s="183" cm="1">
        <f t="array" ref="F25">_xlfn.IFNA(
   _xlfn._xlws.FILTER(
      Sim_Mul_Bet1!$L$2:$L$100,
      (Sim_Mul_Bet1!$A$2:$A$100=F$2) * (Sim_Mul_Bet1!$C$2:$C$100=$B25),0
   ),
   0
)</f>
        <v>0</v>
      </c>
      <c r="G25" s="184" cm="1">
        <f t="array" ref="G25">_xlfn.IFNA(
   _xlfn._xlws.FILTER(
      Sim_Mul_Bet1!$L$2:$L$100,
      (Sim_Mul_Bet1!$A$2:$A$100=G$2) * (Sim_Mul_Bet1!$C$2:$C$100=$B25),0
   ),
   0
)</f>
        <v>0</v>
      </c>
      <c r="H25" s="185" cm="1">
        <f t="array" ref="H25">_xlfn.IFNA(
   _xlfn._xlws.FILTER(
      Sim_Mul_Bet1!$L$2:$L$100,
      (Sim_Mul_Bet1!$A$2:$A$100=H$2) * (Sim_Mul_Bet1!$C$2:$C$100=$B25),0
   ),
   0
)</f>
        <v>0</v>
      </c>
      <c r="J25">
        <v>22</v>
      </c>
      <c r="K25" s="186">
        <v>80</v>
      </c>
      <c r="L25" s="187" t="s">
        <v>93</v>
      </c>
      <c r="M25" s="188">
        <f t="shared" si="1"/>
        <v>0</v>
      </c>
      <c r="N25" s="189">
        <f t="shared" si="5"/>
        <v>0</v>
      </c>
      <c r="O25" s="190">
        <f t="shared" si="6"/>
        <v>0</v>
      </c>
      <c r="P25" s="190">
        <v>0</v>
      </c>
      <c r="Q25" s="190">
        <v>0</v>
      </c>
      <c r="R25" s="191">
        <f t="shared" si="0"/>
        <v>0</v>
      </c>
      <c r="T25" s="192">
        <f t="shared" si="7"/>
        <v>0</v>
      </c>
      <c r="U25" s="176">
        <v>0</v>
      </c>
      <c r="V25" s="195">
        <f t="shared" si="2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3"/>
        <v>0</v>
      </c>
      <c r="AD25" s="192">
        <f t="shared" si="4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Sim_Mul_Bet1!$F$2:$F$100,
      (Sim_Mul_Bet1!$A$2:$A$100=C$2) * (Sim_Mul_Bet1!$C$2:$C$100=$B26),0
   ),
   0
)</f>
        <v>4.9624000000000001E-4</v>
      </c>
      <c r="D26" s="181" cm="1">
        <f t="array" ref="D26">_xlfn.IFNA(
   _xlfn._xlws.FILTER(
      Sim_Mul_Bet1!$F$2:$F$100,
      (Sim_Mul_Bet1!$A$2:$A$100=D$2) * (Sim_Mul_Bet1!$C$2:$C$100=$B26),0
   ),
   0
)</f>
        <v>1.426818E-2</v>
      </c>
      <c r="E26" s="182" cm="1">
        <f t="array" ref="E26">_xlfn.IFNA(
   _xlfn._xlws.FILTER(
      Sim_Mul_Bet1!$F$2:$F$100,
      (Sim_Mul_Bet1!$A$2:$A$100=E$2) * (Sim_Mul_Bet1!$C$2:$C$100=$B26),0
   ),
   0
)</f>
        <v>0</v>
      </c>
      <c r="F26" s="183" cm="1">
        <f t="array" ref="F26">_xlfn.IFNA(
   _xlfn._xlws.FILTER(
      Sim_Mul_Bet1!$L$2:$L$100,
      (Sim_Mul_Bet1!$A$2:$A$100=F$2) * (Sim_Mul_Bet1!$C$2:$C$100=$B26),0
   ),
   0
)</f>
        <v>100</v>
      </c>
      <c r="G26" s="184" cm="1">
        <f t="array" ref="G26">_xlfn.IFNA(
   _xlfn._xlws.FILTER(
      Sim_Mul_Bet1!$L$2:$L$100,
      (Sim_Mul_Bet1!$A$2:$A$100=G$2) * (Sim_Mul_Bet1!$C$2:$C$100=$B26),0
   ),
   0
)</f>
        <v>100</v>
      </c>
      <c r="H26" s="185" cm="1">
        <f t="array" ref="H26">_xlfn.IFNA(
   _xlfn._xlws.FILTER(
      Sim_Mul_Bet1!$L$2:$L$100,
      (Sim_Mul_Bet1!$A$2:$A$100=H$2) * (Sim_Mul_Bet1!$C$2:$C$100=$B26),0
   ),
   0
)</f>
        <v>0</v>
      </c>
      <c r="J26">
        <v>23</v>
      </c>
      <c r="K26" s="186">
        <v>90</v>
      </c>
      <c r="L26" s="187" t="s">
        <v>93</v>
      </c>
      <c r="M26" s="188">
        <f t="shared" si="1"/>
        <v>1.426818E-2</v>
      </c>
      <c r="N26" s="189">
        <f t="shared" si="5"/>
        <v>100</v>
      </c>
      <c r="O26" s="190">
        <f t="shared" si="6"/>
        <v>9.7499999999999985E-5</v>
      </c>
      <c r="P26" s="190">
        <v>6.4999999999999994E-5</v>
      </c>
      <c r="Q26" s="190">
        <v>6.0602540761521397E-5</v>
      </c>
      <c r="R26" s="191">
        <f t="shared" si="0"/>
        <v>9.7499999999999983E-3</v>
      </c>
      <c r="T26" s="192">
        <f t="shared" si="7"/>
        <v>98</v>
      </c>
      <c r="U26" s="176">
        <v>9.7999999999999997E-5</v>
      </c>
      <c r="V26" s="195">
        <f t="shared" si="2"/>
        <v>6.5333333333333328E-3</v>
      </c>
      <c r="W26" s="194"/>
      <c r="X26" s="217"/>
      <c r="Y26" s="190">
        <f t="shared" si="8"/>
        <v>1.9499999999999997E-4</v>
      </c>
      <c r="Z26" s="190">
        <v>1.2999999999999999E-4</v>
      </c>
      <c r="AA26" s="190">
        <v>6.0602540761521397E-5</v>
      </c>
      <c r="AB26" s="276">
        <f t="shared" si="3"/>
        <v>1.9499999999999997E-2</v>
      </c>
      <c r="AD26" s="192">
        <f t="shared" si="4"/>
        <v>195</v>
      </c>
      <c r="AE26" s="176">
        <v>1.95E-4</v>
      </c>
      <c r="AF26" s="278">
        <f t="shared" si="9"/>
        <v>1.2999999999999999E-2</v>
      </c>
    </row>
    <row r="27" spans="2:32">
      <c r="B27" s="179">
        <v>100</v>
      </c>
      <c r="C27" s="180" cm="1">
        <f t="array" ref="C27">_xlfn.IFNA(
   _xlfn._xlws.FILTER(
      Sim_Mul_Bet1!$F$2:$F$100,
      (Sim_Mul_Bet1!$A$2:$A$100=C$2) * (Sim_Mul_Bet1!$C$2:$C$100=$B27),0
   ),
   0
)</f>
        <v>1.4815999999999999E-4</v>
      </c>
      <c r="D27" s="181" cm="1">
        <f t="array" ref="D27">_xlfn.IFNA(
   _xlfn._xlws.FILTER(
      Sim_Mul_Bet1!$F$2:$F$100,
      (Sim_Mul_Bet1!$A$2:$A$100=D$2) * (Sim_Mul_Bet1!$C$2:$C$100=$B27),0
   ),
   0
)</f>
        <v>7.2520550000000003E-2</v>
      </c>
      <c r="E27" s="182" cm="1">
        <f t="array" ref="E27">_xlfn.IFNA(
   _xlfn._xlws.FILTER(
      Sim_Mul_Bet1!$F$2:$F$100,
      (Sim_Mul_Bet1!$A$2:$A$100=E$2) * (Sim_Mul_Bet1!$C$2:$C$100=$B27),0
   ),
   0
)</f>
        <v>0</v>
      </c>
      <c r="F27" s="183" cm="1">
        <f t="array" ref="F27">_xlfn.IFNA(
   _xlfn._xlws.FILTER(
      Sim_Mul_Bet1!$L$2:$L$100,
      (Sim_Mul_Bet1!$A$2:$A$100=F$2) * (Sim_Mul_Bet1!$C$2:$C$100=$B27),0
   ),
   0
)</f>
        <v>104.03448974082073</v>
      </c>
      <c r="G27" s="184" cm="1">
        <f t="array" ref="G27">_xlfn.IFNA(
   _xlfn._xlws.FILTER(
      Sim_Mul_Bet1!$L$2:$L$100,
      (Sim_Mul_Bet1!$A$2:$A$100=G$2) * (Sim_Mul_Bet1!$C$2:$C$100=$B27),0
   ),
   0
)</f>
        <v>106.51141090353011</v>
      </c>
      <c r="H27" s="185" cm="1">
        <f t="array" ref="H27">_xlfn.IFNA(
   _xlfn._xlws.FILTER(
      Sim_Mul_Bet1!$L$2:$L$100,
      (Sim_Mul_Bet1!$A$2:$A$100=H$2) * (Sim_Mul_Bet1!$C$2:$C$100=$B27),0
   ),
   0
)</f>
        <v>0</v>
      </c>
      <c r="J27">
        <v>24</v>
      </c>
      <c r="K27" s="186">
        <v>100</v>
      </c>
      <c r="L27" s="187" t="s">
        <v>93</v>
      </c>
      <c r="M27" s="188">
        <f t="shared" si="1"/>
        <v>7.2520550000000003E-2</v>
      </c>
      <c r="N27" s="189">
        <f t="shared" si="5"/>
        <v>106.51141090353011</v>
      </c>
      <c r="O27" s="190">
        <f t="shared" si="6"/>
        <v>1.0499999999999999E-4</v>
      </c>
      <c r="P27" s="190">
        <v>6.9999999999999994E-5</v>
      </c>
      <c r="Q27" s="190">
        <v>8.8378705277218707E-5</v>
      </c>
      <c r="R27" s="191">
        <f t="shared" si="0"/>
        <v>1.1183698144870659E-2</v>
      </c>
      <c r="T27" s="192">
        <f t="shared" si="7"/>
        <v>105</v>
      </c>
      <c r="U27" s="176">
        <v>1.05E-4</v>
      </c>
      <c r="V27" s="195">
        <f t="shared" si="2"/>
        <v>7.4557987632471075E-3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8.8378705277218707E-5</v>
      </c>
      <c r="AB27" s="276">
        <f t="shared" si="3"/>
        <v>7.9883558177647595E-3</v>
      </c>
      <c r="AD27" s="192">
        <f t="shared" si="4"/>
        <v>75</v>
      </c>
      <c r="AE27" s="176">
        <v>7.4999999999999993E-5</v>
      </c>
      <c r="AF27" s="278">
        <f t="shared" si="9"/>
        <v>5.3255705451765055E-3</v>
      </c>
    </row>
    <row r="28" spans="2:32">
      <c r="B28" s="179">
        <v>120</v>
      </c>
      <c r="C28" s="180" cm="1">
        <f t="array" ref="C28">_xlfn.IFNA(
   _xlfn._xlws.FILTER(
      Sim_Mul_Bet1!$F$2:$F$100,
      (Sim_Mul_Bet1!$A$2:$A$100=C$2) * (Sim_Mul_Bet1!$C$2:$C$100=$B28),0
   ),
   0
)</f>
        <v>0</v>
      </c>
      <c r="D28" s="181" cm="1">
        <f t="array" ref="D28">_xlfn.IFNA(
   _xlfn._xlws.FILTER(
      Sim_Mul_Bet1!$F$2:$F$100,
      (Sim_Mul_Bet1!$A$2:$A$100=D$2) * (Sim_Mul_Bet1!$C$2:$C$100=$B28),0
   ),
   0
)</f>
        <v>0</v>
      </c>
      <c r="E28" s="182" cm="1">
        <f t="array" ref="E28">_xlfn.IFNA(
   _xlfn._xlws.FILTER(
      Sim_Mul_Bet1!$F$2:$F$100,
      (Sim_Mul_Bet1!$A$2:$A$100=E$2) * (Sim_Mul_Bet1!$C$2:$C$100=$B28),0
   ),
   0
)</f>
        <v>0</v>
      </c>
      <c r="F28" s="183" cm="1">
        <f t="array" ref="F28">_xlfn.IFNA(
   _xlfn._xlws.FILTER(
      Sim_Mul_Bet1!$L$2:$L$100,
      (Sim_Mul_Bet1!$A$2:$A$100=F$2) * (Sim_Mul_Bet1!$C$2:$C$100=$B28),0
   ),
   0
)</f>
        <v>0</v>
      </c>
      <c r="G28" s="184" cm="1">
        <f t="array" ref="G28">_xlfn.IFNA(
   _xlfn._xlws.FILTER(
      Sim_Mul_Bet1!$L$2:$L$100,
      (Sim_Mul_Bet1!$A$2:$A$100=G$2) * (Sim_Mul_Bet1!$C$2:$C$100=$B28),0
   ),
   0
)</f>
        <v>0</v>
      </c>
      <c r="H28" s="185" cm="1">
        <f t="array" ref="H28">_xlfn.IFNA(
   _xlfn._xlws.FILTER(
      Sim_Mul_Bet1!$L$2:$L$100,
      (Sim_Mul_Bet1!$A$2:$A$100=H$2) * (Sim_Mul_Bet1!$C$2:$C$100=$B28),0
   ),
   0
)</f>
        <v>0</v>
      </c>
      <c r="J28">
        <v>25</v>
      </c>
      <c r="K28" s="186">
        <v>120</v>
      </c>
      <c r="L28" s="187" t="s">
        <v>93</v>
      </c>
      <c r="M28" s="188">
        <f t="shared" si="1"/>
        <v>0</v>
      </c>
      <c r="N28" s="189">
        <f t="shared" si="5"/>
        <v>0</v>
      </c>
      <c r="O28" s="190">
        <f t="shared" si="6"/>
        <v>0</v>
      </c>
      <c r="P28" s="190">
        <v>0</v>
      </c>
      <c r="Q28" s="190">
        <v>0</v>
      </c>
      <c r="R28" s="191">
        <f t="shared" si="0"/>
        <v>0</v>
      </c>
      <c r="T28" s="192">
        <f t="shared" si="7"/>
        <v>0</v>
      </c>
      <c r="U28" s="176">
        <v>0</v>
      </c>
      <c r="V28" s="195">
        <f t="shared" si="2"/>
        <v>0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3"/>
        <v>0</v>
      </c>
      <c r="AD28" s="192">
        <f t="shared" si="4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Sim_Mul_Bet1!$F$2:$F$100,
      (Sim_Mul_Bet1!$A$2:$A$100=C$2) * (Sim_Mul_Bet1!$C$2:$C$100=$B29),0
   ),
   0
)</f>
        <v>0</v>
      </c>
      <c r="D29" s="181" cm="1">
        <f t="array" ref="D29">_xlfn.IFNA(
   _xlfn._xlws.FILTER(
      Sim_Mul_Bet1!$F$2:$F$100,
      (Sim_Mul_Bet1!$A$2:$A$100=D$2) * (Sim_Mul_Bet1!$C$2:$C$100=$B29),0
   ),
   0
)</f>
        <v>6.9413699999999997E-3</v>
      </c>
      <c r="E29" s="182" cm="1">
        <f t="array" ref="E29">_xlfn.IFNA(
   _xlfn._xlws.FILTER(
      Sim_Mul_Bet1!$F$2:$F$100,
      (Sim_Mul_Bet1!$A$2:$A$100=E$2) * (Sim_Mul_Bet1!$C$2:$C$100=$B29),0
   ),
   0
)</f>
        <v>0</v>
      </c>
      <c r="F29" s="183" cm="1">
        <f t="array" ref="F29">_xlfn.IFNA(
   _xlfn._xlws.FILTER(
      Sim_Mul_Bet1!$L$2:$L$100,
      (Sim_Mul_Bet1!$A$2:$A$100=F$2) * (Sim_Mul_Bet1!$C$2:$C$100=$B29),0
   ),
   0
)</f>
        <v>0</v>
      </c>
      <c r="G29" s="184" cm="1">
        <f t="array" ref="G29">_xlfn.IFNA(
   _xlfn._xlws.FILTER(
      Sim_Mul_Bet1!$L$2:$L$100,
      (Sim_Mul_Bet1!$A$2:$A$100=G$2) * (Sim_Mul_Bet1!$C$2:$C$100=$B29),0
   ),
   0
)</f>
        <v>154.00032846541819</v>
      </c>
      <c r="H29" s="185" cm="1">
        <f t="array" ref="H29">_xlfn.IFNA(
   _xlfn._xlws.FILTER(
      Sim_Mul_Bet1!$L$2:$L$100,
      (Sim_Mul_Bet1!$A$2:$A$100=H$2) * (Sim_Mul_Bet1!$C$2:$C$100=$B29),0
   ),
   0
)</f>
        <v>0</v>
      </c>
      <c r="J29">
        <v>26</v>
      </c>
      <c r="K29" s="186">
        <v>140</v>
      </c>
      <c r="L29" s="187" t="s">
        <v>93</v>
      </c>
      <c r="M29" s="188">
        <f t="shared" si="1"/>
        <v>6.9413699999999997E-3</v>
      </c>
      <c r="N29" s="189">
        <f t="shared" si="5"/>
        <v>154.00032846541819</v>
      </c>
      <c r="O29" s="190">
        <f t="shared" si="6"/>
        <v>0</v>
      </c>
      <c r="P29" s="190">
        <v>0</v>
      </c>
      <c r="Q29" s="190">
        <v>2.9459568425739599E-6</v>
      </c>
      <c r="R29" s="191">
        <f t="shared" si="0"/>
        <v>0</v>
      </c>
      <c r="T29" s="192">
        <f t="shared" si="7"/>
        <v>0</v>
      </c>
      <c r="U29" s="176">
        <v>0</v>
      </c>
      <c r="V29" s="195">
        <f t="shared" si="2"/>
        <v>0</v>
      </c>
      <c r="W29" s="194"/>
      <c r="X29" s="217"/>
      <c r="Y29" s="190">
        <f t="shared" si="8"/>
        <v>4.4189352638609394E-6</v>
      </c>
      <c r="Z29" s="190">
        <v>2.9459568425739599E-6</v>
      </c>
      <c r="AA29" s="190">
        <v>2.9459568425739599E-6</v>
      </c>
      <c r="AB29" s="276">
        <f t="shared" si="3"/>
        <v>6.805174821020041E-4</v>
      </c>
      <c r="AD29" s="192">
        <f t="shared" si="4"/>
        <v>4</v>
      </c>
      <c r="AE29" s="176">
        <v>3.9999999999999998E-6</v>
      </c>
      <c r="AF29" s="278">
        <f t="shared" si="9"/>
        <v>4.1066754257444851E-4</v>
      </c>
    </row>
    <row r="30" spans="2:32">
      <c r="B30" s="179">
        <v>160</v>
      </c>
      <c r="C30" s="180" cm="1">
        <f t="array" ref="C30">_xlfn.IFNA(
   _xlfn._xlws.FILTER(
      Sim_Mul_Bet1!$F$2:$F$100,
      (Sim_Mul_Bet1!$A$2:$A$100=C$2) * (Sim_Mul_Bet1!$C$2:$C$100=$B30),0
   ),
   0
)</f>
        <v>0</v>
      </c>
      <c r="D30" s="181" cm="1">
        <f t="array" ref="D30">_xlfn.IFNA(
   _xlfn._xlws.FILTER(
      Sim_Mul_Bet1!$F$2:$F$100,
      (Sim_Mul_Bet1!$A$2:$A$100=D$2) * (Sim_Mul_Bet1!$C$2:$C$100=$B30),0
   ),
   0
)</f>
        <v>0</v>
      </c>
      <c r="E30" s="182" cm="1">
        <f t="array" ref="E30">_xlfn.IFNA(
   _xlfn._xlws.FILTER(
      Sim_Mul_Bet1!$F$2:$F$100,
      (Sim_Mul_Bet1!$A$2:$A$100=E$2) * (Sim_Mul_Bet1!$C$2:$C$100=$B30),0
   ),
   0
)</f>
        <v>0</v>
      </c>
      <c r="F30" s="183" cm="1">
        <f t="array" ref="F30">_xlfn.IFNA(
   _xlfn._xlws.FILTER(
      Sim_Mul_Bet1!$L$2:$L$100,
      (Sim_Mul_Bet1!$A$2:$A$100=F$2) * (Sim_Mul_Bet1!$C$2:$C$100=$B30),0
   ),
   0
)</f>
        <v>0</v>
      </c>
      <c r="G30" s="184" cm="1">
        <f t="array" ref="G30">_xlfn.IFNA(
   _xlfn._xlws.FILTER(
      Sim_Mul_Bet1!$L$2:$L$100,
      (Sim_Mul_Bet1!$A$2:$A$100=G$2) * (Sim_Mul_Bet1!$C$2:$C$100=$B30),0
   ),
   0
)</f>
        <v>0</v>
      </c>
      <c r="H30" s="185" cm="1">
        <f t="array" ref="H30">_xlfn.IFNA(
   _xlfn._xlws.FILTER(
      Sim_Mul_Bet1!$L$2:$L$100,
      (Sim_Mul_Bet1!$A$2:$A$100=H$2) * (Sim_Mul_Bet1!$C$2:$C$100=$B30),0
   ),
   0
)</f>
        <v>0</v>
      </c>
      <c r="J30">
        <v>27</v>
      </c>
      <c r="K30" s="186">
        <v>160</v>
      </c>
      <c r="L30" s="187" t="s">
        <v>93</v>
      </c>
      <c r="M30" s="188">
        <f t="shared" si="1"/>
        <v>0</v>
      </c>
      <c r="N30" s="189">
        <f t="shared" si="5"/>
        <v>0</v>
      </c>
      <c r="O30" s="190">
        <f t="shared" si="6"/>
        <v>0</v>
      </c>
      <c r="P30" s="190">
        <v>0</v>
      </c>
      <c r="Q30" s="190">
        <v>0</v>
      </c>
      <c r="R30" s="191">
        <f t="shared" si="0"/>
        <v>0</v>
      </c>
      <c r="T30" s="192">
        <f t="shared" si="7"/>
        <v>0</v>
      </c>
      <c r="U30" s="176">
        <v>0</v>
      </c>
      <c r="V30" s="195">
        <f t="shared" si="2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3"/>
        <v>0</v>
      </c>
      <c r="AD30" s="192">
        <f t="shared" si="4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Sim_Mul_Bet1!$F$2:$F$100,
      (Sim_Mul_Bet1!$A$2:$A$100=C$2) * (Sim_Mul_Bet1!$C$2:$C$100=$B31),0
   ),
   0
)</f>
        <v>0</v>
      </c>
      <c r="D31" s="181" cm="1">
        <f t="array" ref="D31">_xlfn.IFNA(
   _xlfn._xlws.FILTER(
      Sim_Mul_Bet1!$F$2:$F$100,
      (Sim_Mul_Bet1!$A$2:$A$100=D$2) * (Sim_Mul_Bet1!$C$2:$C$100=$B31),0
   ),
   0
)</f>
        <v>9.6536699999999996E-3</v>
      </c>
      <c r="E31" s="182" cm="1">
        <f t="array" ref="E31">_xlfn.IFNA(
   _xlfn._xlws.FILTER(
      Sim_Mul_Bet1!$F$2:$F$100,
      (Sim_Mul_Bet1!$A$2:$A$100=E$2) * (Sim_Mul_Bet1!$C$2:$C$100=$B31),0
   ),
   0
)</f>
        <v>0</v>
      </c>
      <c r="F31" s="183" cm="1">
        <f t="array" ref="F31">_xlfn.IFNA(
   _xlfn._xlws.FILTER(
      Sim_Mul_Bet1!$L$2:$L$100,
      (Sim_Mul_Bet1!$A$2:$A$100=F$2) * (Sim_Mul_Bet1!$C$2:$C$100=$B31),0
   ),
   0
)</f>
        <v>0</v>
      </c>
      <c r="G31" s="184" cm="1">
        <f t="array" ref="G31">_xlfn.IFNA(
   _xlfn._xlws.FILTER(
      Sim_Mul_Bet1!$L$2:$L$100,
      (Sim_Mul_Bet1!$A$2:$A$100=G$2) * (Sim_Mul_Bet1!$C$2:$C$100=$B31),0
   ),
   0
)</f>
        <v>200</v>
      </c>
      <c r="H31" s="185" cm="1">
        <f t="array" ref="H31">_xlfn.IFNA(
   _xlfn._xlws.FILTER(
      Sim_Mul_Bet1!$L$2:$L$100,
      (Sim_Mul_Bet1!$A$2:$A$100=H$2) * (Sim_Mul_Bet1!$C$2:$C$100=$B31),0
   ),
   0
)</f>
        <v>0</v>
      </c>
      <c r="J31">
        <v>28</v>
      </c>
      <c r="K31" s="186">
        <v>180</v>
      </c>
      <c r="L31" s="187" t="s">
        <v>93</v>
      </c>
      <c r="M31" s="188">
        <f t="shared" si="1"/>
        <v>9.6536699999999996E-3</v>
      </c>
      <c r="N31" s="189">
        <f t="shared" si="5"/>
        <v>200</v>
      </c>
      <c r="O31" s="190">
        <f t="shared" si="6"/>
        <v>0</v>
      </c>
      <c r="P31" s="190">
        <v>0</v>
      </c>
      <c r="Q31" s="190">
        <v>0</v>
      </c>
      <c r="R31" s="191">
        <f t="shared" si="0"/>
        <v>0</v>
      </c>
      <c r="T31" s="192">
        <f t="shared" si="7"/>
        <v>0</v>
      </c>
      <c r="U31" s="176">
        <v>0</v>
      </c>
      <c r="V31" s="195">
        <f t="shared" si="2"/>
        <v>0</v>
      </c>
      <c r="W31" s="194"/>
      <c r="X31" s="217"/>
      <c r="Y31" s="190">
        <f t="shared" si="8"/>
        <v>0</v>
      </c>
      <c r="Z31" s="190">
        <v>0</v>
      </c>
      <c r="AA31" s="190">
        <v>0</v>
      </c>
      <c r="AB31" s="276">
        <f t="shared" si="3"/>
        <v>0</v>
      </c>
      <c r="AD31" s="192">
        <f t="shared" si="4"/>
        <v>0</v>
      </c>
      <c r="AE31" s="176">
        <v>0</v>
      </c>
      <c r="AF31" s="278">
        <f t="shared" si="9"/>
        <v>0</v>
      </c>
    </row>
    <row r="32" spans="2:32">
      <c r="B32" s="179">
        <v>200</v>
      </c>
      <c r="C32" s="180" cm="1">
        <f t="array" ref="C32">_xlfn.IFNA(
   _xlfn._xlws.FILTER(
      Sim_Mul_Bet1!$F$2:$F$100,
      (Sim_Mul_Bet1!$A$2:$A$100=C$2) * (Sim_Mul_Bet1!$C$2:$C$100=$B32),0
   ),
   0
)</f>
        <v>0</v>
      </c>
      <c r="D32" s="181" cm="1">
        <f t="array" ref="D32">_xlfn.IFNA(
   _xlfn._xlws.FILTER(
      Sim_Mul_Bet1!$F$2:$F$100,
      (Sim_Mul_Bet1!$A$2:$A$100=D$2) * (Sim_Mul_Bet1!$C$2:$C$100=$B32),0
   ),
   0
)</f>
        <v>3.0856450000000001E-2</v>
      </c>
      <c r="E32" s="182" cm="1">
        <f t="array" ref="E32">_xlfn.IFNA(
   _xlfn._xlws.FILTER(
      Sim_Mul_Bet1!$F$2:$F$100,
      (Sim_Mul_Bet1!$A$2:$A$100=E$2) * (Sim_Mul_Bet1!$C$2:$C$100=$B32),0
   ),
   0
)</f>
        <v>0</v>
      </c>
      <c r="F32" s="183" cm="1">
        <f t="array" ref="F32">_xlfn.IFNA(
   _xlfn._xlws.FILTER(
      Sim_Mul_Bet1!$L$2:$L$100,
      (Sim_Mul_Bet1!$A$2:$A$100=F$2) * (Sim_Mul_Bet1!$C$2:$C$100=$B32),0
   ),
   0
)</f>
        <v>0</v>
      </c>
      <c r="G32" s="184" cm="1">
        <f t="array" ref="G32">_xlfn.IFNA(
   _xlfn._xlws.FILTER(
      Sim_Mul_Bet1!$L$2:$L$100,
      (Sim_Mul_Bet1!$A$2:$A$100=G$2) * (Sim_Mul_Bet1!$C$2:$C$100=$B32),0
   ),
   0
)</f>
        <v>219.04119722132651</v>
      </c>
      <c r="H32" s="185" cm="1">
        <f t="array" ref="H32">_xlfn.IFNA(
   _xlfn._xlws.FILTER(
      Sim_Mul_Bet1!$L$2:$L$100,
      (Sim_Mul_Bet1!$A$2:$A$100=H$2) * (Sim_Mul_Bet1!$C$2:$C$100=$B32),0
   ),
   0
)</f>
        <v>0</v>
      </c>
      <c r="J32">
        <v>29</v>
      </c>
      <c r="K32" s="186">
        <v>200</v>
      </c>
      <c r="L32" s="187" t="s">
        <v>93</v>
      </c>
      <c r="M32" s="188">
        <f t="shared" si="1"/>
        <v>3.0856450000000001E-2</v>
      </c>
      <c r="N32" s="189">
        <f t="shared" si="5"/>
        <v>219.04119722132651</v>
      </c>
      <c r="O32" s="190">
        <f t="shared" si="6"/>
        <v>0</v>
      </c>
      <c r="P32" s="190">
        <v>0</v>
      </c>
      <c r="Q32" s="190">
        <v>0</v>
      </c>
      <c r="R32" s="191">
        <f t="shared" si="0"/>
        <v>0</v>
      </c>
      <c r="T32" s="192">
        <f t="shared" si="7"/>
        <v>0</v>
      </c>
      <c r="U32" s="176">
        <v>0</v>
      </c>
      <c r="V32" s="195">
        <f t="shared" si="2"/>
        <v>0</v>
      </c>
      <c r="W32" s="194"/>
      <c r="X32" s="217"/>
      <c r="Y32" s="190">
        <f t="shared" si="8"/>
        <v>0</v>
      </c>
      <c r="Z32" s="190">
        <v>0</v>
      </c>
      <c r="AA32" s="190">
        <v>0</v>
      </c>
      <c r="AB32" s="276">
        <f t="shared" si="3"/>
        <v>0</v>
      </c>
      <c r="AD32" s="192">
        <f t="shared" si="4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Sim_Mul_Bet1!$F$2:$F$100,
      (Sim_Mul_Bet1!$A$2:$A$100=C$2) * (Sim_Mul_Bet1!$C$2:$C$100=$B33),0
   ),
   0
)</f>
        <v>0</v>
      </c>
      <c r="D33" s="181" cm="1">
        <f t="array" ref="D33">_xlfn.IFNA(
   _xlfn._xlws.FILTER(
      Sim_Mul_Bet1!$F$2:$F$100,
      (Sim_Mul_Bet1!$A$2:$A$100=D$2) * (Sim_Mul_Bet1!$C$2:$C$100=$B33),0
   ),
   0
)</f>
        <v>1.84782E-2</v>
      </c>
      <c r="E33" s="182" cm="1">
        <f t="array" ref="E33">_xlfn.IFNA(
   _xlfn._xlws.FILTER(
      Sim_Mul_Bet1!$F$2:$F$100,
      (Sim_Mul_Bet1!$A$2:$A$100=E$2) * (Sim_Mul_Bet1!$C$2:$C$100=$B33),0
   ),
   0
)</f>
        <v>0</v>
      </c>
      <c r="F33" s="183" cm="1">
        <f t="array" ref="F33">_xlfn.IFNA(
   _xlfn._xlws.FILTER(
      Sim_Mul_Bet1!$L$2:$L$100,
      (Sim_Mul_Bet1!$A$2:$A$100=F$2) * (Sim_Mul_Bet1!$C$2:$C$100=$B33),0
   ),
   0
)</f>
        <v>0</v>
      </c>
      <c r="G33" s="184" cm="1">
        <f t="array" ref="G33">_xlfn.IFNA(
   _xlfn._xlws.FILTER(
      Sim_Mul_Bet1!$L$2:$L$100,
      (Sim_Mul_Bet1!$A$2:$A$100=G$2) * (Sim_Mul_Bet1!$C$2:$C$100=$B33),0
   ),
   0
)</f>
        <v>265.00172094684547</v>
      </c>
      <c r="H33" s="185" cm="1">
        <f t="array" ref="H33">_xlfn.IFNA(
   _xlfn._xlws.FILTER(
      Sim_Mul_Bet1!$L$2:$L$100,
      (Sim_Mul_Bet1!$A$2:$A$100=H$2) * (Sim_Mul_Bet1!$C$2:$C$100=$B33),0
   ),
   0
)</f>
        <v>0</v>
      </c>
      <c r="J33">
        <v>30</v>
      </c>
      <c r="K33" s="186">
        <v>250</v>
      </c>
      <c r="L33" s="187" t="s">
        <v>93</v>
      </c>
      <c r="M33" s="188">
        <f t="shared" si="1"/>
        <v>1.84782E-2</v>
      </c>
      <c r="N33" s="189">
        <f t="shared" si="5"/>
        <v>265.00172094684547</v>
      </c>
      <c r="O33" s="190">
        <f t="shared" si="6"/>
        <v>0</v>
      </c>
      <c r="P33" s="190">
        <v>0</v>
      </c>
      <c r="Q33" s="190">
        <v>0</v>
      </c>
      <c r="R33" s="191">
        <f t="shared" si="0"/>
        <v>0</v>
      </c>
      <c r="T33" s="192">
        <f t="shared" si="7"/>
        <v>0</v>
      </c>
      <c r="U33" s="176">
        <v>0</v>
      </c>
      <c r="V33" s="195">
        <f t="shared" si="2"/>
        <v>0</v>
      </c>
      <c r="W33" s="194"/>
      <c r="X33" s="217"/>
      <c r="Y33" s="190">
        <f t="shared" si="8"/>
        <v>0</v>
      </c>
      <c r="Z33" s="190">
        <v>0</v>
      </c>
      <c r="AA33" s="190">
        <v>0</v>
      </c>
      <c r="AB33" s="276">
        <f t="shared" si="3"/>
        <v>0</v>
      </c>
      <c r="AD33" s="192">
        <f t="shared" si="4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Sim_Mul_Bet1!$F$2:$F$100,
      (Sim_Mul_Bet1!$A$2:$A$100=C$2) * (Sim_Mul_Bet1!$C$2:$C$100=$B34),0
   ),
   0
)</f>
        <v>0</v>
      </c>
      <c r="D34" s="181" cm="1">
        <f t="array" ref="D34">_xlfn.IFNA(
   _xlfn._xlws.FILTER(
      Sim_Mul_Bet1!$F$2:$F$100,
      (Sim_Mul_Bet1!$A$2:$A$100=D$2) * (Sim_Mul_Bet1!$C$2:$C$100=$B34),0
   ),
   0
)</f>
        <v>0</v>
      </c>
      <c r="E34" s="182" cm="1">
        <f t="array" ref="E34">_xlfn.IFNA(
   _xlfn._xlws.FILTER(
      Sim_Mul_Bet1!$F$2:$F$100,
      (Sim_Mul_Bet1!$A$2:$A$100=E$2) * (Sim_Mul_Bet1!$C$2:$C$100=$B34),0
   ),
   0
)</f>
        <v>0</v>
      </c>
      <c r="F34" s="183" cm="1">
        <f t="array" ref="F34">_xlfn.IFNA(
   _xlfn._xlws.FILTER(
      Sim_Mul_Bet1!$L$2:$L$100,
      (Sim_Mul_Bet1!$A$2:$A$100=F$2) * (Sim_Mul_Bet1!$C$2:$C$100=$B34),0
   ),
   0
)</f>
        <v>0</v>
      </c>
      <c r="G34" s="184" cm="1">
        <f t="array" ref="G34">_xlfn.IFNA(
   _xlfn._xlws.FILTER(
      Sim_Mul_Bet1!$L$2:$L$100,
      (Sim_Mul_Bet1!$A$2:$A$100=G$2) * (Sim_Mul_Bet1!$C$2:$C$100=$B34),0
   ),
   0
)</f>
        <v>0</v>
      </c>
      <c r="H34" s="185" cm="1">
        <f t="array" ref="H34">_xlfn.IFNA(
   _xlfn._xlws.FILTER(
      Sim_Mul_Bet1!$L$2:$L$100,
      (Sim_Mul_Bet1!$A$2:$A$100=H$2) * (Sim_Mul_Bet1!$C$2:$C$100=$B34),0
   ),
   0
)</f>
        <v>0</v>
      </c>
      <c r="J34">
        <v>31</v>
      </c>
      <c r="K34" s="186">
        <v>300</v>
      </c>
      <c r="L34" s="187" t="s">
        <v>93</v>
      </c>
      <c r="M34" s="188">
        <f t="shared" si="1"/>
        <v>0</v>
      </c>
      <c r="N34" s="189">
        <f t="shared" si="5"/>
        <v>0</v>
      </c>
      <c r="O34" s="190">
        <f t="shared" si="6"/>
        <v>0</v>
      </c>
      <c r="P34" s="190">
        <v>0</v>
      </c>
      <c r="Q34" s="190">
        <v>0</v>
      </c>
      <c r="R34" s="191">
        <f t="shared" si="0"/>
        <v>0</v>
      </c>
      <c r="T34" s="192">
        <f t="shared" si="7"/>
        <v>0</v>
      </c>
      <c r="U34" s="176">
        <v>0</v>
      </c>
      <c r="V34" s="195">
        <f t="shared" si="2"/>
        <v>0</v>
      </c>
      <c r="W34" s="194"/>
      <c r="X34" s="217"/>
      <c r="Y34" s="190">
        <f t="shared" si="8"/>
        <v>0</v>
      </c>
      <c r="Z34" s="190">
        <v>0</v>
      </c>
      <c r="AA34" s="190">
        <v>0</v>
      </c>
      <c r="AB34" s="276">
        <f t="shared" si="3"/>
        <v>0</v>
      </c>
      <c r="AD34" s="192">
        <f t="shared" si="4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Sim_Mul_Bet1!$F$2:$F$100,
      (Sim_Mul_Bet1!$A$2:$A$100=C$2) * (Sim_Mul_Bet1!$C$2:$C$100=$B35),0
   ),
   0
)</f>
        <v>0</v>
      </c>
      <c r="D35" s="181" cm="1">
        <f t="array" ref="D35">_xlfn.IFNA(
   _xlfn._xlws.FILTER(
      Sim_Mul_Bet1!$F$2:$F$100,
      (Sim_Mul_Bet1!$A$2:$A$100=D$2) * (Sim_Mul_Bet1!$C$2:$C$100=$B35),0
   ),
   0
)</f>
        <v>0</v>
      </c>
      <c r="E35" s="182" cm="1">
        <f t="array" ref="E35">_xlfn.IFNA(
   _xlfn._xlws.FILTER(
      Sim_Mul_Bet1!$F$2:$F$100,
      (Sim_Mul_Bet1!$A$2:$A$100=E$2) * (Sim_Mul_Bet1!$C$2:$C$100=$B35),0
   ),
   0
)</f>
        <v>0</v>
      </c>
      <c r="F35" s="183" cm="1">
        <f t="array" ref="F35">_xlfn.IFNA(
   _xlfn._xlws.FILTER(
      Sim_Mul_Bet1!$L$2:$L$100,
      (Sim_Mul_Bet1!$A$2:$A$100=F$2) * (Sim_Mul_Bet1!$C$2:$C$100=$B35),0
   ),
   0
)</f>
        <v>0</v>
      </c>
      <c r="G35" s="184" cm="1">
        <f t="array" ref="G35">_xlfn.IFNA(
   _xlfn._xlws.FILTER(
      Sim_Mul_Bet1!$L$2:$L$100,
      (Sim_Mul_Bet1!$A$2:$A$100=G$2) * (Sim_Mul_Bet1!$C$2:$C$100=$B35),0
   ),
   0
)</f>
        <v>0</v>
      </c>
      <c r="H35" s="185" cm="1">
        <f t="array" ref="H35">_xlfn.IFNA(
   _xlfn._xlws.FILTER(
      Sim_Mul_Bet1!$L$2:$L$100,
      (Sim_Mul_Bet1!$A$2:$A$100=H$2) * (Sim_Mul_Bet1!$C$2:$C$100=$B35),0
   ),
   0
)</f>
        <v>0</v>
      </c>
      <c r="J35">
        <v>32</v>
      </c>
      <c r="K35" s="186">
        <v>350</v>
      </c>
      <c r="L35" s="187" t="s">
        <v>93</v>
      </c>
      <c r="M35" s="188">
        <f t="shared" si="1"/>
        <v>0</v>
      </c>
      <c r="N35" s="189">
        <f t="shared" si="5"/>
        <v>0</v>
      </c>
      <c r="O35" s="190">
        <f t="shared" si="6"/>
        <v>0</v>
      </c>
      <c r="P35" s="190">
        <v>0</v>
      </c>
      <c r="Q35" s="190">
        <v>0</v>
      </c>
      <c r="R35" s="191">
        <f t="shared" si="0"/>
        <v>0</v>
      </c>
      <c r="T35" s="192">
        <f t="shared" si="7"/>
        <v>0</v>
      </c>
      <c r="U35" s="176">
        <v>0</v>
      </c>
      <c r="V35" s="195">
        <f t="shared" si="2"/>
        <v>0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3"/>
        <v>0</v>
      </c>
      <c r="AD35" s="192">
        <f t="shared" si="4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Sim_Mul_Bet1!$F$2:$F$100,
      (Sim_Mul_Bet1!$A$2:$A$100=C$2) * (Sim_Mul_Bet1!$C$2:$C$100=$B36),0
   ),
   0
)</f>
        <v>0</v>
      </c>
      <c r="D36" s="181" cm="1">
        <f t="array" ref="D36">_xlfn.IFNA(
   _xlfn._xlws.FILTER(
      Sim_Mul_Bet1!$F$2:$F$100,
      (Sim_Mul_Bet1!$A$2:$A$100=D$2) * (Sim_Mul_Bet1!$C$2:$C$100=$B36),0
   ),
   0
)</f>
        <v>0</v>
      </c>
      <c r="E36" s="182" cm="1">
        <f t="array" ref="E36">_xlfn.IFNA(
   _xlfn._xlws.FILTER(
      Sim_Mul_Bet1!$F$2:$F$100,
      (Sim_Mul_Bet1!$A$2:$A$100=E$2) * (Sim_Mul_Bet1!$C$2:$C$100=$B36),0
   ),
   0
)</f>
        <v>0</v>
      </c>
      <c r="F36" s="183" cm="1">
        <f t="array" ref="F36">_xlfn.IFNA(
   _xlfn._xlws.FILTER(
      Sim_Mul_Bet1!$L$2:$L$100,
      (Sim_Mul_Bet1!$A$2:$A$100=F$2) * (Sim_Mul_Bet1!$C$2:$C$100=$B36),0
   ),
   0
)</f>
        <v>0</v>
      </c>
      <c r="G36" s="184" cm="1">
        <f t="array" ref="G36">_xlfn.IFNA(
   _xlfn._xlws.FILTER(
      Sim_Mul_Bet1!$L$2:$L$100,
      (Sim_Mul_Bet1!$A$2:$A$100=G$2) * (Sim_Mul_Bet1!$C$2:$C$100=$B36),0
   ),
   0
)</f>
        <v>0</v>
      </c>
      <c r="H36" s="185" cm="1">
        <f t="array" ref="H36">_xlfn.IFNA(
   _xlfn._xlws.FILTER(
      Sim_Mul_Bet1!$L$2:$L$100,
      (Sim_Mul_Bet1!$A$2:$A$100=H$2) * (Sim_Mul_Bet1!$C$2:$C$100=$B36),0
   ),
   0
)</f>
        <v>0</v>
      </c>
      <c r="J36">
        <v>33</v>
      </c>
      <c r="K36" s="186">
        <v>400</v>
      </c>
      <c r="L36" s="187" t="s">
        <v>93</v>
      </c>
      <c r="M36" s="188">
        <f t="shared" si="1"/>
        <v>0</v>
      </c>
      <c r="N36" s="189">
        <f t="shared" si="5"/>
        <v>0</v>
      </c>
      <c r="O36" s="190">
        <f t="shared" si="6"/>
        <v>0</v>
      </c>
      <c r="P36" s="190">
        <v>0</v>
      </c>
      <c r="Q36" s="190">
        <v>0</v>
      </c>
      <c r="R36" s="191">
        <f t="shared" si="0"/>
        <v>0</v>
      </c>
      <c r="T36" s="192">
        <f t="shared" si="7"/>
        <v>0</v>
      </c>
      <c r="U36" s="176">
        <v>0</v>
      </c>
      <c r="V36" s="195">
        <f t="shared" si="2"/>
        <v>0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3"/>
        <v>0</v>
      </c>
      <c r="AD36" s="192">
        <f t="shared" si="4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Sim_Mul_Bet1!$F$2:$F$100,
      (Sim_Mul_Bet1!$A$2:$A$100=C$2) * (Sim_Mul_Bet1!$C$2:$C$100=$B37),0
   ),
   0
)</f>
        <v>1.7350000000000002E-5</v>
      </c>
      <c r="D37" s="181" cm="1">
        <f t="array" ref="D37">_xlfn.IFNA(
   _xlfn._xlws.FILTER(
      Sim_Mul_Bet1!$F$2:$F$100,
      (Sim_Mul_Bet1!$A$2:$A$100=D$2) * (Sim_Mul_Bet1!$C$2:$C$100=$B37),0
   ),
   0
)</f>
        <v>9.2644300000000006E-3</v>
      </c>
      <c r="E37" s="182" cm="1">
        <f t="array" ref="E37">_xlfn.IFNA(
   _xlfn._xlws.FILTER(
      Sim_Mul_Bet1!$F$2:$F$100,
      (Sim_Mul_Bet1!$A$2:$A$100=E$2) * (Sim_Mul_Bet1!$C$2:$C$100=$B37),0
   ),
   0
)</f>
        <v>0</v>
      </c>
      <c r="F37" s="183" cm="1">
        <f t="array" ref="F37">_xlfn.IFNA(
   _xlfn._xlws.FILTER(
      Sim_Mul_Bet1!$L$2:$L$100,
      (Sim_Mul_Bet1!$A$2:$A$100=F$2) * (Sim_Mul_Bet1!$C$2:$C$100=$B37),0
   ),
   0
)</f>
        <v>500</v>
      </c>
      <c r="G37" s="184" cm="1">
        <f t="array" ref="G37">_xlfn.IFNA(
   _xlfn._xlws.FILTER(
      Sim_Mul_Bet1!$L$2:$L$100,
      (Sim_Mul_Bet1!$A$2:$A$100=G$2) * (Sim_Mul_Bet1!$C$2:$C$100=$B37),0
   ),
   0
)</f>
        <v>500</v>
      </c>
      <c r="H37" s="185" cm="1">
        <f t="array" ref="H37">_xlfn.IFNA(
   _xlfn._xlws.FILTER(
      Sim_Mul_Bet1!$L$2:$L$100,
      (Sim_Mul_Bet1!$A$2:$A$100=H$2) * (Sim_Mul_Bet1!$C$2:$C$100=$B37),0
   ),
   0
)</f>
        <v>0</v>
      </c>
      <c r="J37">
        <v>34</v>
      </c>
      <c r="K37" s="186">
        <v>450</v>
      </c>
      <c r="L37" s="187" t="s">
        <v>93</v>
      </c>
      <c r="M37" s="188">
        <f t="shared" si="1"/>
        <v>9.2644300000000006E-3</v>
      </c>
      <c r="N37" s="189">
        <f t="shared" si="5"/>
        <v>500</v>
      </c>
      <c r="O37" s="190">
        <f t="shared" si="6"/>
        <v>1.5E-6</v>
      </c>
      <c r="P37" s="190">
        <v>9.9999999999999995E-7</v>
      </c>
      <c r="Q37" s="190">
        <v>5.8919136851479198E-6</v>
      </c>
      <c r="R37" s="191">
        <f t="shared" si="0"/>
        <v>7.5000000000000002E-4</v>
      </c>
      <c r="T37" s="192">
        <f t="shared" si="7"/>
        <v>2</v>
      </c>
      <c r="U37" s="176">
        <v>1.9999999999999999E-6</v>
      </c>
      <c r="V37" s="195">
        <f t="shared" si="2"/>
        <v>6.6666666666666664E-4</v>
      </c>
      <c r="W37" s="194"/>
      <c r="X37" s="217"/>
      <c r="Y37" s="190">
        <f t="shared" si="8"/>
        <v>3.0000000000000004E-5</v>
      </c>
      <c r="Z37" s="190">
        <v>2.0000000000000002E-5</v>
      </c>
      <c r="AA37" s="190">
        <v>5.8919136851479198E-6</v>
      </c>
      <c r="AB37" s="276">
        <f t="shared" si="3"/>
        <v>1.5000000000000003E-2</v>
      </c>
      <c r="AD37" s="192">
        <f t="shared" si="4"/>
        <v>30</v>
      </c>
      <c r="AE37" s="176">
        <v>3.0000000000000001E-5</v>
      </c>
      <c r="AF37" s="278">
        <f t="shared" si="9"/>
        <v>0.01</v>
      </c>
    </row>
    <row r="38" spans="2:32">
      <c r="B38" s="179">
        <v>500</v>
      </c>
      <c r="C38" s="180" cm="1">
        <f t="array" ref="C38">_xlfn.IFNA(
   _xlfn._xlws.FILTER(
      Sim_Mul_Bet1!$F$2:$F$100,
      (Sim_Mul_Bet1!$A$2:$A$100=C$2) * (Sim_Mul_Bet1!$C$2:$C$100=$B38),0
   ),
   0
)</f>
        <v>5.1699999999999996E-6</v>
      </c>
      <c r="D38" s="181" cm="1">
        <f t="array" ref="D38">_xlfn.IFNA(
   _xlfn._xlws.FILTER(
      Sim_Mul_Bet1!$F$2:$F$100,
      (Sim_Mul_Bet1!$A$2:$A$100=D$2) * (Sim_Mul_Bet1!$C$2:$C$100=$B38),0
   ),
   0
)</f>
        <v>1.8506689999999999E-2</v>
      </c>
      <c r="E38" s="182" cm="1">
        <f t="array" ref="E38">_xlfn.IFNA(
   _xlfn._xlws.FILTER(
      Sim_Mul_Bet1!$F$2:$F$100,
      (Sim_Mul_Bet1!$A$2:$A$100=E$2) * (Sim_Mul_Bet1!$C$2:$C$100=$B38),0
   ),
   0
)</f>
        <v>0</v>
      </c>
      <c r="F38" s="183" cm="1">
        <f t="array" ref="F38">_xlfn.IFNA(
   _xlfn._xlws.FILTER(
      Sim_Mul_Bet1!$L$2:$L$100,
      (Sim_Mul_Bet1!$A$2:$A$100=F$2) * (Sim_Mul_Bet1!$C$2:$C$100=$B38),0
   ),
   0
)</f>
        <v>510.80270793036749</v>
      </c>
      <c r="G38" s="184" cm="1">
        <f t="array" ref="G38">_xlfn.IFNA(
   _xlfn._xlws.FILTER(
      Sim_Mul_Bet1!$L$2:$L$100,
      (Sim_Mul_Bet1!$A$2:$A$100=G$2) * (Sim_Mul_Bet1!$C$2:$C$100=$B38),0
   ),
   0
)</f>
        <v>514.98670210610328</v>
      </c>
      <c r="H38" s="185" cm="1">
        <f t="array" ref="H38">_xlfn.IFNA(
   _xlfn._xlws.FILTER(
      Sim_Mul_Bet1!$L$2:$L$100,
      (Sim_Mul_Bet1!$A$2:$A$100=H$2) * (Sim_Mul_Bet1!$C$2:$C$100=$B38),0
   ),
   0
)</f>
        <v>0</v>
      </c>
      <c r="J38">
        <v>35</v>
      </c>
      <c r="K38" s="186">
        <v>500</v>
      </c>
      <c r="L38" s="187" t="s">
        <v>93</v>
      </c>
      <c r="M38" s="188">
        <f t="shared" si="1"/>
        <v>1.8506689999999999E-2</v>
      </c>
      <c r="N38" s="189">
        <f t="shared" si="5"/>
        <v>514.98670210610328</v>
      </c>
      <c r="O38" s="190">
        <f t="shared" si="6"/>
        <v>0</v>
      </c>
      <c r="P38" s="190">
        <v>0</v>
      </c>
      <c r="Q38" s="190">
        <v>6.7336156401690502E-6</v>
      </c>
      <c r="R38" s="191">
        <f t="shared" si="0"/>
        <v>0</v>
      </c>
      <c r="T38" s="192">
        <f t="shared" si="7"/>
        <v>0</v>
      </c>
      <c r="U38" s="176">
        <v>0</v>
      </c>
      <c r="V38" s="195">
        <f t="shared" si="2"/>
        <v>0</v>
      </c>
      <c r="W38" s="194"/>
      <c r="X38" s="217"/>
      <c r="Y38" s="190">
        <f t="shared" si="8"/>
        <v>0</v>
      </c>
      <c r="Z38" s="190">
        <v>0</v>
      </c>
      <c r="AA38" s="190">
        <v>6.7336156401690502E-6</v>
      </c>
      <c r="AB38" s="276">
        <f t="shared" si="3"/>
        <v>0</v>
      </c>
      <c r="AD38" s="192">
        <f t="shared" si="4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Sim_Mul_Bet1!$F$2:$F$100,
      (Sim_Mul_Bet1!$A$2:$A$100=C$2) * (Sim_Mul_Bet1!$C$2:$C$100=$B39),0
   ),
   0
)</f>
        <v>0</v>
      </c>
      <c r="D39" s="181" cm="1">
        <f t="array" ref="D39">_xlfn.IFNA(
   _xlfn._xlws.FILTER(
      Sim_Mul_Bet1!$F$2:$F$100,
      (Sim_Mul_Bet1!$A$2:$A$100=D$2) * (Sim_Mul_Bet1!$C$2:$C$100=$B39),0
   ),
   0
)</f>
        <v>0</v>
      </c>
      <c r="E39" s="182" cm="1">
        <f t="array" ref="E39">_xlfn.IFNA(
   _xlfn._xlws.FILTER(
      Sim_Mul_Bet1!$F$2:$F$100,
      (Sim_Mul_Bet1!$A$2:$A$100=E$2) * (Sim_Mul_Bet1!$C$2:$C$100=$B39),0
   ),
   0
)</f>
        <v>0</v>
      </c>
      <c r="F39" s="183" cm="1">
        <f t="array" ref="F39">_xlfn.IFNA(
   _xlfn._xlws.FILTER(
      Sim_Mul_Bet1!$L$2:$L$100,
      (Sim_Mul_Bet1!$A$2:$A$100=F$2) * (Sim_Mul_Bet1!$C$2:$C$100=$B39),0
   ),
   0
)</f>
        <v>0</v>
      </c>
      <c r="G39" s="184" cm="1">
        <f t="array" ref="G39">_xlfn.IFNA(
   _xlfn._xlws.FILTER(
      Sim_Mul_Bet1!$L$2:$L$100,
      (Sim_Mul_Bet1!$A$2:$A$100=G$2) * (Sim_Mul_Bet1!$C$2:$C$100=$B39),0
   ),
   0
)</f>
        <v>0</v>
      </c>
      <c r="H39" s="185" cm="1">
        <f t="array" ref="H39">_xlfn.IFNA(
   _xlfn._xlws.FILTER(
      Sim_Mul_Bet1!$L$2:$L$100,
      (Sim_Mul_Bet1!$A$2:$A$100=H$2) * (Sim_Mul_Bet1!$C$2:$C$100=$B39),0
   ),
   0
)</f>
        <v>0</v>
      </c>
      <c r="J39">
        <v>36</v>
      </c>
      <c r="K39" s="186">
        <v>550</v>
      </c>
      <c r="L39" s="187" t="s">
        <v>93</v>
      </c>
      <c r="M39" s="188">
        <f t="shared" si="1"/>
        <v>0</v>
      </c>
      <c r="N39" s="189">
        <f t="shared" si="5"/>
        <v>0</v>
      </c>
      <c r="O39" s="190">
        <f t="shared" si="6"/>
        <v>0</v>
      </c>
      <c r="P39" s="190">
        <v>0</v>
      </c>
      <c r="Q39" s="190">
        <v>0</v>
      </c>
      <c r="R39" s="191">
        <f t="shared" si="0"/>
        <v>0</v>
      </c>
      <c r="T39" s="192">
        <f t="shared" si="7"/>
        <v>0</v>
      </c>
      <c r="U39" s="176">
        <v>0</v>
      </c>
      <c r="V39" s="195">
        <f t="shared" si="2"/>
        <v>0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3"/>
        <v>0</v>
      </c>
      <c r="AD39" s="192">
        <f t="shared" si="4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Sim_Mul_Bet1!$F$2:$F$100,
      (Sim_Mul_Bet1!$A$2:$A$100=C$2) * (Sim_Mul_Bet1!$C$2:$C$100=$B40),0
   ),
   0
)</f>
        <v>0</v>
      </c>
      <c r="D40" s="181" cm="1">
        <f t="array" ref="D40">_xlfn.IFNA(
   _xlfn._xlws.FILTER(
      Sim_Mul_Bet1!$F$2:$F$100,
      (Sim_Mul_Bet1!$A$2:$A$100=D$2) * (Sim_Mul_Bet1!$C$2:$C$100=$B40),0
   ),
   0
)</f>
        <v>0</v>
      </c>
      <c r="E40" s="182" cm="1">
        <f t="array" ref="E40">_xlfn.IFNA(
   _xlfn._xlws.FILTER(
      Sim_Mul_Bet1!$F$2:$F$100,
      (Sim_Mul_Bet1!$A$2:$A$100=E$2) * (Sim_Mul_Bet1!$C$2:$C$100=$B40),0
   ),
   0
)</f>
        <v>0</v>
      </c>
      <c r="F40" s="183" cm="1">
        <f t="array" ref="F40">_xlfn.IFNA(
   _xlfn._xlws.FILTER(
      Sim_Mul_Bet1!$L$2:$L$100,
      (Sim_Mul_Bet1!$A$2:$A$100=F$2) * (Sim_Mul_Bet1!$C$2:$C$100=$B40),0
   ),
   0
)</f>
        <v>0</v>
      </c>
      <c r="G40" s="184" cm="1">
        <f t="array" ref="G40">_xlfn.IFNA(
   _xlfn._xlws.FILTER(
      Sim_Mul_Bet1!$L$2:$L$100,
      (Sim_Mul_Bet1!$A$2:$A$100=G$2) * (Sim_Mul_Bet1!$C$2:$C$100=$B40),0
   ),
   0
)</f>
        <v>0</v>
      </c>
      <c r="H40" s="185" cm="1">
        <f t="array" ref="H40">_xlfn.IFNA(
   _xlfn._xlws.FILTER(
      Sim_Mul_Bet1!$L$2:$L$100,
      (Sim_Mul_Bet1!$A$2:$A$100=H$2) * (Sim_Mul_Bet1!$C$2:$C$100=$B40),0
   ),
   0
)</f>
        <v>0</v>
      </c>
      <c r="J40">
        <v>37</v>
      </c>
      <c r="K40" s="186">
        <v>600</v>
      </c>
      <c r="L40" s="187" t="s">
        <v>93</v>
      </c>
      <c r="M40" s="188">
        <f t="shared" si="1"/>
        <v>0</v>
      </c>
      <c r="N40" s="189">
        <f t="shared" si="5"/>
        <v>0</v>
      </c>
      <c r="O40" s="190">
        <f t="shared" si="6"/>
        <v>0</v>
      </c>
      <c r="P40" s="190">
        <v>0</v>
      </c>
      <c r="Q40" s="190">
        <v>0</v>
      </c>
      <c r="R40" s="191">
        <f t="shared" si="0"/>
        <v>0</v>
      </c>
      <c r="T40" s="192">
        <f t="shared" si="7"/>
        <v>0</v>
      </c>
      <c r="U40" s="176">
        <v>0</v>
      </c>
      <c r="V40" s="195">
        <f t="shared" si="2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3"/>
        <v>0</v>
      </c>
      <c r="AD40" s="192">
        <f t="shared" si="4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Sim_Mul_Bet1!$F$2:$F$100,
      (Sim_Mul_Bet1!$A$2:$A$100=C$2) * (Sim_Mul_Bet1!$C$2:$C$100=$B41),0
   ),
   0
)</f>
        <v>0</v>
      </c>
      <c r="D41" s="181" cm="1">
        <f t="array" ref="D41">_xlfn.IFNA(
   _xlfn._xlws.FILTER(
      Sim_Mul_Bet1!$F$2:$F$100,
      (Sim_Mul_Bet1!$A$2:$A$100=D$2) * (Sim_Mul_Bet1!$C$2:$C$100=$B41),0
   ),
   0
)</f>
        <v>0</v>
      </c>
      <c r="E41" s="182" cm="1">
        <f t="array" ref="E41">_xlfn.IFNA(
   _xlfn._xlws.FILTER(
      Sim_Mul_Bet1!$F$2:$F$100,
      (Sim_Mul_Bet1!$A$2:$A$100=E$2) * (Sim_Mul_Bet1!$C$2:$C$100=$B41),0
   ),
   0
)</f>
        <v>0</v>
      </c>
      <c r="F41" s="183" cm="1">
        <f t="array" ref="F41">_xlfn.IFNA(
   _xlfn._xlws.FILTER(
      Sim_Mul_Bet1!$L$2:$L$100,
      (Sim_Mul_Bet1!$A$2:$A$100=F$2) * (Sim_Mul_Bet1!$C$2:$C$100=$B41),0
   ),
   0
)</f>
        <v>0</v>
      </c>
      <c r="G41" s="184" cm="1">
        <f t="array" ref="G41">_xlfn.IFNA(
   _xlfn._xlws.FILTER(
      Sim_Mul_Bet1!$L$2:$L$100,
      (Sim_Mul_Bet1!$A$2:$A$100=G$2) * (Sim_Mul_Bet1!$C$2:$C$100=$B41),0
   ),
   0
)</f>
        <v>0</v>
      </c>
      <c r="H41" s="185" cm="1">
        <f t="array" ref="H41">_xlfn.IFNA(
   _xlfn._xlws.FILTER(
      Sim_Mul_Bet1!$L$2:$L$100,
      (Sim_Mul_Bet1!$A$2:$A$100=H$2) * (Sim_Mul_Bet1!$C$2:$C$100=$B41),0
   ),
   0
)</f>
        <v>0</v>
      </c>
      <c r="J41">
        <v>38</v>
      </c>
      <c r="K41" s="186">
        <v>650</v>
      </c>
      <c r="L41" s="187" t="s">
        <v>93</v>
      </c>
      <c r="M41" s="188">
        <f t="shared" si="1"/>
        <v>0</v>
      </c>
      <c r="N41" s="189">
        <f t="shared" si="5"/>
        <v>0</v>
      </c>
      <c r="O41" s="190">
        <f t="shared" si="6"/>
        <v>0</v>
      </c>
      <c r="P41" s="190">
        <v>0</v>
      </c>
      <c r="Q41" s="190">
        <v>0</v>
      </c>
      <c r="R41" s="191">
        <f t="shared" si="0"/>
        <v>0</v>
      </c>
      <c r="T41" s="192">
        <f t="shared" si="7"/>
        <v>0</v>
      </c>
      <c r="U41" s="176">
        <v>0</v>
      </c>
      <c r="V41" s="195">
        <f t="shared" si="2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3"/>
        <v>0</v>
      </c>
      <c r="AD41" s="192">
        <f t="shared" si="4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Sim_Mul_Bet1!$F$2:$F$100,
      (Sim_Mul_Bet1!$A$2:$A$100=C$2) * (Sim_Mul_Bet1!$C$2:$C$100=$B42),0
   ),
   0
)</f>
        <v>0</v>
      </c>
      <c r="D42" s="181" cm="1">
        <f t="array" ref="D42">_xlfn.IFNA(
   _xlfn._xlws.FILTER(
      Sim_Mul_Bet1!$F$2:$F$100,
      (Sim_Mul_Bet1!$A$2:$A$100=D$2) * (Sim_Mul_Bet1!$C$2:$C$100=$B42),0
   ),
   0
)</f>
        <v>0</v>
      </c>
      <c r="E42" s="182" cm="1">
        <f t="array" ref="E42">_xlfn.IFNA(
   _xlfn._xlws.FILTER(
      Sim_Mul_Bet1!$F$2:$F$100,
      (Sim_Mul_Bet1!$A$2:$A$100=E$2) * (Sim_Mul_Bet1!$C$2:$C$100=$B42),0
   ),
   0
)</f>
        <v>0</v>
      </c>
      <c r="F42" s="183" cm="1">
        <f t="array" ref="F42">_xlfn.IFNA(
   _xlfn._xlws.FILTER(
      Sim_Mul_Bet1!$L$2:$L$100,
      (Sim_Mul_Bet1!$A$2:$A$100=F$2) * (Sim_Mul_Bet1!$C$2:$C$100=$B42),0
   ),
   0
)</f>
        <v>0</v>
      </c>
      <c r="G42" s="184" cm="1">
        <f t="array" ref="G42">_xlfn.IFNA(
   _xlfn._xlws.FILTER(
      Sim_Mul_Bet1!$L$2:$L$100,
      (Sim_Mul_Bet1!$A$2:$A$100=G$2) * (Sim_Mul_Bet1!$C$2:$C$100=$B42),0
   ),
   0
)</f>
        <v>0</v>
      </c>
      <c r="H42" s="185" cm="1">
        <f t="array" ref="H42">_xlfn.IFNA(
   _xlfn._xlws.FILTER(
      Sim_Mul_Bet1!$L$2:$L$100,
      (Sim_Mul_Bet1!$A$2:$A$100=H$2) * (Sim_Mul_Bet1!$C$2:$C$100=$B42),0
   ),
   0
)</f>
        <v>0</v>
      </c>
      <c r="J42">
        <v>39</v>
      </c>
      <c r="K42" s="186">
        <v>700</v>
      </c>
      <c r="L42" s="187" t="s">
        <v>93</v>
      </c>
      <c r="M42" s="188">
        <f t="shared" si="1"/>
        <v>0</v>
      </c>
      <c r="N42" s="189">
        <f t="shared" si="5"/>
        <v>0</v>
      </c>
      <c r="O42" s="190">
        <f t="shared" si="6"/>
        <v>0</v>
      </c>
      <c r="P42" s="190">
        <v>0</v>
      </c>
      <c r="Q42" s="190">
        <v>0</v>
      </c>
      <c r="R42" s="191">
        <f t="shared" si="0"/>
        <v>0</v>
      </c>
      <c r="T42" s="192">
        <f t="shared" si="7"/>
        <v>0</v>
      </c>
      <c r="U42" s="176">
        <v>0</v>
      </c>
      <c r="V42" s="195">
        <f t="shared" si="2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3"/>
        <v>0</v>
      </c>
      <c r="AD42" s="192">
        <f t="shared" si="4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Sim_Mul_Bet1!$F$2:$F$100,
      (Sim_Mul_Bet1!$A$2:$A$100=C$2) * (Sim_Mul_Bet1!$C$2:$C$100=$B43),0
   ),
   0
)</f>
        <v>0</v>
      </c>
      <c r="D43" s="181" cm="1">
        <f t="array" ref="D43">_xlfn.IFNA(
   _xlfn._xlws.FILTER(
      Sim_Mul_Bet1!$F$2:$F$100,
      (Sim_Mul_Bet1!$A$2:$A$100=D$2) * (Sim_Mul_Bet1!$C$2:$C$100=$B43),0
   ),
   0
)</f>
        <v>0</v>
      </c>
      <c r="E43" s="182" cm="1">
        <f t="array" ref="E43">_xlfn.IFNA(
   _xlfn._xlws.FILTER(
      Sim_Mul_Bet1!$F$2:$F$100,
      (Sim_Mul_Bet1!$A$2:$A$100=E$2) * (Sim_Mul_Bet1!$C$2:$C$100=$B43),0
   ),
   0
)</f>
        <v>0</v>
      </c>
      <c r="F43" s="183" cm="1">
        <f t="array" ref="F43">_xlfn.IFNA(
   _xlfn._xlws.FILTER(
      Sim_Mul_Bet1!$L$2:$L$100,
      (Sim_Mul_Bet1!$A$2:$A$100=F$2) * (Sim_Mul_Bet1!$C$2:$C$100=$B43),0
   ),
   0
)</f>
        <v>0</v>
      </c>
      <c r="G43" s="184" cm="1">
        <f t="array" ref="G43">_xlfn.IFNA(
   _xlfn._xlws.FILTER(
      Sim_Mul_Bet1!$L$2:$L$100,
      (Sim_Mul_Bet1!$A$2:$A$100=G$2) * (Sim_Mul_Bet1!$C$2:$C$100=$B43),0
   ),
   0
)</f>
        <v>0</v>
      </c>
      <c r="H43" s="185" cm="1">
        <f t="array" ref="H43">_xlfn.IFNA(
   _xlfn._xlws.FILTER(
      Sim_Mul_Bet1!$L$2:$L$100,
      (Sim_Mul_Bet1!$A$2:$A$100=H$2) * (Sim_Mul_Bet1!$C$2:$C$100=$B43),0
   ),
   0
)</f>
        <v>0</v>
      </c>
      <c r="J43">
        <v>40</v>
      </c>
      <c r="K43" s="186">
        <v>750</v>
      </c>
      <c r="L43" s="187" t="s">
        <v>93</v>
      </c>
      <c r="M43" s="188">
        <f t="shared" si="1"/>
        <v>0</v>
      </c>
      <c r="N43" s="189">
        <f t="shared" si="5"/>
        <v>0</v>
      </c>
      <c r="O43" s="190">
        <f t="shared" si="6"/>
        <v>0</v>
      </c>
      <c r="P43" s="190">
        <v>0</v>
      </c>
      <c r="Q43" s="190">
        <v>0</v>
      </c>
      <c r="R43" s="191">
        <f t="shared" si="0"/>
        <v>0</v>
      </c>
      <c r="T43" s="192">
        <f t="shared" si="7"/>
        <v>0</v>
      </c>
      <c r="U43" s="176">
        <v>0</v>
      </c>
      <c r="V43" s="195">
        <f t="shared" si="2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3"/>
        <v>0</v>
      </c>
      <c r="AD43" s="192">
        <f t="shared" si="4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Sim_Mul_Bet1!$F$2:$F$100,
      (Sim_Mul_Bet1!$A$2:$A$100=C$2) * (Sim_Mul_Bet1!$C$2:$C$100=$B44),0
   ),
   0
)</f>
        <v>0</v>
      </c>
      <c r="D44" s="181" cm="1">
        <f t="array" ref="D44">_xlfn.IFNA(
   _xlfn._xlws.FILTER(
      Sim_Mul_Bet1!$F$2:$F$100,
      (Sim_Mul_Bet1!$A$2:$A$100=D$2) * (Sim_Mul_Bet1!$C$2:$C$100=$B44),0
   ),
   0
)</f>
        <v>0</v>
      </c>
      <c r="E44" s="182" cm="1">
        <f t="array" ref="E44">_xlfn.IFNA(
   _xlfn._xlws.FILTER(
      Sim_Mul_Bet1!$F$2:$F$100,
      (Sim_Mul_Bet1!$A$2:$A$100=E$2) * (Sim_Mul_Bet1!$C$2:$C$100=$B44),0
   ),
   0
)</f>
        <v>0</v>
      </c>
      <c r="F44" s="183" cm="1">
        <f t="array" ref="F44">_xlfn.IFNA(
   _xlfn._xlws.FILTER(
      Sim_Mul_Bet1!$L$2:$L$100,
      (Sim_Mul_Bet1!$A$2:$A$100=F$2) * (Sim_Mul_Bet1!$C$2:$C$100=$B44),0
   ),
   0
)</f>
        <v>0</v>
      </c>
      <c r="G44" s="184" cm="1">
        <f t="array" ref="G44">_xlfn.IFNA(
   _xlfn._xlws.FILTER(
      Sim_Mul_Bet1!$L$2:$L$100,
      (Sim_Mul_Bet1!$A$2:$A$100=G$2) * (Sim_Mul_Bet1!$C$2:$C$100=$B44),0
   ),
   0
)</f>
        <v>0</v>
      </c>
      <c r="H44" s="185" cm="1">
        <f t="array" ref="H44">_xlfn.IFNA(
   _xlfn._xlws.FILTER(
      Sim_Mul_Bet1!$L$2:$L$100,
      (Sim_Mul_Bet1!$A$2:$A$100=H$2) * (Sim_Mul_Bet1!$C$2:$C$100=$B44),0
   ),
   0
)</f>
        <v>0</v>
      </c>
      <c r="J44">
        <v>41</v>
      </c>
      <c r="K44" s="186">
        <v>800</v>
      </c>
      <c r="L44" s="187" t="s">
        <v>93</v>
      </c>
      <c r="M44" s="188">
        <f t="shared" si="1"/>
        <v>0</v>
      </c>
      <c r="N44" s="189">
        <f t="shared" si="5"/>
        <v>0</v>
      </c>
      <c r="O44" s="190">
        <f t="shared" si="6"/>
        <v>0</v>
      </c>
      <c r="P44" s="190">
        <v>0</v>
      </c>
      <c r="Q44" s="190">
        <v>0</v>
      </c>
      <c r="R44" s="191">
        <f t="shared" si="0"/>
        <v>0</v>
      </c>
      <c r="T44" s="192">
        <f t="shared" si="7"/>
        <v>0</v>
      </c>
      <c r="U44" s="176">
        <v>0</v>
      </c>
      <c r="V44" s="195">
        <f t="shared" si="2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3"/>
        <v>0</v>
      </c>
      <c r="AD44" s="192">
        <f t="shared" si="4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Sim_Mul_Bet1!$F$2:$F$100,
      (Sim_Mul_Bet1!$A$2:$A$100=C$2) * (Sim_Mul_Bet1!$C$2:$C$100=$B45),0
   ),
   0
)</f>
        <v>0</v>
      </c>
      <c r="D45" s="181" cm="1">
        <f t="array" ref="D45">_xlfn.IFNA(
   _xlfn._xlws.FILTER(
      Sim_Mul_Bet1!$F$2:$F$100,
      (Sim_Mul_Bet1!$A$2:$A$100=D$2) * (Sim_Mul_Bet1!$C$2:$C$100=$B45),0
   ),
   0
)</f>
        <v>0</v>
      </c>
      <c r="E45" s="182" cm="1">
        <f t="array" ref="E45">_xlfn.IFNA(
   _xlfn._xlws.FILTER(
      Sim_Mul_Bet1!$F$2:$F$100,
      (Sim_Mul_Bet1!$A$2:$A$100=E$2) * (Sim_Mul_Bet1!$C$2:$C$100=$B45),0
   ),
   0
)</f>
        <v>0</v>
      </c>
      <c r="F45" s="183" cm="1">
        <f t="array" ref="F45">_xlfn.IFNA(
   _xlfn._xlws.FILTER(
      Sim_Mul_Bet1!$L$2:$L$100,
      (Sim_Mul_Bet1!$A$2:$A$100=F$2) * (Sim_Mul_Bet1!$C$2:$C$100=$B45),0
   ),
   0
)</f>
        <v>0</v>
      </c>
      <c r="G45" s="184" cm="1">
        <f t="array" ref="G45">_xlfn.IFNA(
   _xlfn._xlws.FILTER(
      Sim_Mul_Bet1!$L$2:$L$100,
      (Sim_Mul_Bet1!$A$2:$A$100=G$2) * (Sim_Mul_Bet1!$C$2:$C$100=$B45),0
   ),
   0
)</f>
        <v>0</v>
      </c>
      <c r="H45" s="185" cm="1">
        <f t="array" ref="H45">_xlfn.IFNA(
   _xlfn._xlws.FILTER(
      Sim_Mul_Bet1!$L$2:$L$100,
      (Sim_Mul_Bet1!$A$2:$A$100=H$2) * (Sim_Mul_Bet1!$C$2:$C$100=$B45),0
   ),
   0
)</f>
        <v>0</v>
      </c>
      <c r="J45">
        <v>42</v>
      </c>
      <c r="K45" s="186">
        <v>850</v>
      </c>
      <c r="L45" s="187" t="s">
        <v>93</v>
      </c>
      <c r="M45" s="188">
        <f t="shared" si="1"/>
        <v>0</v>
      </c>
      <c r="N45" s="189">
        <f t="shared" si="5"/>
        <v>0</v>
      </c>
      <c r="O45" s="190">
        <f t="shared" si="6"/>
        <v>0</v>
      </c>
      <c r="P45" s="190">
        <v>0</v>
      </c>
      <c r="Q45" s="190">
        <v>0</v>
      </c>
      <c r="R45" s="191">
        <f t="shared" si="0"/>
        <v>0</v>
      </c>
      <c r="T45" s="192">
        <f t="shared" si="7"/>
        <v>0</v>
      </c>
      <c r="U45" s="176">
        <v>0</v>
      </c>
      <c r="V45" s="195">
        <f t="shared" si="2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3"/>
        <v>0</v>
      </c>
      <c r="AD45" s="192">
        <f t="shared" si="4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Sim_Mul_Bet1!$F$2:$F$100,
      (Sim_Mul_Bet1!$A$2:$A$100=C$2) * (Sim_Mul_Bet1!$C$2:$C$100=$B46),0
   ),
   0
)</f>
        <v>0</v>
      </c>
      <c r="D46" s="181" cm="1">
        <f t="array" ref="D46">_xlfn.IFNA(
   _xlfn._xlws.FILTER(
      Sim_Mul_Bet1!$F$2:$F$100,
      (Sim_Mul_Bet1!$A$2:$A$100=D$2) * (Sim_Mul_Bet1!$C$2:$C$100=$B46),0
   ),
   0
)</f>
        <v>0</v>
      </c>
      <c r="E46" s="182" cm="1">
        <f t="array" ref="E46">_xlfn.IFNA(
   _xlfn._xlws.FILTER(
      Sim_Mul_Bet1!$F$2:$F$100,
      (Sim_Mul_Bet1!$A$2:$A$100=E$2) * (Sim_Mul_Bet1!$C$2:$C$100=$B46),0
   ),
   0
)</f>
        <v>0</v>
      </c>
      <c r="F46" s="183" cm="1">
        <f t="array" ref="F46">_xlfn.IFNA(
   _xlfn._xlws.FILTER(
      Sim_Mul_Bet1!$L$2:$L$100,
      (Sim_Mul_Bet1!$A$2:$A$100=F$2) * (Sim_Mul_Bet1!$C$2:$C$100=$B46),0
   ),
   0
)</f>
        <v>0</v>
      </c>
      <c r="G46" s="184" cm="1">
        <f t="array" ref="G46">_xlfn.IFNA(
   _xlfn._xlws.FILTER(
      Sim_Mul_Bet1!$L$2:$L$100,
      (Sim_Mul_Bet1!$A$2:$A$100=G$2) * (Sim_Mul_Bet1!$C$2:$C$100=$B46),0
   ),
   0
)</f>
        <v>0</v>
      </c>
      <c r="H46" s="185" cm="1">
        <f t="array" ref="H46">_xlfn.IFNA(
   _xlfn._xlws.FILTER(
      Sim_Mul_Bet1!$L$2:$L$100,
      (Sim_Mul_Bet1!$A$2:$A$100=H$2) * (Sim_Mul_Bet1!$C$2:$C$100=$B46),0
   ),
   0
)</f>
        <v>0</v>
      </c>
      <c r="J46">
        <v>43</v>
      </c>
      <c r="K46" s="186">
        <v>900</v>
      </c>
      <c r="L46" s="187" t="s">
        <v>93</v>
      </c>
      <c r="M46" s="188">
        <f t="shared" si="1"/>
        <v>0</v>
      </c>
      <c r="N46" s="189">
        <f t="shared" si="5"/>
        <v>0</v>
      </c>
      <c r="O46" s="190">
        <f t="shared" si="6"/>
        <v>0</v>
      </c>
      <c r="P46" s="190">
        <v>0</v>
      </c>
      <c r="Q46" s="190">
        <v>0</v>
      </c>
      <c r="R46" s="191">
        <f t="shared" si="0"/>
        <v>0</v>
      </c>
      <c r="T46" s="192">
        <f t="shared" si="7"/>
        <v>0</v>
      </c>
      <c r="U46" s="176">
        <v>0</v>
      </c>
      <c r="V46" s="195">
        <f t="shared" si="2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3"/>
        <v>0</v>
      </c>
      <c r="AD46" s="192">
        <f t="shared" si="4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Sim_Mul_Bet1!$F$2:$F$100,
      (Sim_Mul_Bet1!$A$2:$A$100=C$2) * (Sim_Mul_Bet1!$C$2:$C$100=$B47),0
   ),
   0
)</f>
        <v>0</v>
      </c>
      <c r="D47" s="181" cm="1">
        <f t="array" ref="D47">_xlfn.IFNA(
   _xlfn._xlws.FILTER(
      Sim_Mul_Bet1!$F$2:$F$100,
      (Sim_Mul_Bet1!$A$2:$A$100=D$2) * (Sim_Mul_Bet1!$C$2:$C$100=$B47),0
   ),
   0
)</f>
        <v>0</v>
      </c>
      <c r="E47" s="182" cm="1">
        <f t="array" ref="E47">_xlfn.IFNA(
   _xlfn._xlws.FILTER(
      Sim_Mul_Bet1!$F$2:$F$100,
      (Sim_Mul_Bet1!$A$2:$A$100=E$2) * (Sim_Mul_Bet1!$C$2:$C$100=$B47),0
   ),
   0
)</f>
        <v>0</v>
      </c>
      <c r="F47" s="183" cm="1">
        <f t="array" ref="F47">_xlfn.IFNA(
   _xlfn._xlws.FILTER(
      Sim_Mul_Bet1!$L$2:$L$100,
      (Sim_Mul_Bet1!$A$2:$A$100=F$2) * (Sim_Mul_Bet1!$C$2:$C$100=$B47),0
   ),
   0
)</f>
        <v>0</v>
      </c>
      <c r="G47" s="184" cm="1">
        <f t="array" ref="G47">_xlfn.IFNA(
   _xlfn._xlws.FILTER(
      Sim_Mul_Bet1!$L$2:$L$100,
      (Sim_Mul_Bet1!$A$2:$A$100=G$2) * (Sim_Mul_Bet1!$C$2:$C$100=$B47),0
   ),
   0
)</f>
        <v>0</v>
      </c>
      <c r="H47" s="185" cm="1">
        <f t="array" ref="H47">_xlfn.IFNA(
   _xlfn._xlws.FILTER(
      Sim_Mul_Bet1!$L$2:$L$100,
      (Sim_Mul_Bet1!$A$2:$A$100=H$2) * (Sim_Mul_Bet1!$C$2:$C$100=$B47),0
   ),
   0
)</f>
        <v>0</v>
      </c>
      <c r="J47">
        <v>44</v>
      </c>
      <c r="K47" s="186">
        <v>950</v>
      </c>
      <c r="L47" s="187" t="s">
        <v>93</v>
      </c>
      <c r="M47" s="188">
        <f t="shared" si="1"/>
        <v>0</v>
      </c>
      <c r="N47" s="189">
        <f t="shared" si="5"/>
        <v>0</v>
      </c>
      <c r="O47" s="190">
        <f t="shared" si="6"/>
        <v>0</v>
      </c>
      <c r="P47" s="190">
        <v>0</v>
      </c>
      <c r="Q47" s="190">
        <v>0</v>
      </c>
      <c r="R47" s="191">
        <f t="shared" si="0"/>
        <v>0</v>
      </c>
      <c r="T47" s="192">
        <f t="shared" si="7"/>
        <v>0</v>
      </c>
      <c r="U47" s="176">
        <v>0</v>
      </c>
      <c r="V47" s="195">
        <f t="shared" si="2"/>
        <v>0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3"/>
        <v>0</v>
      </c>
      <c r="AD47" s="192">
        <f t="shared" si="4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Sim_Mul_Bet1!$F$2:$F$100,
      (Sim_Mul_Bet1!$A$2:$A$100=C$2) * (Sim_Mul_Bet1!$C$2:$C$100=$B48),0
   ),
   0
)</f>
        <v>0</v>
      </c>
      <c r="D48" s="181" cm="1">
        <f t="array" ref="D48">_xlfn.IFNA(
   _xlfn._xlws.FILTER(
      Sim_Mul_Bet1!$F$2:$F$100,
      (Sim_Mul_Bet1!$A$2:$A$100=D$2) * (Sim_Mul_Bet1!$C$2:$C$100=$B48),0
   ),
   0
)</f>
        <v>0</v>
      </c>
      <c r="E48" s="182" cm="1">
        <f t="array" ref="E48">_xlfn.IFNA(
   _xlfn._xlws.FILTER(
      Sim_Mul_Bet1!$F$2:$F$100,
      (Sim_Mul_Bet1!$A$2:$A$100=E$2) * (Sim_Mul_Bet1!$C$2:$C$100=$B48),0
   ),
   0
)</f>
        <v>0</v>
      </c>
      <c r="F48" s="183" cm="1">
        <f t="array" ref="F48">_xlfn.IFNA(
   _xlfn._xlws.FILTER(
      Sim_Mul_Bet1!$L$2:$L$100,
      (Sim_Mul_Bet1!$A$2:$A$100=F$2) * (Sim_Mul_Bet1!$C$2:$C$100=$B48),0
   ),
   0
)</f>
        <v>0</v>
      </c>
      <c r="G48" s="184" cm="1">
        <f t="array" ref="G48">_xlfn.IFNA(
   _xlfn._xlws.FILTER(
      Sim_Mul_Bet1!$L$2:$L$100,
      (Sim_Mul_Bet1!$A$2:$A$100=G$2) * (Sim_Mul_Bet1!$C$2:$C$100=$B48),0
   ),
   0
)</f>
        <v>0</v>
      </c>
      <c r="H48" s="185" cm="1">
        <f t="array" ref="H48">_xlfn.IFNA(
   _xlfn._xlws.FILTER(
      Sim_Mul_Bet1!$L$2:$L$100,
      (Sim_Mul_Bet1!$A$2:$A$100=H$2) * (Sim_Mul_Bet1!$C$2:$C$100=$B48),0
   ),
   0
)</f>
        <v>0</v>
      </c>
      <c r="J48">
        <v>45</v>
      </c>
      <c r="K48" s="186">
        <v>1000</v>
      </c>
      <c r="L48" s="187" t="s">
        <v>93</v>
      </c>
      <c r="M48" s="188">
        <f t="shared" si="1"/>
        <v>0</v>
      </c>
      <c r="N48" s="189">
        <f t="shared" si="5"/>
        <v>0</v>
      </c>
      <c r="O48" s="190">
        <f t="shared" si="6"/>
        <v>0</v>
      </c>
      <c r="P48" s="190">
        <v>0</v>
      </c>
      <c r="Q48" s="190">
        <v>0</v>
      </c>
      <c r="R48" s="191">
        <f t="shared" si="0"/>
        <v>0</v>
      </c>
      <c r="T48" s="192">
        <f t="shared" si="7"/>
        <v>0</v>
      </c>
      <c r="U48" s="176">
        <v>0</v>
      </c>
      <c r="V48" s="195">
        <f t="shared" si="2"/>
        <v>0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3"/>
        <v>0</v>
      </c>
      <c r="AD48" s="192">
        <f t="shared" si="4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Sim_Mul_Bet1!$F$2:$F$100,
      (Sim_Mul_Bet1!$A$2:$A$100=C$2) * (Sim_Mul_Bet1!$C$2:$C$100=$B49),0
   ),
   0
)</f>
        <v>0</v>
      </c>
      <c r="D49" s="181" cm="1">
        <f t="array" ref="D49">_xlfn.IFNA(
   _xlfn._xlws.FILTER(
      Sim_Mul_Bet1!$F$2:$F$100,
      (Sim_Mul_Bet1!$A$2:$A$100=D$2) * (Sim_Mul_Bet1!$C$2:$C$100=$B49),0
   ),
   0
)</f>
        <v>0</v>
      </c>
      <c r="E49" s="182" cm="1">
        <f t="array" ref="E49">_xlfn.IFNA(
   _xlfn._xlws.FILTER(
      Sim_Mul_Bet1!$F$2:$F$100,
      (Sim_Mul_Bet1!$A$2:$A$100=E$2) * (Sim_Mul_Bet1!$C$2:$C$100=$B49),0
   ),
   0
)</f>
        <v>0</v>
      </c>
      <c r="F49" s="183" cm="1">
        <f t="array" ref="F49">_xlfn.IFNA(
   _xlfn._xlws.FILTER(
      Sim_Mul_Bet1!$L$2:$L$100,
      (Sim_Mul_Bet1!$A$2:$A$100=F$2) * (Sim_Mul_Bet1!$C$2:$C$100=$B49),0
   ),
   0
)</f>
        <v>0</v>
      </c>
      <c r="G49" s="184" cm="1">
        <f t="array" ref="G49">_xlfn.IFNA(
   _xlfn._xlws.FILTER(
      Sim_Mul_Bet1!$L$2:$L$100,
      (Sim_Mul_Bet1!$A$2:$A$100=G$2) * (Sim_Mul_Bet1!$C$2:$C$100=$B49),0
   ),
   0
)</f>
        <v>0</v>
      </c>
      <c r="H49" s="185" cm="1">
        <f t="array" ref="H49">_xlfn.IFNA(
   _xlfn._xlws.FILTER(
      Sim_Mul_Bet1!$L$2:$L$100,
      (Sim_Mul_Bet1!$A$2:$A$100=H$2) * (Sim_Mul_Bet1!$C$2:$C$100=$B49),0
   ),
   0
)</f>
        <v>0</v>
      </c>
      <c r="J49">
        <v>46</v>
      </c>
      <c r="K49" s="186">
        <v>2000</v>
      </c>
      <c r="L49" s="187" t="s">
        <v>93</v>
      </c>
      <c r="M49" s="188">
        <f t="shared" si="1"/>
        <v>0</v>
      </c>
      <c r="N49" s="189">
        <f t="shared" si="5"/>
        <v>0</v>
      </c>
      <c r="O49" s="190">
        <f t="shared" si="6"/>
        <v>0</v>
      </c>
      <c r="P49" s="190">
        <v>0</v>
      </c>
      <c r="Q49" s="190">
        <v>0</v>
      </c>
      <c r="R49" s="191">
        <f t="shared" si="0"/>
        <v>0</v>
      </c>
      <c r="T49" s="192">
        <f t="shared" si="7"/>
        <v>0</v>
      </c>
      <c r="U49" s="176">
        <v>0</v>
      </c>
      <c r="V49" s="195">
        <f t="shared" si="2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3"/>
        <v>0</v>
      </c>
      <c r="AD49" s="192">
        <f t="shared" si="4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Sim_Mul_Bet1!$F$2:$F$100,
      (Sim_Mul_Bet1!$A$2:$A$100=C$2) * (Sim_Mul_Bet1!$C$2:$C$100=$B50),0
   ),
   0
)</f>
        <v>0</v>
      </c>
      <c r="D50" s="181" cm="1">
        <f t="array" ref="D50">_xlfn.IFNA(
   _xlfn._xlws.FILTER(
      Sim_Mul_Bet1!$F$2:$F$100,
      (Sim_Mul_Bet1!$A$2:$A$100=D$2) * (Sim_Mul_Bet1!$C$2:$C$100=$B50),0
   ),
   0
)</f>
        <v>0</v>
      </c>
      <c r="E50" s="182" cm="1">
        <f t="array" ref="E50">_xlfn.IFNA(
   _xlfn._xlws.FILTER(
      Sim_Mul_Bet1!$F$2:$F$100,
      (Sim_Mul_Bet1!$A$2:$A$100=E$2) * (Sim_Mul_Bet1!$C$2:$C$100=$B50),0
   ),
   0
)</f>
        <v>0</v>
      </c>
      <c r="F50" s="183" cm="1">
        <f t="array" ref="F50">_xlfn.IFNA(
   _xlfn._xlws.FILTER(
      Sim_Mul_Bet1!$L$2:$L$100,
      (Sim_Mul_Bet1!$A$2:$A$100=F$2) * (Sim_Mul_Bet1!$C$2:$C$100=$B50),0
   ),
   0
)</f>
        <v>0</v>
      </c>
      <c r="G50" s="184" cm="1">
        <f t="array" ref="G50">_xlfn.IFNA(
   _xlfn._xlws.FILTER(
      Sim_Mul_Bet1!$L$2:$L$100,
      (Sim_Mul_Bet1!$A$2:$A$100=G$2) * (Sim_Mul_Bet1!$C$2:$C$100=$B50),0
   ),
   0
)</f>
        <v>0</v>
      </c>
      <c r="H50" s="185" cm="1">
        <f t="array" ref="H50">_xlfn.IFNA(
   _xlfn._xlws.FILTER(
      Sim_Mul_Bet1!$L$2:$L$100,
      (Sim_Mul_Bet1!$A$2:$A$100=H$2) * (Sim_Mul_Bet1!$C$2:$C$100=$B50),0
   ),
   0
)</f>
        <v>0</v>
      </c>
      <c r="J50">
        <v>47</v>
      </c>
      <c r="K50" s="186">
        <v>3000</v>
      </c>
      <c r="L50" s="187" t="s">
        <v>93</v>
      </c>
      <c r="M50" s="188">
        <f t="shared" si="1"/>
        <v>0</v>
      </c>
      <c r="N50" s="189">
        <f t="shared" si="5"/>
        <v>0</v>
      </c>
      <c r="O50" s="190">
        <f t="shared" si="6"/>
        <v>0</v>
      </c>
      <c r="P50" s="190">
        <v>0</v>
      </c>
      <c r="Q50" s="190">
        <v>0</v>
      </c>
      <c r="R50" s="191">
        <f t="shared" si="0"/>
        <v>0</v>
      </c>
      <c r="T50" s="192">
        <f t="shared" si="7"/>
        <v>0</v>
      </c>
      <c r="U50" s="176">
        <v>0</v>
      </c>
      <c r="V50" s="195">
        <f t="shared" si="2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3"/>
        <v>0</v>
      </c>
      <c r="AD50" s="192">
        <f t="shared" si="4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Sim_Mul_Bet1!$F$2:$F$100,
      (Sim_Mul_Bet1!$A$2:$A$100=C$2) * (Sim_Mul_Bet1!$C$2:$C$100=$B51),0
   ),
   0
)</f>
        <v>0</v>
      </c>
      <c r="D51" s="181" cm="1">
        <f t="array" ref="D51">_xlfn.IFNA(
   _xlfn._xlws.FILTER(
      Sim_Mul_Bet1!$F$2:$F$100,
      (Sim_Mul_Bet1!$A$2:$A$100=D$2) * (Sim_Mul_Bet1!$C$2:$C$100=$B51),0
   ),
   0
)</f>
        <v>0</v>
      </c>
      <c r="E51" s="182" cm="1">
        <f t="array" ref="E51">_xlfn.IFNA(
   _xlfn._xlws.FILTER(
      Sim_Mul_Bet1!$F$2:$F$100,
      (Sim_Mul_Bet1!$A$2:$A$100=E$2) * (Sim_Mul_Bet1!$C$2:$C$100=$B51),0
   ),
   0
)</f>
        <v>0</v>
      </c>
      <c r="F51" s="183" cm="1">
        <f t="array" ref="F51">_xlfn.IFNA(
   _xlfn._xlws.FILTER(
      Sim_Mul_Bet1!$L$2:$L$100,
      (Sim_Mul_Bet1!$A$2:$A$100=F$2) * (Sim_Mul_Bet1!$C$2:$C$100=$B51),0
   ),
   0
)</f>
        <v>0</v>
      </c>
      <c r="G51" s="184" cm="1">
        <f t="array" ref="G51">_xlfn.IFNA(
   _xlfn._xlws.FILTER(
      Sim_Mul_Bet1!$L$2:$L$100,
      (Sim_Mul_Bet1!$A$2:$A$100=G$2) * (Sim_Mul_Bet1!$C$2:$C$100=$B51),0
   ),
   0
)</f>
        <v>0</v>
      </c>
      <c r="H51" s="185" cm="1">
        <f t="array" ref="H51">_xlfn.IFNA(
   _xlfn._xlws.FILTER(
      Sim_Mul_Bet1!$L$2:$L$100,
      (Sim_Mul_Bet1!$A$2:$A$100=H$2) * (Sim_Mul_Bet1!$C$2:$C$100=$B51),0
   ),
   0
)</f>
        <v>0</v>
      </c>
      <c r="J51">
        <v>48</v>
      </c>
      <c r="K51" s="186">
        <v>4000</v>
      </c>
      <c r="L51" s="187" t="s">
        <v>93</v>
      </c>
      <c r="M51" s="188">
        <f t="shared" si="1"/>
        <v>0</v>
      </c>
      <c r="N51" s="189">
        <f t="shared" si="5"/>
        <v>0</v>
      </c>
      <c r="O51" s="190">
        <f t="shared" si="6"/>
        <v>0</v>
      </c>
      <c r="P51" s="190">
        <v>0</v>
      </c>
      <c r="Q51" s="190">
        <v>0</v>
      </c>
      <c r="R51" s="191">
        <f t="shared" si="0"/>
        <v>0</v>
      </c>
      <c r="T51" s="192">
        <f t="shared" si="7"/>
        <v>0</v>
      </c>
      <c r="U51" s="176">
        <v>0</v>
      </c>
      <c r="V51" s="195">
        <f t="shared" si="2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3"/>
        <v>0</v>
      </c>
      <c r="AD51" s="192">
        <f t="shared" si="4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Sim_Mul_Bet1!$F$2:$F$100,
      (Sim_Mul_Bet1!$A$2:$A$100=C$2) * (Sim_Mul_Bet1!$C$2:$C$100=$B52),0
   ),
   0
)</f>
        <v>0</v>
      </c>
      <c r="D52" s="181" cm="1">
        <f t="array" ref="D52">_xlfn.IFNA(
   _xlfn._xlws.FILTER(
      Sim_Mul_Bet1!$F$2:$F$100,
      (Sim_Mul_Bet1!$A$2:$A$100=D$2) * (Sim_Mul_Bet1!$C$2:$C$100=$B52),0
   ),
   0
)</f>
        <v>0</v>
      </c>
      <c r="E52" s="182" cm="1">
        <f t="array" ref="E52">_xlfn.IFNA(
   _xlfn._xlws.FILTER(
      Sim_Mul_Bet1!$F$2:$F$100,
      (Sim_Mul_Bet1!$A$2:$A$100=E$2) * (Sim_Mul_Bet1!$C$2:$C$100=$B52),0
   ),
   0
)</f>
        <v>0</v>
      </c>
      <c r="F52" s="183" cm="1">
        <f t="array" ref="F52">_xlfn.IFNA(
   _xlfn._xlws.FILTER(
      Sim_Mul_Bet1!$L$2:$L$100,
      (Sim_Mul_Bet1!$A$2:$A$100=F$2) * (Sim_Mul_Bet1!$C$2:$C$100=$B52),0
   ),
   0
)</f>
        <v>0</v>
      </c>
      <c r="G52" s="184" cm="1">
        <f t="array" ref="G52">_xlfn.IFNA(
   _xlfn._xlws.FILTER(
      Sim_Mul_Bet1!$L$2:$L$100,
      (Sim_Mul_Bet1!$A$2:$A$100=G$2) * (Sim_Mul_Bet1!$C$2:$C$100=$B52),0
   ),
   0
)</f>
        <v>0</v>
      </c>
      <c r="H52" s="185" cm="1">
        <f t="array" ref="H52">_xlfn.IFNA(
   _xlfn._xlws.FILTER(
      Sim_Mul_Bet1!$L$2:$L$100,
      (Sim_Mul_Bet1!$A$2:$A$100=H$2) * (Sim_Mul_Bet1!$C$2:$C$100=$B52),0
   ),
   0
)</f>
        <v>0</v>
      </c>
      <c r="J52">
        <v>49</v>
      </c>
      <c r="K52" s="186">
        <v>5000</v>
      </c>
      <c r="L52" s="187" t="s">
        <v>93</v>
      </c>
      <c r="M52" s="188">
        <f t="shared" si="1"/>
        <v>0</v>
      </c>
      <c r="N52" s="189">
        <f t="shared" si="5"/>
        <v>0</v>
      </c>
      <c r="O52" s="190">
        <f t="shared" si="6"/>
        <v>0</v>
      </c>
      <c r="P52" s="190">
        <v>0</v>
      </c>
      <c r="Q52" s="190">
        <v>0</v>
      </c>
      <c r="R52" s="191">
        <f t="shared" si="0"/>
        <v>0</v>
      </c>
      <c r="T52" s="192">
        <f t="shared" si="7"/>
        <v>0</v>
      </c>
      <c r="U52" s="176">
        <v>0</v>
      </c>
      <c r="V52" s="195">
        <f t="shared" si="2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3"/>
        <v>0</v>
      </c>
      <c r="AD52" s="192">
        <f t="shared" si="4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Sim_Mul_Bet1!$F$2:$F$100,
      (Sim_Mul_Bet1!$A$2:$A$100=C$2) * (Sim_Mul_Bet1!$C$2:$C$100=$B53),0
   ),
   0
)</f>
        <v>0</v>
      </c>
      <c r="D53" s="181" cm="1">
        <f t="array" ref="D53">_xlfn.IFNA(
   _xlfn._xlws.FILTER(
      Sim_Mul_Bet1!$F$2:$F$100,
      (Sim_Mul_Bet1!$A$2:$A$100=D$2) * (Sim_Mul_Bet1!$C$2:$C$100=$B53),0
   ),
   0
)</f>
        <v>0</v>
      </c>
      <c r="E53" s="182" cm="1">
        <f t="array" ref="E53">_xlfn.IFNA(
   _xlfn._xlws.FILTER(
      Sim_Mul_Bet1!$F$2:$F$100,
      (Sim_Mul_Bet1!$A$2:$A$100=E$2) * (Sim_Mul_Bet1!$C$2:$C$100=$B53),0
   ),
   0
)</f>
        <v>0</v>
      </c>
      <c r="F53" s="183" cm="1">
        <f t="array" ref="F53">_xlfn.IFNA(
   _xlfn._xlws.FILTER(
      Sim_Mul_Bet1!$L$2:$L$100,
      (Sim_Mul_Bet1!$A$2:$A$100=F$2) * (Sim_Mul_Bet1!$C$2:$C$100=$B53),0
   ),
   0
)</f>
        <v>0</v>
      </c>
      <c r="G53" s="184" cm="1">
        <f t="array" ref="G53">_xlfn.IFNA(
   _xlfn._xlws.FILTER(
      Sim_Mul_Bet1!$L$2:$L$100,
      (Sim_Mul_Bet1!$A$2:$A$100=G$2) * (Sim_Mul_Bet1!$C$2:$C$100=$B53),0
   ),
   0
)</f>
        <v>0</v>
      </c>
      <c r="H53" s="185" cm="1">
        <f t="array" ref="H53">_xlfn.IFNA(
   _xlfn._xlws.FILTER(
      Sim_Mul_Bet1!$L$2:$L$100,
      (Sim_Mul_Bet1!$A$2:$A$100=H$2) * (Sim_Mul_Bet1!$C$2:$C$100=$B53),0
   ),
   0
)</f>
        <v>0</v>
      </c>
      <c r="J53">
        <v>50</v>
      </c>
      <c r="K53" s="186">
        <v>6000</v>
      </c>
      <c r="L53" s="187" t="s">
        <v>93</v>
      </c>
      <c r="M53" s="188">
        <f t="shared" si="1"/>
        <v>0</v>
      </c>
      <c r="N53" s="189">
        <f t="shared" si="5"/>
        <v>0</v>
      </c>
      <c r="O53" s="190">
        <f t="shared" si="6"/>
        <v>0</v>
      </c>
      <c r="P53" s="190">
        <v>0</v>
      </c>
      <c r="Q53" s="190">
        <v>0</v>
      </c>
      <c r="R53" s="191">
        <f t="shared" si="0"/>
        <v>0</v>
      </c>
      <c r="T53" s="192">
        <f t="shared" si="7"/>
        <v>0</v>
      </c>
      <c r="U53" s="176">
        <v>0</v>
      </c>
      <c r="V53" s="195">
        <f t="shared" si="2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3"/>
        <v>0</v>
      </c>
      <c r="AD53" s="192">
        <f t="shared" si="4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Sim_Mul_Bet1!$F$2:$F$100,
      (Sim_Mul_Bet1!$A$2:$A$100=C$2) * (Sim_Mul_Bet1!$C$2:$C$100=$B54),0
   ),
   0
)</f>
        <v>0</v>
      </c>
      <c r="D54" s="198" cm="1">
        <f t="array" ref="D54">_xlfn.IFNA(
   _xlfn._xlws.FILTER(
      Sim_Mul_Bet1!$F$2:$F$100,
      (Sim_Mul_Bet1!$A$2:$A$100=D$2) * (Sim_Mul_Bet1!$C$2:$C$100=$B54),0
   ),
   0
)</f>
        <v>0</v>
      </c>
      <c r="E54" s="199" cm="1">
        <f t="array" ref="E54">_xlfn.IFNA(
   _xlfn._xlws.FILTER(
      Sim_Mul_Bet1!$F$2:$F$100,
      (Sim_Mul_Bet1!$A$2:$A$100=E$2) * (Sim_Mul_Bet1!$C$2:$C$100=$B54),0
   ),
   0
)</f>
        <v>0</v>
      </c>
      <c r="F54" s="200" cm="1">
        <f t="array" ref="F54">_xlfn.IFNA(
   _xlfn._xlws.FILTER(
      Sim_Mul_Bet1!$L$2:$L$100,
      (Sim_Mul_Bet1!$A$2:$A$100=F$2) * (Sim_Mul_Bet1!$C$2:$C$100=$B54),0
   ),
   0
)</f>
        <v>0</v>
      </c>
      <c r="G54" s="201" cm="1">
        <f t="array" ref="G54">_xlfn.IFNA(
   _xlfn._xlws.FILTER(
      Sim_Mul_Bet1!$L$2:$L$100,
      (Sim_Mul_Bet1!$A$2:$A$100=G$2) * (Sim_Mul_Bet1!$C$2:$C$100=$B54),0
   ),
   0
)</f>
        <v>0</v>
      </c>
      <c r="H54" s="202" cm="1">
        <f t="array" ref="H54">_xlfn.IFNA(
   _xlfn._xlws.FILTER(
      Sim_Mul_Bet1!$L$2:$L$100,
      (Sim_Mul_Bet1!$A$2:$A$100=H$2) * (Sim_Mul_Bet1!$C$2:$C$100=$B54),0
   ),
   0
)</f>
        <v>0</v>
      </c>
      <c r="J54">
        <v>51</v>
      </c>
      <c r="K54" s="203">
        <v>7000</v>
      </c>
      <c r="L54" s="204" t="s">
        <v>93</v>
      </c>
      <c r="M54" s="205">
        <f t="shared" si="1"/>
        <v>0</v>
      </c>
      <c r="N54" s="206">
        <f t="shared" si="5"/>
        <v>0</v>
      </c>
      <c r="O54" s="207">
        <f t="shared" si="6"/>
        <v>0</v>
      </c>
      <c r="P54" s="207">
        <v>0</v>
      </c>
      <c r="Q54" s="207">
        <v>0</v>
      </c>
      <c r="R54" s="191">
        <f t="shared" si="0"/>
        <v>0</v>
      </c>
      <c r="T54" s="208">
        <f t="shared" si="7"/>
        <v>0</v>
      </c>
      <c r="U54" s="177">
        <v>0</v>
      </c>
      <c r="V54" s="209">
        <f t="shared" si="2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3"/>
        <v>0</v>
      </c>
      <c r="AD54" s="208">
        <f t="shared" si="4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32" priority="14" operator="equal">
      <formula>0</formula>
    </cfRule>
  </conditionalFormatting>
  <conditionalFormatting sqref="N1:N1048576">
    <cfRule type="cellIs" dxfId="1531" priority="13" operator="equal">
      <formula>0</formula>
    </cfRule>
  </conditionalFormatting>
  <conditionalFormatting sqref="M1:M1048576">
    <cfRule type="cellIs" dxfId="1530" priority="11" operator="lessThan">
      <formula>0.001</formula>
    </cfRule>
  </conditionalFormatting>
  <conditionalFormatting sqref="O5:O54 O3:P3">
    <cfRule type="cellIs" dxfId="1529" priority="10" operator="equal">
      <formula>0</formula>
    </cfRule>
  </conditionalFormatting>
  <conditionalFormatting sqref="Q3:Q54">
    <cfRule type="cellIs" dxfId="1528" priority="9" operator="equal">
      <formula>0</formula>
    </cfRule>
  </conditionalFormatting>
  <conditionalFormatting sqref="F4:H54 F3:G3">
    <cfRule type="cellIs" dxfId="1527" priority="8" operator="equal">
      <formula>0</formula>
    </cfRule>
  </conditionalFormatting>
  <conditionalFormatting sqref="P4:P54">
    <cfRule type="cellIs" dxfId="1526" priority="6" operator="equal">
      <formula>0</formula>
    </cfRule>
  </conditionalFormatting>
  <conditionalFormatting sqref="Z3:Z54">
    <cfRule type="cellIs" dxfId="1525" priority="1" operator="equal">
      <formula>0</formula>
    </cfRule>
  </conditionalFormatting>
  <conditionalFormatting sqref="AD1:AD1048576 Y1:Y2 Y55:Y1048576 AA55:AA1048576 AA1:AA2">
    <cfRule type="cellIs" dxfId="1524" priority="5" operator="equal">
      <formula>0</formula>
    </cfRule>
  </conditionalFormatting>
  <conditionalFormatting sqref="Y3:Y54">
    <cfRule type="cellIs" dxfId="1523" priority="4" operator="equal">
      <formula>0</formula>
    </cfRule>
  </conditionalFormatting>
  <conditionalFormatting sqref="AA3:AA54">
    <cfRule type="cellIs" dxfId="1522" priority="3" operator="equal">
      <formula>0</formula>
    </cfRule>
  </conditionalFormatting>
  <conditionalFormatting sqref="Z1:Z2 Z55:Z1048576">
    <cfRule type="cellIs" dxfId="1521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6163-549C-4DFD-B77C-EDFD322F224D}">
  <dimension ref="A1:AC42"/>
  <sheetViews>
    <sheetView workbookViewId="0"/>
  </sheetViews>
  <sheetFormatPr defaultRowHeight="16.2"/>
  <sheetData>
    <row r="1" spans="1:29">
      <c r="F1" t="s">
        <v>164</v>
      </c>
      <c r="L1">
        <v>1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79597221</v>
      </c>
      <c r="F2" cm="1">
        <f t="array" ref="F2:F18">E2:E18/SUM(E2:E18)</f>
        <v>0.79597220999999996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5778729</v>
      </c>
      <c r="F3">
        <v>5.7787289999999998E-2</v>
      </c>
      <c r="H3" t="s">
        <v>157</v>
      </c>
      <c r="I3" t="s">
        <v>156</v>
      </c>
      <c r="J3">
        <v>577872900</v>
      </c>
      <c r="L3">
        <f>J3/E3/100/$L$1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5778729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506731</v>
      </c>
      <c r="F4">
        <v>5.0673100000000002E-3</v>
      </c>
      <c r="H4" t="s">
        <v>157</v>
      </c>
      <c r="I4" t="s">
        <v>156</v>
      </c>
      <c r="J4">
        <v>101346200</v>
      </c>
      <c r="L4">
        <f t="shared" ref="L4:L18" si="0">J4/E4/100/$L$1</f>
        <v>2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134795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4</v>
      </c>
      <c r="D5" t="s">
        <v>156</v>
      </c>
      <c r="E5">
        <v>7348217</v>
      </c>
      <c r="F5">
        <v>7.3482169999999999E-2</v>
      </c>
      <c r="H5" t="s">
        <v>157</v>
      </c>
      <c r="I5" t="s">
        <v>156</v>
      </c>
      <c r="J5">
        <v>3674108500</v>
      </c>
      <c r="L5">
        <f t="shared" si="0"/>
        <v>5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1673259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5</v>
      </c>
      <c r="D6" t="s">
        <v>156</v>
      </c>
      <c r="E6">
        <v>79270</v>
      </c>
      <c r="F6">
        <v>7.9270000000000002E-4</v>
      </c>
      <c r="H6" t="s">
        <v>157</v>
      </c>
      <c r="I6" t="s">
        <v>156</v>
      </c>
      <c r="J6">
        <v>47562000</v>
      </c>
      <c r="L6">
        <f t="shared" si="0"/>
        <v>6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>
        <v>79270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9</v>
      </c>
      <c r="D7" t="s">
        <v>156</v>
      </c>
      <c r="E7">
        <v>5260601</v>
      </c>
      <c r="F7">
        <v>5.2606010000000002E-2</v>
      </c>
      <c r="H7" t="s">
        <v>157</v>
      </c>
      <c r="I7" t="s">
        <v>156</v>
      </c>
      <c r="J7">
        <v>5260601000</v>
      </c>
      <c r="L7">
        <f t="shared" si="0"/>
        <v>10</v>
      </c>
      <c r="O7" t="s">
        <v>158</v>
      </c>
      <c r="P7" t="s">
        <v>156</v>
      </c>
      <c r="Q7" t="s">
        <v>159</v>
      </c>
      <c r="R7" t="s">
        <v>160</v>
      </c>
      <c r="S7" t="s">
        <v>156</v>
      </c>
      <c r="T7">
        <v>4137078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10</v>
      </c>
      <c r="D8" t="s">
        <v>156</v>
      </c>
      <c r="E8">
        <v>344485</v>
      </c>
      <c r="F8">
        <v>3.4448500000000002E-3</v>
      </c>
      <c r="H8" t="s">
        <v>157</v>
      </c>
      <c r="I8" t="s">
        <v>156</v>
      </c>
      <c r="J8">
        <v>417773400</v>
      </c>
      <c r="L8">
        <f t="shared" si="0"/>
        <v>12.12747724864653</v>
      </c>
      <c r="O8" t="s">
        <v>158</v>
      </c>
      <c r="P8" t="s">
        <v>156</v>
      </c>
      <c r="Q8" t="s">
        <v>159</v>
      </c>
      <c r="R8" t="s">
        <v>160</v>
      </c>
      <c r="S8" t="s">
        <v>156</v>
      </c>
      <c r="T8">
        <v>344485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15</v>
      </c>
      <c r="D9" t="s">
        <v>156</v>
      </c>
      <c r="E9">
        <v>336342</v>
      </c>
      <c r="F9">
        <v>3.3634200000000002E-3</v>
      </c>
      <c r="H9" t="s">
        <v>157</v>
      </c>
      <c r="I9" t="s">
        <v>156</v>
      </c>
      <c r="J9">
        <v>671455600</v>
      </c>
      <c r="L9">
        <f t="shared" si="0"/>
        <v>19.96347765072456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>
        <v>9736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20</v>
      </c>
      <c r="D10" t="s">
        <v>156</v>
      </c>
      <c r="E10">
        <v>432671</v>
      </c>
      <c r="F10">
        <v>4.3267100000000001E-3</v>
      </c>
      <c r="H10" t="s">
        <v>157</v>
      </c>
      <c r="I10" t="s">
        <v>156</v>
      </c>
      <c r="J10">
        <v>1066968700</v>
      </c>
      <c r="L10">
        <f t="shared" si="0"/>
        <v>24.660046548070014</v>
      </c>
      <c r="O10" t="s">
        <v>158</v>
      </c>
      <c r="P10" t="s">
        <v>156</v>
      </c>
      <c r="Q10" t="s">
        <v>159</v>
      </c>
      <c r="R10" t="s">
        <v>160</v>
      </c>
      <c r="S10" t="s">
        <v>156</v>
      </c>
      <c r="T10">
        <v>1529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25</v>
      </c>
      <c r="D11" t="s">
        <v>156</v>
      </c>
      <c r="E11">
        <v>21366</v>
      </c>
      <c r="F11">
        <v>2.1366000000000001E-4</v>
      </c>
      <c r="H11" t="s">
        <v>157</v>
      </c>
      <c r="I11" t="s">
        <v>156</v>
      </c>
      <c r="J11">
        <v>64087200</v>
      </c>
      <c r="L11">
        <f t="shared" si="0"/>
        <v>29.994945240101096</v>
      </c>
      <c r="O11" t="s">
        <v>158</v>
      </c>
      <c r="P11" t="s">
        <v>156</v>
      </c>
      <c r="Q11" t="s">
        <v>159</v>
      </c>
      <c r="R11" t="s">
        <v>160</v>
      </c>
      <c r="S11" t="s">
        <v>156</v>
      </c>
      <c r="T11">
        <v>30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45</v>
      </c>
      <c r="D12" t="s">
        <v>156</v>
      </c>
      <c r="E12">
        <v>174124</v>
      </c>
      <c r="F12">
        <v>1.74124E-3</v>
      </c>
      <c r="H12" t="s">
        <v>157</v>
      </c>
      <c r="I12" t="s">
        <v>156</v>
      </c>
      <c r="J12">
        <v>870620000</v>
      </c>
      <c r="L12">
        <f t="shared" si="0"/>
        <v>50</v>
      </c>
      <c r="O12" t="s">
        <v>158</v>
      </c>
      <c r="P12" t="s">
        <v>156</v>
      </c>
      <c r="Q12" t="s">
        <v>159</v>
      </c>
      <c r="R12" t="s">
        <v>160</v>
      </c>
      <c r="S12" t="s">
        <v>156</v>
      </c>
      <c r="T12">
        <v>115195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50</v>
      </c>
      <c r="D13" t="s">
        <v>156</v>
      </c>
      <c r="E13">
        <v>53310</v>
      </c>
      <c r="F13">
        <v>5.331E-4</v>
      </c>
      <c r="H13" t="s">
        <v>157</v>
      </c>
      <c r="I13" t="s">
        <v>156</v>
      </c>
      <c r="J13">
        <v>281634900</v>
      </c>
      <c r="L13">
        <f t="shared" si="0"/>
        <v>52.829656724817106</v>
      </c>
      <c r="O13" t="s">
        <v>158</v>
      </c>
      <c r="P13" t="s">
        <v>156</v>
      </c>
      <c r="Q13" t="s">
        <v>159</v>
      </c>
      <c r="R13" t="s">
        <v>160</v>
      </c>
      <c r="S13" t="s">
        <v>156</v>
      </c>
      <c r="T13">
        <v>44823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60</v>
      </c>
      <c r="D14" t="s">
        <v>156</v>
      </c>
      <c r="E14">
        <v>241</v>
      </c>
      <c r="F14">
        <v>2.4099999999999998E-6</v>
      </c>
      <c r="H14" t="s">
        <v>157</v>
      </c>
      <c r="I14" t="s">
        <v>156</v>
      </c>
      <c r="J14">
        <v>1502700</v>
      </c>
      <c r="L14">
        <f t="shared" si="0"/>
        <v>62.352697095435687</v>
      </c>
      <c r="O14" t="s">
        <v>158</v>
      </c>
      <c r="P14" t="s">
        <v>156</v>
      </c>
      <c r="Q14" t="s">
        <v>159</v>
      </c>
      <c r="R14" t="s">
        <v>160</v>
      </c>
      <c r="S14" t="s">
        <v>156</v>
      </c>
      <c r="T14">
        <v>241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90</v>
      </c>
      <c r="D15" t="s">
        <v>156</v>
      </c>
      <c r="E15">
        <v>49624</v>
      </c>
      <c r="F15">
        <v>4.9624000000000001E-4</v>
      </c>
      <c r="H15" t="s">
        <v>157</v>
      </c>
      <c r="I15" t="s">
        <v>156</v>
      </c>
      <c r="J15">
        <v>496240000</v>
      </c>
      <c r="L15">
        <f t="shared" si="0"/>
        <v>100</v>
      </c>
      <c r="O15" t="s">
        <v>158</v>
      </c>
      <c r="P15" t="s">
        <v>156</v>
      </c>
      <c r="Q15" t="s">
        <v>159</v>
      </c>
      <c r="R15" t="s">
        <v>160</v>
      </c>
      <c r="S15" t="s">
        <v>156</v>
      </c>
      <c r="T15">
        <v>3835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100</v>
      </c>
      <c r="D16" t="s">
        <v>156</v>
      </c>
      <c r="E16">
        <v>14816</v>
      </c>
      <c r="F16">
        <v>1.4815999999999999E-4</v>
      </c>
      <c r="H16" t="s">
        <v>157</v>
      </c>
      <c r="I16" t="s">
        <v>156</v>
      </c>
      <c r="J16">
        <v>154137500</v>
      </c>
      <c r="L16">
        <f t="shared" si="0"/>
        <v>104.03448974082073</v>
      </c>
      <c r="O16" t="s">
        <v>158</v>
      </c>
      <c r="P16" t="s">
        <v>156</v>
      </c>
      <c r="Q16" t="s">
        <v>159</v>
      </c>
      <c r="R16" t="s">
        <v>160</v>
      </c>
      <c r="S16" t="s">
        <v>156</v>
      </c>
      <c r="T16">
        <v>1415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450</v>
      </c>
      <c r="D17" t="s">
        <v>156</v>
      </c>
      <c r="E17">
        <v>1735</v>
      </c>
      <c r="F17">
        <v>1.7350000000000002E-5</v>
      </c>
      <c r="H17" t="s">
        <v>157</v>
      </c>
      <c r="I17" t="s">
        <v>156</v>
      </c>
      <c r="J17">
        <v>86750000</v>
      </c>
      <c r="L17">
        <f t="shared" si="0"/>
        <v>500</v>
      </c>
      <c r="O17" t="s">
        <v>158</v>
      </c>
      <c r="P17" t="s">
        <v>156</v>
      </c>
      <c r="Q17" t="s">
        <v>159</v>
      </c>
      <c r="R17" t="s">
        <v>160</v>
      </c>
      <c r="S17" t="s">
        <v>156</v>
      </c>
      <c r="T17" t="s">
        <v>159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500</v>
      </c>
      <c r="D18" t="s">
        <v>156</v>
      </c>
      <c r="E18">
        <v>517</v>
      </c>
      <c r="F18">
        <v>5.1699999999999996E-6</v>
      </c>
      <c r="H18" t="s">
        <v>157</v>
      </c>
      <c r="I18" t="s">
        <v>156</v>
      </c>
      <c r="J18">
        <v>26408500</v>
      </c>
      <c r="L18">
        <f t="shared" si="0"/>
        <v>510.80270793036749</v>
      </c>
      <c r="O18" t="s">
        <v>158</v>
      </c>
      <c r="P18" t="s">
        <v>156</v>
      </c>
      <c r="Q18" t="s">
        <v>159</v>
      </c>
      <c r="R18" t="s">
        <v>160</v>
      </c>
      <c r="S18" t="s">
        <v>156</v>
      </c>
      <c r="T18" t="s">
        <v>159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21" spans="1:29">
      <c r="A21" t="s">
        <v>93</v>
      </c>
      <c r="B21" t="s">
        <v>155</v>
      </c>
      <c r="C21">
        <v>-1</v>
      </c>
      <c r="D21" t="s">
        <v>156</v>
      </c>
      <c r="E21">
        <v>22225457</v>
      </c>
      <c r="F21" cm="1">
        <f t="array" ref="F21:F42">E21:E42/SUM(E21:E42)</f>
        <v>0.22225457000000001</v>
      </c>
    </row>
    <row r="22" spans="1:29">
      <c r="A22" t="s">
        <v>93</v>
      </c>
      <c r="B22" t="s">
        <v>155</v>
      </c>
      <c r="C22">
        <v>0</v>
      </c>
      <c r="D22" t="s">
        <v>156</v>
      </c>
      <c r="E22">
        <v>2778646</v>
      </c>
      <c r="F22">
        <v>2.7786459999999999E-2</v>
      </c>
      <c r="H22" t="s">
        <v>157</v>
      </c>
      <c r="I22" t="s">
        <v>156</v>
      </c>
      <c r="J22">
        <v>277864600</v>
      </c>
      <c r="L22">
        <f>J22/E22/100/$L$1</f>
        <v>1</v>
      </c>
      <c r="O22" t="s">
        <v>158</v>
      </c>
      <c r="P22" t="s">
        <v>156</v>
      </c>
      <c r="Q22" t="s">
        <v>159</v>
      </c>
      <c r="R22" t="s">
        <v>160</v>
      </c>
      <c r="S22" t="s">
        <v>156</v>
      </c>
      <c r="T22">
        <v>2778646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93</v>
      </c>
      <c r="B23" t="s">
        <v>155</v>
      </c>
      <c r="C23">
        <v>1</v>
      </c>
      <c r="D23" t="s">
        <v>156</v>
      </c>
      <c r="E23">
        <v>6946658</v>
      </c>
      <c r="F23">
        <v>6.946658E-2</v>
      </c>
      <c r="H23" t="s">
        <v>157</v>
      </c>
      <c r="I23" t="s">
        <v>156</v>
      </c>
      <c r="J23">
        <v>1389331600</v>
      </c>
      <c r="L23">
        <f t="shared" ref="L23:L42" si="1">J23/E23/100/$L$1</f>
        <v>2</v>
      </c>
      <c r="O23" t="s">
        <v>158</v>
      </c>
      <c r="P23" t="s">
        <v>156</v>
      </c>
      <c r="Q23" t="s">
        <v>159</v>
      </c>
      <c r="R23" t="s">
        <v>160</v>
      </c>
      <c r="S23" t="s">
        <v>156</v>
      </c>
      <c r="T23">
        <v>1389397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93</v>
      </c>
      <c r="B24" t="s">
        <v>155</v>
      </c>
      <c r="C24">
        <v>4</v>
      </c>
      <c r="D24" t="s">
        <v>156</v>
      </c>
      <c r="E24">
        <v>8329281</v>
      </c>
      <c r="F24">
        <v>8.3292809999999995E-2</v>
      </c>
      <c r="H24" t="s">
        <v>157</v>
      </c>
      <c r="I24" t="s">
        <v>156</v>
      </c>
      <c r="J24">
        <v>4164640500</v>
      </c>
      <c r="L24">
        <f t="shared" si="1"/>
        <v>5</v>
      </c>
      <c r="O24" t="s">
        <v>158</v>
      </c>
      <c r="P24" t="s">
        <v>156</v>
      </c>
      <c r="Q24" t="s">
        <v>159</v>
      </c>
      <c r="R24" t="s">
        <v>160</v>
      </c>
      <c r="S24" t="s">
        <v>156</v>
      </c>
      <c r="T24">
        <v>2779582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93</v>
      </c>
      <c r="B25" t="s">
        <v>155</v>
      </c>
      <c r="C25">
        <v>5</v>
      </c>
      <c r="D25" t="s">
        <v>156</v>
      </c>
      <c r="E25">
        <v>2778618</v>
      </c>
      <c r="F25">
        <v>2.7786180000000001E-2</v>
      </c>
      <c r="H25" t="s">
        <v>157</v>
      </c>
      <c r="I25" t="s">
        <v>156</v>
      </c>
      <c r="J25">
        <v>1667170800</v>
      </c>
      <c r="L25">
        <f t="shared" si="1"/>
        <v>6</v>
      </c>
      <c r="O25" t="s">
        <v>158</v>
      </c>
      <c r="P25" t="s">
        <v>156</v>
      </c>
      <c r="Q25" t="s">
        <v>159</v>
      </c>
      <c r="R25" t="s">
        <v>160</v>
      </c>
      <c r="S25" t="s">
        <v>156</v>
      </c>
      <c r="T25">
        <v>2778618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93</v>
      </c>
      <c r="B26" t="s">
        <v>155</v>
      </c>
      <c r="C26">
        <v>9</v>
      </c>
      <c r="D26" t="s">
        <v>156</v>
      </c>
      <c r="E26">
        <v>8799973</v>
      </c>
      <c r="F26">
        <v>8.7999729999999998E-2</v>
      </c>
      <c r="H26" t="s">
        <v>157</v>
      </c>
      <c r="I26" t="s">
        <v>156</v>
      </c>
      <c r="J26">
        <v>8799973000</v>
      </c>
      <c r="L26">
        <f t="shared" si="1"/>
        <v>10</v>
      </c>
      <c r="O26" t="s">
        <v>158</v>
      </c>
      <c r="P26" t="s">
        <v>156</v>
      </c>
      <c r="Q26" t="s">
        <v>159</v>
      </c>
      <c r="R26" t="s">
        <v>160</v>
      </c>
      <c r="S26" t="s">
        <v>156</v>
      </c>
      <c r="T26">
        <v>3241572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93</v>
      </c>
      <c r="B27" t="s">
        <v>155</v>
      </c>
      <c r="C27">
        <v>10</v>
      </c>
      <c r="D27" t="s">
        <v>156</v>
      </c>
      <c r="E27">
        <v>5091928</v>
      </c>
      <c r="F27">
        <v>5.0919279999999997E-2</v>
      </c>
      <c r="H27" t="s">
        <v>157</v>
      </c>
      <c r="I27" t="s">
        <v>156</v>
      </c>
      <c r="J27">
        <v>6573424400</v>
      </c>
      <c r="L27">
        <f t="shared" si="1"/>
        <v>12.909499898663139</v>
      </c>
      <c r="O27" t="s">
        <v>158</v>
      </c>
      <c r="P27" t="s">
        <v>156</v>
      </c>
      <c r="Q27" t="s">
        <v>159</v>
      </c>
      <c r="R27" t="s">
        <v>160</v>
      </c>
      <c r="S27" t="s">
        <v>156</v>
      </c>
      <c r="T27">
        <v>5091928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93</v>
      </c>
      <c r="B28" t="s">
        <v>155</v>
      </c>
      <c r="C28">
        <v>15</v>
      </c>
      <c r="D28" t="s">
        <v>156</v>
      </c>
      <c r="E28">
        <v>5708653</v>
      </c>
      <c r="F28">
        <v>5.7086530000000003E-2</v>
      </c>
      <c r="H28" t="s">
        <v>157</v>
      </c>
      <c r="I28" t="s">
        <v>156</v>
      </c>
      <c r="J28">
        <v>11047116000</v>
      </c>
      <c r="L28">
        <f t="shared" si="1"/>
        <v>19.351528285218947</v>
      </c>
      <c r="O28" t="s">
        <v>158</v>
      </c>
      <c r="P28" t="s">
        <v>156</v>
      </c>
      <c r="Q28" t="s">
        <v>159</v>
      </c>
      <c r="R28" t="s">
        <v>160</v>
      </c>
      <c r="S28" t="s">
        <v>156</v>
      </c>
      <c r="T28">
        <v>2006229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93</v>
      </c>
      <c r="B29" t="s">
        <v>155</v>
      </c>
      <c r="C29">
        <v>20</v>
      </c>
      <c r="D29" t="s">
        <v>156</v>
      </c>
      <c r="E29">
        <v>7139482</v>
      </c>
      <c r="F29">
        <v>7.1394819999999998E-2</v>
      </c>
      <c r="H29" t="s">
        <v>157</v>
      </c>
      <c r="I29" t="s">
        <v>156</v>
      </c>
      <c r="J29">
        <v>17436248800</v>
      </c>
      <c r="L29">
        <f t="shared" si="1"/>
        <v>24.422288339686268</v>
      </c>
      <c r="O29" t="s">
        <v>158</v>
      </c>
      <c r="P29" t="s">
        <v>156</v>
      </c>
      <c r="Q29" t="s">
        <v>159</v>
      </c>
      <c r="R29" t="s">
        <v>160</v>
      </c>
      <c r="S29" t="s">
        <v>156</v>
      </c>
      <c r="T29">
        <v>656403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0" spans="1:29">
      <c r="A30" t="s">
        <v>93</v>
      </c>
      <c r="B30" t="s">
        <v>155</v>
      </c>
      <c r="C30">
        <v>25</v>
      </c>
      <c r="D30" t="s">
        <v>156</v>
      </c>
      <c r="E30">
        <v>1041965</v>
      </c>
      <c r="F30">
        <v>1.0419650000000001E-2</v>
      </c>
      <c r="H30" t="s">
        <v>157</v>
      </c>
      <c r="I30" t="s">
        <v>156</v>
      </c>
      <c r="J30">
        <v>3094709800</v>
      </c>
      <c r="L30">
        <f t="shared" si="1"/>
        <v>29.70070779728686</v>
      </c>
      <c r="O30" t="s">
        <v>158</v>
      </c>
      <c r="P30" t="s">
        <v>156</v>
      </c>
      <c r="Q30" t="s">
        <v>159</v>
      </c>
      <c r="R30" t="s">
        <v>160</v>
      </c>
      <c r="S30" t="s">
        <v>156</v>
      </c>
      <c r="T30">
        <v>116658</v>
      </c>
      <c r="U30" t="s">
        <v>161</v>
      </c>
      <c r="V30" t="s">
        <v>156</v>
      </c>
      <c r="W30" t="s">
        <v>159</v>
      </c>
      <c r="X30" t="s">
        <v>162</v>
      </c>
      <c r="Y30" t="s">
        <v>156</v>
      </c>
      <c r="Z30" t="s">
        <v>159</v>
      </c>
      <c r="AA30" t="s">
        <v>163</v>
      </c>
      <c r="AB30" t="s">
        <v>156</v>
      </c>
      <c r="AC30" t="s">
        <v>159</v>
      </c>
    </row>
    <row r="31" spans="1:29">
      <c r="A31" t="s">
        <v>93</v>
      </c>
      <c r="B31" t="s">
        <v>155</v>
      </c>
      <c r="C31">
        <v>45</v>
      </c>
      <c r="D31" t="s">
        <v>156</v>
      </c>
      <c r="E31">
        <v>4169275</v>
      </c>
      <c r="F31">
        <v>4.1692750000000001E-2</v>
      </c>
      <c r="H31" t="s">
        <v>157</v>
      </c>
      <c r="I31" t="s">
        <v>156</v>
      </c>
      <c r="J31">
        <v>20846375000</v>
      </c>
      <c r="L31">
        <f t="shared" si="1"/>
        <v>50</v>
      </c>
      <c r="O31" t="s">
        <v>158</v>
      </c>
      <c r="P31" t="s">
        <v>156</v>
      </c>
      <c r="Q31" t="s">
        <v>159</v>
      </c>
      <c r="R31" t="s">
        <v>160</v>
      </c>
      <c r="S31" t="s">
        <v>156</v>
      </c>
      <c r="T31">
        <v>463653</v>
      </c>
      <c r="U31" t="s">
        <v>161</v>
      </c>
      <c r="V31" t="s">
        <v>156</v>
      </c>
      <c r="W31" t="s">
        <v>159</v>
      </c>
      <c r="X31" t="s">
        <v>162</v>
      </c>
      <c r="Y31" t="s">
        <v>156</v>
      </c>
      <c r="Z31" t="s">
        <v>159</v>
      </c>
      <c r="AA31" t="s">
        <v>163</v>
      </c>
      <c r="AB31" t="s">
        <v>156</v>
      </c>
      <c r="AC31" t="s">
        <v>159</v>
      </c>
    </row>
    <row r="32" spans="1:29">
      <c r="A32" t="s">
        <v>93</v>
      </c>
      <c r="B32" t="s">
        <v>155</v>
      </c>
      <c r="C32">
        <v>50</v>
      </c>
      <c r="D32" t="s">
        <v>156</v>
      </c>
      <c r="E32">
        <v>4934837</v>
      </c>
      <c r="F32">
        <v>4.9348370000000003E-2</v>
      </c>
      <c r="H32" t="s">
        <v>157</v>
      </c>
      <c r="I32" t="s">
        <v>156</v>
      </c>
      <c r="J32">
        <v>27109914900</v>
      </c>
      <c r="L32">
        <f t="shared" si="1"/>
        <v>54.935785923628281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>
        <v>4010363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93</v>
      </c>
      <c r="B33" t="s">
        <v>155</v>
      </c>
      <c r="C33">
        <v>60</v>
      </c>
      <c r="D33" t="s">
        <v>156</v>
      </c>
      <c r="E33">
        <v>1080380</v>
      </c>
      <c r="F33">
        <v>1.0803800000000001E-2</v>
      </c>
      <c r="H33" t="s">
        <v>157</v>
      </c>
      <c r="I33" t="s">
        <v>156</v>
      </c>
      <c r="J33">
        <v>6899016900</v>
      </c>
      <c r="L33">
        <f t="shared" si="1"/>
        <v>63.85731779559044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>
        <v>1080380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93</v>
      </c>
      <c r="B34" t="s">
        <v>155</v>
      </c>
      <c r="C34">
        <v>70</v>
      </c>
      <c r="D34" t="s">
        <v>156</v>
      </c>
      <c r="E34">
        <v>925893</v>
      </c>
      <c r="F34">
        <v>9.2589300000000003E-3</v>
      </c>
      <c r="H34" t="s">
        <v>157</v>
      </c>
      <c r="I34" t="s">
        <v>156</v>
      </c>
      <c r="J34">
        <v>6944197500</v>
      </c>
      <c r="L34">
        <f t="shared" si="1"/>
        <v>75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 t="s">
        <v>159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5" spans="1:29">
      <c r="A35" t="s">
        <v>93</v>
      </c>
      <c r="B35" t="s">
        <v>155</v>
      </c>
      <c r="C35">
        <v>90</v>
      </c>
      <c r="D35" t="s">
        <v>156</v>
      </c>
      <c r="E35">
        <v>1426818</v>
      </c>
      <c r="F35">
        <v>1.426818E-2</v>
      </c>
      <c r="H35" t="s">
        <v>157</v>
      </c>
      <c r="I35" t="s">
        <v>156</v>
      </c>
      <c r="J35">
        <v>14268180000</v>
      </c>
      <c r="L35">
        <f t="shared" si="1"/>
        <v>100</v>
      </c>
      <c r="O35" t="s">
        <v>158</v>
      </c>
      <c r="P35" t="s">
        <v>156</v>
      </c>
      <c r="Q35" t="s">
        <v>159</v>
      </c>
      <c r="R35" t="s">
        <v>160</v>
      </c>
      <c r="S35" t="s">
        <v>156</v>
      </c>
      <c r="T35">
        <v>500547</v>
      </c>
      <c r="U35" t="s">
        <v>161</v>
      </c>
      <c r="V35" t="s">
        <v>156</v>
      </c>
      <c r="W35" t="s">
        <v>159</v>
      </c>
      <c r="X35" t="s">
        <v>162</v>
      </c>
      <c r="Y35" t="s">
        <v>156</v>
      </c>
      <c r="Z35" t="s">
        <v>159</v>
      </c>
      <c r="AA35" t="s">
        <v>163</v>
      </c>
      <c r="AB35" t="s">
        <v>156</v>
      </c>
      <c r="AC35" t="s">
        <v>159</v>
      </c>
    </row>
    <row r="36" spans="1:29">
      <c r="A36" t="s">
        <v>93</v>
      </c>
      <c r="B36" t="s">
        <v>155</v>
      </c>
      <c r="C36">
        <v>100</v>
      </c>
      <c r="D36" t="s">
        <v>156</v>
      </c>
      <c r="E36">
        <v>7252055</v>
      </c>
      <c r="F36">
        <v>7.2520550000000003E-2</v>
      </c>
      <c r="H36" t="s">
        <v>157</v>
      </c>
      <c r="I36" t="s">
        <v>156</v>
      </c>
      <c r="J36">
        <v>77242661000</v>
      </c>
      <c r="L36">
        <f t="shared" si="1"/>
        <v>106.51141090353011</v>
      </c>
      <c r="O36" t="s">
        <v>158</v>
      </c>
      <c r="P36" t="s">
        <v>156</v>
      </c>
      <c r="Q36" t="s">
        <v>159</v>
      </c>
      <c r="R36" t="s">
        <v>160</v>
      </c>
      <c r="S36" t="s">
        <v>156</v>
      </c>
      <c r="T36">
        <v>5400117</v>
      </c>
      <c r="U36" t="s">
        <v>161</v>
      </c>
      <c r="V36" t="s">
        <v>156</v>
      </c>
      <c r="W36" t="s">
        <v>159</v>
      </c>
      <c r="X36" t="s">
        <v>162</v>
      </c>
      <c r="Y36" t="s">
        <v>156</v>
      </c>
      <c r="Z36" t="s">
        <v>159</v>
      </c>
      <c r="AA36" t="s">
        <v>163</v>
      </c>
      <c r="AB36" t="s">
        <v>156</v>
      </c>
      <c r="AC36" t="s">
        <v>159</v>
      </c>
    </row>
    <row r="37" spans="1:29">
      <c r="A37" t="s">
        <v>93</v>
      </c>
      <c r="B37" t="s">
        <v>155</v>
      </c>
      <c r="C37">
        <v>140</v>
      </c>
      <c r="D37" t="s">
        <v>156</v>
      </c>
      <c r="E37">
        <v>694137</v>
      </c>
      <c r="F37">
        <v>6.9413699999999997E-3</v>
      </c>
      <c r="H37" t="s">
        <v>157</v>
      </c>
      <c r="I37" t="s">
        <v>156</v>
      </c>
      <c r="J37">
        <v>10689732600</v>
      </c>
      <c r="L37">
        <f t="shared" si="1"/>
        <v>154.00032846541819</v>
      </c>
      <c r="O37" t="s">
        <v>158</v>
      </c>
      <c r="P37" t="s">
        <v>156</v>
      </c>
      <c r="Q37" t="s">
        <v>159</v>
      </c>
      <c r="R37" t="s">
        <v>160</v>
      </c>
      <c r="S37" t="s">
        <v>156</v>
      </c>
      <c r="T37">
        <v>694137</v>
      </c>
      <c r="U37" t="s">
        <v>161</v>
      </c>
      <c r="V37" t="s">
        <v>156</v>
      </c>
      <c r="W37" t="s">
        <v>159</v>
      </c>
      <c r="X37" t="s">
        <v>162</v>
      </c>
      <c r="Y37" t="s">
        <v>156</v>
      </c>
      <c r="Z37" t="s">
        <v>159</v>
      </c>
      <c r="AA37" t="s">
        <v>163</v>
      </c>
      <c r="AB37" t="s">
        <v>156</v>
      </c>
      <c r="AC37" t="s">
        <v>159</v>
      </c>
    </row>
    <row r="38" spans="1:29">
      <c r="A38" t="s">
        <v>93</v>
      </c>
      <c r="B38" t="s">
        <v>155</v>
      </c>
      <c r="C38">
        <v>180</v>
      </c>
      <c r="D38" t="s">
        <v>156</v>
      </c>
      <c r="E38">
        <v>965367</v>
      </c>
      <c r="F38">
        <v>9.6536699999999996E-3</v>
      </c>
      <c r="H38" t="s">
        <v>157</v>
      </c>
      <c r="I38" t="s">
        <v>156</v>
      </c>
      <c r="J38">
        <v>19307340000</v>
      </c>
      <c r="L38">
        <f t="shared" si="1"/>
        <v>200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38785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200</v>
      </c>
      <c r="D39" t="s">
        <v>156</v>
      </c>
      <c r="E39">
        <v>3085645</v>
      </c>
      <c r="F39">
        <v>3.0856450000000001E-2</v>
      </c>
      <c r="H39" t="s">
        <v>157</v>
      </c>
      <c r="I39" t="s">
        <v>156</v>
      </c>
      <c r="J39">
        <v>67588337500</v>
      </c>
      <c r="L39">
        <f t="shared" si="1"/>
        <v>219.04119722132651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308596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250</v>
      </c>
      <c r="D40" t="s">
        <v>156</v>
      </c>
      <c r="E40">
        <v>1847820</v>
      </c>
      <c r="F40">
        <v>1.84782E-2</v>
      </c>
      <c r="H40" t="s">
        <v>157</v>
      </c>
      <c r="I40" t="s">
        <v>156</v>
      </c>
      <c r="J40">
        <v>48967548000</v>
      </c>
      <c r="L40">
        <f t="shared" si="1"/>
        <v>265.00172094684547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 t="s">
        <v>159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450</v>
      </c>
      <c r="D41" t="s">
        <v>156</v>
      </c>
      <c r="E41">
        <v>926443</v>
      </c>
      <c r="F41">
        <v>9.2644300000000006E-3</v>
      </c>
      <c r="H41" t="s">
        <v>157</v>
      </c>
      <c r="I41" t="s">
        <v>156</v>
      </c>
      <c r="J41">
        <v>46322150000</v>
      </c>
      <c r="L41">
        <f t="shared" si="1"/>
        <v>500</v>
      </c>
      <c r="O41" t="s">
        <v>158</v>
      </c>
      <c r="P41" t="s">
        <v>156</v>
      </c>
      <c r="Q41" t="s">
        <v>159</v>
      </c>
      <c r="R41" t="s">
        <v>160</v>
      </c>
      <c r="S41" t="s">
        <v>156</v>
      </c>
      <c r="T41" t="s">
        <v>159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500</v>
      </c>
      <c r="D42" t="s">
        <v>156</v>
      </c>
      <c r="E42">
        <v>1850669</v>
      </c>
      <c r="F42">
        <v>1.8506689999999999E-2</v>
      </c>
      <c r="H42" t="s">
        <v>157</v>
      </c>
      <c r="I42" t="s">
        <v>156</v>
      </c>
      <c r="J42">
        <v>95306992500</v>
      </c>
      <c r="L42">
        <f t="shared" si="1"/>
        <v>514.98670210610328</v>
      </c>
      <c r="O42" t="s">
        <v>158</v>
      </c>
      <c r="P42" t="s">
        <v>156</v>
      </c>
      <c r="Q42" t="s">
        <v>159</v>
      </c>
      <c r="R42" t="s">
        <v>160</v>
      </c>
      <c r="S42" t="s">
        <v>156</v>
      </c>
      <c r="T42" t="s">
        <v>159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02C-8136-41EA-A84F-040570F0AD24}">
  <dimension ref="B1:AF54"/>
  <sheetViews>
    <sheetView workbookViewId="0">
      <selection activeCell="L3" sqref="L3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1.3795295462203614</v>
      </c>
      <c r="V1" s="178">
        <f>SUM(V3:V54)</f>
        <v>0.91999777375372083</v>
      </c>
      <c r="AB1" s="272">
        <f>SUM(AB3:AB54)</f>
        <v>1.3873330618006043</v>
      </c>
      <c r="AF1" s="273">
        <f>SUM(AF3:AF54)</f>
        <v>0.92495866113765424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Sim_Mul_Bet5!$F$2:$F$100,
      (Sim_Mul_Bet5!$A$2:$A$100=C$2) * (Sim_Mul_Bet5!$C$2:$C$100=$B3),0
   ),
   0
)</f>
        <v>0.80605718000000004</v>
      </c>
      <c r="D3" s="166" cm="1">
        <f t="array" ref="D3">_xlfn.IFNA(
   _xlfn._xlws.FILTER(
      Sim_Mul_Bet5!$F$2:$F$100,
      (Sim_Mul_Bet5!$A$2:$A$100=D$2) * (Sim_Mul_Bet5!$C$2:$C$100=$B3),0
   ),
   0
)</f>
        <v>0.11104762</v>
      </c>
      <c r="E3" s="156" cm="1">
        <f t="array" ref="E3">_xlfn.IFNA(
   _xlfn._xlws.FILTER(
      Sim_Mul_Bet5!$F$2:$F$100,
      (Sim_Mul_Bet5!$A$2:$A$100=E$2) * (Sim_Mul_Bet5!$C$2:$C$100=$B3),0
   ),
   0
)</f>
        <v>0</v>
      </c>
      <c r="F3" s="167" cm="1">
        <f t="array" ref="F3">_xlfn.IFNA(
   _xlfn._xlws.FILTER(
      Sim_Mul_Bet5!$L$2:$L$100,
      (Sim_Mul_Bet5!$A$2:$A$100=F$2) * (Sim_Mul_Bet5!$C$2:$C$100=$B3),0
   ),
   0
)</f>
        <v>0</v>
      </c>
      <c r="G3" s="167" cm="1">
        <f t="array" ref="G3">_xlfn.IFNA(
   _xlfn._xlws.FILTER(
      Sim_Mul_Bet5!$L$2:$L$100,
      (Sim_Mul_Bet5!$A$2:$A$100=G$2) * (Sim_Mul_Bet5!$C$2:$C$100=$B3),0
   ),
   0
)</f>
        <v>0</v>
      </c>
      <c r="H3" s="159" cm="1">
        <f t="array" ref="H3">_xlfn.IFNA(
   _xlfn._xlws.FILTER(
      Sim_Mul_Bet5!$L$2:$L$100,
      (Sim_Mul_Bet5!$A$2:$A$100=H$2) * (Sim_Mul_Bet5!$C$2:$C$100=$B3),0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0.80605718000000004</v>
      </c>
      <c r="N3" s="171">
        <f>HLOOKUP(L3,$F$2:$H$54,J3+2,FALSE)</f>
        <v>0</v>
      </c>
      <c r="O3" s="172">
        <f>1-SUM(O4:O53)</f>
        <v>0.80342916752674798</v>
      </c>
      <c r="P3" s="172">
        <f>1-SUM(P4:P53)</f>
        <v>0.86895277835116536</v>
      </c>
      <c r="Q3" s="172">
        <f>1-SUM(Q4:Q54)</f>
        <v>0.86813985232899704</v>
      </c>
      <c r="R3" s="173">
        <f t="shared" ref="R3:R54" si="0">N3*O3</f>
        <v>0</v>
      </c>
      <c r="T3" s="174">
        <f>1000000-SUM(T4:T54)</f>
        <v>803427</v>
      </c>
      <c r="U3" s="175" cm="1">
        <f t="array" ref="U3:U54">T3:T54/SUM($T$3:$T$54)</f>
        <v>0.803427</v>
      </c>
      <c r="V3" s="178">
        <f>U3*N3/1.5</f>
        <v>0</v>
      </c>
      <c r="Y3" s="172">
        <f>1-SUM(Y4:Y53)</f>
        <v>0.87355450000000001</v>
      </c>
      <c r="Z3" s="172">
        <f>1-SUM(Z4:Z53)</f>
        <v>0.91570299999999993</v>
      </c>
      <c r="AA3" s="172">
        <f>1-SUM(AA4:AA54)</f>
        <v>0.86813985232899704</v>
      </c>
      <c r="AB3" s="276">
        <f>N3*Y3</f>
        <v>0</v>
      </c>
      <c r="AD3" s="174">
        <f>1000000-SUM(AD4:AD54)</f>
        <v>873554</v>
      </c>
      <c r="AE3" s="175" cm="1">
        <f t="array" ref="AE3:AE54">AD3:AD54/SUM($T$3:$T$54)</f>
        <v>0.87355400000000005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Sim_Mul_Bet5!$F$2:$F$100,
      (Sim_Mul_Bet5!$A$2:$A$100=C$2) * (Sim_Mul_Bet5!$C$2:$C$100=$B4),0
   ),
   0
)</f>
        <v>5.8826249999999997E-2</v>
      </c>
      <c r="D4" s="181" cm="1">
        <f t="array" ref="D4">_xlfn.IFNA(
   _xlfn._xlws.FILTER(
      Sim_Mul_Bet5!$F$2:$F$100,
      (Sim_Mul_Bet5!$A$2:$A$100=D$2) * (Sim_Mul_Bet5!$C$2:$C$100=$B4),0
   ),
   0
)</f>
        <v>8.1525680000000003E-2</v>
      </c>
      <c r="E4" s="182" cm="1">
        <f t="array" ref="E4">_xlfn.IFNA(
   _xlfn._xlws.FILTER(
      Sim_Mul_Bet5!$F$2:$F$100,
      (Sim_Mul_Bet5!$A$2:$A$100=E$2) * (Sim_Mul_Bet5!$C$2:$C$100=$B4),0
   ),
   0
)</f>
        <v>0</v>
      </c>
      <c r="F4" s="183" cm="1">
        <f t="array" ref="F4">_xlfn.IFNA(
   _xlfn._xlws.FILTER(
      Sim_Mul_Bet5!$L$2:$L$100,
      (Sim_Mul_Bet5!$A$2:$A$100=F$2) * (Sim_Mul_Bet5!$C$2:$C$100=$B4),0
   ),
   0
)</f>
        <v>0.68645650538662584</v>
      </c>
      <c r="G4" s="184" cm="1">
        <f t="array" ref="G4">_xlfn.IFNA(
   _xlfn._xlws.FILTER(
      Sim_Mul_Bet5!$L$2:$L$100,
      (Sim_Mul_Bet5!$A$2:$A$100=G$2) * (Sim_Mul_Bet5!$C$2:$C$100=$B4),0
   ),
   0
)</f>
        <v>0.74434266601640131</v>
      </c>
      <c r="H4" s="185" cm="1">
        <f t="array" ref="H4">_xlfn.IFNA(
   _xlfn._xlws.FILTER(
      Sim_Mul_Bet5!$L$2:$L$100,
      (Sim_Mul_Bet5!$A$2:$A$100=H$2) * (Sim_Mul_Bet5!$C$2:$C$100=$B4),0
   ),
   0
)</f>
        <v>0</v>
      </c>
      <c r="J4">
        <v>1</v>
      </c>
      <c r="K4" s="186">
        <v>0</v>
      </c>
      <c r="L4" s="187" t="s">
        <v>93</v>
      </c>
      <c r="M4" s="215">
        <f t="shared" ref="M4:M54" si="1">HLOOKUP(L4,$C$2:$E$54,J4+2,FALSE)</f>
        <v>8.1525680000000003E-2</v>
      </c>
      <c r="N4" s="189">
        <f>HLOOKUP(L4,$F$2:$H$54,J4+2,FALSE)</f>
        <v>0.74434266601640131</v>
      </c>
      <c r="O4" s="190">
        <f>P4*1.5</f>
        <v>9.7882532827450963E-2</v>
      </c>
      <c r="P4" s="190">
        <v>6.5255021884967304E-2</v>
      </c>
      <c r="Q4" s="190">
        <v>6.5255021884967304E-2</v>
      </c>
      <c r="R4" s="191">
        <f t="shared" si="0"/>
        <v>7.2858145441222766E-2</v>
      </c>
      <c r="T4" s="192">
        <f t="shared" ref="T4:T54" si="2">ROUND(O4*1000000,0)</f>
        <v>97883</v>
      </c>
      <c r="U4">
        <v>9.7882999999999998E-2</v>
      </c>
      <c r="V4" s="193">
        <f t="shared" ref="V4:V54" si="3">U4*N4/1.5</f>
        <v>4.8572328785122271E-2</v>
      </c>
      <c r="W4" s="194"/>
      <c r="X4" s="217"/>
      <c r="Y4" s="190">
        <f>Z4*1.5</f>
        <v>4.4999999999999998E-2</v>
      </c>
      <c r="Z4" s="190">
        <v>0.03</v>
      </c>
      <c r="AA4" s="190">
        <v>6.5255021884967304E-2</v>
      </c>
      <c r="AB4" s="276">
        <f t="shared" ref="AB4:AB54" si="4">N4*Y4</f>
        <v>3.3495419970738058E-2</v>
      </c>
      <c r="AD4" s="192">
        <f t="shared" ref="AD4:AD54" si="5">ROUND(Y4*1000000,0)</f>
        <v>45000</v>
      </c>
      <c r="AE4">
        <v>4.4999999999999998E-2</v>
      </c>
      <c r="AF4" s="278">
        <f>AE4*N4/1.5</f>
        <v>2.233027998049204E-2</v>
      </c>
    </row>
    <row r="5" spans="2:32">
      <c r="B5" s="179">
        <v>1</v>
      </c>
      <c r="C5" s="180" cm="1">
        <f t="array" ref="C5">_xlfn.IFNA(
   _xlfn._xlws.FILTER(
      Sim_Mul_Bet5!$F$2:$F$100,
      (Sim_Mul_Bet5!$A$2:$A$100=C$2) * (Sim_Mul_Bet5!$C$2:$C$100=$B5),0
   ),
   0
)</f>
        <v>2.3519869999999998E-2</v>
      </c>
      <c r="D5" s="181" cm="1">
        <f t="array" ref="D5">_xlfn.IFNA(
   _xlfn._xlws.FILTER(
      Sim_Mul_Bet5!$F$2:$F$100,
      (Sim_Mul_Bet5!$A$2:$A$100=D$2) * (Sim_Mul_Bet5!$C$2:$C$100=$B5),0
   ),
   0
)</f>
        <v>6.1902199999999998E-2</v>
      </c>
      <c r="E5" s="182" cm="1">
        <f t="array" ref="E5">_xlfn.IFNA(
   _xlfn._xlws.FILTER(
      Sim_Mul_Bet5!$F$2:$F$100,
      (Sim_Mul_Bet5!$A$2:$A$100=E$2) * (Sim_Mul_Bet5!$C$2:$C$100=$B5),0
   ),
   0
)</f>
        <v>0</v>
      </c>
      <c r="F5" s="183" cm="1">
        <f t="array" ref="F5">_xlfn.IFNA(
   _xlfn._xlws.FILTER(
      Sim_Mul_Bet5!$L$2:$L$100,
      (Sim_Mul_Bet5!$A$2:$A$100=F$2) * (Sim_Mul_Bet5!$C$2:$C$100=$B5),0
   ),
   0
)</f>
        <v>1.9826516047920333</v>
      </c>
      <c r="G5" s="184" cm="1">
        <f t="array" ref="G5">_xlfn.IFNA(
   _xlfn._xlws.FILTER(
      Sim_Mul_Bet5!$L$2:$L$100,
      (Sim_Mul_Bet5!$A$2:$A$100=G$2) * (Sim_Mul_Bet5!$C$2:$C$100=$B5),0
   ),
   0
)</f>
        <v>1.8223901573772823</v>
      </c>
      <c r="H5" s="185" cm="1">
        <f t="array" ref="H5">_xlfn.IFNA(
   _xlfn._xlws.FILTER(
      Sim_Mul_Bet5!$L$2:$L$100,
      (Sim_Mul_Bet5!$A$2:$A$100=H$2) * (Sim_Mul_Bet5!$C$2:$C$100=$B5),0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6.1902199999999998E-2</v>
      </c>
      <c r="N5" s="189">
        <f t="shared" ref="N5:N54" si="6">HLOOKUP(L5,$F$2:$H$54,J5+2,FALSE)</f>
        <v>1.8223901573772823</v>
      </c>
      <c r="O5" s="190">
        <f t="shared" ref="O5:O54" si="7">P5*1.5</f>
        <v>3.0000000000000001E-3</v>
      </c>
      <c r="P5" s="190">
        <v>2E-3</v>
      </c>
      <c r="Q5" s="190">
        <v>2.0542996607118402E-3</v>
      </c>
      <c r="R5" s="191">
        <f t="shared" si="0"/>
        <v>5.467170472131847E-3</v>
      </c>
      <c r="T5" s="192">
        <f t="shared" si="2"/>
        <v>3000</v>
      </c>
      <c r="U5" s="176">
        <v>3.0000000000000001E-3</v>
      </c>
      <c r="V5" s="195">
        <f t="shared" si="3"/>
        <v>3.6447803147545647E-3</v>
      </c>
      <c r="W5" s="194"/>
      <c r="X5" s="217"/>
      <c r="Y5" s="190">
        <f t="shared" ref="Y5:Y54" si="8">Z5*1.5</f>
        <v>1.5000000000000001E-4</v>
      </c>
      <c r="Z5" s="190">
        <v>1E-4</v>
      </c>
      <c r="AA5" s="190">
        <v>2.0542996607118402E-3</v>
      </c>
      <c r="AB5" s="276">
        <f t="shared" si="4"/>
        <v>2.7335852360659235E-4</v>
      </c>
      <c r="AD5" s="192">
        <f t="shared" si="5"/>
        <v>150</v>
      </c>
      <c r="AE5" s="176">
        <v>1.4999999999999999E-4</v>
      </c>
      <c r="AF5" s="278">
        <f t="shared" ref="AF5:AF54" si="9">AE5*N5/1.5</f>
        <v>1.8223901573772821E-4</v>
      </c>
    </row>
    <row r="6" spans="2:32">
      <c r="B6" s="179">
        <v>2</v>
      </c>
      <c r="C6" s="180" cm="1">
        <f t="array" ref="C6">_xlfn.IFNA(
   _xlfn._xlws.FILTER(
      Sim_Mul_Bet5!$F$2:$F$100,
      (Sim_Mul_Bet5!$A$2:$A$100=C$2) * (Sim_Mul_Bet5!$C$2:$C$100=$B6),0
   ),
   0
)</f>
        <v>1.3026299999999999E-3</v>
      </c>
      <c r="D6" s="181" cm="1">
        <f t="array" ref="D6">_xlfn.IFNA(
   _xlfn._xlws.FILTER(
      Sim_Mul_Bet5!$F$2:$F$100,
      (Sim_Mul_Bet5!$A$2:$A$100=D$2) * (Sim_Mul_Bet5!$C$2:$C$100=$B6),0
   ),
   0
)</f>
        <v>2.7051410000000001E-2</v>
      </c>
      <c r="E6" s="182" cm="1">
        <f t="array" ref="E6">_xlfn.IFNA(
   _xlfn._xlws.FILTER(
      Sim_Mul_Bet5!$F$2:$F$100,
      (Sim_Mul_Bet5!$A$2:$A$100=E$2) * (Sim_Mul_Bet5!$C$2:$C$100=$B6),0
   ),
   0
)</f>
        <v>0</v>
      </c>
      <c r="F6" s="183" cm="1">
        <f t="array" ref="F6">_xlfn.IFNA(
   _xlfn._xlws.FILTER(
      Sim_Mul_Bet5!$L$2:$L$100,
      (Sim_Mul_Bet5!$A$2:$A$100=F$2) * (Sim_Mul_Bet5!$C$2:$C$100=$B6),0
   ),
   0
)</f>
        <v>2.5915969999155557</v>
      </c>
      <c r="G6" s="184" cm="1">
        <f t="array" ref="G6">_xlfn.IFNA(
   _xlfn._xlws.FILTER(
      Sim_Mul_Bet5!$L$2:$L$100,
      (Sim_Mul_Bet5!$A$2:$A$100=G$2) * (Sim_Mul_Bet5!$C$2:$C$100=$B6),0
   ),
   0
)</f>
        <v>2.557481772669151</v>
      </c>
      <c r="H6" s="185" cm="1">
        <f t="array" ref="H6">_xlfn.IFNA(
   _xlfn._xlws.FILTER(
      Sim_Mul_Bet5!$L$2:$L$100,
      (Sim_Mul_Bet5!$A$2:$A$100=H$2) * (Sim_Mul_Bet5!$C$2:$C$100=$B6),0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2.7051410000000001E-2</v>
      </c>
      <c r="N6" s="189">
        <f t="shared" si="6"/>
        <v>2.557481772669151</v>
      </c>
      <c r="O6" s="190">
        <f t="shared" si="7"/>
        <v>6.0000000000000001E-3</v>
      </c>
      <c r="P6" s="190">
        <v>4.0000000000000001E-3</v>
      </c>
      <c r="Q6" s="190">
        <v>4.0659002522633898E-3</v>
      </c>
      <c r="R6" s="191">
        <f t="shared" si="0"/>
        <v>1.5344890636014906E-2</v>
      </c>
      <c r="T6" s="192">
        <f t="shared" si="2"/>
        <v>6000</v>
      </c>
      <c r="U6" s="176">
        <v>6.0000000000000001E-3</v>
      </c>
      <c r="V6" s="195">
        <f t="shared" si="3"/>
        <v>1.0229927090676603E-2</v>
      </c>
      <c r="W6" s="194"/>
      <c r="X6" s="217"/>
      <c r="Y6" s="190">
        <f t="shared" si="8"/>
        <v>7.5000000000000002E-4</v>
      </c>
      <c r="Z6" s="190">
        <v>5.0000000000000001E-4</v>
      </c>
      <c r="AA6" s="190">
        <v>4.0659002522633898E-3</v>
      </c>
      <c r="AB6" s="276">
        <f t="shared" si="4"/>
        <v>1.9181113295018632E-3</v>
      </c>
      <c r="AD6" s="192">
        <f t="shared" si="5"/>
        <v>750</v>
      </c>
      <c r="AE6" s="176">
        <v>7.5000000000000002E-4</v>
      </c>
      <c r="AF6" s="278">
        <f t="shared" si="9"/>
        <v>1.2787408863345754E-3</v>
      </c>
    </row>
    <row r="7" spans="2:32">
      <c r="B7" s="179">
        <v>3</v>
      </c>
      <c r="C7" s="180" cm="1">
        <f t="array" ref="C7">_xlfn.IFNA(
   _xlfn._xlws.FILTER(
      Sim_Mul_Bet5!$F$2:$F$100,
      (Sim_Mul_Bet5!$A$2:$A$100=C$2) * (Sim_Mul_Bet5!$C$2:$C$100=$B7),0
   ),
   0
)</f>
        <v>1.2262149999999999E-2</v>
      </c>
      <c r="D7" s="181" cm="1">
        <f t="array" ref="D7">_xlfn.IFNA(
   _xlfn._xlws.FILTER(
      Sim_Mul_Bet5!$F$2:$F$100,
      (Sim_Mul_Bet5!$A$2:$A$100=D$2) * (Sim_Mul_Bet5!$C$2:$C$100=$B7),0
   ),
   0
)</f>
        <v>3.4624599999999998E-2</v>
      </c>
      <c r="E7" s="182" cm="1">
        <f t="array" ref="E7">_xlfn.IFNA(
   _xlfn._xlws.FILTER(
      Sim_Mul_Bet5!$F$2:$F$100,
      (Sim_Mul_Bet5!$A$2:$A$100=E$2) * (Sim_Mul_Bet5!$C$2:$C$100=$B7),0
   ),
   0
)</f>
        <v>0</v>
      </c>
      <c r="F7" s="183" cm="1">
        <f t="array" ref="F7">_xlfn.IFNA(
   _xlfn._xlws.FILTER(
      Sim_Mul_Bet5!$L$2:$L$100,
      (Sim_Mul_Bet5!$A$2:$A$100=F$2) * (Sim_Mul_Bet5!$C$2:$C$100=$B7),0
   ),
   0
)</f>
        <v>3.997757000199802</v>
      </c>
      <c r="G7" s="184" cm="1">
        <f t="array" ref="G7">_xlfn.IFNA(
   _xlfn._xlws.FILTER(
      Sim_Mul_Bet5!$L$2:$L$100,
      (Sim_Mul_Bet5!$A$2:$A$100=G$2) * (Sim_Mul_Bet5!$C$2:$C$100=$B7),0
   ),
   0
)</f>
        <v>3.8194211052257638</v>
      </c>
      <c r="H7" s="185" cm="1">
        <f t="array" ref="H7">_xlfn.IFNA(
   _xlfn._xlws.FILTER(
      Sim_Mul_Bet5!$L$2:$L$100,
      (Sim_Mul_Bet5!$A$2:$A$100=H$2) * (Sim_Mul_Bet5!$C$2:$C$100=$B7),0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3.4624599999999998E-2</v>
      </c>
      <c r="N7" s="189">
        <f t="shared" si="6"/>
        <v>3.8194211052257638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Sim_Mul_Bet5!$F$2:$F$100,
      (Sim_Mul_Bet5!$A$2:$A$100=C$2) * (Sim_Mul_Bet5!$C$2:$C$100=$B8),0
   ),
   0
)</f>
        <v>2.40556E-2</v>
      </c>
      <c r="D8" s="181" cm="1">
        <f t="array" ref="D8">_xlfn.IFNA(
   _xlfn._xlws.FILTER(
      Sim_Mul_Bet5!$F$2:$F$100,
      (Sim_Mul_Bet5!$A$2:$A$100=D$2) * (Sim_Mul_Bet5!$C$2:$C$100=$B8),0
   ),
   0
)</f>
        <v>5.7106530000000003E-2</v>
      </c>
      <c r="E8" s="182" cm="1">
        <f t="array" ref="E8">_xlfn.IFNA(
   _xlfn._xlws.FILTER(
      Sim_Mul_Bet5!$F$2:$F$100,
      (Sim_Mul_Bet5!$A$2:$A$100=E$2) * (Sim_Mul_Bet5!$C$2:$C$100=$B8),0
   ),
   0
)</f>
        <v>0</v>
      </c>
      <c r="F8" s="183" cm="1">
        <f t="array" ref="F8">_xlfn.IFNA(
   _xlfn._xlws.FILTER(
      Sim_Mul_Bet5!$L$2:$L$100,
      (Sim_Mul_Bet5!$A$2:$A$100=F$2) * (Sim_Mul_Bet5!$C$2:$C$100=$B8),0
   ),
   0
)</f>
        <v>4.9793728695189472</v>
      </c>
      <c r="G8" s="184" cm="1">
        <f t="array" ref="G8">_xlfn.IFNA(
   _xlfn._xlws.FILTER(
      Sim_Mul_Bet5!$L$2:$L$100,
      (Sim_Mul_Bet5!$A$2:$A$100=G$2) * (Sim_Mul_Bet5!$C$2:$C$100=$B8),0
   ),
   0
)</f>
        <v>4.8535341229803315</v>
      </c>
      <c r="H8" s="185" cm="1">
        <f t="array" ref="H8">_xlfn.IFNA(
   _xlfn._xlws.FILTER(
      Sim_Mul_Bet5!$L$2:$L$100,
      (Sim_Mul_Bet5!$A$2:$A$100=H$2) * (Sim_Mul_Bet5!$C$2:$C$100=$B8),0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5.7106530000000003E-2</v>
      </c>
      <c r="N8" s="189">
        <f t="shared" si="6"/>
        <v>4.8535341229803315</v>
      </c>
      <c r="O8" s="190">
        <f t="shared" si="7"/>
        <v>4.4999999999999998E-2</v>
      </c>
      <c r="P8" s="190">
        <v>0.03</v>
      </c>
      <c r="Q8" s="190">
        <v>2.98791819671664E-2</v>
      </c>
      <c r="R8" s="191">
        <f t="shared" si="0"/>
        <v>0.21840903553411492</v>
      </c>
      <c r="T8" s="192">
        <f t="shared" si="2"/>
        <v>45000</v>
      </c>
      <c r="U8" s="176">
        <v>4.4999999999999998E-2</v>
      </c>
      <c r="V8" s="195">
        <f t="shared" si="3"/>
        <v>0.14560602368940995</v>
      </c>
      <c r="W8" s="194"/>
      <c r="X8" s="217"/>
      <c r="Y8" s="190">
        <f t="shared" si="8"/>
        <v>2.2499999999999999E-2</v>
      </c>
      <c r="Z8" s="190">
        <v>1.4999999999999999E-2</v>
      </c>
      <c r="AA8" s="190">
        <v>2.98791819671664E-2</v>
      </c>
      <c r="AB8" s="276">
        <f t="shared" si="4"/>
        <v>0.10920451776705746</v>
      </c>
      <c r="AD8" s="192">
        <f t="shared" si="5"/>
        <v>22500</v>
      </c>
      <c r="AE8" s="176">
        <v>2.2499999999999999E-2</v>
      </c>
      <c r="AF8" s="278">
        <f t="shared" si="9"/>
        <v>7.2803011844704973E-2</v>
      </c>
    </row>
    <row r="9" spans="2:32">
      <c r="B9" s="179">
        <v>5</v>
      </c>
      <c r="C9" s="180" cm="1">
        <f t="array" ref="C9">_xlfn.IFNA(
   _xlfn._xlws.FILTER(
      Sim_Mul_Bet5!$F$2:$F$100,
      (Sim_Mul_Bet5!$A$2:$A$100=C$2) * (Sim_Mul_Bet5!$C$2:$C$100=$B9),0
   ),
   0
)</f>
        <v>1.2053400000000001E-3</v>
      </c>
      <c r="D9" s="181" cm="1">
        <f t="array" ref="D9">_xlfn.IFNA(
   _xlfn._xlws.FILTER(
      Sim_Mul_Bet5!$F$2:$F$100,
      (Sim_Mul_Bet5!$A$2:$A$100=D$2) * (Sim_Mul_Bet5!$C$2:$C$100=$B9),0
   ),
   0
)</f>
        <v>2.0771089999999999E-2</v>
      </c>
      <c r="E9" s="182" cm="1">
        <f t="array" ref="E9">_xlfn.IFNA(
   _xlfn._xlws.FILTER(
      Sim_Mul_Bet5!$F$2:$F$100,
      (Sim_Mul_Bet5!$A$2:$A$100=E$2) * (Sim_Mul_Bet5!$C$2:$C$100=$B9),0
   ),
   0
)</f>
        <v>0</v>
      </c>
      <c r="F9" s="183" cm="1">
        <f t="array" ref="F9">_xlfn.IFNA(
   _xlfn._xlws.FILTER(
      Sim_Mul_Bet5!$L$2:$L$100,
      (Sim_Mul_Bet5!$A$2:$A$100=F$2) * (Sim_Mul_Bet5!$C$2:$C$100=$B9),0
   ),
   0
)</f>
        <v>5.7606053063865792</v>
      </c>
      <c r="G9" s="184" cm="1">
        <f t="array" ref="G9">_xlfn.IFNA(
   _xlfn._xlws.FILTER(
      Sim_Mul_Bet5!$L$2:$L$100,
      (Sim_Mul_Bet5!$A$2:$A$100=G$2) * (Sim_Mul_Bet5!$C$2:$C$100=$B9),0
   ),
   0
)</f>
        <v>5.7904267903128819</v>
      </c>
      <c r="H9" s="185" cm="1">
        <f t="array" ref="H9">_xlfn.IFNA(
   _xlfn._xlws.FILTER(
      Sim_Mul_Bet5!$L$2:$L$100,
      (Sim_Mul_Bet5!$A$2:$A$100=H$2) * (Sim_Mul_Bet5!$C$2:$C$100=$B9),0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2.0771089999999999E-2</v>
      </c>
      <c r="N9" s="189">
        <f t="shared" si="6"/>
        <v>5.7904267903128819</v>
      </c>
      <c r="O9" s="190">
        <f t="shared" si="7"/>
        <v>1.545299645801055E-3</v>
      </c>
      <c r="P9" s="190">
        <v>1.0301997638673701E-3</v>
      </c>
      <c r="Q9" s="190">
        <v>1.0301997638673701E-3</v>
      </c>
      <c r="R9" s="191">
        <f t="shared" si="0"/>
        <v>8.9479444681074358E-3</v>
      </c>
      <c r="T9" s="192">
        <f t="shared" si="2"/>
        <v>1545</v>
      </c>
      <c r="U9" s="176">
        <v>1.5449999999999999E-3</v>
      </c>
      <c r="V9" s="195">
        <f t="shared" si="3"/>
        <v>5.9641395940222683E-3</v>
      </c>
      <c r="W9" s="194"/>
      <c r="X9" s="217"/>
      <c r="Y9" s="190">
        <f t="shared" si="8"/>
        <v>1.5E-3</v>
      </c>
      <c r="Z9" s="190">
        <v>1E-3</v>
      </c>
      <c r="AA9" s="190">
        <v>1.0301997638673701E-3</v>
      </c>
      <c r="AB9" s="276">
        <f t="shared" si="4"/>
        <v>8.6856401854693236E-3</v>
      </c>
      <c r="AD9" s="192">
        <f t="shared" si="5"/>
        <v>1500</v>
      </c>
      <c r="AE9" s="176">
        <v>1.5E-3</v>
      </c>
      <c r="AF9" s="278">
        <f t="shared" si="9"/>
        <v>5.7904267903128824E-3</v>
      </c>
    </row>
    <row r="10" spans="2:32">
      <c r="B10" s="179">
        <v>6</v>
      </c>
      <c r="C10" s="180" cm="1">
        <f t="array" ref="C10">_xlfn.IFNA(
   _xlfn._xlws.FILTER(
      Sim_Mul_Bet5!$F$2:$F$100,
      (Sim_Mul_Bet5!$A$2:$A$100=C$2) * (Sim_Mul_Bet5!$C$2:$C$100=$B10),0
   ),
   0
)</f>
        <v>1.4175E-4</v>
      </c>
      <c r="D10" s="181" cm="1">
        <f t="array" ref="D10">_xlfn.IFNA(
   _xlfn._xlws.FILTER(
      Sim_Mul_Bet5!$F$2:$F$100,
      (Sim_Mul_Bet5!$A$2:$A$100=D$2) * (Sim_Mul_Bet5!$C$2:$C$100=$B10),0
   ),
   0
)</f>
        <v>2.61459E-3</v>
      </c>
      <c r="E10" s="182" cm="1">
        <f t="array" ref="E10">_xlfn.IFNA(
   _xlfn._xlws.FILTER(
      Sim_Mul_Bet5!$F$2:$F$100,
      (Sim_Mul_Bet5!$A$2:$A$100=E$2) * (Sim_Mul_Bet5!$C$2:$C$100=$B10),0
   ),
   0
)</f>
        <v>0</v>
      </c>
      <c r="F10" s="183" cm="1">
        <f t="array" ref="F10">_xlfn.IFNA(
   _xlfn._xlws.FILTER(
      Sim_Mul_Bet5!$L$2:$L$100,
      (Sim_Mul_Bet5!$A$2:$A$100=F$2) * (Sim_Mul_Bet5!$C$2:$C$100=$B10),0
   ),
   0
)</f>
        <v>7</v>
      </c>
      <c r="G10" s="184" cm="1">
        <f t="array" ref="G10">_xlfn.IFNA(
   _xlfn._xlws.FILTER(
      Sim_Mul_Bet5!$L$2:$L$100,
      (Sim_Mul_Bet5!$A$2:$A$100=G$2) * (Sim_Mul_Bet5!$C$2:$C$100=$B10),0
   ),
   0
)</f>
        <v>7</v>
      </c>
      <c r="H10" s="185" cm="1">
        <f t="array" ref="H10">_xlfn.IFNA(
   _xlfn._xlws.FILTER(
      Sim_Mul_Bet5!$L$2:$L$100,
      (Sim_Mul_Bet5!$A$2:$A$100=H$2) * (Sim_Mul_Bet5!$C$2:$C$100=$B10),0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2.61459E-3</v>
      </c>
      <c r="N10" s="189">
        <f t="shared" si="6"/>
        <v>7</v>
      </c>
      <c r="O10" s="190">
        <f t="shared" si="7"/>
        <v>0</v>
      </c>
      <c r="P10" s="190">
        <v>0</v>
      </c>
      <c r="Q10" s="190">
        <v>0</v>
      </c>
      <c r="R10" s="191">
        <f t="shared" si="0"/>
        <v>0</v>
      </c>
      <c r="T10" s="192">
        <f t="shared" si="2"/>
        <v>0</v>
      </c>
      <c r="U10" s="176">
        <v>0</v>
      </c>
      <c r="V10" s="195">
        <f t="shared" si="3"/>
        <v>0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Sim_Mul_Bet5!$F$2:$F$100,
      (Sim_Mul_Bet5!$A$2:$A$100=C$2) * (Sim_Mul_Bet5!$C$2:$C$100=$B11),0
   ),
   0
)</f>
        <v>1.7139999999999999E-5</v>
      </c>
      <c r="D11" s="181" cm="1">
        <f t="array" ref="D11">_xlfn.IFNA(
   _xlfn._xlws.FILTER(
      Sim_Mul_Bet5!$F$2:$F$100,
      (Sim_Mul_Bet5!$A$2:$A$100=D$2) * (Sim_Mul_Bet5!$C$2:$C$100=$B11),0
   ),
   0
)</f>
        <v>2.6040099999999999E-3</v>
      </c>
      <c r="E11" s="182" cm="1">
        <f t="array" ref="E11">_xlfn.IFNA(
   _xlfn._xlws.FILTER(
      Sim_Mul_Bet5!$F$2:$F$100,
      (Sim_Mul_Bet5!$A$2:$A$100=E$2) * (Sim_Mul_Bet5!$C$2:$C$100=$B11),0
   ),
   0
)</f>
        <v>0</v>
      </c>
      <c r="F11" s="183" cm="1">
        <f t="array" ref="F11">_xlfn.IFNA(
   _xlfn._xlws.FILTER(
      Sim_Mul_Bet5!$L$2:$L$100,
      (Sim_Mul_Bet5!$A$2:$A$100=F$2) * (Sim_Mul_Bet5!$C$2:$C$100=$B11),0
   ),
   0
)</f>
        <v>7.5556592765460913</v>
      </c>
      <c r="G11" s="184" cm="1">
        <f t="array" ref="G11">_xlfn.IFNA(
   _xlfn._xlws.FILTER(
      Sim_Mul_Bet5!$L$2:$L$100,
      (Sim_Mul_Bet5!$A$2:$A$100=G$2) * (Sim_Mul_Bet5!$C$2:$C$100=$B11),0
   ),
   0
)</f>
        <v>7.5989784985464723</v>
      </c>
      <c r="H11" s="185" cm="1">
        <f t="array" ref="H11">_xlfn.IFNA(
   _xlfn._xlws.FILTER(
      Sim_Mul_Bet5!$L$2:$L$100,
      (Sim_Mul_Bet5!$A$2:$A$100=H$2) * (Sim_Mul_Bet5!$C$2:$C$100=$B11),0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2.6040099999999999E-3</v>
      </c>
      <c r="N11" s="189">
        <f t="shared" si="6"/>
        <v>7.5989784985464723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Sim_Mul_Bet5!$F$2:$F$100,
      (Sim_Mul_Bet5!$A$2:$A$100=C$2) * (Sim_Mul_Bet5!$C$2:$C$100=$B12),0
   ),
   0
)</f>
        <v>0</v>
      </c>
      <c r="D12" s="181" cm="1">
        <f t="array" ref="D12">_xlfn.IFNA(
   _xlfn._xlws.FILTER(
      Sim_Mul_Bet5!$F$2:$F$100,
      (Sim_Mul_Bet5!$A$2:$A$100=D$2) * (Sim_Mul_Bet5!$C$2:$C$100=$B12),0
   ),
   0
)</f>
        <v>0</v>
      </c>
      <c r="E12" s="182" cm="1">
        <f t="array" ref="E12">_xlfn.IFNA(
   _xlfn._xlws.FILTER(
      Sim_Mul_Bet5!$F$2:$F$100,
      (Sim_Mul_Bet5!$A$2:$A$100=E$2) * (Sim_Mul_Bet5!$C$2:$C$100=$B12),0
   ),
   0
)</f>
        <v>0</v>
      </c>
      <c r="F12" s="183" cm="1">
        <f t="array" ref="F12">_xlfn.IFNA(
   _xlfn._xlws.FILTER(
      Sim_Mul_Bet5!$L$2:$L$100,
      (Sim_Mul_Bet5!$A$2:$A$100=F$2) * (Sim_Mul_Bet5!$C$2:$C$100=$B12),0
   ),
   0
)</f>
        <v>0</v>
      </c>
      <c r="G12" s="184" cm="1">
        <f t="array" ref="G12">_xlfn.IFNA(
   _xlfn._xlws.FILTER(
      Sim_Mul_Bet5!$L$2:$L$100,
      (Sim_Mul_Bet5!$A$2:$A$100=G$2) * (Sim_Mul_Bet5!$C$2:$C$100=$B12),0
   ),
   0
)</f>
        <v>0</v>
      </c>
      <c r="H12" s="185" cm="1">
        <f t="array" ref="H12">_xlfn.IFNA(
   _xlfn._xlws.FILTER(
      Sim_Mul_Bet5!$L$2:$L$100,
      (Sim_Mul_Bet5!$A$2:$A$100=H$2) * (Sim_Mul_Bet5!$C$2:$C$100=$B12),0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Sim_Mul_Bet5!$F$2:$F$100,
      (Sim_Mul_Bet5!$A$2:$A$100=C$2) * (Sim_Mul_Bet5!$C$2:$C$100=$B13),0
   ),
   0
)</f>
        <v>5.0541389999999999E-2</v>
      </c>
      <c r="D13" s="181" cm="1">
        <f t="array" ref="D13">_xlfn.IFNA(
   _xlfn._xlws.FILTER(
      Sim_Mul_Bet5!$F$2:$F$100,
      (Sim_Mul_Bet5!$A$2:$A$100=D$2) * (Sim_Mul_Bet5!$C$2:$C$100=$B13),0
   ),
   0
)</f>
        <v>3.1416600000000003E-2</v>
      </c>
      <c r="E13" s="182" cm="1">
        <f t="array" ref="E13">_xlfn.IFNA(
   _xlfn._xlws.FILTER(
      Sim_Mul_Bet5!$F$2:$F$100,
      (Sim_Mul_Bet5!$A$2:$A$100=E$2) * (Sim_Mul_Bet5!$C$2:$C$100=$B13),0
   ),
   0
)</f>
        <v>0</v>
      </c>
      <c r="F13" s="183" cm="1">
        <f t="array" ref="F13">_xlfn.IFNA(
   _xlfn._xlws.FILTER(
      Sim_Mul_Bet5!$L$2:$L$100,
      (Sim_Mul_Bet5!$A$2:$A$100=F$2) * (Sim_Mul_Bet5!$C$2:$C$100=$B13),0
   ),
   0
)</f>
        <v>10</v>
      </c>
      <c r="G13" s="184" cm="1">
        <f t="array" ref="G13">_xlfn.IFNA(
   _xlfn._xlws.FILTER(
      Sim_Mul_Bet5!$L$2:$L$100,
      (Sim_Mul_Bet5!$A$2:$A$100=G$2) * (Sim_Mul_Bet5!$C$2:$C$100=$B13),0
   ),
   0
)</f>
        <v>10</v>
      </c>
      <c r="H13" s="185" cm="1">
        <f t="array" ref="H13">_xlfn.IFNA(
   _xlfn._xlws.FILTER(
      Sim_Mul_Bet5!$L$2:$L$100,
      (Sim_Mul_Bet5!$A$2:$A$100=H$2) * (Sim_Mul_Bet5!$C$2:$C$100=$B13),0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3.1416600000000003E-2</v>
      </c>
      <c r="N13" s="189">
        <f t="shared" si="6"/>
        <v>10</v>
      </c>
      <c r="O13" s="190">
        <f t="shared" si="7"/>
        <v>6.9135000000000004E-3</v>
      </c>
      <c r="P13" s="190">
        <v>4.6090000000000002E-3</v>
      </c>
      <c r="Q13" s="190">
        <v>5.0154462188279902E-3</v>
      </c>
      <c r="R13" s="191">
        <f t="shared" si="0"/>
        <v>6.9135000000000002E-2</v>
      </c>
      <c r="T13" s="192">
        <f t="shared" si="2"/>
        <v>6914</v>
      </c>
      <c r="U13" s="176">
        <v>6.914E-3</v>
      </c>
      <c r="V13" s="195">
        <f t="shared" si="3"/>
        <v>4.609333333333334E-2</v>
      </c>
      <c r="W13" s="194"/>
      <c r="X13" s="217"/>
      <c r="Y13" s="190">
        <f t="shared" si="8"/>
        <v>0.03</v>
      </c>
      <c r="Z13" s="190">
        <v>0.02</v>
      </c>
      <c r="AA13" s="190">
        <v>5.0154462188279902E-3</v>
      </c>
      <c r="AB13" s="276">
        <f t="shared" si="4"/>
        <v>0.3</v>
      </c>
      <c r="AD13" s="192">
        <f t="shared" si="5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Sim_Mul_Bet5!$F$2:$F$100,
      (Sim_Mul_Bet5!$A$2:$A$100=C$2) * (Sim_Mul_Bet5!$C$2:$C$100=$B14),0
   ),
   0
)</f>
        <v>8.5115699999999996E-3</v>
      </c>
      <c r="D14" s="181" cm="1">
        <f t="array" ref="D14">_xlfn.IFNA(
   _xlfn._xlws.FILTER(
      Sim_Mul_Bet5!$F$2:$F$100,
      (Sim_Mul_Bet5!$A$2:$A$100=D$2) * (Sim_Mul_Bet5!$C$2:$C$100=$B14),0
   ),
   0
)</f>
        <v>8.720145E-2</v>
      </c>
      <c r="E14" s="182" cm="1">
        <f t="array" ref="E14">_xlfn.IFNA(
   _xlfn._xlws.FILTER(
      Sim_Mul_Bet5!$F$2:$F$100,
      (Sim_Mul_Bet5!$A$2:$A$100=E$2) * (Sim_Mul_Bet5!$C$2:$C$100=$B14),0
   ),
   0
)</f>
        <v>0</v>
      </c>
      <c r="F14" s="183" cm="1">
        <f t="array" ref="F14">_xlfn.IFNA(
   _xlfn._xlws.FILTER(
      Sim_Mul_Bet5!$L$2:$L$100,
      (Sim_Mul_Bet5!$A$2:$A$100=F$2) * (Sim_Mul_Bet5!$C$2:$C$100=$B14),0
   ),
   0
)</f>
        <v>12.977313938556577</v>
      </c>
      <c r="G14" s="184" cm="1">
        <f t="array" ref="G14">_xlfn.IFNA(
   _xlfn._xlws.FILTER(
      Sim_Mul_Bet5!$L$2:$L$100,
      (Sim_Mul_Bet5!$A$2:$A$100=G$2) * (Sim_Mul_Bet5!$C$2:$C$100=$B14),0
   ),
   0
)</f>
        <v>12.116503521443738</v>
      </c>
      <c r="H14" s="185" cm="1">
        <f t="array" ref="H14">_xlfn.IFNA(
   _xlfn._xlws.FILTER(
      Sim_Mul_Bet5!$L$2:$L$100,
      (Sim_Mul_Bet5!$A$2:$A$100=H$2) * (Sim_Mul_Bet5!$C$2:$C$100=$B14),0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8.720145E-2</v>
      </c>
      <c r="N14" s="189">
        <f t="shared" si="6"/>
        <v>12.116503521443738</v>
      </c>
      <c r="O14" s="190">
        <f t="shared" si="7"/>
        <v>8.6999999999999994E-3</v>
      </c>
      <c r="P14" s="190">
        <v>5.7999999999999996E-3</v>
      </c>
      <c r="Q14" s="190">
        <v>5.88704944009998E-3</v>
      </c>
      <c r="R14" s="191">
        <f t="shared" si="0"/>
        <v>0.10541358063656051</v>
      </c>
      <c r="T14" s="192">
        <f t="shared" si="2"/>
        <v>8700</v>
      </c>
      <c r="U14" s="176">
        <v>8.6999999999999994E-3</v>
      </c>
      <c r="V14" s="195">
        <f t="shared" si="3"/>
        <v>7.0275720424373675E-2</v>
      </c>
      <c r="W14" s="194"/>
      <c r="X14" s="217"/>
      <c r="Y14" s="190">
        <f t="shared" si="8"/>
        <v>1.5000000000000001E-4</v>
      </c>
      <c r="Z14" s="190">
        <v>1E-4</v>
      </c>
      <c r="AA14" s="190">
        <v>5.88704944009998E-3</v>
      </c>
      <c r="AB14" s="276">
        <f t="shared" si="4"/>
        <v>1.8174755282165608E-3</v>
      </c>
      <c r="AD14" s="192">
        <f t="shared" si="5"/>
        <v>150</v>
      </c>
      <c r="AE14" s="176">
        <v>1.4999999999999999E-4</v>
      </c>
      <c r="AF14" s="278">
        <f t="shared" si="9"/>
        <v>1.2116503521443737E-3</v>
      </c>
    </row>
    <row r="15" spans="2:32">
      <c r="B15" s="179">
        <v>15</v>
      </c>
      <c r="C15" s="180" cm="1">
        <f t="array" ref="C15">_xlfn.IFNA(
   _xlfn._xlws.FILTER(
      Sim_Mul_Bet5!$F$2:$F$100,
      (Sim_Mul_Bet5!$A$2:$A$100=C$2) * (Sim_Mul_Bet5!$C$2:$C$100=$B15),0
   ),
   0
)</f>
        <v>5.1718800000000002E-3</v>
      </c>
      <c r="D15" s="181" cm="1">
        <f t="array" ref="D15">_xlfn.IFNA(
   _xlfn._xlws.FILTER(
      Sim_Mul_Bet5!$F$2:$F$100,
      (Sim_Mul_Bet5!$A$2:$A$100=D$2) * (Sim_Mul_Bet5!$C$2:$C$100=$B15),0
   ),
   0
)</f>
        <v>3.8539469999999999E-2</v>
      </c>
      <c r="E15" s="182" cm="1">
        <f t="array" ref="E15">_xlfn.IFNA(
   _xlfn._xlws.FILTER(
      Sim_Mul_Bet5!$F$2:$F$100,
      (Sim_Mul_Bet5!$A$2:$A$100=E$2) * (Sim_Mul_Bet5!$C$2:$C$100=$B15),0
   ),
   0
)</f>
        <v>0</v>
      </c>
      <c r="F15" s="183" cm="1">
        <f t="array" ref="F15">_xlfn.IFNA(
   _xlfn._xlws.FILTER(
      Sim_Mul_Bet5!$L$2:$L$100,
      (Sim_Mul_Bet5!$A$2:$A$100=F$2) * (Sim_Mul_Bet5!$C$2:$C$100=$B15),0
   ),
   0
)</f>
        <v>19.710910152594412</v>
      </c>
      <c r="G15" s="184" cm="1">
        <f t="array" ref="G15">_xlfn.IFNA(
   _xlfn._xlws.FILTER(
      Sim_Mul_Bet5!$L$2:$L$100,
      (Sim_Mul_Bet5!$A$2:$A$100=G$2) * (Sim_Mul_Bet5!$C$2:$C$100=$B15),0
   ),
   0
)</f>
        <v>18.345822814896</v>
      </c>
      <c r="H15" s="185" cm="1">
        <f t="array" ref="H15">_xlfn.IFNA(
   _xlfn._xlws.FILTER(
      Sim_Mul_Bet5!$L$2:$L$100,
      (Sim_Mul_Bet5!$A$2:$A$100=H$2) * (Sim_Mul_Bet5!$C$2:$C$100=$B15),0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3.8539469999999999E-2</v>
      </c>
      <c r="N15" s="189">
        <f t="shared" si="6"/>
        <v>18.345822814896</v>
      </c>
      <c r="O15" s="190">
        <f t="shared" si="7"/>
        <v>4.3049999999999998E-3</v>
      </c>
      <c r="P15" s="190">
        <v>2.8700000000000002E-3</v>
      </c>
      <c r="Q15" s="190">
        <v>2.882526049821E-3</v>
      </c>
      <c r="R15" s="191">
        <f t="shared" si="0"/>
        <v>7.8978767218127272E-2</v>
      </c>
      <c r="T15" s="192">
        <f t="shared" si="2"/>
        <v>4305</v>
      </c>
      <c r="U15" s="176">
        <v>4.3049999999999998E-3</v>
      </c>
      <c r="V15" s="195">
        <f t="shared" si="3"/>
        <v>5.2652511478751517E-2</v>
      </c>
      <c r="W15" s="194"/>
      <c r="X15" s="217"/>
      <c r="Y15" s="190">
        <f t="shared" si="8"/>
        <v>1.2615000000000001E-2</v>
      </c>
      <c r="Z15" s="190">
        <v>8.4100000000000008E-3</v>
      </c>
      <c r="AA15" s="190">
        <v>2.882526049821E-3</v>
      </c>
      <c r="AB15" s="276">
        <f t="shared" si="4"/>
        <v>0.23143255480991307</v>
      </c>
      <c r="AD15" s="192">
        <f t="shared" si="5"/>
        <v>12615</v>
      </c>
      <c r="AE15" s="176">
        <v>1.2614999999999999E-2</v>
      </c>
      <c r="AF15" s="278">
        <f t="shared" si="9"/>
        <v>0.15428836987327535</v>
      </c>
    </row>
    <row r="16" spans="2:32">
      <c r="B16" s="179">
        <v>20</v>
      </c>
      <c r="C16" s="180" cm="1">
        <f t="array" ref="C16">_xlfn.IFNA(
   _xlfn._xlws.FILTER(
      Sim_Mul_Bet5!$F$2:$F$100,
      (Sim_Mul_Bet5!$A$2:$A$100=C$2) * (Sim_Mul_Bet5!$C$2:$C$100=$B16),0
   ),
   0
)</f>
        <v>9.2199000000000003E-4</v>
      </c>
      <c r="D16" s="181" cm="1">
        <f t="array" ref="D16">_xlfn.IFNA(
   _xlfn._xlws.FILTER(
      Sim_Mul_Bet5!$F$2:$F$100,
      (Sim_Mul_Bet5!$A$2:$A$100=D$2) * (Sim_Mul_Bet5!$C$2:$C$100=$B16),0
   ),
   0
)</f>
        <v>8.3373290000000003E-2</v>
      </c>
      <c r="E16" s="182" cm="1">
        <f t="array" ref="E16">_xlfn.IFNA(
   _xlfn._xlws.FILTER(
      Sim_Mul_Bet5!$F$2:$F$100,
      (Sim_Mul_Bet5!$A$2:$A$100=E$2) * (Sim_Mul_Bet5!$C$2:$C$100=$B16),0
   ),
   0
)</f>
        <v>0</v>
      </c>
      <c r="F16" s="183" cm="1">
        <f t="array" ref="F16">_xlfn.IFNA(
   _xlfn._xlws.FILTER(
      Sim_Mul_Bet5!$L$2:$L$100,
      (Sim_Mul_Bet5!$A$2:$A$100=F$2) * (Sim_Mul_Bet5!$C$2:$C$100=$B16),0
   ),
   0
)</f>
        <v>21.208744129545877</v>
      </c>
      <c r="G16" s="184" cm="1">
        <f t="array" ref="G16">_xlfn.IFNA(
   _xlfn._xlws.FILTER(
      Sim_Mul_Bet5!$L$2:$L$100,
      (Sim_Mul_Bet5!$A$2:$A$100=G$2) * (Sim_Mul_Bet5!$C$2:$C$100=$B16),0
   ),
   0
)</f>
        <v>21.491711961948486</v>
      </c>
      <c r="H16" s="185" cm="1">
        <f t="array" ref="H16">_xlfn.IFNA(
   _xlfn._xlws.FILTER(
      Sim_Mul_Bet5!$L$2:$L$100,
      (Sim_Mul_Bet5!$A$2:$A$100=H$2) * (Sim_Mul_Bet5!$C$2:$C$100=$B16),0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8.3373290000000003E-2</v>
      </c>
      <c r="N16" s="189">
        <f t="shared" si="6"/>
        <v>21.491711961948486</v>
      </c>
      <c r="O16" s="190">
        <f t="shared" si="7"/>
        <v>9.4500000000000001E-3</v>
      </c>
      <c r="P16" s="190">
        <v>6.3E-3</v>
      </c>
      <c r="Q16" s="190">
        <v>6.3113290796927299E-3</v>
      </c>
      <c r="R16" s="191">
        <f t="shared" si="0"/>
        <v>0.2030966780404132</v>
      </c>
      <c r="T16" s="192">
        <f t="shared" si="2"/>
        <v>9450</v>
      </c>
      <c r="U16" s="176">
        <v>9.4500000000000001E-3</v>
      </c>
      <c r="V16" s="195">
        <f t="shared" si="3"/>
        <v>0.13539778536027547</v>
      </c>
      <c r="W16" s="194"/>
      <c r="X16" s="217"/>
      <c r="Y16" s="190">
        <f t="shared" si="8"/>
        <v>7.5000000000000002E-4</v>
      </c>
      <c r="Z16" s="190">
        <v>5.0000000000000001E-4</v>
      </c>
      <c r="AA16" s="190">
        <v>6.3113290796927299E-3</v>
      </c>
      <c r="AB16" s="276">
        <f t="shared" si="4"/>
        <v>1.6118783971461364E-2</v>
      </c>
      <c r="AD16" s="192">
        <f t="shared" si="5"/>
        <v>750</v>
      </c>
      <c r="AE16" s="176">
        <v>7.5000000000000002E-4</v>
      </c>
      <c r="AF16" s="278">
        <f t="shared" si="9"/>
        <v>1.0745855980974243E-2</v>
      </c>
    </row>
    <row r="17" spans="2:32">
      <c r="B17" s="179">
        <v>25</v>
      </c>
      <c r="C17" s="180" cm="1">
        <f t="array" ref="C17">_xlfn.IFNA(
   _xlfn._xlws.FILTER(
      Sim_Mul_Bet5!$F$2:$F$100,
      (Sim_Mul_Bet5!$A$2:$A$100=C$2) * (Sim_Mul_Bet5!$C$2:$C$100=$B17),0
   ),
   0
)</f>
        <v>6.3190000000000002E-4</v>
      </c>
      <c r="D17" s="181" cm="1">
        <f t="array" ref="D17">_xlfn.IFNA(
   _xlfn._xlws.FILTER(
      Sim_Mul_Bet5!$F$2:$F$100,
      (Sim_Mul_Bet5!$A$2:$A$100=D$2) * (Sim_Mul_Bet5!$C$2:$C$100=$B17),0
   ),
   0
)</f>
        <v>1.5973749999999998E-2</v>
      </c>
      <c r="E17" s="182" cm="1">
        <f t="array" ref="E17">_xlfn.IFNA(
   _xlfn._xlws.FILTER(
      Sim_Mul_Bet5!$F$2:$F$100,
      (Sim_Mul_Bet5!$A$2:$A$100=E$2) * (Sim_Mul_Bet5!$C$2:$C$100=$B17),0
   ),
   0
)</f>
        <v>0</v>
      </c>
      <c r="F17" s="183" cm="1">
        <f t="array" ref="F17">_xlfn.IFNA(
   _xlfn._xlws.FILTER(
      Sim_Mul_Bet5!$L$2:$L$100,
      (Sim_Mul_Bet5!$A$2:$A$100=F$2) * (Sim_Mul_Bet5!$C$2:$C$100=$B17),0
   ),
   0
)</f>
        <v>29.929906630796012</v>
      </c>
      <c r="G17" s="184" cm="1">
        <f t="array" ref="G17">_xlfn.IFNA(
   _xlfn._xlws.FILTER(
      Sim_Mul_Bet5!$L$2:$L$100,
      (Sim_Mul_Bet5!$A$2:$A$100=G$2) * (Sim_Mul_Bet5!$C$2:$C$100=$B17),0
   ),
   0
)</f>
        <v>28.54885196024728</v>
      </c>
      <c r="H17" s="185" cm="1">
        <f t="array" ref="H17">_xlfn.IFNA(
   _xlfn._xlws.FILTER(
      Sim_Mul_Bet5!$L$2:$L$100,
      (Sim_Mul_Bet5!$A$2:$A$100=H$2) * (Sim_Mul_Bet5!$C$2:$C$100=$B17),0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1.5973749999999998E-2</v>
      </c>
      <c r="N17" s="189">
        <f t="shared" si="6"/>
        <v>28.54885196024728</v>
      </c>
      <c r="O17" s="190">
        <f t="shared" si="7"/>
        <v>2.5499999999999997E-3</v>
      </c>
      <c r="P17" s="190">
        <v>1.6999999999999999E-3</v>
      </c>
      <c r="Q17" s="190">
        <v>1.7696391996432301E-3</v>
      </c>
      <c r="R17" s="191">
        <f t="shared" si="0"/>
        <v>7.279957249863056E-2</v>
      </c>
      <c r="T17" s="192">
        <f t="shared" si="2"/>
        <v>2550</v>
      </c>
      <c r="U17" s="176">
        <v>2.5500000000000002E-3</v>
      </c>
      <c r="V17" s="195">
        <f t="shared" si="3"/>
        <v>4.8533048332420385E-2</v>
      </c>
      <c r="W17" s="194"/>
      <c r="X17" s="217"/>
      <c r="Y17" s="190">
        <f t="shared" si="8"/>
        <v>7.5000000000000002E-4</v>
      </c>
      <c r="Z17" s="190">
        <v>5.0000000000000001E-4</v>
      </c>
      <c r="AA17" s="190">
        <v>1.7696391996432301E-3</v>
      </c>
      <c r="AB17" s="276">
        <f t="shared" si="4"/>
        <v>2.141163897018546E-2</v>
      </c>
      <c r="AD17" s="192">
        <f t="shared" si="5"/>
        <v>750</v>
      </c>
      <c r="AE17" s="176">
        <v>7.5000000000000002E-4</v>
      </c>
      <c r="AF17" s="278">
        <f t="shared" si="9"/>
        <v>1.4274425980123641E-2</v>
      </c>
    </row>
    <row r="18" spans="2:32">
      <c r="B18" s="179">
        <v>30</v>
      </c>
      <c r="C18" s="180" cm="1">
        <f t="array" ref="C18">_xlfn.IFNA(
   _xlfn._xlws.FILTER(
      Sim_Mul_Bet5!$F$2:$F$100,
      (Sim_Mul_Bet5!$A$2:$A$100=C$2) * (Sim_Mul_Bet5!$C$2:$C$100=$B18),0
   ),
   0
)</f>
        <v>9.1959999999999994E-5</v>
      </c>
      <c r="D18" s="181" cm="1">
        <f t="array" ref="D18">_xlfn.IFNA(
   _xlfn._xlws.FILTER(
      Sim_Mul_Bet5!$F$2:$F$100,
      (Sim_Mul_Bet5!$A$2:$A$100=D$2) * (Sim_Mul_Bet5!$C$2:$C$100=$B18),0
   ),
   0
)</f>
        <v>3.3117859999999999E-2</v>
      </c>
      <c r="E18" s="182" cm="1">
        <f t="array" ref="E18">_xlfn.IFNA(
   _xlfn._xlws.FILTER(
      Sim_Mul_Bet5!$F$2:$F$100,
      (Sim_Mul_Bet5!$A$2:$A$100=E$2) * (Sim_Mul_Bet5!$C$2:$C$100=$B18),0
   ),
   0
)</f>
        <v>0</v>
      </c>
      <c r="F18" s="183" cm="1">
        <f t="array" ref="F18">_xlfn.IFNA(
   _xlfn._xlws.FILTER(
      Sim_Mul_Bet5!$L$2:$L$100,
      (Sim_Mul_Bet5!$A$2:$A$100=F$2) * (Sim_Mul_Bet5!$C$2:$C$100=$B18),0
   ),
   0
)</f>
        <v>31.3115267507612</v>
      </c>
      <c r="G18" s="184" cm="1">
        <f t="array" ref="G18">_xlfn.IFNA(
   _xlfn._xlws.FILTER(
      Sim_Mul_Bet5!$L$2:$L$100,
      (Sim_Mul_Bet5!$A$2:$A$100=G$2) * (Sim_Mul_Bet5!$C$2:$C$100=$B18),0
   ),
   0
)</f>
        <v>31.306780570966843</v>
      </c>
      <c r="H18" s="185" cm="1">
        <f t="array" ref="H18">_xlfn.IFNA(
   _xlfn._xlws.FILTER(
      Sim_Mul_Bet5!$L$2:$L$100,
      (Sim_Mul_Bet5!$A$2:$A$100=H$2) * (Sim_Mul_Bet5!$C$2:$C$100=$B18),0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3.3117859999999999E-2</v>
      </c>
      <c r="N18" s="189">
        <f t="shared" si="6"/>
        <v>31.306780570966843</v>
      </c>
      <c r="O18" s="190">
        <f t="shared" si="7"/>
        <v>2.7000000000000001E-3</v>
      </c>
      <c r="P18" s="190">
        <v>1.8E-3</v>
      </c>
      <c r="Q18" s="190">
        <v>1.82047142483405E-3</v>
      </c>
      <c r="R18" s="191">
        <f t="shared" si="0"/>
        <v>8.4528307541610476E-2</v>
      </c>
      <c r="T18" s="192">
        <f t="shared" si="2"/>
        <v>2700</v>
      </c>
      <c r="U18" s="176">
        <v>2.7000000000000001E-3</v>
      </c>
      <c r="V18" s="195">
        <f t="shared" si="3"/>
        <v>5.6352205027740319E-2</v>
      </c>
      <c r="W18" s="194"/>
      <c r="X18" s="217"/>
      <c r="Y18" s="190">
        <f t="shared" si="8"/>
        <v>1.5000000000000001E-4</v>
      </c>
      <c r="Z18" s="190">
        <v>1E-4</v>
      </c>
      <c r="AA18" s="190">
        <v>1.82047142483405E-3</v>
      </c>
      <c r="AB18" s="276">
        <f t="shared" si="4"/>
        <v>4.6960170856450269E-3</v>
      </c>
      <c r="AD18" s="192">
        <f t="shared" si="5"/>
        <v>150</v>
      </c>
      <c r="AE18" s="176">
        <v>1.4999999999999999E-4</v>
      </c>
      <c r="AF18" s="278">
        <f t="shared" si="9"/>
        <v>3.1306780570966842E-3</v>
      </c>
    </row>
    <row r="19" spans="2:32">
      <c r="B19" s="179">
        <v>35</v>
      </c>
      <c r="C19" s="180" cm="1">
        <f t="array" ref="C19">_xlfn.IFNA(
   _xlfn._xlws.FILTER(
      Sim_Mul_Bet5!$F$2:$F$100,
      (Sim_Mul_Bet5!$A$2:$A$100=C$2) * (Sim_Mul_Bet5!$C$2:$C$100=$B19),0
   ),
   0
)</f>
        <v>1.7982499999999999E-3</v>
      </c>
      <c r="D19" s="181" cm="1">
        <f t="array" ref="D19">_xlfn.IFNA(
   _xlfn._xlws.FILTER(
      Sim_Mul_Bet5!$F$2:$F$100,
      (Sim_Mul_Bet5!$A$2:$A$100=D$2) * (Sim_Mul_Bet5!$C$2:$C$100=$B19),0
   ),
   0
)</f>
        <v>1.376632E-2</v>
      </c>
      <c r="E19" s="182" cm="1">
        <f t="array" ref="E19">_xlfn.IFNA(
   _xlfn._xlws.FILTER(
      Sim_Mul_Bet5!$F$2:$F$100,
      (Sim_Mul_Bet5!$A$2:$A$100=E$2) * (Sim_Mul_Bet5!$C$2:$C$100=$B19),0
   ),
   0
)</f>
        <v>0</v>
      </c>
      <c r="F19" s="183" cm="1">
        <f t="array" ref="F19">_xlfn.IFNA(
   _xlfn._xlws.FILTER(
      Sim_Mul_Bet5!$L$2:$L$100,
      (Sim_Mul_Bet5!$A$2:$A$100=F$2) * (Sim_Mul_Bet5!$C$2:$C$100=$B19),0
   ),
   0
)</f>
        <v>39.993380230779927</v>
      </c>
      <c r="G19" s="184" cm="1">
        <f t="array" ref="G19">_xlfn.IFNA(
   _xlfn._xlws.FILTER(
      Sim_Mul_Bet5!$L$2:$L$100,
      (Sim_Mul_Bet5!$A$2:$A$100=G$2) * (Sim_Mul_Bet5!$C$2:$C$100=$B19),0
   ),
   0
)</f>
        <v>39.178824987360457</v>
      </c>
      <c r="H19" s="185" cm="1">
        <f t="array" ref="H19">_xlfn.IFNA(
   _xlfn._xlws.FILTER(
      Sim_Mul_Bet5!$L$2:$L$100,
      (Sim_Mul_Bet5!$A$2:$A$100=H$2) * (Sim_Mul_Bet5!$C$2:$C$100=$B19),0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1.376632E-2</v>
      </c>
      <c r="N19" s="189">
        <f t="shared" si="6"/>
        <v>39.178824987360457</v>
      </c>
      <c r="O19" s="190">
        <f t="shared" si="7"/>
        <v>0</v>
      </c>
      <c r="P19" s="190">
        <v>0</v>
      </c>
      <c r="Q19" s="190">
        <v>0</v>
      </c>
      <c r="R19" s="191">
        <f t="shared" si="0"/>
        <v>0</v>
      </c>
      <c r="T19" s="192">
        <f t="shared" si="2"/>
        <v>0</v>
      </c>
      <c r="U19" s="176">
        <v>0</v>
      </c>
      <c r="V19" s="195">
        <f t="shared" si="3"/>
        <v>0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Sim_Mul_Bet5!$F$2:$F$100,
      (Sim_Mul_Bet5!$A$2:$A$100=C$2) * (Sim_Mul_Bet5!$C$2:$C$100=$B20),0
   ),
   0
)</f>
        <v>4.7108000000000002E-4</v>
      </c>
      <c r="D20" s="181" cm="1">
        <f t="array" ref="D20">_xlfn.IFNA(
   _xlfn._xlws.FILTER(
      Sim_Mul_Bet5!$F$2:$F$100,
      (Sim_Mul_Bet5!$A$2:$A$100=D$2) * (Sim_Mul_Bet5!$C$2:$C$100=$B20),0
   ),
   0
)</f>
        <v>2.862632E-2</v>
      </c>
      <c r="E20" s="182" cm="1">
        <f t="array" ref="E20">_xlfn.IFNA(
   _xlfn._xlws.FILTER(
      Sim_Mul_Bet5!$F$2:$F$100,
      (Sim_Mul_Bet5!$A$2:$A$100=E$2) * (Sim_Mul_Bet5!$C$2:$C$100=$B20),0
   ),
   0
)</f>
        <v>0</v>
      </c>
      <c r="F20" s="183" cm="1">
        <f t="array" ref="F20">_xlfn.IFNA(
   _xlfn._xlws.FILTER(
      Sim_Mul_Bet5!$L$2:$L$100,
      (Sim_Mul_Bet5!$A$2:$A$100=F$2) * (Sim_Mul_Bet5!$C$2:$C$100=$B20),0
   ),
   0
)</f>
        <v>41.445482720557017</v>
      </c>
      <c r="G20" s="184" cm="1">
        <f t="array" ref="G20">_xlfn.IFNA(
   _xlfn._xlws.FILTER(
      Sim_Mul_Bet5!$L$2:$L$100,
      (Sim_Mul_Bet5!$A$2:$A$100=G$2) * (Sim_Mul_Bet5!$C$2:$C$100=$B20),0
   ),
   0
)</f>
        <v>41.391323090079339</v>
      </c>
      <c r="H20" s="185" cm="1">
        <f t="array" ref="H20">_xlfn.IFNA(
   _xlfn._xlws.FILTER(
      Sim_Mul_Bet5!$L$2:$L$100,
      (Sim_Mul_Bet5!$A$2:$A$100=H$2) * (Sim_Mul_Bet5!$C$2:$C$100=$B20),0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2.862632E-2</v>
      </c>
      <c r="N20" s="189">
        <f t="shared" si="6"/>
        <v>41.391323090079339</v>
      </c>
      <c r="O20" s="190">
        <f t="shared" si="7"/>
        <v>0</v>
      </c>
      <c r="P20" s="190">
        <v>0</v>
      </c>
      <c r="Q20" s="190">
        <v>0</v>
      </c>
      <c r="R20" s="191">
        <f t="shared" si="0"/>
        <v>0</v>
      </c>
      <c r="T20" s="192">
        <f t="shared" si="2"/>
        <v>0</v>
      </c>
      <c r="U20" s="176">
        <v>0</v>
      </c>
      <c r="V20" s="195">
        <f t="shared" si="3"/>
        <v>0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Sim_Mul_Bet5!$F$2:$F$100,
      (Sim_Mul_Bet5!$A$2:$A$100=C$2) * (Sim_Mul_Bet5!$C$2:$C$100=$B21),0
   ),
   0
)</f>
        <v>3.4427300000000002E-3</v>
      </c>
      <c r="D21" s="181" cm="1">
        <f t="array" ref="D21">_xlfn.IFNA(
   _xlfn._xlws.FILTER(
      Sim_Mul_Bet5!$F$2:$F$100,
      (Sim_Mul_Bet5!$A$2:$A$100=D$2) * (Sim_Mul_Bet5!$C$2:$C$100=$B21),0
   ),
   0
)</f>
        <v>2.0085680000000002E-2</v>
      </c>
      <c r="E21" s="182" cm="1">
        <f t="array" ref="E21">_xlfn.IFNA(
   _xlfn._xlws.FILTER(
      Sim_Mul_Bet5!$F$2:$F$100,
      (Sim_Mul_Bet5!$A$2:$A$100=E$2) * (Sim_Mul_Bet5!$C$2:$C$100=$B21),0
   ),
   0
)</f>
        <v>0</v>
      </c>
      <c r="F21" s="183" cm="1">
        <f t="array" ref="F21">_xlfn.IFNA(
   _xlfn._xlws.FILTER(
      Sim_Mul_Bet5!$L$2:$L$100,
      (Sim_Mul_Bet5!$A$2:$A$100=F$2) * (Sim_Mul_Bet5!$C$2:$C$100=$B21),0
   ),
   0
)</f>
        <v>49.997687881419687</v>
      </c>
      <c r="G21" s="184" cm="1">
        <f t="array" ref="G21">_xlfn.IFNA(
   _xlfn._xlws.FILTER(
      Sim_Mul_Bet5!$L$2:$L$100,
      (Sim_Mul_Bet5!$A$2:$A$100=G$2) * (Sim_Mul_Bet5!$C$2:$C$100=$B21),0
   ),
   0
)</f>
        <v>49.702058780185681</v>
      </c>
      <c r="H21" s="185" cm="1">
        <f t="array" ref="H21">_xlfn.IFNA(
   _xlfn._xlws.FILTER(
      Sim_Mul_Bet5!$L$2:$L$100,
      (Sim_Mul_Bet5!$A$2:$A$100=H$2) * (Sim_Mul_Bet5!$C$2:$C$100=$B21),0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2.0085680000000002E-2</v>
      </c>
      <c r="N21" s="189">
        <f t="shared" si="6"/>
        <v>49.702058780185681</v>
      </c>
      <c r="O21" s="190">
        <f t="shared" si="7"/>
        <v>8.2649999999999998E-3</v>
      </c>
      <c r="P21" s="190">
        <v>5.5100000000000001E-3</v>
      </c>
      <c r="Q21" s="190">
        <v>5.70676448142319E-3</v>
      </c>
      <c r="R21" s="191">
        <f t="shared" si="0"/>
        <v>0.41078751581823464</v>
      </c>
      <c r="T21" s="192">
        <f t="shared" si="2"/>
        <v>8265</v>
      </c>
      <c r="U21" s="176">
        <v>8.2649999999999998E-3</v>
      </c>
      <c r="V21" s="195">
        <f t="shared" si="3"/>
        <v>0.27385834387882307</v>
      </c>
      <c r="W21" s="194"/>
      <c r="X21" s="217"/>
      <c r="Y21" s="190">
        <f t="shared" si="8"/>
        <v>1.125E-2</v>
      </c>
      <c r="Z21" s="190">
        <v>7.4999999999999997E-3</v>
      </c>
      <c r="AA21" s="190">
        <v>5.70676448142319E-3</v>
      </c>
      <c r="AB21" s="276">
        <f t="shared" si="4"/>
        <v>0.55914816127708888</v>
      </c>
      <c r="AD21" s="192">
        <f t="shared" si="5"/>
        <v>11250</v>
      </c>
      <c r="AE21" s="176">
        <v>1.125E-2</v>
      </c>
      <c r="AF21" s="278">
        <f t="shared" si="9"/>
        <v>0.37276544085139257</v>
      </c>
    </row>
    <row r="22" spans="2:32">
      <c r="B22" s="179">
        <v>50</v>
      </c>
      <c r="C22" s="180" cm="1">
        <f t="array" ref="C22">_xlfn.IFNA(
   _xlfn._xlws.FILTER(
      Sim_Mul_Bet5!$F$2:$F$100,
      (Sim_Mul_Bet5!$A$2:$A$100=C$2) * (Sim_Mul_Bet5!$C$2:$C$100=$B22),0
   ),
   0
)</f>
        <v>5.5783000000000004E-4</v>
      </c>
      <c r="D22" s="181" cm="1">
        <f t="array" ref="D22">_xlfn.IFNA(
   _xlfn._xlws.FILTER(
      Sim_Mul_Bet5!$F$2:$F$100,
      (Sim_Mul_Bet5!$A$2:$A$100=D$2) * (Sim_Mul_Bet5!$C$2:$C$100=$B22),0
   ),
   0
)</f>
        <v>4.0969789999999999E-2</v>
      </c>
      <c r="E22" s="182" cm="1">
        <f t="array" ref="E22">_xlfn.IFNA(
   _xlfn._xlws.FILTER(
      Sim_Mul_Bet5!$F$2:$F$100,
      (Sim_Mul_Bet5!$A$2:$A$100=E$2) * (Sim_Mul_Bet5!$C$2:$C$100=$B22),0
   ),
   0
)</f>
        <v>0</v>
      </c>
      <c r="F22" s="183" cm="1">
        <f t="array" ref="F22">_xlfn.IFNA(
   _xlfn._xlws.FILTER(
      Sim_Mul_Bet5!$L$2:$L$100,
      (Sim_Mul_Bet5!$A$2:$A$100=F$2) * (Sim_Mul_Bet5!$C$2:$C$100=$B22),0
   ),
   0
)</f>
        <v>53.184529336894755</v>
      </c>
      <c r="G22" s="184" cm="1">
        <f t="array" ref="G22">_xlfn.IFNA(
   _xlfn._xlws.FILTER(
      Sim_Mul_Bet5!$L$2:$L$100,
      (Sim_Mul_Bet5!$A$2:$A$100=G$2) * (Sim_Mul_Bet5!$C$2:$C$100=$B22),0
   ),
   0
)</f>
        <v>52.664694058719853</v>
      </c>
      <c r="H22" s="185" cm="1">
        <f t="array" ref="H22">_xlfn.IFNA(
   _xlfn._xlws.FILTER(
      Sim_Mul_Bet5!$L$2:$L$100,
      (Sim_Mul_Bet5!$A$2:$A$100=H$2) * (Sim_Mul_Bet5!$C$2:$C$100=$B22),0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4.0969789999999999E-2</v>
      </c>
      <c r="N22" s="189">
        <f t="shared" si="6"/>
        <v>52.664694058719853</v>
      </c>
      <c r="O22" s="190">
        <f t="shared" si="7"/>
        <v>0</v>
      </c>
      <c r="P22" s="190">
        <v>0</v>
      </c>
      <c r="Q22" s="190">
        <v>0</v>
      </c>
      <c r="R22" s="191">
        <f t="shared" si="0"/>
        <v>0</v>
      </c>
      <c r="T22" s="192">
        <f t="shared" si="2"/>
        <v>0</v>
      </c>
      <c r="U22" s="176">
        <v>0</v>
      </c>
      <c r="V22" s="195">
        <f t="shared" si="3"/>
        <v>0</v>
      </c>
      <c r="W22" s="194"/>
      <c r="X22" s="217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Sim_Mul_Bet5!$F$2:$F$100,
      (Sim_Mul_Bet5!$A$2:$A$100=C$2) * (Sim_Mul_Bet5!$C$2:$C$100=$B23),0
   ),
   0
)</f>
        <v>9.7499999999999998E-6</v>
      </c>
      <c r="D23" s="181" cm="1">
        <f t="array" ref="D23">_xlfn.IFNA(
   _xlfn._xlws.FILTER(
      Sim_Mul_Bet5!$F$2:$F$100,
      (Sim_Mul_Bet5!$A$2:$A$100=D$2) * (Sim_Mul_Bet5!$C$2:$C$100=$B23),0
   ),
   0
)</f>
        <v>6.2768299999999997E-3</v>
      </c>
      <c r="E23" s="182" cm="1">
        <f t="array" ref="E23">_xlfn.IFNA(
   _xlfn._xlws.FILTER(
      Sim_Mul_Bet5!$F$2:$F$100,
      (Sim_Mul_Bet5!$A$2:$A$100=E$2) * (Sim_Mul_Bet5!$C$2:$C$100=$B23),0
   ),
   0
)</f>
        <v>0</v>
      </c>
      <c r="F23" s="183" cm="1">
        <f t="array" ref="F23">_xlfn.IFNA(
   _xlfn._xlws.FILTER(
      Sim_Mul_Bet5!$L$2:$L$100,
      (Sim_Mul_Bet5!$A$2:$A$100=F$2) * (Sim_Mul_Bet5!$C$2:$C$100=$B23),0
   ),
   0
)</f>
        <v>65.036923076923074</v>
      </c>
      <c r="G23" s="184" cm="1">
        <f t="array" ref="G23">_xlfn.IFNA(
   _xlfn._xlws.FILTER(
      Sim_Mul_Bet5!$L$2:$L$100,
      (Sim_Mul_Bet5!$A$2:$A$100=G$2) * (Sim_Mul_Bet5!$C$2:$C$100=$B23),0
   ),
   0
)</f>
        <v>62.350585884913244</v>
      </c>
      <c r="H23" s="185" cm="1">
        <f t="array" ref="H23">_xlfn.IFNA(
   _xlfn._xlws.FILTER(
      Sim_Mul_Bet5!$L$2:$L$100,
      (Sim_Mul_Bet5!$A$2:$A$100=H$2) * (Sim_Mul_Bet5!$C$2:$C$100=$B23),0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6.2768299999999997E-3</v>
      </c>
      <c r="N23" s="189">
        <f t="shared" si="6"/>
        <v>62.350585884913244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Sim_Mul_Bet5!$F$2:$F$100,
      (Sim_Mul_Bet5!$A$2:$A$100=C$2) * (Sim_Mul_Bet5!$C$2:$C$100=$B24),0
   ),
   0
)</f>
        <v>1.19E-6</v>
      </c>
      <c r="D24" s="181" cm="1">
        <f t="array" ref="D24">_xlfn.IFNA(
   _xlfn._xlws.FILTER(
      Sim_Mul_Bet5!$F$2:$F$100,
      (Sim_Mul_Bet5!$A$2:$A$100=D$2) * (Sim_Mul_Bet5!$C$2:$C$100=$B24),0
   ),
   0
)</f>
        <v>2.60421E-3</v>
      </c>
      <c r="E24" s="182" cm="1">
        <f t="array" ref="E24">_xlfn.IFNA(
   _xlfn._xlws.FILTER(
      Sim_Mul_Bet5!$F$2:$F$100,
      (Sim_Mul_Bet5!$A$2:$A$100=E$2) * (Sim_Mul_Bet5!$C$2:$C$100=$B24),0
   ),
   0
)</f>
        <v>0</v>
      </c>
      <c r="F24" s="183" cm="1">
        <f t="array" ref="F24">_xlfn.IFNA(
   _xlfn._xlws.FILTER(
      Sim_Mul_Bet5!$L$2:$L$100,
      (Sim_Mul_Bet5!$A$2:$A$100=F$2) * (Sim_Mul_Bet5!$C$2:$C$100=$B24),0
   ),
   0
)</f>
        <v>71.902521008403369</v>
      </c>
      <c r="G24" s="184" cm="1">
        <f t="array" ref="G24">_xlfn.IFNA(
   _xlfn._xlws.FILTER(
      Sim_Mul_Bet5!$L$2:$L$100,
      (Sim_Mul_Bet5!$A$2:$A$100=G$2) * (Sim_Mul_Bet5!$C$2:$C$100=$B24),0
   ),
   0
)</f>
        <v>71.417645274382636</v>
      </c>
      <c r="H24" s="185" cm="1">
        <f t="array" ref="H24">_xlfn.IFNA(
   _xlfn._xlws.FILTER(
      Sim_Mul_Bet5!$L$2:$L$100,
      (Sim_Mul_Bet5!$A$2:$A$100=H$2) * (Sim_Mul_Bet5!$C$2:$C$100=$B24),0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2.60421E-3</v>
      </c>
      <c r="N24" s="189">
        <f t="shared" si="6"/>
        <v>71.417645274382636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Sim_Mul_Bet5!$F$2:$F$100,
      (Sim_Mul_Bet5!$A$2:$A$100=C$2) * (Sim_Mul_Bet5!$C$2:$C$100=$B25),0
   ),
   0
)</f>
        <v>0</v>
      </c>
      <c r="D25" s="181" cm="1">
        <f t="array" ref="D25">_xlfn.IFNA(
   _xlfn._xlws.FILTER(
      Sim_Mul_Bet5!$F$2:$F$100,
      (Sim_Mul_Bet5!$A$2:$A$100=D$2) * (Sim_Mul_Bet5!$C$2:$C$100=$B25),0
   ),
   0
)</f>
        <v>2.8711999999999998E-4</v>
      </c>
      <c r="E25" s="182" cm="1">
        <f t="array" ref="E25">_xlfn.IFNA(
   _xlfn._xlws.FILTER(
      Sim_Mul_Bet5!$F$2:$F$100,
      (Sim_Mul_Bet5!$A$2:$A$100=E$2) * (Sim_Mul_Bet5!$C$2:$C$100=$B25),0
   ),
   0
)</f>
        <v>0</v>
      </c>
      <c r="F25" s="183" cm="1">
        <f t="array" ref="F25">_xlfn.IFNA(
   _xlfn._xlws.FILTER(
      Sim_Mul_Bet5!$L$2:$L$100,
      (Sim_Mul_Bet5!$A$2:$A$100=F$2) * (Sim_Mul_Bet5!$C$2:$C$100=$B25),0
   ),
   0
)</f>
        <v>0</v>
      </c>
      <c r="G25" s="184" cm="1">
        <f t="array" ref="G25">_xlfn.IFNA(
   _xlfn._xlws.FILTER(
      Sim_Mul_Bet5!$L$2:$L$100,
      (Sim_Mul_Bet5!$A$2:$A$100=G$2) * (Sim_Mul_Bet5!$C$2:$C$100=$B25),0
   ),
   0
)</f>
        <v>80.599832822513221</v>
      </c>
      <c r="H25" s="185" cm="1">
        <f t="array" ref="H25">_xlfn.IFNA(
   _xlfn._xlws.FILTER(
      Sim_Mul_Bet5!$L$2:$L$100,
      (Sim_Mul_Bet5!$A$2:$A$100=H$2) * (Sim_Mul_Bet5!$C$2:$C$100=$B25),0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2.8711999999999998E-4</v>
      </c>
      <c r="N25" s="189">
        <f t="shared" si="6"/>
        <v>80.599832822513221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Sim_Mul_Bet5!$F$2:$F$100,
      (Sim_Mul_Bet5!$A$2:$A$100=C$2) * (Sim_Mul_Bet5!$C$2:$C$100=$B26),0
   ),
   0
)</f>
        <v>1.9841999999999999E-4</v>
      </c>
      <c r="D26" s="181" cm="1">
        <f t="array" ref="D26">_xlfn.IFNA(
   _xlfn._xlws.FILTER(
      Sim_Mul_Bet5!$F$2:$F$100,
      (Sim_Mul_Bet5!$A$2:$A$100=D$2) * (Sim_Mul_Bet5!$C$2:$C$100=$B26),0
   ),
   0
)</f>
        <v>1.5434059999999999E-2</v>
      </c>
      <c r="E26" s="182" cm="1">
        <f t="array" ref="E26">_xlfn.IFNA(
   _xlfn._xlws.FILTER(
      Sim_Mul_Bet5!$F$2:$F$100,
      (Sim_Mul_Bet5!$A$2:$A$100=E$2) * (Sim_Mul_Bet5!$C$2:$C$100=$B26),0
   ),
   0
)</f>
        <v>0</v>
      </c>
      <c r="F26" s="183" cm="1">
        <f t="array" ref="F26">_xlfn.IFNA(
   _xlfn._xlws.FILTER(
      Sim_Mul_Bet5!$L$2:$L$100,
      (Sim_Mul_Bet5!$A$2:$A$100=F$2) * (Sim_Mul_Bet5!$C$2:$C$100=$B26),0
   ),
   0
)</f>
        <v>100</v>
      </c>
      <c r="G26" s="184" cm="1">
        <f t="array" ref="G26">_xlfn.IFNA(
   _xlfn._xlws.FILTER(
      Sim_Mul_Bet5!$L$2:$L$100,
      (Sim_Mul_Bet5!$A$2:$A$100=G$2) * (Sim_Mul_Bet5!$C$2:$C$100=$B26),0
   ),
   0
)</f>
        <v>100</v>
      </c>
      <c r="H26" s="185" cm="1">
        <f t="array" ref="H26">_xlfn.IFNA(
   _xlfn._xlws.FILTER(
      Sim_Mul_Bet5!$L$2:$L$100,
      (Sim_Mul_Bet5!$A$2:$A$100=H$2) * (Sim_Mul_Bet5!$C$2:$C$100=$B26),0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1.5434059999999999E-2</v>
      </c>
      <c r="N26" s="189">
        <f t="shared" si="6"/>
        <v>100</v>
      </c>
      <c r="O26" s="190">
        <f t="shared" si="7"/>
        <v>1.3799999999999999E-4</v>
      </c>
      <c r="P26" s="190">
        <v>9.2E-5</v>
      </c>
      <c r="Q26" s="190">
        <v>9.2175768346027797E-5</v>
      </c>
      <c r="R26" s="191">
        <f t="shared" si="0"/>
        <v>1.38E-2</v>
      </c>
      <c r="T26" s="192">
        <f t="shared" si="2"/>
        <v>138</v>
      </c>
      <c r="U26" s="176">
        <v>1.3799999999999999E-4</v>
      </c>
      <c r="V26" s="195">
        <f t="shared" si="3"/>
        <v>9.1999999999999998E-3</v>
      </c>
      <c r="W26" s="194"/>
      <c r="X26" s="217"/>
      <c r="Y26" s="190">
        <f t="shared" si="8"/>
        <v>7.5000000000000002E-4</v>
      </c>
      <c r="Z26" s="190">
        <v>5.0000000000000001E-4</v>
      </c>
      <c r="AA26" s="190">
        <v>9.2175768346027797E-5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Sim_Mul_Bet5!$F$2:$F$100,
      (Sim_Mul_Bet5!$A$2:$A$100=C$2) * (Sim_Mul_Bet5!$C$2:$C$100=$B27),0
   ),
   0
)</f>
        <v>4.5939999999999997E-5</v>
      </c>
      <c r="D27" s="181" cm="1">
        <f t="array" ref="D27">_xlfn.IFNA(
   _xlfn._xlws.FILTER(
      Sim_Mul_Bet5!$F$2:$F$100,
      (Sim_Mul_Bet5!$A$2:$A$100=D$2) * (Sim_Mul_Bet5!$C$2:$C$100=$B27),0
   ),
   0
)</f>
        <v>5.9780760000000002E-2</v>
      </c>
      <c r="E27" s="182" cm="1">
        <f t="array" ref="E27">_xlfn.IFNA(
   _xlfn._xlws.FILTER(
      Sim_Mul_Bet5!$F$2:$F$100,
      (Sim_Mul_Bet5!$A$2:$A$100=E$2) * (Sim_Mul_Bet5!$C$2:$C$100=$B27),0
   ),
   0
)</f>
        <v>0</v>
      </c>
      <c r="F27" s="183" cm="1">
        <f t="array" ref="F27">_xlfn.IFNA(
   _xlfn._xlws.FILTER(
      Sim_Mul_Bet5!$L$2:$L$100,
      (Sim_Mul_Bet5!$A$2:$A$100=F$2) * (Sim_Mul_Bet5!$C$2:$C$100=$B27),0
   ),
   0
)</f>
        <v>104.21053548106225</v>
      </c>
      <c r="G27" s="184" cm="1">
        <f t="array" ref="G27">_xlfn.IFNA(
   _xlfn._xlws.FILTER(
      Sim_Mul_Bet5!$L$2:$L$100,
      (Sim_Mul_Bet5!$A$2:$A$100=G$2) * (Sim_Mul_Bet5!$C$2:$C$100=$B27),0
   ),
   0
)</f>
        <v>105.45277748225348</v>
      </c>
      <c r="H27" s="185" cm="1">
        <f t="array" ref="H27">_xlfn.IFNA(
   _xlfn._xlws.FILTER(
      Sim_Mul_Bet5!$L$2:$L$100,
      (Sim_Mul_Bet5!$A$2:$A$100=H$2) * (Sim_Mul_Bet5!$C$2:$C$100=$B27),0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5.9780760000000002E-2</v>
      </c>
      <c r="N27" s="189">
        <f t="shared" si="6"/>
        <v>105.45277748225348</v>
      </c>
      <c r="O27" s="190">
        <f t="shared" si="7"/>
        <v>6.7500000000000001E-5</v>
      </c>
      <c r="P27" s="190">
        <v>4.5000000000000003E-5</v>
      </c>
      <c r="Q27" s="190">
        <v>4.6765647175558197E-5</v>
      </c>
      <c r="R27" s="191">
        <f t="shared" si="0"/>
        <v>7.1180624800521097E-3</v>
      </c>
      <c r="T27" s="192">
        <f t="shared" si="2"/>
        <v>68</v>
      </c>
      <c r="U27" s="176">
        <v>6.7999999999999999E-5</v>
      </c>
      <c r="V27" s="195">
        <f t="shared" si="3"/>
        <v>4.780525912528825E-3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4.6765647175558197E-5</v>
      </c>
      <c r="AB27" s="276">
        <f t="shared" si="4"/>
        <v>7.9089583111690114E-3</v>
      </c>
      <c r="AD27" s="192">
        <f t="shared" si="5"/>
        <v>75</v>
      </c>
      <c r="AE27" s="176">
        <v>7.4999999999999993E-5</v>
      </c>
      <c r="AF27" s="278">
        <f t="shared" si="9"/>
        <v>5.2726388741126734E-3</v>
      </c>
    </row>
    <row r="28" spans="2:32">
      <c r="B28" s="179">
        <v>120</v>
      </c>
      <c r="C28" s="180" cm="1">
        <f t="array" ref="C28">_xlfn.IFNA(
   _xlfn._xlws.FILTER(
      Sim_Mul_Bet5!$F$2:$F$100,
      (Sim_Mul_Bet5!$A$2:$A$100=C$2) * (Sim_Mul_Bet5!$C$2:$C$100=$B28),0
   ),
   0
)</f>
        <v>3.2000000000000001E-7</v>
      </c>
      <c r="D28" s="181" cm="1">
        <f t="array" ref="D28">_xlfn.IFNA(
   _xlfn._xlws.FILTER(
      Sim_Mul_Bet5!$F$2:$F$100,
      (Sim_Mul_Bet5!$A$2:$A$100=D$2) * (Sim_Mul_Bet5!$C$2:$C$100=$B28),0
   ),
   0
)</f>
        <v>9.9281000000000005E-3</v>
      </c>
      <c r="E28" s="182" cm="1">
        <f t="array" ref="E28">_xlfn.IFNA(
   _xlfn._xlws.FILTER(
      Sim_Mul_Bet5!$F$2:$F$100,
      (Sim_Mul_Bet5!$A$2:$A$100=E$2) * (Sim_Mul_Bet5!$C$2:$C$100=$B28),0
   ),
   0
)</f>
        <v>0</v>
      </c>
      <c r="F28" s="183" cm="1">
        <f t="array" ref="F28">_xlfn.IFNA(
   _xlfn._xlws.FILTER(
      Sim_Mul_Bet5!$L$2:$L$100,
      (Sim_Mul_Bet5!$A$2:$A$100=F$2) * (Sim_Mul_Bet5!$C$2:$C$100=$B28),0
   ),
   0
)</f>
        <v>125.5</v>
      </c>
      <c r="G28" s="184" cm="1">
        <f t="array" ref="G28">_xlfn.IFNA(
   _xlfn._xlws.FILTER(
      Sim_Mul_Bet5!$L$2:$L$100,
      (Sim_Mul_Bet5!$A$2:$A$100=G$2) * (Sim_Mul_Bet5!$C$2:$C$100=$B28),0
   ),
   0
)</f>
        <v>124.73299624298708</v>
      </c>
      <c r="H28" s="185" cm="1">
        <f t="array" ref="H28">_xlfn.IFNA(
   _xlfn._xlws.FILTER(
      Sim_Mul_Bet5!$L$2:$L$100,
      (Sim_Mul_Bet5!$A$2:$A$100=H$2) * (Sim_Mul_Bet5!$C$2:$C$100=$B28),0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9.9281000000000005E-3</v>
      </c>
      <c r="N28" s="189">
        <f t="shared" si="6"/>
        <v>124.73299624298708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Sim_Mul_Bet5!$F$2:$F$100,
      (Sim_Mul_Bet5!$A$2:$A$100=C$2) * (Sim_Mul_Bet5!$C$2:$C$100=$B29),0
   ),
   0
)</f>
        <v>4.7E-7</v>
      </c>
      <c r="D29" s="181" cm="1">
        <f t="array" ref="D29">_xlfn.IFNA(
   _xlfn._xlws.FILTER(
      Sim_Mul_Bet5!$F$2:$F$100,
      (Sim_Mul_Bet5!$A$2:$A$100=D$2) * (Sim_Mul_Bet5!$C$2:$C$100=$B29),0
   ),
   0
)</f>
        <v>4.8881899999999997E-3</v>
      </c>
      <c r="E29" s="182" cm="1">
        <f t="array" ref="E29">_xlfn.IFNA(
   _xlfn._xlws.FILTER(
      Sim_Mul_Bet5!$F$2:$F$100,
      (Sim_Mul_Bet5!$A$2:$A$100=E$2) * (Sim_Mul_Bet5!$C$2:$C$100=$B29),0
   ),
   0
)</f>
        <v>0</v>
      </c>
      <c r="F29" s="183" cm="1">
        <f t="array" ref="F29">_xlfn.IFNA(
   _xlfn._xlws.FILTER(
      Sim_Mul_Bet5!$L$2:$L$100,
      (Sim_Mul_Bet5!$A$2:$A$100=F$2) * (Sim_Mul_Bet5!$C$2:$C$100=$B29),0
   ),
   0
)</f>
        <v>150.44680851063831</v>
      </c>
      <c r="G29" s="184" cm="1">
        <f t="array" ref="G29">_xlfn.IFNA(
   _xlfn._xlws.FILTER(
      Sim_Mul_Bet5!$L$2:$L$100,
      (Sim_Mul_Bet5!$A$2:$A$100=G$2) * (Sim_Mul_Bet5!$C$2:$C$100=$B29),0
   ),
   0
)</f>
        <v>151.19158256941731</v>
      </c>
      <c r="H29" s="185" cm="1">
        <f t="array" ref="H29">_xlfn.IFNA(
   _xlfn._xlws.FILTER(
      Sim_Mul_Bet5!$L$2:$L$100,
      (Sim_Mul_Bet5!$A$2:$A$100=H$2) * (Sim_Mul_Bet5!$C$2:$C$100=$B29),0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4.8881899999999997E-3</v>
      </c>
      <c r="N29" s="189">
        <f t="shared" si="6"/>
        <v>151.19158256941731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X29" s="217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Sim_Mul_Bet5!$F$2:$F$100,
      (Sim_Mul_Bet5!$A$2:$A$100=C$2) * (Sim_Mul_Bet5!$C$2:$C$100=$B30),0
   ),
   0
)</f>
        <v>0</v>
      </c>
      <c r="D30" s="181" cm="1">
        <f t="array" ref="D30">_xlfn.IFNA(
   _xlfn._xlws.FILTER(
      Sim_Mul_Bet5!$F$2:$F$100,
      (Sim_Mul_Bet5!$A$2:$A$100=D$2) * (Sim_Mul_Bet5!$C$2:$C$100=$B30),0
   ),
   0
)</f>
        <v>2.8951999999999998E-4</v>
      </c>
      <c r="E30" s="182" cm="1">
        <f t="array" ref="E30">_xlfn.IFNA(
   _xlfn._xlws.FILTER(
      Sim_Mul_Bet5!$F$2:$F$100,
      (Sim_Mul_Bet5!$A$2:$A$100=E$2) * (Sim_Mul_Bet5!$C$2:$C$100=$B30),0
   ),
   0
)</f>
        <v>0</v>
      </c>
      <c r="F30" s="183" cm="1">
        <f t="array" ref="F30">_xlfn.IFNA(
   _xlfn._xlws.FILTER(
      Sim_Mul_Bet5!$L$2:$L$100,
      (Sim_Mul_Bet5!$A$2:$A$100=F$2) * (Sim_Mul_Bet5!$C$2:$C$100=$B30),0
   ),
   0
)</f>
        <v>0</v>
      </c>
      <c r="G30" s="184" cm="1">
        <f t="array" ref="G30">_xlfn.IFNA(
   _xlfn._xlws.FILTER(
      Sim_Mul_Bet5!$L$2:$L$100,
      (Sim_Mul_Bet5!$A$2:$A$100=G$2) * (Sim_Mul_Bet5!$C$2:$C$100=$B30),0
   ),
   0
)</f>
        <v>160.59607626416138</v>
      </c>
      <c r="H30" s="185" cm="1">
        <f t="array" ref="H30">_xlfn.IFNA(
   _xlfn._xlws.FILTER(
      Sim_Mul_Bet5!$L$2:$L$100,
      (Sim_Mul_Bet5!$A$2:$A$100=H$2) * (Sim_Mul_Bet5!$C$2:$C$100=$B30),0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2.8951999999999998E-4</v>
      </c>
      <c r="N30" s="189">
        <f t="shared" si="6"/>
        <v>160.59607626416138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Sim_Mul_Bet5!$F$2:$F$100,
      (Sim_Mul_Bet5!$A$2:$A$100=C$2) * (Sim_Mul_Bet5!$C$2:$C$100=$B31),0
   ),
   0
)</f>
        <v>1.8148E-4</v>
      </c>
      <c r="D31" s="181" cm="1">
        <f t="array" ref="D31">_xlfn.IFNA(
   _xlfn._xlws.FILTER(
      Sim_Mul_Bet5!$F$2:$F$100,
      (Sim_Mul_Bet5!$A$2:$A$100=D$2) * (Sim_Mul_Bet5!$C$2:$C$100=$B31),0
   ),
   0
)</f>
        <v>8.6456299999999996E-3</v>
      </c>
      <c r="E31" s="182" cm="1">
        <f t="array" ref="E31">_xlfn.IFNA(
   _xlfn._xlws.FILTER(
      Sim_Mul_Bet5!$F$2:$F$100,
      (Sim_Mul_Bet5!$A$2:$A$100=E$2) * (Sim_Mul_Bet5!$C$2:$C$100=$B31),0
   ),
   0
)</f>
        <v>0</v>
      </c>
      <c r="F31" s="183" cm="1">
        <f t="array" ref="F31">_xlfn.IFNA(
   _xlfn._xlws.FILTER(
      Sim_Mul_Bet5!$L$2:$L$100,
      (Sim_Mul_Bet5!$A$2:$A$100=F$2) * (Sim_Mul_Bet5!$C$2:$C$100=$B31),0
   ),
   0
)</f>
        <v>200</v>
      </c>
      <c r="G31" s="184" cm="1">
        <f t="array" ref="G31">_xlfn.IFNA(
   _xlfn._xlws.FILTER(
      Sim_Mul_Bet5!$L$2:$L$100,
      (Sim_Mul_Bet5!$A$2:$A$100=G$2) * (Sim_Mul_Bet5!$C$2:$C$100=$B31),0
   ),
   0
)</f>
        <v>200</v>
      </c>
      <c r="H31" s="185" cm="1">
        <f t="array" ref="H31">_xlfn.IFNA(
   _xlfn._xlws.FILTER(
      Sim_Mul_Bet5!$L$2:$L$100,
      (Sim_Mul_Bet5!$A$2:$A$100=H$2) * (Sim_Mul_Bet5!$C$2:$C$100=$B31),0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8.6456299999999996E-3</v>
      </c>
      <c r="N31" s="189">
        <f t="shared" si="6"/>
        <v>200</v>
      </c>
      <c r="O31" s="190">
        <f t="shared" si="7"/>
        <v>3.0000000000000004E-5</v>
      </c>
      <c r="P31" s="190">
        <v>2.0000000000000002E-5</v>
      </c>
      <c r="Q31" s="190">
        <v>2.23661790839626E-5</v>
      </c>
      <c r="R31" s="191">
        <f t="shared" si="0"/>
        <v>6.000000000000001E-3</v>
      </c>
      <c r="T31" s="192">
        <f t="shared" si="2"/>
        <v>30</v>
      </c>
      <c r="U31" s="176">
        <v>3.0000000000000001E-5</v>
      </c>
      <c r="V31" s="195">
        <f t="shared" si="3"/>
        <v>4.0000000000000001E-3</v>
      </c>
      <c r="W31" s="194"/>
      <c r="X31" s="217"/>
      <c r="Y31" s="190">
        <f t="shared" si="8"/>
        <v>3.0000000000000004E-5</v>
      </c>
      <c r="Z31" s="190">
        <v>2.0000000000000002E-5</v>
      </c>
      <c r="AA31" s="190">
        <v>2.23661790839626E-5</v>
      </c>
      <c r="AB31" s="276">
        <f t="shared" si="4"/>
        <v>6.000000000000001E-3</v>
      </c>
      <c r="AD31" s="192">
        <f t="shared" si="5"/>
        <v>30</v>
      </c>
      <c r="AE31" s="176">
        <v>3.0000000000000001E-5</v>
      </c>
      <c r="AF31" s="278">
        <f t="shared" si="9"/>
        <v>4.0000000000000001E-3</v>
      </c>
    </row>
    <row r="32" spans="2:32">
      <c r="B32" s="179">
        <v>200</v>
      </c>
      <c r="C32" s="180" cm="1">
        <f t="array" ref="C32">_xlfn.IFNA(
   _xlfn._xlws.FILTER(
      Sim_Mul_Bet5!$F$2:$F$100,
      (Sim_Mul_Bet5!$A$2:$A$100=C$2) * (Sim_Mul_Bet5!$C$2:$C$100=$B32),0
   ),
   0
)</f>
        <v>2.3730000000000001E-5</v>
      </c>
      <c r="D32" s="181" cm="1">
        <f t="array" ref="D32">_xlfn.IFNA(
   _xlfn._xlws.FILTER(
      Sim_Mul_Bet5!$F$2:$F$100,
      (Sim_Mul_Bet5!$A$2:$A$100=D$2) * (Sim_Mul_Bet5!$C$2:$C$100=$B32),0
   ),
   0
)</f>
        <v>6.1529109999999998E-2</v>
      </c>
      <c r="E32" s="182" cm="1">
        <f t="array" ref="E32">_xlfn.IFNA(
   _xlfn._xlws.FILTER(
      Sim_Mul_Bet5!$F$2:$F$100,
      (Sim_Mul_Bet5!$A$2:$A$100=E$2) * (Sim_Mul_Bet5!$C$2:$C$100=$B32),0
   ),
   0
)</f>
        <v>0</v>
      </c>
      <c r="F32" s="183" cm="1">
        <f t="array" ref="F32">_xlfn.IFNA(
   _xlfn._xlws.FILTER(
      Sim_Mul_Bet5!$L$2:$L$100,
      (Sim_Mul_Bet5!$A$2:$A$100=F$2) * (Sim_Mul_Bet5!$C$2:$C$100=$B32),0
   ),
   0
)</f>
        <v>205.31057732827645</v>
      </c>
      <c r="G32" s="184" cm="1">
        <f t="array" ref="G32">_xlfn.IFNA(
   _xlfn._xlws.FILTER(
      Sim_Mul_Bet5!$L$2:$L$100,
      (Sim_Mul_Bet5!$A$2:$A$100=G$2) * (Sim_Mul_Bet5!$C$2:$C$100=$B32),0
   ),
   0
)</f>
        <v>209.85981175414366</v>
      </c>
      <c r="H32" s="185" cm="1">
        <f t="array" ref="H32">_xlfn.IFNA(
   _xlfn._xlws.FILTER(
      Sim_Mul_Bet5!$L$2:$L$100,
      (Sim_Mul_Bet5!$A$2:$A$100=H$2) * (Sim_Mul_Bet5!$C$2:$C$100=$B32),0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6.1529109999999998E-2</v>
      </c>
      <c r="N32" s="189">
        <f t="shared" si="6"/>
        <v>209.85981175414366</v>
      </c>
      <c r="O32" s="190">
        <f t="shared" si="7"/>
        <v>1.5000000000000002E-5</v>
      </c>
      <c r="P32" s="190">
        <v>1.0000000000000001E-5</v>
      </c>
      <c r="Q32" s="190">
        <v>1.15219710432535E-5</v>
      </c>
      <c r="R32" s="191">
        <f t="shared" si="0"/>
        <v>3.1478971763121552E-3</v>
      </c>
      <c r="T32" s="192">
        <f t="shared" si="2"/>
        <v>15</v>
      </c>
      <c r="U32" s="176">
        <v>1.5E-5</v>
      </c>
      <c r="V32" s="195">
        <f t="shared" si="3"/>
        <v>2.0985981175414368E-3</v>
      </c>
      <c r="W32" s="194"/>
      <c r="X32" s="217"/>
      <c r="Y32" s="190">
        <f t="shared" si="8"/>
        <v>7.500000000000001E-6</v>
      </c>
      <c r="Z32" s="190">
        <v>5.0000000000000004E-6</v>
      </c>
      <c r="AA32" s="190">
        <v>1.15219710432535E-5</v>
      </c>
      <c r="AB32" s="276">
        <f t="shared" si="4"/>
        <v>1.5739485881560776E-3</v>
      </c>
      <c r="AD32" s="192">
        <f t="shared" si="5"/>
        <v>8</v>
      </c>
      <c r="AE32" s="176">
        <v>7.9999999999999996E-6</v>
      </c>
      <c r="AF32" s="278">
        <f t="shared" si="9"/>
        <v>1.1192523293554327E-3</v>
      </c>
    </row>
    <row r="33" spans="2:32">
      <c r="B33" s="179">
        <v>250</v>
      </c>
      <c r="C33" s="180" cm="1">
        <f t="array" ref="C33">_xlfn.IFNA(
   _xlfn._xlws.FILTER(
      Sim_Mul_Bet5!$F$2:$F$100,
      (Sim_Mul_Bet5!$A$2:$A$100=C$2) * (Sim_Mul_Bet5!$C$2:$C$100=$B33),0
   ),
   0
)</f>
        <v>0</v>
      </c>
      <c r="D33" s="181" cm="1">
        <f t="array" ref="D33">_xlfn.IFNA(
   _xlfn._xlws.FILTER(
      Sim_Mul_Bet5!$F$2:$F$100,
      (Sim_Mul_Bet5!$A$2:$A$100=D$2) * (Sim_Mul_Bet5!$C$2:$C$100=$B33),0
   ),
   0
)</f>
        <v>1.4609499999999999E-3</v>
      </c>
      <c r="E33" s="182" cm="1">
        <f t="array" ref="E33">_xlfn.IFNA(
   _xlfn._xlws.FILTER(
      Sim_Mul_Bet5!$F$2:$F$100,
      (Sim_Mul_Bet5!$A$2:$A$100=E$2) * (Sim_Mul_Bet5!$C$2:$C$100=$B33),0
   ),
   0
)</f>
        <v>0</v>
      </c>
      <c r="F33" s="183" cm="1">
        <f t="array" ref="F33">_xlfn.IFNA(
   _xlfn._xlws.FILTER(
      Sim_Mul_Bet5!$L$2:$L$100,
      (Sim_Mul_Bet5!$A$2:$A$100=F$2) * (Sim_Mul_Bet5!$C$2:$C$100=$B33),0
   ),
   0
)</f>
        <v>0</v>
      </c>
      <c r="G33" s="184" cm="1">
        <f t="array" ref="G33">_xlfn.IFNA(
   _xlfn._xlws.FILTER(
      Sim_Mul_Bet5!$L$2:$L$100,
      (Sim_Mul_Bet5!$A$2:$A$100=G$2) * (Sim_Mul_Bet5!$C$2:$C$100=$B33),0
   ),
   0
)</f>
        <v>264.29199767274719</v>
      </c>
      <c r="H33" s="185" cm="1">
        <f t="array" ref="H33">_xlfn.IFNA(
   _xlfn._xlws.FILTER(
      Sim_Mul_Bet5!$L$2:$L$100,
      (Sim_Mul_Bet5!$A$2:$A$100=H$2) * (Sim_Mul_Bet5!$C$2:$C$100=$B33),0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1.4609499999999999E-3</v>
      </c>
      <c r="N33" s="189">
        <f t="shared" si="6"/>
        <v>264.29199767274719</v>
      </c>
      <c r="O33" s="190">
        <f t="shared" si="7"/>
        <v>0</v>
      </c>
      <c r="P33" s="190">
        <v>0</v>
      </c>
      <c r="Q33" s="190">
        <v>2.7110520101772899E-6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X33" s="217"/>
      <c r="Y33" s="190">
        <f t="shared" si="8"/>
        <v>0</v>
      </c>
      <c r="Z33" s="190">
        <v>0</v>
      </c>
      <c r="AA33" s="190">
        <v>2.7110520101772899E-6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Sim_Mul_Bet5!$F$2:$F$100,
      (Sim_Mul_Bet5!$A$2:$A$100=C$2) * (Sim_Mul_Bet5!$C$2:$C$100=$B34),0
   ),
   0
)</f>
        <v>0</v>
      </c>
      <c r="D34" s="181" cm="1">
        <f t="array" ref="D34">_xlfn.IFNA(
   _xlfn._xlws.FILTER(
      Sim_Mul_Bet5!$F$2:$F$100,
      (Sim_Mul_Bet5!$A$2:$A$100=D$2) * (Sim_Mul_Bet5!$C$2:$C$100=$B34),0
   ),
   0
)</f>
        <v>3.4217000000000002E-3</v>
      </c>
      <c r="E34" s="182" cm="1">
        <f t="array" ref="E34">_xlfn.IFNA(
   _xlfn._xlws.FILTER(
      Sim_Mul_Bet5!$F$2:$F$100,
      (Sim_Mul_Bet5!$A$2:$A$100=E$2) * (Sim_Mul_Bet5!$C$2:$C$100=$B34),0
   ),
   0
)</f>
        <v>0</v>
      </c>
      <c r="F34" s="183" cm="1">
        <f t="array" ref="F34">_xlfn.IFNA(
   _xlfn._xlws.FILTER(
      Sim_Mul_Bet5!$L$2:$L$100,
      (Sim_Mul_Bet5!$A$2:$A$100=F$2) * (Sim_Mul_Bet5!$C$2:$C$100=$B34),0
   ),
   0
)</f>
        <v>0</v>
      </c>
      <c r="G34" s="184" cm="1">
        <f t="array" ref="G34">_xlfn.IFNA(
   _xlfn._xlws.FILTER(
      Sim_Mul_Bet5!$L$2:$L$100,
      (Sim_Mul_Bet5!$A$2:$A$100=G$2) * (Sim_Mul_Bet5!$C$2:$C$100=$B34),0
   ),
   0
)</f>
        <v>306.2321150305404</v>
      </c>
      <c r="H34" s="185" cm="1">
        <f t="array" ref="H34">_xlfn.IFNA(
   _xlfn._xlws.FILTER(
      Sim_Mul_Bet5!$L$2:$L$100,
      (Sim_Mul_Bet5!$A$2:$A$100=H$2) * (Sim_Mul_Bet5!$C$2:$C$100=$B34),0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3.4217000000000002E-3</v>
      </c>
      <c r="N34" s="189">
        <f t="shared" si="6"/>
        <v>306.2321150305404</v>
      </c>
      <c r="O34" s="190">
        <f t="shared" si="7"/>
        <v>4.5000000000000001E-6</v>
      </c>
      <c r="P34" s="190">
        <v>3.0000000000000001E-6</v>
      </c>
      <c r="Q34" s="190">
        <v>3.3888150127216101E-6</v>
      </c>
      <c r="R34" s="191">
        <f t="shared" si="0"/>
        <v>1.3780445176374318E-3</v>
      </c>
      <c r="T34" s="192">
        <f t="shared" si="2"/>
        <v>5</v>
      </c>
      <c r="U34" s="176">
        <v>5.0000000000000004E-6</v>
      </c>
      <c r="V34" s="195">
        <f t="shared" si="3"/>
        <v>1.0207737167684681E-3</v>
      </c>
      <c r="W34" s="194"/>
      <c r="X34" s="217"/>
      <c r="Y34" s="190">
        <f t="shared" si="8"/>
        <v>3.0000000000000001E-6</v>
      </c>
      <c r="Z34" s="190">
        <v>1.9999999999999999E-6</v>
      </c>
      <c r="AA34" s="190">
        <v>3.3888150127216101E-6</v>
      </c>
      <c r="AB34" s="276">
        <f t="shared" si="4"/>
        <v>9.1869634509162117E-4</v>
      </c>
      <c r="AD34" s="192">
        <f t="shared" si="5"/>
        <v>3</v>
      </c>
      <c r="AE34" s="176">
        <v>3.0000000000000001E-6</v>
      </c>
      <c r="AF34" s="278">
        <f t="shared" si="9"/>
        <v>6.1246423006108082E-4</v>
      </c>
    </row>
    <row r="35" spans="2:32">
      <c r="B35" s="179">
        <v>350</v>
      </c>
      <c r="C35" s="180" cm="1">
        <f t="array" ref="C35">_xlfn.IFNA(
   _xlfn._xlws.FILTER(
      Sim_Mul_Bet5!$F$2:$F$100,
      (Sim_Mul_Bet5!$A$2:$A$100=C$2) * (Sim_Mul_Bet5!$C$2:$C$100=$B35),0
   ),
   0
)</f>
        <v>8.7900000000000005E-6</v>
      </c>
      <c r="D35" s="181" cm="1">
        <f t="array" ref="D35">_xlfn.IFNA(
   _xlfn._xlws.FILTER(
      Sim_Mul_Bet5!$F$2:$F$100,
      (Sim_Mul_Bet5!$A$2:$A$100=D$2) * (Sim_Mul_Bet5!$C$2:$C$100=$B35),0
   ),
   0
)</f>
        <v>1.31062E-3</v>
      </c>
      <c r="E35" s="182" cm="1">
        <f t="array" ref="E35">_xlfn.IFNA(
   _xlfn._xlws.FILTER(
      Sim_Mul_Bet5!$F$2:$F$100,
      (Sim_Mul_Bet5!$A$2:$A$100=E$2) * (Sim_Mul_Bet5!$C$2:$C$100=$B35),0
   ),
   0
)</f>
        <v>0</v>
      </c>
      <c r="F35" s="183" cm="1">
        <f t="array" ref="F35">_xlfn.IFNA(
   _xlfn._xlws.FILTER(
      Sim_Mul_Bet5!$L$2:$L$100,
      (Sim_Mul_Bet5!$A$2:$A$100=F$2) * (Sim_Mul_Bet5!$C$2:$C$100=$B35),0
   ),
   0
)</f>
        <v>400</v>
      </c>
      <c r="G35" s="184" cm="1">
        <f t="array" ref="G35">_xlfn.IFNA(
   _xlfn._xlws.FILTER(
      Sim_Mul_Bet5!$L$2:$L$100,
      (Sim_Mul_Bet5!$A$2:$A$100=G$2) * (Sim_Mul_Bet5!$C$2:$C$100=$B35),0
   ),
   0
)</f>
        <v>400</v>
      </c>
      <c r="H35" s="185" cm="1">
        <f t="array" ref="H35">_xlfn.IFNA(
   _xlfn._xlws.FILTER(
      Sim_Mul_Bet5!$L$2:$L$100,
      (Sim_Mul_Bet5!$A$2:$A$100=H$2) * (Sim_Mul_Bet5!$C$2:$C$100=$B35),0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1.31062E-3</v>
      </c>
      <c r="N35" s="189">
        <f t="shared" si="6"/>
        <v>400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Sim_Mul_Bet5!$F$2:$F$100,
      (Sim_Mul_Bet5!$A$2:$A$100=C$2) * (Sim_Mul_Bet5!$C$2:$C$100=$B36),0
   ),
   0
)</f>
        <v>1.0899999999999999E-6</v>
      </c>
      <c r="D36" s="181" cm="1">
        <f t="array" ref="D36">_xlfn.IFNA(
   _xlfn._xlws.FILTER(
      Sim_Mul_Bet5!$F$2:$F$100,
      (Sim_Mul_Bet5!$A$2:$A$100=D$2) * (Sim_Mul_Bet5!$C$2:$C$100=$B36),0
   ),
   0
)</f>
        <v>1.0966800000000001E-2</v>
      </c>
      <c r="E36" s="182" cm="1">
        <f t="array" ref="E36">_xlfn.IFNA(
   _xlfn._xlws.FILTER(
      Sim_Mul_Bet5!$F$2:$F$100,
      (Sim_Mul_Bet5!$A$2:$A$100=E$2) * (Sim_Mul_Bet5!$C$2:$C$100=$B36),0
   ),
   0
)</f>
        <v>0</v>
      </c>
      <c r="F36" s="183" cm="1">
        <f t="array" ref="F36">_xlfn.IFNA(
   _xlfn._xlws.FILTER(
      Sim_Mul_Bet5!$L$2:$L$100,
      (Sim_Mul_Bet5!$A$2:$A$100=F$2) * (Sim_Mul_Bet5!$C$2:$C$100=$B36),0
   ),
   0
)</f>
        <v>406.46238532110095</v>
      </c>
      <c r="G36" s="184" cm="1">
        <f t="array" ref="G36">_xlfn.IFNA(
   _xlfn._xlws.FILTER(
      Sim_Mul_Bet5!$L$2:$L$100,
      (Sim_Mul_Bet5!$A$2:$A$100=G$2) * (Sim_Mul_Bet5!$C$2:$C$100=$B36),0
   ),
   0
)</f>
        <v>409.32848032242771</v>
      </c>
      <c r="H36" s="185" cm="1">
        <f t="array" ref="H36">_xlfn.IFNA(
   _xlfn._xlws.FILTER(
      Sim_Mul_Bet5!$L$2:$L$100,
      (Sim_Mul_Bet5!$A$2:$A$100=H$2) * (Sim_Mul_Bet5!$C$2:$C$100=$B36),0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1.0966800000000001E-2</v>
      </c>
      <c r="N36" s="189">
        <f t="shared" si="6"/>
        <v>409.32848032242771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Sim_Mul_Bet5!$F$2:$F$100,
      (Sim_Mul_Bet5!$A$2:$A$100=C$2) * (Sim_Mul_Bet5!$C$2:$C$100=$B37),0
   ),
   0
)</f>
        <v>2.6E-7</v>
      </c>
      <c r="D37" s="181" cm="1">
        <f t="array" ref="D37">_xlfn.IFNA(
   _xlfn._xlws.FILTER(
      Sim_Mul_Bet5!$F$2:$F$100,
      (Sim_Mul_Bet5!$A$2:$A$100=D$2) * (Sim_Mul_Bet5!$C$2:$C$100=$B37),0
   ),
   0
)</f>
        <v>1.15752E-3</v>
      </c>
      <c r="E37" s="182" cm="1">
        <f t="array" ref="E37">_xlfn.IFNA(
   _xlfn._xlws.FILTER(
      Sim_Mul_Bet5!$F$2:$F$100,
      (Sim_Mul_Bet5!$A$2:$A$100=E$2) * (Sim_Mul_Bet5!$C$2:$C$100=$B37),0
   ),
   0
)</f>
        <v>0</v>
      </c>
      <c r="F37" s="183" cm="1">
        <f t="array" ref="F37">_xlfn.IFNA(
   _xlfn._xlws.FILTER(
      Sim_Mul_Bet5!$L$2:$L$100,
      (Sim_Mul_Bet5!$A$2:$A$100=F$2) * (Sim_Mul_Bet5!$C$2:$C$100=$B37),0
   ),
   0
)</f>
        <v>500</v>
      </c>
      <c r="G37" s="184" cm="1">
        <f t="array" ref="G37">_xlfn.IFNA(
   _xlfn._xlws.FILTER(
      Sim_Mul_Bet5!$L$2:$L$100,
      (Sim_Mul_Bet5!$A$2:$A$100=G$2) * (Sim_Mul_Bet5!$C$2:$C$100=$B37),0
   ),
   0
)</f>
        <v>500</v>
      </c>
      <c r="H37" s="185" cm="1">
        <f t="array" ref="H37">_xlfn.IFNA(
   _xlfn._xlws.FILTER(
      Sim_Mul_Bet5!$L$2:$L$100,
      (Sim_Mul_Bet5!$A$2:$A$100=H$2) * (Sim_Mul_Bet5!$C$2:$C$100=$B37),0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1.15752E-3</v>
      </c>
      <c r="N37" s="189">
        <f t="shared" si="6"/>
        <v>500</v>
      </c>
      <c r="O37" s="190">
        <f t="shared" si="7"/>
        <v>0</v>
      </c>
      <c r="P37" s="190">
        <v>0</v>
      </c>
      <c r="Q37" s="190">
        <v>3.3888150127216101E-6</v>
      </c>
      <c r="R37" s="191">
        <f t="shared" si="0"/>
        <v>0</v>
      </c>
      <c r="T37" s="192">
        <f t="shared" si="2"/>
        <v>0</v>
      </c>
      <c r="U37" s="176">
        <v>0</v>
      </c>
      <c r="V37" s="195">
        <f t="shared" si="3"/>
        <v>0</v>
      </c>
      <c r="W37" s="194"/>
      <c r="X37" s="217"/>
      <c r="Y37" s="190">
        <f t="shared" si="8"/>
        <v>0</v>
      </c>
      <c r="Z37" s="190">
        <v>0</v>
      </c>
      <c r="AA37" s="190">
        <v>3.3888150127216101E-6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Sim_Mul_Bet5!$F$2:$F$100,
      (Sim_Mul_Bet5!$A$2:$A$100=C$2) * (Sim_Mul_Bet5!$C$2:$C$100=$B38),0
   ),
   0
)</f>
        <v>2.9999999999999997E-8</v>
      </c>
      <c r="D38" s="181" cm="1">
        <f t="array" ref="D38">_xlfn.IFNA(
   _xlfn._xlws.FILTER(
      Sim_Mul_Bet5!$F$2:$F$100,
      (Sim_Mul_Bet5!$A$2:$A$100=D$2) * (Sim_Mul_Bet5!$C$2:$C$100=$B38),0
   ),
   0
)</f>
        <v>6.9574900000000002E-3</v>
      </c>
      <c r="E38" s="182" cm="1">
        <f t="array" ref="E38">_xlfn.IFNA(
   _xlfn._xlws.FILTER(
      Sim_Mul_Bet5!$F$2:$F$100,
      (Sim_Mul_Bet5!$A$2:$A$100=E$2) * (Sim_Mul_Bet5!$C$2:$C$100=$B38),0
   ),
   0
)</f>
        <v>0</v>
      </c>
      <c r="F38" s="183" cm="1">
        <f t="array" ref="F38">_xlfn.IFNA(
   _xlfn._xlws.FILTER(
      Sim_Mul_Bet5!$L$2:$L$100,
      (Sim_Mul_Bet5!$A$2:$A$100=F$2) * (Sim_Mul_Bet5!$C$2:$C$100=$B38),0
   ),
   0
)</f>
        <v>533.66666666666663</v>
      </c>
      <c r="G38" s="184" cm="1">
        <f t="array" ref="G38">_xlfn.IFNA(
   _xlfn._xlws.FILTER(
      Sim_Mul_Bet5!$L$2:$L$100,
      (Sim_Mul_Bet5!$A$2:$A$100=G$2) * (Sim_Mul_Bet5!$C$2:$C$100=$B38),0
   ),
   0
)</f>
        <v>515.31860915358845</v>
      </c>
      <c r="H38" s="185" cm="1">
        <f t="array" ref="H38">_xlfn.IFNA(
   _xlfn._xlws.FILTER(
      Sim_Mul_Bet5!$L$2:$L$100,
      (Sim_Mul_Bet5!$A$2:$A$100=H$2) * (Sim_Mul_Bet5!$C$2:$C$100=$B38),0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6.9574900000000002E-3</v>
      </c>
      <c r="N38" s="189">
        <f t="shared" si="6"/>
        <v>515.31860915358845</v>
      </c>
      <c r="O38" s="190">
        <f t="shared" si="7"/>
        <v>4.5000000000000001E-6</v>
      </c>
      <c r="P38" s="190">
        <v>3.0000000000000001E-6</v>
      </c>
      <c r="Q38" s="190">
        <v>0</v>
      </c>
      <c r="R38" s="191">
        <f t="shared" si="0"/>
        <v>2.318933741191148E-3</v>
      </c>
      <c r="T38" s="192">
        <f t="shared" si="2"/>
        <v>5</v>
      </c>
      <c r="U38" s="176">
        <v>5.0000000000000004E-6</v>
      </c>
      <c r="V38" s="195">
        <f t="shared" si="3"/>
        <v>1.7177286971786284E-3</v>
      </c>
      <c r="W38" s="194"/>
      <c r="X38" s="217"/>
      <c r="Y38" s="190">
        <f t="shared" si="8"/>
        <v>1.5000000000000002E-5</v>
      </c>
      <c r="Z38" s="190">
        <v>1.0000000000000001E-5</v>
      </c>
      <c r="AA38" s="190">
        <v>0</v>
      </c>
      <c r="AB38" s="276">
        <f t="shared" si="4"/>
        <v>7.729779137303828E-3</v>
      </c>
      <c r="AD38" s="192">
        <f t="shared" si="5"/>
        <v>15</v>
      </c>
      <c r="AE38" s="176">
        <v>1.5E-5</v>
      </c>
      <c r="AF38" s="278">
        <f t="shared" si="9"/>
        <v>5.1531860915358845E-3</v>
      </c>
    </row>
    <row r="39" spans="2:32">
      <c r="B39" s="179">
        <v>550</v>
      </c>
      <c r="C39" s="180" cm="1">
        <f t="array" ref="C39">_xlfn.IFNA(
   _xlfn._xlws.FILTER(
      Sim_Mul_Bet5!$F$2:$F$100,
      (Sim_Mul_Bet5!$A$2:$A$100=C$2) * (Sim_Mul_Bet5!$C$2:$C$100=$B39),0
   ),
   0
)</f>
        <v>0</v>
      </c>
      <c r="D39" s="181" cm="1">
        <f t="array" ref="D39">_xlfn.IFNA(
   _xlfn._xlws.FILTER(
      Sim_Mul_Bet5!$F$2:$F$100,
      (Sim_Mul_Bet5!$A$2:$A$100=D$2) * (Sim_Mul_Bet5!$C$2:$C$100=$B39),0
   ),
   0
)</f>
        <v>2.31767E-3</v>
      </c>
      <c r="E39" s="182" cm="1">
        <f t="array" ref="E39">_xlfn.IFNA(
   _xlfn._xlws.FILTER(
      Sim_Mul_Bet5!$F$2:$F$100,
      (Sim_Mul_Bet5!$A$2:$A$100=E$2) * (Sim_Mul_Bet5!$C$2:$C$100=$B39),0
   ),
   0
)</f>
        <v>0</v>
      </c>
      <c r="F39" s="183" cm="1">
        <f t="array" ref="F39">_xlfn.IFNA(
   _xlfn._xlws.FILTER(
      Sim_Mul_Bet5!$L$2:$L$100,
      (Sim_Mul_Bet5!$A$2:$A$100=F$2) * (Sim_Mul_Bet5!$C$2:$C$100=$B39),0
   ),
   0
)</f>
        <v>0</v>
      </c>
      <c r="G39" s="184" cm="1">
        <f t="array" ref="G39">_xlfn.IFNA(
   _xlfn._xlws.FILTER(
      Sim_Mul_Bet5!$L$2:$L$100,
      (Sim_Mul_Bet5!$A$2:$A$100=G$2) * (Sim_Mul_Bet5!$C$2:$C$100=$B39),0
   ),
   0
)</f>
        <v>553.00044009716657</v>
      </c>
      <c r="H39" s="185" cm="1">
        <f t="array" ref="H39">_xlfn.IFNA(
   _xlfn._xlws.FILTER(
      Sim_Mul_Bet5!$L$2:$L$100,
      (Sim_Mul_Bet5!$A$2:$A$100=H$2) * (Sim_Mul_Bet5!$C$2:$C$100=$B39),0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2.31767E-3</v>
      </c>
      <c r="N39" s="189">
        <f t="shared" si="6"/>
        <v>553.00044009716657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Sim_Mul_Bet5!$F$2:$F$100,
      (Sim_Mul_Bet5!$A$2:$A$100=C$2) * (Sim_Mul_Bet5!$C$2:$C$100=$B40),0
   ),
   0
)</f>
        <v>0</v>
      </c>
      <c r="D40" s="181" cm="1">
        <f t="array" ref="D40">_xlfn.IFNA(
   _xlfn._xlws.FILTER(
      Sim_Mul_Bet5!$F$2:$F$100,
      (Sim_Mul_Bet5!$A$2:$A$100=D$2) * (Sim_Mul_Bet5!$C$2:$C$100=$B40),0
   ),
   0
)</f>
        <v>0</v>
      </c>
      <c r="E40" s="182" cm="1">
        <f t="array" ref="E40">_xlfn.IFNA(
   _xlfn._xlws.FILTER(
      Sim_Mul_Bet5!$F$2:$F$100,
      (Sim_Mul_Bet5!$A$2:$A$100=E$2) * (Sim_Mul_Bet5!$C$2:$C$100=$B40),0
   ),
   0
)</f>
        <v>0</v>
      </c>
      <c r="F40" s="183" cm="1">
        <f t="array" ref="F40">_xlfn.IFNA(
   _xlfn._xlws.FILTER(
      Sim_Mul_Bet5!$L$2:$L$100,
      (Sim_Mul_Bet5!$A$2:$A$100=F$2) * (Sim_Mul_Bet5!$C$2:$C$100=$B40),0
   ),
   0
)</f>
        <v>0</v>
      </c>
      <c r="G40" s="184" cm="1">
        <f t="array" ref="G40">_xlfn.IFNA(
   _xlfn._xlws.FILTER(
      Sim_Mul_Bet5!$L$2:$L$100,
      (Sim_Mul_Bet5!$A$2:$A$100=G$2) * (Sim_Mul_Bet5!$C$2:$C$100=$B40),0
   ),
   0
)</f>
        <v>0</v>
      </c>
      <c r="H40" s="185" cm="1">
        <f t="array" ref="H40">_xlfn.IFNA(
   _xlfn._xlws.FILTER(
      Sim_Mul_Bet5!$L$2:$L$100,
      (Sim_Mul_Bet5!$A$2:$A$100=H$2) * (Sim_Mul_Bet5!$C$2:$C$100=$B40),0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Sim_Mul_Bet5!$F$2:$F$100,
      (Sim_Mul_Bet5!$A$2:$A$100=C$2) * (Sim_Mul_Bet5!$C$2:$C$100=$B41),0
   ),
   0
)</f>
        <v>0</v>
      </c>
      <c r="D41" s="181" cm="1">
        <f t="array" ref="D41">_xlfn.IFNA(
   _xlfn._xlws.FILTER(
      Sim_Mul_Bet5!$F$2:$F$100,
      (Sim_Mul_Bet5!$A$2:$A$100=D$2) * (Sim_Mul_Bet5!$C$2:$C$100=$B41),0
   ),
   0
)</f>
        <v>0</v>
      </c>
      <c r="E41" s="182" cm="1">
        <f t="array" ref="E41">_xlfn.IFNA(
   _xlfn._xlws.FILTER(
      Sim_Mul_Bet5!$F$2:$F$100,
      (Sim_Mul_Bet5!$A$2:$A$100=E$2) * (Sim_Mul_Bet5!$C$2:$C$100=$B41),0
   ),
   0
)</f>
        <v>0</v>
      </c>
      <c r="F41" s="183" cm="1">
        <f t="array" ref="F41">_xlfn.IFNA(
   _xlfn._xlws.FILTER(
      Sim_Mul_Bet5!$L$2:$L$100,
      (Sim_Mul_Bet5!$A$2:$A$100=F$2) * (Sim_Mul_Bet5!$C$2:$C$100=$B41),0
   ),
   0
)</f>
        <v>0</v>
      </c>
      <c r="G41" s="184" cm="1">
        <f t="array" ref="G41">_xlfn.IFNA(
   _xlfn._xlws.FILTER(
      Sim_Mul_Bet5!$L$2:$L$100,
      (Sim_Mul_Bet5!$A$2:$A$100=G$2) * (Sim_Mul_Bet5!$C$2:$C$100=$B41),0
   ),
   0
)</f>
        <v>0</v>
      </c>
      <c r="H41" s="185" cm="1">
        <f t="array" ref="H41">_xlfn.IFNA(
   _xlfn._xlws.FILTER(
      Sim_Mul_Bet5!$L$2:$L$100,
      (Sim_Mul_Bet5!$A$2:$A$100=H$2) * (Sim_Mul_Bet5!$C$2:$C$100=$B41),0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Sim_Mul_Bet5!$F$2:$F$100,
      (Sim_Mul_Bet5!$A$2:$A$100=C$2) * (Sim_Mul_Bet5!$C$2:$C$100=$B42),0
   ),
   0
)</f>
        <v>0</v>
      </c>
      <c r="D42" s="181" cm="1">
        <f t="array" ref="D42">_xlfn.IFNA(
   _xlfn._xlws.FILTER(
      Sim_Mul_Bet5!$F$2:$F$100,
      (Sim_Mul_Bet5!$A$2:$A$100=D$2) * (Sim_Mul_Bet5!$C$2:$C$100=$B42),0
   ),
   0
)</f>
        <v>0</v>
      </c>
      <c r="E42" s="182" cm="1">
        <f t="array" ref="E42">_xlfn.IFNA(
   _xlfn._xlws.FILTER(
      Sim_Mul_Bet5!$F$2:$F$100,
      (Sim_Mul_Bet5!$A$2:$A$100=E$2) * (Sim_Mul_Bet5!$C$2:$C$100=$B42),0
   ),
   0
)</f>
        <v>0</v>
      </c>
      <c r="F42" s="183" cm="1">
        <f t="array" ref="F42">_xlfn.IFNA(
   _xlfn._xlws.FILTER(
      Sim_Mul_Bet5!$L$2:$L$100,
      (Sim_Mul_Bet5!$A$2:$A$100=F$2) * (Sim_Mul_Bet5!$C$2:$C$100=$B42),0
   ),
   0
)</f>
        <v>0</v>
      </c>
      <c r="G42" s="184" cm="1">
        <f t="array" ref="G42">_xlfn.IFNA(
   _xlfn._xlws.FILTER(
      Sim_Mul_Bet5!$L$2:$L$100,
      (Sim_Mul_Bet5!$A$2:$A$100=G$2) * (Sim_Mul_Bet5!$C$2:$C$100=$B42),0
   ),
   0
)</f>
        <v>0</v>
      </c>
      <c r="H42" s="185" cm="1">
        <f t="array" ref="H42">_xlfn.IFNA(
   _xlfn._xlws.FILTER(
      Sim_Mul_Bet5!$L$2:$L$100,
      (Sim_Mul_Bet5!$A$2:$A$100=H$2) * (Sim_Mul_Bet5!$C$2:$C$100=$B42),0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Sim_Mul_Bet5!$F$2:$F$100,
      (Sim_Mul_Bet5!$A$2:$A$100=C$2) * (Sim_Mul_Bet5!$C$2:$C$100=$B43),0
   ),
   0
)</f>
        <v>0</v>
      </c>
      <c r="D43" s="181" cm="1">
        <f t="array" ref="D43">_xlfn.IFNA(
   _xlfn._xlws.FILTER(
      Sim_Mul_Bet5!$F$2:$F$100,
      (Sim_Mul_Bet5!$A$2:$A$100=D$2) * (Sim_Mul_Bet5!$C$2:$C$100=$B43),0
   ),
   0
)</f>
        <v>0</v>
      </c>
      <c r="E43" s="182" cm="1">
        <f t="array" ref="E43">_xlfn.IFNA(
   _xlfn._xlws.FILTER(
      Sim_Mul_Bet5!$F$2:$F$100,
      (Sim_Mul_Bet5!$A$2:$A$100=E$2) * (Sim_Mul_Bet5!$C$2:$C$100=$B43),0
   ),
   0
)</f>
        <v>0</v>
      </c>
      <c r="F43" s="183" cm="1">
        <f t="array" ref="F43">_xlfn.IFNA(
   _xlfn._xlws.FILTER(
      Sim_Mul_Bet5!$L$2:$L$100,
      (Sim_Mul_Bet5!$A$2:$A$100=F$2) * (Sim_Mul_Bet5!$C$2:$C$100=$B43),0
   ),
   0
)</f>
        <v>0</v>
      </c>
      <c r="G43" s="184" cm="1">
        <f t="array" ref="G43">_xlfn.IFNA(
   _xlfn._xlws.FILTER(
      Sim_Mul_Bet5!$L$2:$L$100,
      (Sim_Mul_Bet5!$A$2:$A$100=G$2) * (Sim_Mul_Bet5!$C$2:$C$100=$B43),0
   ),
   0
)</f>
        <v>0</v>
      </c>
      <c r="H43" s="185" cm="1">
        <f t="array" ref="H43">_xlfn.IFNA(
   _xlfn._xlws.FILTER(
      Sim_Mul_Bet5!$L$2:$L$100,
      (Sim_Mul_Bet5!$A$2:$A$100=H$2) * (Sim_Mul_Bet5!$C$2:$C$100=$B43),0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Sim_Mul_Bet5!$F$2:$F$100,
      (Sim_Mul_Bet5!$A$2:$A$100=C$2) * (Sim_Mul_Bet5!$C$2:$C$100=$B44),0
   ),
   0
)</f>
        <v>0</v>
      </c>
      <c r="D44" s="181" cm="1">
        <f t="array" ref="D44">_xlfn.IFNA(
   _xlfn._xlws.FILTER(
      Sim_Mul_Bet5!$F$2:$F$100,
      (Sim_Mul_Bet5!$A$2:$A$100=D$2) * (Sim_Mul_Bet5!$C$2:$C$100=$B44),0
   ),
   0
)</f>
        <v>0</v>
      </c>
      <c r="E44" s="182" cm="1">
        <f t="array" ref="E44">_xlfn.IFNA(
   _xlfn._xlws.FILTER(
      Sim_Mul_Bet5!$F$2:$F$100,
      (Sim_Mul_Bet5!$A$2:$A$100=E$2) * (Sim_Mul_Bet5!$C$2:$C$100=$B44),0
   ),
   0
)</f>
        <v>0</v>
      </c>
      <c r="F44" s="183" cm="1">
        <f t="array" ref="F44">_xlfn.IFNA(
   _xlfn._xlws.FILTER(
      Sim_Mul_Bet5!$L$2:$L$100,
      (Sim_Mul_Bet5!$A$2:$A$100=F$2) * (Sim_Mul_Bet5!$C$2:$C$100=$B44),0
   ),
   0
)</f>
        <v>0</v>
      </c>
      <c r="G44" s="184" cm="1">
        <f t="array" ref="G44">_xlfn.IFNA(
   _xlfn._xlws.FILTER(
      Sim_Mul_Bet5!$L$2:$L$100,
      (Sim_Mul_Bet5!$A$2:$A$100=G$2) * (Sim_Mul_Bet5!$C$2:$C$100=$B44),0
   ),
   0
)</f>
        <v>0</v>
      </c>
      <c r="H44" s="185" cm="1">
        <f t="array" ref="H44">_xlfn.IFNA(
   _xlfn._xlws.FILTER(
      Sim_Mul_Bet5!$L$2:$L$100,
      (Sim_Mul_Bet5!$A$2:$A$100=H$2) * (Sim_Mul_Bet5!$C$2:$C$100=$B44),0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Sim_Mul_Bet5!$F$2:$F$100,
      (Sim_Mul_Bet5!$A$2:$A$100=C$2) * (Sim_Mul_Bet5!$C$2:$C$100=$B45),0
   ),
   0
)</f>
        <v>0</v>
      </c>
      <c r="D45" s="181" cm="1">
        <f t="array" ref="D45">_xlfn.IFNA(
   _xlfn._xlws.FILTER(
      Sim_Mul_Bet5!$F$2:$F$100,
      (Sim_Mul_Bet5!$A$2:$A$100=D$2) * (Sim_Mul_Bet5!$C$2:$C$100=$B45),0
   ),
   0
)</f>
        <v>0</v>
      </c>
      <c r="E45" s="182" cm="1">
        <f t="array" ref="E45">_xlfn.IFNA(
   _xlfn._xlws.FILTER(
      Sim_Mul_Bet5!$F$2:$F$100,
      (Sim_Mul_Bet5!$A$2:$A$100=E$2) * (Sim_Mul_Bet5!$C$2:$C$100=$B45),0
   ),
   0
)</f>
        <v>0</v>
      </c>
      <c r="F45" s="183" cm="1">
        <f t="array" ref="F45">_xlfn.IFNA(
   _xlfn._xlws.FILTER(
      Sim_Mul_Bet5!$L$2:$L$100,
      (Sim_Mul_Bet5!$A$2:$A$100=F$2) * (Sim_Mul_Bet5!$C$2:$C$100=$B45),0
   ),
   0
)</f>
        <v>0</v>
      </c>
      <c r="G45" s="184" cm="1">
        <f t="array" ref="G45">_xlfn.IFNA(
   _xlfn._xlws.FILTER(
      Sim_Mul_Bet5!$L$2:$L$100,
      (Sim_Mul_Bet5!$A$2:$A$100=G$2) * (Sim_Mul_Bet5!$C$2:$C$100=$B45),0
   ),
   0
)</f>
        <v>0</v>
      </c>
      <c r="H45" s="185" cm="1">
        <f t="array" ref="H45">_xlfn.IFNA(
   _xlfn._xlws.FILTER(
      Sim_Mul_Bet5!$L$2:$L$100,
      (Sim_Mul_Bet5!$A$2:$A$100=H$2) * (Sim_Mul_Bet5!$C$2:$C$100=$B45),0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Sim_Mul_Bet5!$F$2:$F$100,
      (Sim_Mul_Bet5!$A$2:$A$100=C$2) * (Sim_Mul_Bet5!$C$2:$C$100=$B46),0
   ),
   0
)</f>
        <v>0</v>
      </c>
      <c r="D46" s="181" cm="1">
        <f t="array" ref="D46">_xlfn.IFNA(
   _xlfn._xlws.FILTER(
      Sim_Mul_Bet5!$F$2:$F$100,
      (Sim_Mul_Bet5!$A$2:$A$100=D$2) * (Sim_Mul_Bet5!$C$2:$C$100=$B46),0
   ),
   0
)</f>
        <v>0</v>
      </c>
      <c r="E46" s="182" cm="1">
        <f t="array" ref="E46">_xlfn.IFNA(
   _xlfn._xlws.FILTER(
      Sim_Mul_Bet5!$F$2:$F$100,
      (Sim_Mul_Bet5!$A$2:$A$100=E$2) * (Sim_Mul_Bet5!$C$2:$C$100=$B46),0
   ),
   0
)</f>
        <v>0</v>
      </c>
      <c r="F46" s="183" cm="1">
        <f t="array" ref="F46">_xlfn.IFNA(
   _xlfn._xlws.FILTER(
      Sim_Mul_Bet5!$L$2:$L$100,
      (Sim_Mul_Bet5!$A$2:$A$100=F$2) * (Sim_Mul_Bet5!$C$2:$C$100=$B46),0
   ),
   0
)</f>
        <v>0</v>
      </c>
      <c r="G46" s="184" cm="1">
        <f t="array" ref="G46">_xlfn.IFNA(
   _xlfn._xlws.FILTER(
      Sim_Mul_Bet5!$L$2:$L$100,
      (Sim_Mul_Bet5!$A$2:$A$100=G$2) * (Sim_Mul_Bet5!$C$2:$C$100=$B46),0
   ),
   0
)</f>
        <v>0</v>
      </c>
      <c r="H46" s="185" cm="1">
        <f t="array" ref="H46">_xlfn.IFNA(
   _xlfn._xlws.FILTER(
      Sim_Mul_Bet5!$L$2:$L$100,
      (Sim_Mul_Bet5!$A$2:$A$100=H$2) * (Sim_Mul_Bet5!$C$2:$C$100=$B46),0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Sim_Mul_Bet5!$F$2:$F$100,
      (Sim_Mul_Bet5!$A$2:$A$100=C$2) * (Sim_Mul_Bet5!$C$2:$C$100=$B47),0
   ),
   0
)</f>
        <v>1E-8</v>
      </c>
      <c r="D47" s="181" cm="1">
        <f t="array" ref="D47">_xlfn.IFNA(
   _xlfn._xlws.FILTER(
      Sim_Mul_Bet5!$F$2:$F$100,
      (Sim_Mul_Bet5!$A$2:$A$100=D$2) * (Sim_Mul_Bet5!$C$2:$C$100=$B47),0
   ),
   0
)</f>
        <v>1.1597999999999999E-3</v>
      </c>
      <c r="E47" s="182" cm="1">
        <f t="array" ref="E47">_xlfn.IFNA(
   _xlfn._xlws.FILTER(
      Sim_Mul_Bet5!$F$2:$F$100,
      (Sim_Mul_Bet5!$A$2:$A$100=E$2) * (Sim_Mul_Bet5!$C$2:$C$100=$B47),0
   ),
   0
)</f>
        <v>0</v>
      </c>
      <c r="F47" s="183" cm="1">
        <f t="array" ref="F47">_xlfn.IFNA(
   _xlfn._xlws.FILTER(
      Sim_Mul_Bet5!$L$2:$L$100,
      (Sim_Mul_Bet5!$A$2:$A$100=F$2) * (Sim_Mul_Bet5!$C$2:$C$100=$B47),0
   ),
   0
)</f>
        <v>1000</v>
      </c>
      <c r="G47" s="184" cm="1">
        <f t="array" ref="G47">_xlfn.IFNA(
   _xlfn._xlws.FILTER(
      Sim_Mul_Bet5!$L$2:$L$100,
      (Sim_Mul_Bet5!$A$2:$A$100=G$2) * (Sim_Mul_Bet5!$C$2:$C$100=$B47),0
   ),
   0
)</f>
        <v>1000</v>
      </c>
      <c r="H47" s="185" cm="1">
        <f t="array" ref="H47">_xlfn.IFNA(
   _xlfn._xlws.FILTER(
      Sim_Mul_Bet5!$L$2:$L$100,
      (Sim_Mul_Bet5!$A$2:$A$100=H$2) * (Sim_Mul_Bet5!$C$2:$C$100=$B47),0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1.1597999999999999E-3</v>
      </c>
      <c r="N47" s="189">
        <f t="shared" si="6"/>
        <v>1000</v>
      </c>
      <c r="O47" s="190">
        <f t="shared" si="7"/>
        <v>0</v>
      </c>
      <c r="P47" s="190">
        <v>0</v>
      </c>
      <c r="Q47" s="190">
        <v>0</v>
      </c>
      <c r="R47" s="191">
        <f t="shared" si="0"/>
        <v>0</v>
      </c>
      <c r="T47" s="192">
        <f t="shared" si="2"/>
        <v>0</v>
      </c>
      <c r="U47" s="176">
        <v>0</v>
      </c>
      <c r="V47" s="195">
        <f t="shared" si="3"/>
        <v>0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Sim_Mul_Bet5!$F$2:$F$100,
      (Sim_Mul_Bet5!$A$2:$A$100=C$2) * (Sim_Mul_Bet5!$C$2:$C$100=$B48),0
   ),
   0
)</f>
        <v>2.9999999999999997E-8</v>
      </c>
      <c r="D48" s="181" cm="1">
        <f t="array" ref="D48">_xlfn.IFNA(
   _xlfn._xlws.FILTER(
      Sim_Mul_Bet5!$F$2:$F$100,
      (Sim_Mul_Bet5!$A$2:$A$100=D$2) * (Sim_Mul_Bet5!$C$2:$C$100=$B48),0
   ),
   0
)</f>
        <v>9.2656600000000002E-3</v>
      </c>
      <c r="E48" s="182" cm="1">
        <f t="array" ref="E48">_xlfn.IFNA(
   _xlfn._xlws.FILTER(
      Sim_Mul_Bet5!$F$2:$F$100,
      (Sim_Mul_Bet5!$A$2:$A$100=E$2) * (Sim_Mul_Bet5!$C$2:$C$100=$B48),0
   ),
   0
)</f>
        <v>0</v>
      </c>
      <c r="F48" s="183" cm="1">
        <f t="array" ref="F48">_xlfn.IFNA(
   _xlfn._xlws.FILTER(
      Sim_Mul_Bet5!$L$2:$L$100,
      (Sim_Mul_Bet5!$A$2:$A$100=F$2) * (Sim_Mul_Bet5!$C$2:$C$100=$B48),0
   ),
   0
)</f>
        <v>1021.6666666666665</v>
      </c>
      <c r="G48" s="184" cm="1">
        <f t="array" ref="G48">_xlfn.IFNA(
   _xlfn._xlws.FILTER(
      Sim_Mul_Bet5!$L$2:$L$100,
      (Sim_Mul_Bet5!$A$2:$A$100=G$2) * (Sim_Mul_Bet5!$C$2:$C$100=$B48),0
   ),
   0
)</f>
        <v>1024.7338851198942</v>
      </c>
      <c r="H48" s="185" cm="1">
        <f t="array" ref="H48">_xlfn.IFNA(
   _xlfn._xlws.FILTER(
      Sim_Mul_Bet5!$L$2:$L$100,
      (Sim_Mul_Bet5!$A$2:$A$100=H$2) * (Sim_Mul_Bet5!$C$2:$C$100=$B48),0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9.2656600000000002E-3</v>
      </c>
      <c r="N48" s="189">
        <f t="shared" si="6"/>
        <v>1024.7338851198942</v>
      </c>
      <c r="O48" s="190">
        <f t="shared" si="7"/>
        <v>0</v>
      </c>
      <c r="P48" s="190">
        <v>0</v>
      </c>
      <c r="Q48" s="190">
        <v>0</v>
      </c>
      <c r="R48" s="191">
        <f t="shared" si="0"/>
        <v>0</v>
      </c>
      <c r="T48" s="192">
        <f t="shared" si="2"/>
        <v>0</v>
      </c>
      <c r="U48" s="176">
        <v>0</v>
      </c>
      <c r="V48" s="195">
        <f t="shared" si="3"/>
        <v>0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Sim_Mul_Bet5!$F$2:$F$100,
      (Sim_Mul_Bet5!$A$2:$A$100=C$2) * (Sim_Mul_Bet5!$C$2:$C$100=$B49),0
   ),
   0
)</f>
        <v>0</v>
      </c>
      <c r="D49" s="181" cm="1">
        <f t="array" ref="D49">_xlfn.IFNA(
   _xlfn._xlws.FILTER(
      Sim_Mul_Bet5!$F$2:$F$100,
      (Sim_Mul_Bet5!$A$2:$A$100=D$2) * (Sim_Mul_Bet5!$C$2:$C$100=$B49),0
   ),
   0
)</f>
        <v>0</v>
      </c>
      <c r="E49" s="182" cm="1">
        <f t="array" ref="E49">_xlfn.IFNA(
   _xlfn._xlws.FILTER(
      Sim_Mul_Bet5!$F$2:$F$100,
      (Sim_Mul_Bet5!$A$2:$A$100=E$2) * (Sim_Mul_Bet5!$C$2:$C$100=$B49),0
   ),
   0
)</f>
        <v>0</v>
      </c>
      <c r="F49" s="183" cm="1">
        <f t="array" ref="F49">_xlfn.IFNA(
   _xlfn._xlws.FILTER(
      Sim_Mul_Bet5!$L$2:$L$100,
      (Sim_Mul_Bet5!$A$2:$A$100=F$2) * (Sim_Mul_Bet5!$C$2:$C$100=$B49),0
   ),
   0
)</f>
        <v>0</v>
      </c>
      <c r="G49" s="184" cm="1">
        <f t="array" ref="G49">_xlfn.IFNA(
   _xlfn._xlws.FILTER(
      Sim_Mul_Bet5!$L$2:$L$100,
      (Sim_Mul_Bet5!$A$2:$A$100=G$2) * (Sim_Mul_Bet5!$C$2:$C$100=$B49),0
   ),
   0
)</f>
        <v>0</v>
      </c>
      <c r="H49" s="185" cm="1">
        <f t="array" ref="H49">_xlfn.IFNA(
   _xlfn._xlws.FILTER(
      Sim_Mul_Bet5!$L$2:$L$100,
      (Sim_Mul_Bet5!$A$2:$A$100=H$2) * (Sim_Mul_Bet5!$C$2:$C$100=$B49),0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Sim_Mul_Bet5!$F$2:$F$100,
      (Sim_Mul_Bet5!$A$2:$A$100=C$2) * (Sim_Mul_Bet5!$C$2:$C$100=$B50),0
   ),
   0
)</f>
        <v>0</v>
      </c>
      <c r="D50" s="181" cm="1">
        <f t="array" ref="D50">_xlfn.IFNA(
   _xlfn._xlws.FILTER(
      Sim_Mul_Bet5!$F$2:$F$100,
      (Sim_Mul_Bet5!$A$2:$A$100=D$2) * (Sim_Mul_Bet5!$C$2:$C$100=$B50),0
   ),
   0
)</f>
        <v>0</v>
      </c>
      <c r="E50" s="182" cm="1">
        <f t="array" ref="E50">_xlfn.IFNA(
   _xlfn._xlws.FILTER(
      Sim_Mul_Bet5!$F$2:$F$100,
      (Sim_Mul_Bet5!$A$2:$A$100=E$2) * (Sim_Mul_Bet5!$C$2:$C$100=$B50),0
   ),
   0
)</f>
        <v>0</v>
      </c>
      <c r="F50" s="183" cm="1">
        <f t="array" ref="F50">_xlfn.IFNA(
   _xlfn._xlws.FILTER(
      Sim_Mul_Bet5!$L$2:$L$100,
      (Sim_Mul_Bet5!$A$2:$A$100=F$2) * (Sim_Mul_Bet5!$C$2:$C$100=$B50),0
   ),
   0
)</f>
        <v>0</v>
      </c>
      <c r="G50" s="184" cm="1">
        <f t="array" ref="G50">_xlfn.IFNA(
   _xlfn._xlws.FILTER(
      Sim_Mul_Bet5!$L$2:$L$100,
      (Sim_Mul_Bet5!$A$2:$A$100=G$2) * (Sim_Mul_Bet5!$C$2:$C$100=$B50),0
   ),
   0
)</f>
        <v>0</v>
      </c>
      <c r="H50" s="185" cm="1">
        <f t="array" ref="H50">_xlfn.IFNA(
   _xlfn._xlws.FILTER(
      Sim_Mul_Bet5!$L$2:$L$100,
      (Sim_Mul_Bet5!$A$2:$A$100=H$2) * (Sim_Mul_Bet5!$C$2:$C$100=$B50),0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Sim_Mul_Bet5!$F$2:$F$100,
      (Sim_Mul_Bet5!$A$2:$A$100=C$2) * (Sim_Mul_Bet5!$C$2:$C$100=$B51),0
   ),
   0
)</f>
        <v>0</v>
      </c>
      <c r="D51" s="181" cm="1">
        <f t="array" ref="D51">_xlfn.IFNA(
   _xlfn._xlws.FILTER(
      Sim_Mul_Bet5!$F$2:$F$100,
      (Sim_Mul_Bet5!$A$2:$A$100=D$2) * (Sim_Mul_Bet5!$C$2:$C$100=$B51),0
   ),
   0
)</f>
        <v>0</v>
      </c>
      <c r="E51" s="182" cm="1">
        <f t="array" ref="E51">_xlfn.IFNA(
   _xlfn._xlws.FILTER(
      Sim_Mul_Bet5!$F$2:$F$100,
      (Sim_Mul_Bet5!$A$2:$A$100=E$2) * (Sim_Mul_Bet5!$C$2:$C$100=$B51),0
   ),
   0
)</f>
        <v>0</v>
      </c>
      <c r="F51" s="183" cm="1">
        <f t="array" ref="F51">_xlfn.IFNA(
   _xlfn._xlws.FILTER(
      Sim_Mul_Bet5!$L$2:$L$100,
      (Sim_Mul_Bet5!$A$2:$A$100=F$2) * (Sim_Mul_Bet5!$C$2:$C$100=$B51),0
   ),
   0
)</f>
        <v>0</v>
      </c>
      <c r="G51" s="184" cm="1">
        <f t="array" ref="G51">_xlfn.IFNA(
   _xlfn._xlws.FILTER(
      Sim_Mul_Bet5!$L$2:$L$100,
      (Sim_Mul_Bet5!$A$2:$A$100=G$2) * (Sim_Mul_Bet5!$C$2:$C$100=$B51),0
   ),
   0
)</f>
        <v>0</v>
      </c>
      <c r="H51" s="185" cm="1">
        <f t="array" ref="H51">_xlfn.IFNA(
   _xlfn._xlws.FILTER(
      Sim_Mul_Bet5!$L$2:$L$100,
      (Sim_Mul_Bet5!$A$2:$A$100=H$2) * (Sim_Mul_Bet5!$C$2:$C$100=$B51),0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Sim_Mul_Bet5!$F$2:$F$100,
      (Sim_Mul_Bet5!$A$2:$A$100=C$2) * (Sim_Mul_Bet5!$C$2:$C$100=$B52),0
   ),
   0
)</f>
        <v>0</v>
      </c>
      <c r="D52" s="181" cm="1">
        <f t="array" ref="D52">_xlfn.IFNA(
   _xlfn._xlws.FILTER(
      Sim_Mul_Bet5!$F$2:$F$100,
      (Sim_Mul_Bet5!$A$2:$A$100=D$2) * (Sim_Mul_Bet5!$C$2:$C$100=$B52),0
   ),
   0
)</f>
        <v>0</v>
      </c>
      <c r="E52" s="182" cm="1">
        <f t="array" ref="E52">_xlfn.IFNA(
   _xlfn._xlws.FILTER(
      Sim_Mul_Bet5!$F$2:$F$100,
      (Sim_Mul_Bet5!$A$2:$A$100=E$2) * (Sim_Mul_Bet5!$C$2:$C$100=$B52),0
   ),
   0
)</f>
        <v>0</v>
      </c>
      <c r="F52" s="183" cm="1">
        <f t="array" ref="F52">_xlfn.IFNA(
   _xlfn._xlws.FILTER(
      Sim_Mul_Bet5!$L$2:$L$100,
      (Sim_Mul_Bet5!$A$2:$A$100=F$2) * (Sim_Mul_Bet5!$C$2:$C$100=$B52),0
   ),
   0
)</f>
        <v>0</v>
      </c>
      <c r="G52" s="184" cm="1">
        <f t="array" ref="G52">_xlfn.IFNA(
   _xlfn._xlws.FILTER(
      Sim_Mul_Bet5!$L$2:$L$100,
      (Sim_Mul_Bet5!$A$2:$A$100=G$2) * (Sim_Mul_Bet5!$C$2:$C$100=$B52),0
   ),
   0
)</f>
        <v>0</v>
      </c>
      <c r="H52" s="185" cm="1">
        <f t="array" ref="H52">_xlfn.IFNA(
   _xlfn._xlws.FILTER(
      Sim_Mul_Bet5!$L$2:$L$100,
      (Sim_Mul_Bet5!$A$2:$A$100=H$2) * (Sim_Mul_Bet5!$C$2:$C$100=$B52),0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Sim_Mul_Bet5!$F$2:$F$100,
      (Sim_Mul_Bet5!$A$2:$A$100=C$2) * (Sim_Mul_Bet5!$C$2:$C$100=$B53),0
   ),
   0
)</f>
        <v>0</v>
      </c>
      <c r="D53" s="181" cm="1">
        <f t="array" ref="D53">_xlfn.IFNA(
   _xlfn._xlws.FILTER(
      Sim_Mul_Bet5!$F$2:$F$100,
      (Sim_Mul_Bet5!$A$2:$A$100=D$2) * (Sim_Mul_Bet5!$C$2:$C$100=$B53),0
   ),
   0
)</f>
        <v>0</v>
      </c>
      <c r="E53" s="182" cm="1">
        <f t="array" ref="E53">_xlfn.IFNA(
   _xlfn._xlws.FILTER(
      Sim_Mul_Bet5!$F$2:$F$100,
      (Sim_Mul_Bet5!$A$2:$A$100=E$2) * (Sim_Mul_Bet5!$C$2:$C$100=$B53),0
   ),
   0
)</f>
        <v>0</v>
      </c>
      <c r="F53" s="183" cm="1">
        <f t="array" ref="F53">_xlfn.IFNA(
   _xlfn._xlws.FILTER(
      Sim_Mul_Bet5!$L$2:$L$100,
      (Sim_Mul_Bet5!$A$2:$A$100=F$2) * (Sim_Mul_Bet5!$C$2:$C$100=$B53),0
   ),
   0
)</f>
        <v>0</v>
      </c>
      <c r="G53" s="184" cm="1">
        <f t="array" ref="G53">_xlfn.IFNA(
   _xlfn._xlws.FILTER(
      Sim_Mul_Bet5!$L$2:$L$100,
      (Sim_Mul_Bet5!$A$2:$A$100=G$2) * (Sim_Mul_Bet5!$C$2:$C$100=$B53),0
   ),
   0
)</f>
        <v>0</v>
      </c>
      <c r="H53" s="185" cm="1">
        <f t="array" ref="H53">_xlfn.IFNA(
   _xlfn._xlws.FILTER(
      Sim_Mul_Bet5!$L$2:$L$100,
      (Sim_Mul_Bet5!$A$2:$A$100=H$2) * (Sim_Mul_Bet5!$C$2:$C$100=$B53),0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Sim_Mul_Bet5!$F$2:$F$100,
      (Sim_Mul_Bet5!$A$2:$A$100=C$2) * (Sim_Mul_Bet5!$C$2:$C$100=$B54),0
   ),
   0
)</f>
        <v>0</v>
      </c>
      <c r="D54" s="198" cm="1">
        <f t="array" ref="D54">_xlfn.IFNA(
   _xlfn._xlws.FILTER(
      Sim_Mul_Bet5!$F$2:$F$100,
      (Sim_Mul_Bet5!$A$2:$A$100=D$2) * (Sim_Mul_Bet5!$C$2:$C$100=$B54),0
   ),
   0
)</f>
        <v>0</v>
      </c>
      <c r="E54" s="199" cm="1">
        <f t="array" ref="E54">_xlfn.IFNA(
   _xlfn._xlws.FILTER(
      Sim_Mul_Bet5!$F$2:$F$100,
      (Sim_Mul_Bet5!$A$2:$A$100=E$2) * (Sim_Mul_Bet5!$C$2:$C$100=$B54),0
   ),
   0
)</f>
        <v>0</v>
      </c>
      <c r="F54" s="200" cm="1">
        <f t="array" ref="F54">_xlfn.IFNA(
   _xlfn._xlws.FILTER(
      Sim_Mul_Bet5!$L$2:$L$100,
      (Sim_Mul_Bet5!$A$2:$A$100=F$2) * (Sim_Mul_Bet5!$C$2:$C$100=$B54),0
   ),
   0
)</f>
        <v>0</v>
      </c>
      <c r="G54" s="201" cm="1">
        <f t="array" ref="G54">_xlfn.IFNA(
   _xlfn._xlws.FILTER(
      Sim_Mul_Bet5!$L$2:$L$100,
      (Sim_Mul_Bet5!$A$2:$A$100=G$2) * (Sim_Mul_Bet5!$C$2:$C$100=$B54),0
   ),
   0
)</f>
        <v>0</v>
      </c>
      <c r="H54" s="202" cm="1">
        <f t="array" ref="H54">_xlfn.IFNA(
   _xlfn._xlws.FILTER(
      Sim_Mul_Bet5!$L$2:$L$100,
      (Sim_Mul_Bet5!$A$2:$A$100=H$2) * (Sim_Mul_Bet5!$C$2:$C$100=$B54),0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Q3">
    <cfRule type="cellIs" dxfId="1520" priority="17" operator="equal">
      <formula>0</formula>
    </cfRule>
  </conditionalFormatting>
  <conditionalFormatting sqref="N1:N1048576">
    <cfRule type="cellIs" dxfId="1519" priority="20" operator="equal">
      <formula>0</formula>
    </cfRule>
  </conditionalFormatting>
  <conditionalFormatting sqref="C4:E54 T1:T1048576 C3:D3 O55:Q1048576 O1:Q2">
    <cfRule type="cellIs" dxfId="1518" priority="21" operator="equal">
      <formula>0</formula>
    </cfRule>
  </conditionalFormatting>
  <conditionalFormatting sqref="F4:H54 F3:G3">
    <cfRule type="cellIs" dxfId="1517" priority="16" operator="equal">
      <formula>0</formula>
    </cfRule>
  </conditionalFormatting>
  <conditionalFormatting sqref="Q4:Q54">
    <cfRule type="cellIs" dxfId="1516" priority="15" operator="equal">
      <formula>0</formula>
    </cfRule>
  </conditionalFormatting>
  <conditionalFormatting sqref="O4:O54">
    <cfRule type="cellIs" dxfId="1515" priority="13" operator="equal">
      <formula>0</formula>
    </cfRule>
  </conditionalFormatting>
  <conditionalFormatting sqref="M1:M1048576">
    <cfRule type="cellIs" dxfId="1514" priority="19" operator="lessThan">
      <formula>0.001</formula>
    </cfRule>
  </conditionalFormatting>
  <conditionalFormatting sqref="O3:P3">
    <cfRule type="cellIs" dxfId="1513" priority="18" operator="equal">
      <formula>0</formula>
    </cfRule>
  </conditionalFormatting>
  <conditionalFormatting sqref="P4:P39">
    <cfRule type="cellIs" dxfId="1512" priority="9" operator="equal">
      <formula>0</formula>
    </cfRule>
  </conditionalFormatting>
  <conditionalFormatting sqref="P40:P54">
    <cfRule type="cellIs" dxfId="1511" priority="10" operator="equal">
      <formula>0</formula>
    </cfRule>
  </conditionalFormatting>
  <conditionalFormatting sqref="Z4:Z39">
    <cfRule type="cellIs" dxfId="1510" priority="1" operator="equal">
      <formula>0</formula>
    </cfRule>
  </conditionalFormatting>
  <conditionalFormatting sqref="AD1:AD1048576 Y1:Y2 Y55:Y1048576 AA55:AA1048576 AA1:AA2">
    <cfRule type="cellIs" dxfId="1509" priority="8" operator="equal">
      <formula>0</formula>
    </cfRule>
  </conditionalFormatting>
  <conditionalFormatting sqref="Y3:Y54">
    <cfRule type="cellIs" dxfId="1508" priority="7" operator="equal">
      <formula>0</formula>
    </cfRule>
  </conditionalFormatting>
  <conditionalFormatting sqref="AA3">
    <cfRule type="cellIs" dxfId="1507" priority="6" operator="equal">
      <formula>0</formula>
    </cfRule>
  </conditionalFormatting>
  <conditionalFormatting sqref="Z1:Z2 Z55:Z1048576">
    <cfRule type="cellIs" dxfId="1506" priority="5" operator="equal">
      <formula>0</formula>
    </cfRule>
  </conditionalFormatting>
  <conditionalFormatting sqref="Z3">
    <cfRule type="cellIs" dxfId="1505" priority="4" operator="equal">
      <formula>0</formula>
    </cfRule>
  </conditionalFormatting>
  <conditionalFormatting sqref="AA4:AA54">
    <cfRule type="cellIs" dxfId="1504" priority="3" operator="equal">
      <formula>0</formula>
    </cfRule>
  </conditionalFormatting>
  <conditionalFormatting sqref="Z40:Z54">
    <cfRule type="cellIs" dxfId="1503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6AF7-ABAE-4F72-A5BE-519651896AB4}">
  <dimension ref="A1:AC74"/>
  <sheetViews>
    <sheetView workbookViewId="0"/>
  </sheetViews>
  <sheetFormatPr defaultRowHeight="16.2"/>
  <sheetData>
    <row r="1" spans="1:29">
      <c r="L1">
        <v>5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80605718</v>
      </c>
      <c r="F2" cm="1">
        <f t="array" ref="F2:F34">E2:E34/SUM(E2:E34)</f>
        <v>0.80605718000000004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5882625</v>
      </c>
      <c r="F3">
        <v>5.8826249999999997E-2</v>
      </c>
      <c r="H3" t="s">
        <v>157</v>
      </c>
      <c r="I3" t="s">
        <v>156</v>
      </c>
      <c r="J3">
        <v>2019083100</v>
      </c>
      <c r="L3">
        <f>J3/E3/$L$1/100</f>
        <v>0.68645650538662584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770699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2351987</v>
      </c>
      <c r="F4">
        <v>2.3519869999999998E-2</v>
      </c>
      <c r="H4" t="s">
        <v>157</v>
      </c>
      <c r="I4" t="s">
        <v>156</v>
      </c>
      <c r="J4">
        <v>2331585400</v>
      </c>
      <c r="L4">
        <f t="shared" ref="L4:L34" si="0">J4/E4/$L$1/100</f>
        <v>1.9826516047920333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867669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130263</v>
      </c>
      <c r="F5">
        <v>1.3026299999999999E-3</v>
      </c>
      <c r="H5" t="s">
        <v>157</v>
      </c>
      <c r="I5" t="s">
        <v>156</v>
      </c>
      <c r="J5">
        <v>168794600</v>
      </c>
      <c r="L5">
        <f t="shared" si="0"/>
        <v>2.5915969999155557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130263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3</v>
      </c>
      <c r="D6" t="s">
        <v>156</v>
      </c>
      <c r="E6">
        <v>1226215</v>
      </c>
      <c r="F6">
        <v>1.2262149999999999E-2</v>
      </c>
      <c r="H6" t="s">
        <v>157</v>
      </c>
      <c r="I6" t="s">
        <v>156</v>
      </c>
      <c r="J6">
        <v>2451054800</v>
      </c>
      <c r="L6">
        <f t="shared" si="0"/>
        <v>3.997757000199802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>
        <v>16519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4</v>
      </c>
      <c r="D7" t="s">
        <v>156</v>
      </c>
      <c r="E7">
        <v>2405560</v>
      </c>
      <c r="F7">
        <v>2.40556E-2</v>
      </c>
      <c r="H7" t="s">
        <v>157</v>
      </c>
      <c r="I7" t="s">
        <v>156</v>
      </c>
      <c r="J7">
        <v>5989090100</v>
      </c>
      <c r="L7">
        <f t="shared" si="0"/>
        <v>4.9793728695189472</v>
      </c>
      <c r="O7" t="s">
        <v>158</v>
      </c>
      <c r="P7" t="s">
        <v>156</v>
      </c>
      <c r="Q7">
        <v>838295</v>
      </c>
      <c r="R7" t="s">
        <v>160</v>
      </c>
      <c r="S7" t="s">
        <v>156</v>
      </c>
      <c r="T7">
        <v>2251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5</v>
      </c>
      <c r="D8" t="s">
        <v>156</v>
      </c>
      <c r="E8">
        <v>120534</v>
      </c>
      <c r="F8">
        <v>1.2053400000000001E-3</v>
      </c>
      <c r="H8" t="s">
        <v>157</v>
      </c>
      <c r="I8" t="s">
        <v>156</v>
      </c>
      <c r="J8">
        <v>347174400</v>
      </c>
      <c r="L8">
        <f t="shared" si="0"/>
        <v>5.7606053063865792</v>
      </c>
      <c r="O8" t="s">
        <v>158</v>
      </c>
      <c r="P8" t="s">
        <v>156</v>
      </c>
      <c r="Q8">
        <v>53427</v>
      </c>
      <c r="R8" t="s">
        <v>160</v>
      </c>
      <c r="S8" t="s">
        <v>156</v>
      </c>
      <c r="T8">
        <v>96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6</v>
      </c>
      <c r="D9" t="s">
        <v>156</v>
      </c>
      <c r="E9">
        <v>14175</v>
      </c>
      <c r="F9">
        <v>1.4175E-4</v>
      </c>
      <c r="H9" t="s">
        <v>157</v>
      </c>
      <c r="I9" t="s">
        <v>156</v>
      </c>
      <c r="J9">
        <v>49612500</v>
      </c>
      <c r="L9">
        <f t="shared" si="0"/>
        <v>7</v>
      </c>
      <c r="O9" t="s">
        <v>158</v>
      </c>
      <c r="P9" t="s">
        <v>156</v>
      </c>
      <c r="Q9">
        <v>14175</v>
      </c>
      <c r="R9" t="s">
        <v>160</v>
      </c>
      <c r="S9" t="s">
        <v>156</v>
      </c>
      <c r="T9" t="s">
        <v>159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7</v>
      </c>
      <c r="D10" t="s">
        <v>156</v>
      </c>
      <c r="E10">
        <v>1714</v>
      </c>
      <c r="F10">
        <v>1.7139999999999999E-5</v>
      </c>
      <c r="H10" t="s">
        <v>157</v>
      </c>
      <c r="I10" t="s">
        <v>156</v>
      </c>
      <c r="J10">
        <v>6475200</v>
      </c>
      <c r="L10">
        <f t="shared" si="0"/>
        <v>7.5556592765460913</v>
      </c>
      <c r="O10" t="s">
        <v>158</v>
      </c>
      <c r="P10" t="s">
        <v>156</v>
      </c>
      <c r="Q10">
        <v>1714</v>
      </c>
      <c r="R10" t="s">
        <v>160</v>
      </c>
      <c r="S10" t="s">
        <v>156</v>
      </c>
      <c r="T10" t="s">
        <v>159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9</v>
      </c>
      <c r="D11" t="s">
        <v>156</v>
      </c>
      <c r="E11">
        <v>5054139</v>
      </c>
      <c r="F11">
        <v>5.0541389999999999E-2</v>
      </c>
      <c r="H11" t="s">
        <v>157</v>
      </c>
      <c r="I11" t="s">
        <v>156</v>
      </c>
      <c r="J11">
        <v>25270695000</v>
      </c>
      <c r="L11">
        <f t="shared" si="0"/>
        <v>10</v>
      </c>
      <c r="O11" t="s">
        <v>158</v>
      </c>
      <c r="P11" t="s">
        <v>156</v>
      </c>
      <c r="Q11">
        <v>2513650</v>
      </c>
      <c r="R11" t="s">
        <v>160</v>
      </c>
      <c r="S11" t="s">
        <v>156</v>
      </c>
      <c r="T11">
        <v>2195404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10</v>
      </c>
      <c r="D12" t="s">
        <v>156</v>
      </c>
      <c r="E12">
        <v>851157</v>
      </c>
      <c r="F12">
        <v>8.5115699999999996E-3</v>
      </c>
      <c r="H12" t="s">
        <v>157</v>
      </c>
      <c r="I12" t="s">
        <v>156</v>
      </c>
      <c r="J12">
        <v>5522865800</v>
      </c>
      <c r="L12">
        <f t="shared" si="0"/>
        <v>12.977313938556577</v>
      </c>
      <c r="O12" t="s">
        <v>158</v>
      </c>
      <c r="P12" t="s">
        <v>156</v>
      </c>
      <c r="Q12">
        <v>630031</v>
      </c>
      <c r="R12" t="s">
        <v>160</v>
      </c>
      <c r="S12" t="s">
        <v>156</v>
      </c>
      <c r="T12">
        <v>178855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15</v>
      </c>
      <c r="D13" t="s">
        <v>156</v>
      </c>
      <c r="E13">
        <v>517188</v>
      </c>
      <c r="F13">
        <v>5.1718800000000002E-3</v>
      </c>
      <c r="H13" t="s">
        <v>157</v>
      </c>
      <c r="I13" t="s">
        <v>156</v>
      </c>
      <c r="J13">
        <v>5097123100</v>
      </c>
      <c r="L13">
        <f t="shared" si="0"/>
        <v>19.710910152594412</v>
      </c>
      <c r="O13" t="s">
        <v>158</v>
      </c>
      <c r="P13" t="s">
        <v>156</v>
      </c>
      <c r="Q13">
        <v>131706</v>
      </c>
      <c r="R13" t="s">
        <v>160</v>
      </c>
      <c r="S13" t="s">
        <v>156</v>
      </c>
      <c r="T13">
        <v>209233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20</v>
      </c>
      <c r="D14" t="s">
        <v>156</v>
      </c>
      <c r="E14">
        <v>92199</v>
      </c>
      <c r="F14">
        <v>9.2199000000000003E-4</v>
      </c>
      <c r="H14" t="s">
        <v>157</v>
      </c>
      <c r="I14" t="s">
        <v>156</v>
      </c>
      <c r="J14">
        <v>977712500</v>
      </c>
      <c r="L14">
        <f t="shared" si="0"/>
        <v>21.208744129545877</v>
      </c>
      <c r="O14" t="s">
        <v>158</v>
      </c>
      <c r="P14" t="s">
        <v>156</v>
      </c>
      <c r="Q14">
        <v>13584</v>
      </c>
      <c r="R14" t="s">
        <v>160</v>
      </c>
      <c r="S14" t="s">
        <v>156</v>
      </c>
      <c r="T14">
        <v>43467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25</v>
      </c>
      <c r="D15" t="s">
        <v>156</v>
      </c>
      <c r="E15">
        <v>63190</v>
      </c>
      <c r="F15">
        <v>6.3190000000000002E-4</v>
      </c>
      <c r="H15" t="s">
        <v>157</v>
      </c>
      <c r="I15" t="s">
        <v>156</v>
      </c>
      <c r="J15">
        <v>945635400</v>
      </c>
      <c r="L15">
        <f t="shared" si="0"/>
        <v>29.929906630796012</v>
      </c>
      <c r="O15" t="s">
        <v>158</v>
      </c>
      <c r="P15" t="s">
        <v>156</v>
      </c>
      <c r="Q15">
        <v>49693</v>
      </c>
      <c r="R15" t="s">
        <v>160</v>
      </c>
      <c r="S15" t="s">
        <v>156</v>
      </c>
      <c r="T15">
        <v>13497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30</v>
      </c>
      <c r="D16" t="s">
        <v>156</v>
      </c>
      <c r="E16">
        <v>9196</v>
      </c>
      <c r="F16">
        <v>9.1959999999999994E-5</v>
      </c>
      <c r="H16" t="s">
        <v>157</v>
      </c>
      <c r="I16" t="s">
        <v>156</v>
      </c>
      <c r="J16">
        <v>143970400</v>
      </c>
      <c r="L16">
        <f t="shared" si="0"/>
        <v>31.3115267507612</v>
      </c>
      <c r="O16" t="s">
        <v>158</v>
      </c>
      <c r="P16" t="s">
        <v>156</v>
      </c>
      <c r="Q16">
        <v>6416</v>
      </c>
      <c r="R16" t="s">
        <v>160</v>
      </c>
      <c r="S16" t="s">
        <v>156</v>
      </c>
      <c r="T16">
        <v>2780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35</v>
      </c>
      <c r="D17" t="s">
        <v>156</v>
      </c>
      <c r="E17">
        <v>179825</v>
      </c>
      <c r="F17">
        <v>1.7982499999999999E-3</v>
      </c>
      <c r="H17" t="s">
        <v>157</v>
      </c>
      <c r="I17" t="s">
        <v>156</v>
      </c>
      <c r="J17">
        <v>3595904800</v>
      </c>
      <c r="L17">
        <f t="shared" si="0"/>
        <v>39.993380230779927</v>
      </c>
      <c r="O17" t="s">
        <v>158</v>
      </c>
      <c r="P17" t="s">
        <v>156</v>
      </c>
      <c r="Q17">
        <v>880</v>
      </c>
      <c r="R17" t="s">
        <v>160</v>
      </c>
      <c r="S17" t="s">
        <v>156</v>
      </c>
      <c r="T17">
        <v>608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40</v>
      </c>
      <c r="D18" t="s">
        <v>156</v>
      </c>
      <c r="E18">
        <v>47108</v>
      </c>
      <c r="F18">
        <v>4.7108000000000002E-4</v>
      </c>
      <c r="H18" t="s">
        <v>157</v>
      </c>
      <c r="I18" t="s">
        <v>156</v>
      </c>
      <c r="J18">
        <v>976206900</v>
      </c>
      <c r="L18">
        <f t="shared" si="0"/>
        <v>41.445482720557017</v>
      </c>
      <c r="O18" t="s">
        <v>158</v>
      </c>
      <c r="P18" t="s">
        <v>156</v>
      </c>
      <c r="Q18">
        <v>144</v>
      </c>
      <c r="R18" t="s">
        <v>160</v>
      </c>
      <c r="S18" t="s">
        <v>156</v>
      </c>
      <c r="T18">
        <v>172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45</v>
      </c>
      <c r="D19" t="s">
        <v>156</v>
      </c>
      <c r="E19">
        <v>344273</v>
      </c>
      <c r="F19">
        <v>3.4427300000000002E-3</v>
      </c>
      <c r="H19" t="s">
        <v>157</v>
      </c>
      <c r="I19" t="s">
        <v>156</v>
      </c>
      <c r="J19">
        <v>8606427000</v>
      </c>
      <c r="L19">
        <f t="shared" si="0"/>
        <v>49.997687881419687</v>
      </c>
      <c r="O19" t="s">
        <v>158</v>
      </c>
      <c r="P19" t="s">
        <v>156</v>
      </c>
      <c r="Q19">
        <v>167610</v>
      </c>
      <c r="R19" t="s">
        <v>160</v>
      </c>
      <c r="S19" t="s">
        <v>156</v>
      </c>
      <c r="T19">
        <v>36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50</v>
      </c>
      <c r="D20" t="s">
        <v>156</v>
      </c>
      <c r="E20">
        <v>55783</v>
      </c>
      <c r="F20">
        <v>5.5783000000000004E-4</v>
      </c>
      <c r="H20" t="s">
        <v>157</v>
      </c>
      <c r="I20" t="s">
        <v>156</v>
      </c>
      <c r="J20">
        <v>1483396300</v>
      </c>
      <c r="L20">
        <f t="shared" si="0"/>
        <v>53.184529336894755</v>
      </c>
      <c r="O20" t="s">
        <v>158</v>
      </c>
      <c r="P20" t="s">
        <v>156</v>
      </c>
      <c r="Q20">
        <v>14709</v>
      </c>
      <c r="R20" t="s">
        <v>160</v>
      </c>
      <c r="S20" t="s">
        <v>156</v>
      </c>
      <c r="T20">
        <v>12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60</v>
      </c>
      <c r="D21" t="s">
        <v>156</v>
      </c>
      <c r="E21">
        <v>975</v>
      </c>
      <c r="F21">
        <v>9.7499999999999998E-6</v>
      </c>
      <c r="H21" t="s">
        <v>157</v>
      </c>
      <c r="I21" t="s">
        <v>156</v>
      </c>
      <c r="J21">
        <v>31705500</v>
      </c>
      <c r="L21">
        <f t="shared" si="0"/>
        <v>65.036923076923074</v>
      </c>
      <c r="O21" t="s">
        <v>158</v>
      </c>
      <c r="P21" t="s">
        <v>156</v>
      </c>
      <c r="Q21">
        <v>592</v>
      </c>
      <c r="R21" t="s">
        <v>160</v>
      </c>
      <c r="S21" t="s">
        <v>156</v>
      </c>
      <c r="T21" t="s">
        <v>159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70</v>
      </c>
      <c r="D22" t="s">
        <v>156</v>
      </c>
      <c r="E22">
        <v>119</v>
      </c>
      <c r="F22">
        <v>1.19E-6</v>
      </c>
      <c r="H22" t="s">
        <v>157</v>
      </c>
      <c r="I22" t="s">
        <v>156</v>
      </c>
      <c r="J22">
        <v>4278200</v>
      </c>
      <c r="L22">
        <f t="shared" si="0"/>
        <v>71.902521008403369</v>
      </c>
      <c r="O22" t="s">
        <v>158</v>
      </c>
      <c r="P22" t="s">
        <v>156</v>
      </c>
      <c r="Q22">
        <v>119</v>
      </c>
      <c r="R22" t="s">
        <v>160</v>
      </c>
      <c r="S22" t="s">
        <v>156</v>
      </c>
      <c r="T22" t="s">
        <v>159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90</v>
      </c>
      <c r="D23" t="s">
        <v>156</v>
      </c>
      <c r="E23">
        <v>19842</v>
      </c>
      <c r="F23">
        <v>1.9841999999999999E-4</v>
      </c>
      <c r="H23" t="s">
        <v>157</v>
      </c>
      <c r="I23" t="s">
        <v>156</v>
      </c>
      <c r="J23">
        <v>992100000</v>
      </c>
      <c r="L23">
        <f t="shared" si="0"/>
        <v>100</v>
      </c>
      <c r="O23" t="s">
        <v>158</v>
      </c>
      <c r="P23" t="s">
        <v>156</v>
      </c>
      <c r="Q23">
        <v>8227</v>
      </c>
      <c r="R23" t="s">
        <v>160</v>
      </c>
      <c r="S23" t="s">
        <v>156</v>
      </c>
      <c r="T23">
        <v>11117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100</v>
      </c>
      <c r="D24" t="s">
        <v>156</v>
      </c>
      <c r="E24">
        <v>4594</v>
      </c>
      <c r="F24">
        <v>4.5939999999999997E-5</v>
      </c>
      <c r="H24" t="s">
        <v>157</v>
      </c>
      <c r="I24" t="s">
        <v>156</v>
      </c>
      <c r="J24">
        <v>239371600</v>
      </c>
      <c r="L24">
        <f t="shared" si="0"/>
        <v>104.21053548106225</v>
      </c>
      <c r="O24" t="s">
        <v>158</v>
      </c>
      <c r="P24" t="s">
        <v>156</v>
      </c>
      <c r="Q24">
        <v>1263</v>
      </c>
      <c r="R24" t="s">
        <v>160</v>
      </c>
      <c r="S24" t="s">
        <v>156</v>
      </c>
      <c r="T24">
        <v>3181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120</v>
      </c>
      <c r="D25" t="s">
        <v>156</v>
      </c>
      <c r="E25">
        <v>32</v>
      </c>
      <c r="F25">
        <v>3.2000000000000001E-7</v>
      </c>
      <c r="H25" t="s">
        <v>157</v>
      </c>
      <c r="I25" t="s">
        <v>156</v>
      </c>
      <c r="J25">
        <v>2008000</v>
      </c>
      <c r="L25">
        <f t="shared" si="0"/>
        <v>125.5</v>
      </c>
      <c r="O25" t="s">
        <v>158</v>
      </c>
      <c r="P25" t="s">
        <v>156</v>
      </c>
      <c r="Q25">
        <v>16</v>
      </c>
      <c r="R25" t="s">
        <v>160</v>
      </c>
      <c r="S25" t="s">
        <v>156</v>
      </c>
      <c r="T25">
        <v>16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140</v>
      </c>
      <c r="D26" t="s">
        <v>156</v>
      </c>
      <c r="E26">
        <v>47</v>
      </c>
      <c r="F26">
        <v>4.7E-7</v>
      </c>
      <c r="H26" t="s">
        <v>157</v>
      </c>
      <c r="I26" t="s">
        <v>156</v>
      </c>
      <c r="J26">
        <v>3535500</v>
      </c>
      <c r="L26">
        <f t="shared" si="0"/>
        <v>150.44680851063831</v>
      </c>
      <c r="O26" t="s">
        <v>158</v>
      </c>
      <c r="P26" t="s">
        <v>156</v>
      </c>
      <c r="Q26">
        <v>23</v>
      </c>
      <c r="R26" t="s">
        <v>160</v>
      </c>
      <c r="S26" t="s">
        <v>156</v>
      </c>
      <c r="T26" t="s">
        <v>159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180</v>
      </c>
      <c r="D27" t="s">
        <v>156</v>
      </c>
      <c r="E27">
        <v>18148</v>
      </c>
      <c r="F27">
        <v>1.8148E-4</v>
      </c>
      <c r="H27" t="s">
        <v>157</v>
      </c>
      <c r="I27" t="s">
        <v>156</v>
      </c>
      <c r="J27">
        <v>1814800000</v>
      </c>
      <c r="L27">
        <f t="shared" si="0"/>
        <v>200</v>
      </c>
      <c r="O27" t="s">
        <v>158</v>
      </c>
      <c r="P27" t="s">
        <v>156</v>
      </c>
      <c r="Q27">
        <v>8447</v>
      </c>
      <c r="R27" t="s">
        <v>160</v>
      </c>
      <c r="S27" t="s">
        <v>156</v>
      </c>
      <c r="T27">
        <v>1148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200</v>
      </c>
      <c r="D28" t="s">
        <v>156</v>
      </c>
      <c r="E28">
        <v>2373</v>
      </c>
      <c r="F28">
        <v>2.3730000000000001E-5</v>
      </c>
      <c r="H28" t="s">
        <v>157</v>
      </c>
      <c r="I28" t="s">
        <v>156</v>
      </c>
      <c r="J28">
        <v>243601000</v>
      </c>
      <c r="L28">
        <f t="shared" si="0"/>
        <v>205.31057732827645</v>
      </c>
      <c r="O28" t="s">
        <v>158</v>
      </c>
      <c r="P28" t="s">
        <v>156</v>
      </c>
      <c r="Q28">
        <v>829</v>
      </c>
      <c r="R28" t="s">
        <v>160</v>
      </c>
      <c r="S28" t="s">
        <v>156</v>
      </c>
      <c r="T28">
        <v>302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92</v>
      </c>
      <c r="B29" t="s">
        <v>155</v>
      </c>
      <c r="C29">
        <v>350</v>
      </c>
      <c r="D29" t="s">
        <v>156</v>
      </c>
      <c r="E29">
        <v>879</v>
      </c>
      <c r="F29">
        <v>8.7900000000000005E-6</v>
      </c>
      <c r="H29" t="s">
        <v>157</v>
      </c>
      <c r="I29" t="s">
        <v>156</v>
      </c>
      <c r="J29">
        <v>175800000</v>
      </c>
      <c r="L29">
        <f t="shared" si="0"/>
        <v>400</v>
      </c>
      <c r="O29" t="s">
        <v>158</v>
      </c>
      <c r="P29" t="s">
        <v>156</v>
      </c>
      <c r="Q29" t="s">
        <v>159</v>
      </c>
      <c r="R29" t="s">
        <v>160</v>
      </c>
      <c r="S29" t="s">
        <v>156</v>
      </c>
      <c r="T29" t="s">
        <v>159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0" spans="1:29">
      <c r="A30" t="s">
        <v>92</v>
      </c>
      <c r="B30" t="s">
        <v>155</v>
      </c>
      <c r="C30">
        <v>400</v>
      </c>
      <c r="D30" t="s">
        <v>156</v>
      </c>
      <c r="E30">
        <v>109</v>
      </c>
      <c r="F30">
        <v>1.0899999999999999E-6</v>
      </c>
      <c r="H30" t="s">
        <v>157</v>
      </c>
      <c r="I30" t="s">
        <v>156</v>
      </c>
      <c r="J30">
        <v>22152200</v>
      </c>
      <c r="L30">
        <f t="shared" si="0"/>
        <v>406.46238532110095</v>
      </c>
      <c r="O30" t="s">
        <v>158</v>
      </c>
      <c r="P30" t="s">
        <v>156</v>
      </c>
      <c r="Q30" t="s">
        <v>159</v>
      </c>
      <c r="R30" t="s">
        <v>160</v>
      </c>
      <c r="S30" t="s">
        <v>156</v>
      </c>
      <c r="T30" t="s">
        <v>159</v>
      </c>
      <c r="U30" t="s">
        <v>161</v>
      </c>
      <c r="V30" t="s">
        <v>156</v>
      </c>
      <c r="W30" t="s">
        <v>159</v>
      </c>
      <c r="X30" t="s">
        <v>162</v>
      </c>
      <c r="Y30" t="s">
        <v>156</v>
      </c>
      <c r="Z30" t="s">
        <v>159</v>
      </c>
      <c r="AA30" t="s">
        <v>163</v>
      </c>
      <c r="AB30" t="s">
        <v>156</v>
      </c>
      <c r="AC30" t="s">
        <v>159</v>
      </c>
    </row>
    <row r="31" spans="1:29">
      <c r="A31" t="s">
        <v>92</v>
      </c>
      <c r="B31" t="s">
        <v>155</v>
      </c>
      <c r="C31">
        <v>450</v>
      </c>
      <c r="D31" t="s">
        <v>156</v>
      </c>
      <c r="E31">
        <v>26</v>
      </c>
      <c r="F31">
        <v>2.6E-7</v>
      </c>
      <c r="H31" t="s">
        <v>157</v>
      </c>
      <c r="I31" t="s">
        <v>156</v>
      </c>
      <c r="J31">
        <v>6500000</v>
      </c>
      <c r="L31">
        <f t="shared" si="0"/>
        <v>500</v>
      </c>
      <c r="O31" t="s">
        <v>158</v>
      </c>
      <c r="P31" t="s">
        <v>156</v>
      </c>
      <c r="Q31" t="s">
        <v>159</v>
      </c>
      <c r="R31" t="s">
        <v>160</v>
      </c>
      <c r="S31" t="s">
        <v>156</v>
      </c>
      <c r="T31" t="s">
        <v>159</v>
      </c>
      <c r="U31" t="s">
        <v>161</v>
      </c>
      <c r="V31" t="s">
        <v>156</v>
      </c>
      <c r="W31" t="s">
        <v>159</v>
      </c>
      <c r="X31" t="s">
        <v>162</v>
      </c>
      <c r="Y31" t="s">
        <v>156</v>
      </c>
      <c r="Z31" t="s">
        <v>159</v>
      </c>
      <c r="AA31" t="s">
        <v>163</v>
      </c>
      <c r="AB31" t="s">
        <v>156</v>
      </c>
      <c r="AC31" t="s">
        <v>159</v>
      </c>
    </row>
    <row r="32" spans="1:29">
      <c r="A32" t="s">
        <v>92</v>
      </c>
      <c r="B32" t="s">
        <v>155</v>
      </c>
      <c r="C32">
        <v>500</v>
      </c>
      <c r="D32" t="s">
        <v>156</v>
      </c>
      <c r="E32">
        <v>3</v>
      </c>
      <c r="F32">
        <v>2.9999999999999997E-8</v>
      </c>
      <c r="H32" t="s">
        <v>157</v>
      </c>
      <c r="I32" t="s">
        <v>156</v>
      </c>
      <c r="J32">
        <v>800500</v>
      </c>
      <c r="L32">
        <f t="shared" si="0"/>
        <v>533.66666666666663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 t="s">
        <v>159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92</v>
      </c>
      <c r="B33" t="s">
        <v>155</v>
      </c>
      <c r="C33">
        <v>950</v>
      </c>
      <c r="D33" t="s">
        <v>156</v>
      </c>
      <c r="E33">
        <v>1</v>
      </c>
      <c r="F33">
        <v>1E-8</v>
      </c>
      <c r="H33" t="s">
        <v>157</v>
      </c>
      <c r="I33" t="s">
        <v>156</v>
      </c>
      <c r="J33">
        <v>500000</v>
      </c>
      <c r="L33">
        <f t="shared" si="0"/>
        <v>1000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 t="s">
        <v>159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92</v>
      </c>
      <c r="B34" t="s">
        <v>155</v>
      </c>
      <c r="C34">
        <v>1000</v>
      </c>
      <c r="D34" t="s">
        <v>156</v>
      </c>
      <c r="E34">
        <v>3</v>
      </c>
      <c r="F34">
        <v>2.9999999999999997E-8</v>
      </c>
      <c r="H34" t="s">
        <v>157</v>
      </c>
      <c r="I34" t="s">
        <v>156</v>
      </c>
      <c r="J34">
        <v>1532500</v>
      </c>
      <c r="L34">
        <f t="shared" si="0"/>
        <v>1021.6666666666665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 t="s">
        <v>159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7" spans="1:29">
      <c r="A37" t="s">
        <v>93</v>
      </c>
      <c r="B37" t="s">
        <v>155</v>
      </c>
      <c r="C37">
        <v>-1</v>
      </c>
      <c r="D37" t="s">
        <v>156</v>
      </c>
      <c r="E37">
        <v>11104762</v>
      </c>
      <c r="F37" cm="1">
        <f t="array" ref="F37:F74">E37:E74/SUM(E37:E74)</f>
        <v>0.11104762</v>
      </c>
    </row>
    <row r="38" spans="1:29">
      <c r="A38" t="s">
        <v>93</v>
      </c>
      <c r="B38" t="s">
        <v>155</v>
      </c>
      <c r="C38">
        <v>0</v>
      </c>
      <c r="D38" t="s">
        <v>156</v>
      </c>
      <c r="E38">
        <v>8152568</v>
      </c>
      <c r="F38">
        <v>8.1525680000000003E-2</v>
      </c>
      <c r="H38" t="s">
        <v>157</v>
      </c>
      <c r="I38" t="s">
        <v>156</v>
      </c>
      <c r="J38">
        <v>3034152100</v>
      </c>
      <c r="L38">
        <f>J38/E38/$L$1/100</f>
        <v>0.74434266601640131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1207023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1</v>
      </c>
      <c r="D39" t="s">
        <v>156</v>
      </c>
      <c r="E39">
        <v>6190220</v>
      </c>
      <c r="F39">
        <v>6.1902199999999998E-2</v>
      </c>
      <c r="H39" t="s">
        <v>157</v>
      </c>
      <c r="I39" t="s">
        <v>156</v>
      </c>
      <c r="J39">
        <v>5640498000</v>
      </c>
      <c r="L39">
        <f t="shared" ref="L39:L74" si="1">J39/E39/$L$1/100</f>
        <v>1.8223901573772823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2718231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2</v>
      </c>
      <c r="D40" t="s">
        <v>156</v>
      </c>
      <c r="E40">
        <v>2705141</v>
      </c>
      <c r="F40">
        <v>2.7051410000000001E-2</v>
      </c>
      <c r="H40" t="s">
        <v>157</v>
      </c>
      <c r="I40" t="s">
        <v>156</v>
      </c>
      <c r="J40">
        <v>3459174400</v>
      </c>
      <c r="L40">
        <f t="shared" si="1"/>
        <v>2.557481772669151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>
        <v>2705141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3</v>
      </c>
      <c r="D41" t="s">
        <v>156</v>
      </c>
      <c r="E41">
        <v>3462460</v>
      </c>
      <c r="F41">
        <v>3.4624599999999998E-2</v>
      </c>
      <c r="H41" t="s">
        <v>157</v>
      </c>
      <c r="I41" t="s">
        <v>156</v>
      </c>
      <c r="J41">
        <v>6612296400</v>
      </c>
      <c r="L41">
        <f t="shared" si="1"/>
        <v>3.8194211052257638</v>
      </c>
      <c r="O41" t="s">
        <v>158</v>
      </c>
      <c r="P41" t="s">
        <v>156</v>
      </c>
      <c r="Q41" t="s">
        <v>159</v>
      </c>
      <c r="R41" t="s">
        <v>160</v>
      </c>
      <c r="S41" t="s">
        <v>156</v>
      </c>
      <c r="T41">
        <v>1376988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4</v>
      </c>
      <c r="D42" t="s">
        <v>156</v>
      </c>
      <c r="E42">
        <v>5710653</v>
      </c>
      <c r="F42">
        <v>5.7106530000000003E-2</v>
      </c>
      <c r="H42" t="s">
        <v>157</v>
      </c>
      <c r="I42" t="s">
        <v>156</v>
      </c>
      <c r="J42">
        <v>13858424600</v>
      </c>
      <c r="L42">
        <f t="shared" si="1"/>
        <v>4.8535341229803315</v>
      </c>
      <c r="O42" t="s">
        <v>158</v>
      </c>
      <c r="P42" t="s">
        <v>156</v>
      </c>
      <c r="Q42">
        <v>695283</v>
      </c>
      <c r="R42" t="s">
        <v>160</v>
      </c>
      <c r="S42" t="s">
        <v>156</v>
      </c>
      <c r="T42">
        <v>502631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5</v>
      </c>
      <c r="D43" t="s">
        <v>156</v>
      </c>
      <c r="E43">
        <v>2077109</v>
      </c>
      <c r="F43">
        <v>2.0771089999999999E-2</v>
      </c>
      <c r="H43" t="s">
        <v>157</v>
      </c>
      <c r="I43" t="s">
        <v>156</v>
      </c>
      <c r="J43">
        <v>6013673800</v>
      </c>
      <c r="L43">
        <f t="shared" si="1"/>
        <v>5.7904267903128819</v>
      </c>
      <c r="O43" t="s">
        <v>158</v>
      </c>
      <c r="P43" t="s">
        <v>156</v>
      </c>
      <c r="Q43">
        <v>867287</v>
      </c>
      <c r="R43" t="s">
        <v>160</v>
      </c>
      <c r="S43" t="s">
        <v>156</v>
      </c>
      <c r="T43">
        <v>166750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6</v>
      </c>
      <c r="D44" t="s">
        <v>156</v>
      </c>
      <c r="E44">
        <v>261459</v>
      </c>
      <c r="F44">
        <v>2.61459E-3</v>
      </c>
      <c r="H44" t="s">
        <v>157</v>
      </c>
      <c r="I44" t="s">
        <v>156</v>
      </c>
      <c r="J44">
        <v>915106500</v>
      </c>
      <c r="L44">
        <f t="shared" si="1"/>
        <v>7</v>
      </c>
      <c r="O44" t="s">
        <v>158</v>
      </c>
      <c r="P44" t="s">
        <v>156</v>
      </c>
      <c r="Q44">
        <v>261459</v>
      </c>
      <c r="R44" t="s">
        <v>160</v>
      </c>
      <c r="S44" t="s">
        <v>156</v>
      </c>
      <c r="T44" t="s">
        <v>159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7</v>
      </c>
      <c r="D45" t="s">
        <v>156</v>
      </c>
      <c r="E45">
        <v>260401</v>
      </c>
      <c r="F45">
        <v>2.6040099999999999E-3</v>
      </c>
      <c r="H45" t="s">
        <v>157</v>
      </c>
      <c r="I45" t="s">
        <v>156</v>
      </c>
      <c r="J45">
        <v>989390800</v>
      </c>
      <c r="L45">
        <f t="shared" si="1"/>
        <v>7.5989784985464723</v>
      </c>
      <c r="O45" t="s">
        <v>158</v>
      </c>
      <c r="P45" t="s">
        <v>156</v>
      </c>
      <c r="Q45">
        <v>260401</v>
      </c>
      <c r="R45" t="s">
        <v>160</v>
      </c>
      <c r="S45" t="s">
        <v>156</v>
      </c>
      <c r="T45" t="s">
        <v>159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9</v>
      </c>
      <c r="D46" t="s">
        <v>156</v>
      </c>
      <c r="E46">
        <v>3141660</v>
      </c>
      <c r="F46">
        <v>3.1416600000000003E-2</v>
      </c>
      <c r="H46" t="s">
        <v>157</v>
      </c>
      <c r="I46" t="s">
        <v>156</v>
      </c>
      <c r="J46">
        <v>15708300000</v>
      </c>
      <c r="L46">
        <f t="shared" si="1"/>
        <v>10</v>
      </c>
      <c r="O46" t="s">
        <v>158</v>
      </c>
      <c r="P46" t="s">
        <v>156</v>
      </c>
      <c r="Q46">
        <v>692973</v>
      </c>
      <c r="R46" t="s">
        <v>160</v>
      </c>
      <c r="S46" t="s">
        <v>156</v>
      </c>
      <c r="T46">
        <v>363646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10</v>
      </c>
      <c r="D47" t="s">
        <v>156</v>
      </c>
      <c r="E47">
        <v>8720145</v>
      </c>
      <c r="F47">
        <v>8.720145E-2</v>
      </c>
      <c r="H47" t="s">
        <v>157</v>
      </c>
      <c r="I47" t="s">
        <v>156</v>
      </c>
      <c r="J47">
        <v>52828833800</v>
      </c>
      <c r="L47">
        <f t="shared" si="1"/>
        <v>12.116503521443738</v>
      </c>
      <c r="O47" t="s">
        <v>158</v>
      </c>
      <c r="P47" t="s">
        <v>156</v>
      </c>
      <c r="Q47">
        <v>2213146</v>
      </c>
      <c r="R47" t="s">
        <v>160</v>
      </c>
      <c r="S47" t="s">
        <v>156</v>
      </c>
      <c r="T47">
        <v>4420158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15</v>
      </c>
      <c r="D48" t="s">
        <v>156</v>
      </c>
      <c r="E48">
        <v>3853947</v>
      </c>
      <c r="F48">
        <v>3.8539469999999999E-2</v>
      </c>
      <c r="H48" t="s">
        <v>157</v>
      </c>
      <c r="I48" t="s">
        <v>156</v>
      </c>
      <c r="J48">
        <v>35351914400</v>
      </c>
      <c r="L48">
        <f t="shared" si="1"/>
        <v>18.345822814896</v>
      </c>
      <c r="O48" t="s">
        <v>158</v>
      </c>
      <c r="P48" t="s">
        <v>156</v>
      </c>
      <c r="Q48">
        <v>2473326</v>
      </c>
      <c r="R48" t="s">
        <v>160</v>
      </c>
      <c r="S48" t="s">
        <v>156</v>
      </c>
      <c r="T48">
        <v>338619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20</v>
      </c>
      <c r="D49" t="s">
        <v>156</v>
      </c>
      <c r="E49">
        <v>8337329</v>
      </c>
      <c r="F49">
        <v>8.3373290000000003E-2</v>
      </c>
      <c r="H49" t="s">
        <v>157</v>
      </c>
      <c r="I49" t="s">
        <v>156</v>
      </c>
      <c r="J49">
        <v>89591736700</v>
      </c>
      <c r="L49">
        <f t="shared" si="1"/>
        <v>21.491711961948486</v>
      </c>
      <c r="O49" t="s">
        <v>158</v>
      </c>
      <c r="P49" t="s">
        <v>156</v>
      </c>
      <c r="Q49">
        <v>1881473</v>
      </c>
      <c r="R49" t="s">
        <v>160</v>
      </c>
      <c r="S49" t="s">
        <v>156</v>
      </c>
      <c r="T49">
        <v>4372797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25</v>
      </c>
      <c r="D50" t="s">
        <v>156</v>
      </c>
      <c r="E50">
        <v>1597375</v>
      </c>
      <c r="F50">
        <v>1.5973749999999998E-2</v>
      </c>
      <c r="H50" t="s">
        <v>157</v>
      </c>
      <c r="I50" t="s">
        <v>156</v>
      </c>
      <c r="J50">
        <v>22801611200</v>
      </c>
      <c r="L50">
        <f t="shared" si="1"/>
        <v>28.54885196024728</v>
      </c>
      <c r="O50" t="s">
        <v>158</v>
      </c>
      <c r="P50" t="s">
        <v>156</v>
      </c>
      <c r="Q50">
        <v>1433299</v>
      </c>
      <c r="R50" t="s">
        <v>160</v>
      </c>
      <c r="S50" t="s">
        <v>156</v>
      </c>
      <c r="T50">
        <v>164076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30</v>
      </c>
      <c r="D51" t="s">
        <v>156</v>
      </c>
      <c r="E51">
        <v>3311786</v>
      </c>
      <c r="F51">
        <v>3.3117859999999999E-2</v>
      </c>
      <c r="H51" t="s">
        <v>157</v>
      </c>
      <c r="I51" t="s">
        <v>156</v>
      </c>
      <c r="J51">
        <v>51840678800</v>
      </c>
      <c r="L51">
        <f t="shared" si="1"/>
        <v>31.306780570966843</v>
      </c>
      <c r="O51" t="s">
        <v>158</v>
      </c>
      <c r="P51" t="s">
        <v>156</v>
      </c>
      <c r="Q51">
        <v>2014257</v>
      </c>
      <c r="R51" t="s">
        <v>160</v>
      </c>
      <c r="S51" t="s">
        <v>156</v>
      </c>
      <c r="T51">
        <v>1297529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35</v>
      </c>
      <c r="D52" t="s">
        <v>156</v>
      </c>
      <c r="E52">
        <v>1376632</v>
      </c>
      <c r="F52">
        <v>1.376632E-2</v>
      </c>
      <c r="H52" t="s">
        <v>157</v>
      </c>
      <c r="I52" t="s">
        <v>156</v>
      </c>
      <c r="J52">
        <v>26967412100</v>
      </c>
      <c r="L52">
        <f t="shared" si="1"/>
        <v>39.178824987360457</v>
      </c>
      <c r="O52" t="s">
        <v>158</v>
      </c>
      <c r="P52" t="s">
        <v>156</v>
      </c>
      <c r="Q52">
        <v>519642</v>
      </c>
      <c r="R52" t="s">
        <v>160</v>
      </c>
      <c r="S52" t="s">
        <v>156</v>
      </c>
      <c r="T52">
        <v>46489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40</v>
      </c>
      <c r="D53" t="s">
        <v>156</v>
      </c>
      <c r="E53">
        <v>2862632</v>
      </c>
      <c r="F53">
        <v>2.862632E-2</v>
      </c>
      <c r="H53" t="s">
        <v>157</v>
      </c>
      <c r="I53" t="s">
        <v>156</v>
      </c>
      <c r="J53">
        <v>59244063000</v>
      </c>
      <c r="L53">
        <f t="shared" si="1"/>
        <v>41.391323090079339</v>
      </c>
      <c r="O53" t="s">
        <v>158</v>
      </c>
      <c r="P53" t="s">
        <v>156</v>
      </c>
      <c r="Q53">
        <v>549554</v>
      </c>
      <c r="R53" t="s">
        <v>160</v>
      </c>
      <c r="S53" t="s">
        <v>156</v>
      </c>
      <c r="T53">
        <v>461289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45</v>
      </c>
      <c r="D54" t="s">
        <v>156</v>
      </c>
      <c r="E54">
        <v>2008568</v>
      </c>
      <c r="F54">
        <v>2.0085680000000002E-2</v>
      </c>
      <c r="H54" t="s">
        <v>157</v>
      </c>
      <c r="I54" t="s">
        <v>156</v>
      </c>
      <c r="J54">
        <v>49914982400</v>
      </c>
      <c r="L54">
        <f t="shared" si="1"/>
        <v>49.702058780185681</v>
      </c>
      <c r="O54" t="s">
        <v>158</v>
      </c>
      <c r="P54" t="s">
        <v>156</v>
      </c>
      <c r="Q54">
        <v>838848</v>
      </c>
      <c r="R54" t="s">
        <v>160</v>
      </c>
      <c r="S54" t="s">
        <v>156</v>
      </c>
      <c r="T54">
        <v>11726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50</v>
      </c>
      <c r="D55" t="s">
        <v>156</v>
      </c>
      <c r="E55">
        <v>4096979</v>
      </c>
      <c r="F55">
        <v>4.0969789999999999E-2</v>
      </c>
      <c r="H55" t="s">
        <v>157</v>
      </c>
      <c r="I55" t="s">
        <v>156</v>
      </c>
      <c r="J55">
        <v>107883072800</v>
      </c>
      <c r="L55">
        <f t="shared" si="1"/>
        <v>52.664694058719853</v>
      </c>
      <c r="O55" t="s">
        <v>158</v>
      </c>
      <c r="P55" t="s">
        <v>156</v>
      </c>
      <c r="Q55">
        <v>1809085</v>
      </c>
      <c r="R55" t="s">
        <v>160</v>
      </c>
      <c r="S55" t="s">
        <v>156</v>
      </c>
      <c r="T55">
        <v>89898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60</v>
      </c>
      <c r="D56" t="s">
        <v>156</v>
      </c>
      <c r="E56">
        <v>627683</v>
      </c>
      <c r="F56">
        <v>6.2768299999999997E-3</v>
      </c>
      <c r="H56" t="s">
        <v>157</v>
      </c>
      <c r="I56" t="s">
        <v>156</v>
      </c>
      <c r="J56">
        <v>19568201400</v>
      </c>
      <c r="L56">
        <f t="shared" si="1"/>
        <v>62.350585884913244</v>
      </c>
      <c r="O56" t="s">
        <v>158</v>
      </c>
      <c r="P56" t="s">
        <v>156</v>
      </c>
      <c r="Q56">
        <v>390238</v>
      </c>
      <c r="R56" t="s">
        <v>160</v>
      </c>
      <c r="S56" t="s">
        <v>156</v>
      </c>
      <c r="T56">
        <v>5354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70</v>
      </c>
      <c r="D57" t="s">
        <v>156</v>
      </c>
      <c r="E57">
        <v>260421</v>
      </c>
      <c r="F57">
        <v>2.60421E-3</v>
      </c>
      <c r="H57" t="s">
        <v>157</v>
      </c>
      <c r="I57" t="s">
        <v>156</v>
      </c>
      <c r="J57">
        <v>9299327300</v>
      </c>
      <c r="L57">
        <f t="shared" si="1"/>
        <v>71.417645274382636</v>
      </c>
      <c r="O57" t="s">
        <v>158</v>
      </c>
      <c r="P57" t="s">
        <v>156</v>
      </c>
      <c r="Q57">
        <v>260421</v>
      </c>
      <c r="R57" t="s">
        <v>160</v>
      </c>
      <c r="S57" t="s">
        <v>156</v>
      </c>
      <c r="T57" t="s">
        <v>159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80</v>
      </c>
      <c r="D58" t="s">
        <v>156</v>
      </c>
      <c r="E58">
        <v>28712</v>
      </c>
      <c r="F58">
        <v>2.8711999999999998E-4</v>
      </c>
      <c r="H58" t="s">
        <v>157</v>
      </c>
      <c r="I58" t="s">
        <v>156</v>
      </c>
      <c r="J58">
        <v>1157091200</v>
      </c>
      <c r="L58">
        <f t="shared" si="1"/>
        <v>80.599832822513221</v>
      </c>
      <c r="O58" t="s">
        <v>158</v>
      </c>
      <c r="P58" t="s">
        <v>156</v>
      </c>
      <c r="Q58">
        <v>28712</v>
      </c>
      <c r="R58" t="s">
        <v>160</v>
      </c>
      <c r="S58" t="s">
        <v>156</v>
      </c>
      <c r="T58" t="s">
        <v>159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90</v>
      </c>
      <c r="D59" t="s">
        <v>156</v>
      </c>
      <c r="E59">
        <v>1543406</v>
      </c>
      <c r="F59">
        <v>1.5434059999999999E-2</v>
      </c>
      <c r="H59" t="s">
        <v>157</v>
      </c>
      <c r="I59" t="s">
        <v>156</v>
      </c>
      <c r="J59">
        <v>77170300000</v>
      </c>
      <c r="L59">
        <f t="shared" si="1"/>
        <v>100</v>
      </c>
      <c r="O59" t="s">
        <v>158</v>
      </c>
      <c r="P59" t="s">
        <v>156</v>
      </c>
      <c r="Q59">
        <v>693787</v>
      </c>
      <c r="R59" t="s">
        <v>160</v>
      </c>
      <c r="S59" t="s">
        <v>156</v>
      </c>
      <c r="T59">
        <v>40072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100</v>
      </c>
      <c r="D60" t="s">
        <v>156</v>
      </c>
      <c r="E60">
        <v>5978076</v>
      </c>
      <c r="F60">
        <v>5.9780760000000002E-2</v>
      </c>
      <c r="H60" t="s">
        <v>157</v>
      </c>
      <c r="I60" t="s">
        <v>156</v>
      </c>
      <c r="J60">
        <v>315202359100</v>
      </c>
      <c r="L60">
        <f t="shared" si="1"/>
        <v>105.45277748225348</v>
      </c>
      <c r="O60" t="s">
        <v>158</v>
      </c>
      <c r="P60" t="s">
        <v>156</v>
      </c>
      <c r="Q60">
        <v>2212445</v>
      </c>
      <c r="R60" t="s">
        <v>160</v>
      </c>
      <c r="S60" t="s">
        <v>156</v>
      </c>
      <c r="T60">
        <v>1799138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120</v>
      </c>
      <c r="D61" t="s">
        <v>156</v>
      </c>
      <c r="E61">
        <v>992810</v>
      </c>
      <c r="F61">
        <v>9.9281000000000005E-3</v>
      </c>
      <c r="H61" t="s">
        <v>157</v>
      </c>
      <c r="I61" t="s">
        <v>156</v>
      </c>
      <c r="J61">
        <v>61918083000</v>
      </c>
      <c r="L61">
        <f t="shared" si="1"/>
        <v>124.73299624298708</v>
      </c>
      <c r="O61" t="s">
        <v>158</v>
      </c>
      <c r="P61" t="s">
        <v>156</v>
      </c>
      <c r="Q61">
        <v>579658</v>
      </c>
      <c r="R61" t="s">
        <v>160</v>
      </c>
      <c r="S61" t="s">
        <v>156</v>
      </c>
      <c r="T61">
        <v>413152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140</v>
      </c>
      <c r="D62" t="s">
        <v>156</v>
      </c>
      <c r="E62">
        <v>488819</v>
      </c>
      <c r="F62">
        <v>4.8881899999999997E-3</v>
      </c>
      <c r="H62" t="s">
        <v>157</v>
      </c>
      <c r="I62" t="s">
        <v>156</v>
      </c>
      <c r="J62">
        <v>36952659100</v>
      </c>
      <c r="L62">
        <f t="shared" si="1"/>
        <v>151.19158256941731</v>
      </c>
      <c r="O62" t="s">
        <v>158</v>
      </c>
      <c r="P62" t="s">
        <v>156</v>
      </c>
      <c r="Q62">
        <v>130346</v>
      </c>
      <c r="R62" t="s">
        <v>160</v>
      </c>
      <c r="S62" t="s">
        <v>156</v>
      </c>
      <c r="T62">
        <v>11183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160</v>
      </c>
      <c r="D63" t="s">
        <v>156</v>
      </c>
      <c r="E63">
        <v>28952</v>
      </c>
      <c r="F63">
        <v>2.8951999999999998E-4</v>
      </c>
      <c r="H63" t="s">
        <v>157</v>
      </c>
      <c r="I63" t="s">
        <v>156</v>
      </c>
      <c r="J63">
        <v>2324788800</v>
      </c>
      <c r="L63">
        <f t="shared" si="1"/>
        <v>160.59607626416138</v>
      </c>
      <c r="O63" t="s">
        <v>158</v>
      </c>
      <c r="P63" t="s">
        <v>156</v>
      </c>
      <c r="Q63">
        <v>28952</v>
      </c>
      <c r="R63" t="s">
        <v>160</v>
      </c>
      <c r="S63" t="s">
        <v>156</v>
      </c>
      <c r="T63" t="s">
        <v>159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180</v>
      </c>
      <c r="D64" t="s">
        <v>156</v>
      </c>
      <c r="E64">
        <v>864563</v>
      </c>
      <c r="F64">
        <v>8.6456299999999996E-3</v>
      </c>
      <c r="H64" t="s">
        <v>157</v>
      </c>
      <c r="I64" t="s">
        <v>156</v>
      </c>
      <c r="J64">
        <v>86456300000</v>
      </c>
      <c r="L64">
        <f t="shared" si="1"/>
        <v>200</v>
      </c>
      <c r="O64" t="s">
        <v>158</v>
      </c>
      <c r="P64" t="s">
        <v>156</v>
      </c>
      <c r="Q64">
        <v>707979</v>
      </c>
      <c r="R64" t="s">
        <v>160</v>
      </c>
      <c r="S64" t="s">
        <v>156</v>
      </c>
      <c r="T64">
        <v>40737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200</v>
      </c>
      <c r="D65" t="s">
        <v>156</v>
      </c>
      <c r="E65">
        <v>6152911</v>
      </c>
      <c r="F65">
        <v>6.1529109999999998E-2</v>
      </c>
      <c r="H65" t="s">
        <v>157</v>
      </c>
      <c r="I65" t="s">
        <v>156</v>
      </c>
      <c r="J65">
        <v>645624372100</v>
      </c>
      <c r="L65">
        <f t="shared" si="1"/>
        <v>209.85981175414366</v>
      </c>
      <c r="O65" t="s">
        <v>158</v>
      </c>
      <c r="P65" t="s">
        <v>156</v>
      </c>
      <c r="Q65">
        <v>2949563</v>
      </c>
      <c r="R65" t="s">
        <v>160</v>
      </c>
      <c r="S65" t="s">
        <v>156</v>
      </c>
      <c r="T65">
        <v>2276640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250</v>
      </c>
      <c r="D66" t="s">
        <v>156</v>
      </c>
      <c r="E66">
        <v>146095</v>
      </c>
      <c r="F66">
        <v>1.4609499999999999E-3</v>
      </c>
      <c r="H66" t="s">
        <v>157</v>
      </c>
      <c r="I66" t="s">
        <v>156</v>
      </c>
      <c r="J66">
        <v>19305869700</v>
      </c>
      <c r="L66">
        <f t="shared" si="1"/>
        <v>264.29199767274719</v>
      </c>
      <c r="O66" t="s">
        <v>158</v>
      </c>
      <c r="P66" t="s">
        <v>156</v>
      </c>
      <c r="Q66">
        <v>144749</v>
      </c>
      <c r="R66" t="s">
        <v>160</v>
      </c>
      <c r="S66" t="s">
        <v>156</v>
      </c>
      <c r="T66">
        <v>1346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300</v>
      </c>
      <c r="D67" t="s">
        <v>156</v>
      </c>
      <c r="E67">
        <v>342170</v>
      </c>
      <c r="F67">
        <v>3.4217000000000002E-3</v>
      </c>
      <c r="H67" t="s">
        <v>157</v>
      </c>
      <c r="I67" t="s">
        <v>156</v>
      </c>
      <c r="J67">
        <v>52391721400</v>
      </c>
      <c r="L67">
        <f t="shared" si="1"/>
        <v>306.2321150305404</v>
      </c>
      <c r="O67" t="s">
        <v>158</v>
      </c>
      <c r="P67" t="s">
        <v>156</v>
      </c>
      <c r="Q67">
        <v>231637</v>
      </c>
      <c r="R67" t="s">
        <v>160</v>
      </c>
      <c r="S67" t="s">
        <v>156</v>
      </c>
      <c r="T67">
        <v>110533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350</v>
      </c>
      <c r="D68" t="s">
        <v>156</v>
      </c>
      <c r="E68">
        <v>131062</v>
      </c>
      <c r="F68">
        <v>1.31062E-3</v>
      </c>
      <c r="H68" t="s">
        <v>157</v>
      </c>
      <c r="I68" t="s">
        <v>156</v>
      </c>
      <c r="J68">
        <v>26212400000</v>
      </c>
      <c r="L68">
        <f t="shared" si="1"/>
        <v>400</v>
      </c>
      <c r="O68" t="s">
        <v>158</v>
      </c>
      <c r="P68" t="s">
        <v>156</v>
      </c>
      <c r="Q68">
        <v>14410</v>
      </c>
      <c r="R68" t="s">
        <v>160</v>
      </c>
      <c r="S68" t="s">
        <v>156</v>
      </c>
      <c r="T68">
        <v>695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  <row r="69" spans="1:29">
      <c r="A69" t="s">
        <v>93</v>
      </c>
      <c r="B69" t="s">
        <v>155</v>
      </c>
      <c r="C69">
        <v>400</v>
      </c>
      <c r="D69" t="s">
        <v>156</v>
      </c>
      <c r="E69">
        <v>1096680</v>
      </c>
      <c r="F69">
        <v>1.0966800000000001E-2</v>
      </c>
      <c r="H69" t="s">
        <v>157</v>
      </c>
      <c r="I69" t="s">
        <v>156</v>
      </c>
      <c r="J69">
        <v>224451178900</v>
      </c>
      <c r="L69">
        <f t="shared" si="1"/>
        <v>409.32848032242771</v>
      </c>
      <c r="O69" t="s">
        <v>158</v>
      </c>
      <c r="P69" t="s">
        <v>156</v>
      </c>
      <c r="Q69">
        <v>115874</v>
      </c>
      <c r="R69" t="s">
        <v>160</v>
      </c>
      <c r="S69" t="s">
        <v>156</v>
      </c>
      <c r="T69">
        <v>55107</v>
      </c>
      <c r="U69" t="s">
        <v>161</v>
      </c>
      <c r="V69" t="s">
        <v>156</v>
      </c>
      <c r="W69" t="s">
        <v>159</v>
      </c>
      <c r="X69" t="s">
        <v>162</v>
      </c>
      <c r="Y69" t="s">
        <v>156</v>
      </c>
      <c r="Z69" t="s">
        <v>159</v>
      </c>
      <c r="AA69" t="s">
        <v>163</v>
      </c>
      <c r="AB69" t="s">
        <v>156</v>
      </c>
      <c r="AC69" t="s">
        <v>159</v>
      </c>
    </row>
    <row r="70" spans="1:29">
      <c r="A70" t="s">
        <v>93</v>
      </c>
      <c r="B70" t="s">
        <v>155</v>
      </c>
      <c r="C70">
        <v>450</v>
      </c>
      <c r="D70" t="s">
        <v>156</v>
      </c>
      <c r="E70">
        <v>115752</v>
      </c>
      <c r="F70">
        <v>1.15752E-3</v>
      </c>
      <c r="H70" t="s">
        <v>157</v>
      </c>
      <c r="I70" t="s">
        <v>156</v>
      </c>
      <c r="J70">
        <v>28938000000</v>
      </c>
      <c r="L70">
        <f t="shared" si="1"/>
        <v>500</v>
      </c>
      <c r="O70" t="s">
        <v>158</v>
      </c>
      <c r="P70" t="s">
        <v>156</v>
      </c>
      <c r="Q70" t="s">
        <v>159</v>
      </c>
      <c r="R70" t="s">
        <v>160</v>
      </c>
      <c r="S70" t="s">
        <v>156</v>
      </c>
      <c r="T70" t="s">
        <v>159</v>
      </c>
      <c r="U70" t="s">
        <v>161</v>
      </c>
      <c r="V70" t="s">
        <v>156</v>
      </c>
      <c r="W70" t="s">
        <v>159</v>
      </c>
      <c r="X70" t="s">
        <v>162</v>
      </c>
      <c r="Y70" t="s">
        <v>156</v>
      </c>
      <c r="Z70" t="s">
        <v>159</v>
      </c>
      <c r="AA70" t="s">
        <v>163</v>
      </c>
      <c r="AB70" t="s">
        <v>156</v>
      </c>
      <c r="AC70" t="s">
        <v>159</v>
      </c>
    </row>
    <row r="71" spans="1:29">
      <c r="A71" t="s">
        <v>93</v>
      </c>
      <c r="B71" t="s">
        <v>155</v>
      </c>
      <c r="C71">
        <v>500</v>
      </c>
      <c r="D71" t="s">
        <v>156</v>
      </c>
      <c r="E71">
        <v>695749</v>
      </c>
      <c r="F71">
        <v>6.9574900000000002E-3</v>
      </c>
      <c r="H71" t="s">
        <v>157</v>
      </c>
      <c r="I71" t="s">
        <v>156</v>
      </c>
      <c r="J71">
        <v>179266203500</v>
      </c>
      <c r="L71">
        <f t="shared" si="1"/>
        <v>515.31860915358845</v>
      </c>
      <c r="O71" t="s">
        <v>158</v>
      </c>
      <c r="P71" t="s">
        <v>156</v>
      </c>
      <c r="Q71" t="s">
        <v>159</v>
      </c>
      <c r="R71" t="s">
        <v>160</v>
      </c>
      <c r="S71" t="s">
        <v>156</v>
      </c>
      <c r="T71" t="s">
        <v>159</v>
      </c>
      <c r="U71" t="s">
        <v>161</v>
      </c>
      <c r="V71" t="s">
        <v>156</v>
      </c>
      <c r="W71" t="s">
        <v>159</v>
      </c>
      <c r="X71" t="s">
        <v>162</v>
      </c>
      <c r="Y71" t="s">
        <v>156</v>
      </c>
      <c r="Z71" t="s">
        <v>159</v>
      </c>
      <c r="AA71" t="s">
        <v>163</v>
      </c>
      <c r="AB71" t="s">
        <v>156</v>
      </c>
      <c r="AC71" t="s">
        <v>159</v>
      </c>
    </row>
    <row r="72" spans="1:29">
      <c r="A72" t="s">
        <v>93</v>
      </c>
      <c r="B72" t="s">
        <v>155</v>
      </c>
      <c r="C72">
        <v>550</v>
      </c>
      <c r="D72" t="s">
        <v>156</v>
      </c>
      <c r="E72">
        <v>231767</v>
      </c>
      <c r="F72">
        <v>2.31767E-3</v>
      </c>
      <c r="H72" t="s">
        <v>157</v>
      </c>
      <c r="I72" t="s">
        <v>156</v>
      </c>
      <c r="J72">
        <v>64083626500</v>
      </c>
      <c r="L72">
        <f t="shared" si="1"/>
        <v>553.00044009716657</v>
      </c>
      <c r="O72" t="s">
        <v>158</v>
      </c>
      <c r="P72" t="s">
        <v>156</v>
      </c>
      <c r="Q72" t="s">
        <v>159</v>
      </c>
      <c r="R72" t="s">
        <v>160</v>
      </c>
      <c r="S72" t="s">
        <v>156</v>
      </c>
      <c r="T72" t="s">
        <v>159</v>
      </c>
      <c r="U72" t="s">
        <v>161</v>
      </c>
      <c r="V72" t="s">
        <v>156</v>
      </c>
      <c r="W72" t="s">
        <v>159</v>
      </c>
      <c r="X72" t="s">
        <v>162</v>
      </c>
      <c r="Y72" t="s">
        <v>156</v>
      </c>
      <c r="Z72" t="s">
        <v>159</v>
      </c>
      <c r="AA72" t="s">
        <v>163</v>
      </c>
      <c r="AB72" t="s">
        <v>156</v>
      </c>
      <c r="AC72" t="s">
        <v>159</v>
      </c>
    </row>
    <row r="73" spans="1:29">
      <c r="A73" t="s">
        <v>93</v>
      </c>
      <c r="B73" t="s">
        <v>155</v>
      </c>
      <c r="C73">
        <v>950</v>
      </c>
      <c r="D73" t="s">
        <v>156</v>
      </c>
      <c r="E73">
        <v>115980</v>
      </c>
      <c r="F73">
        <v>1.1597999999999999E-3</v>
      </c>
      <c r="H73" t="s">
        <v>157</v>
      </c>
      <c r="I73" t="s">
        <v>156</v>
      </c>
      <c r="J73">
        <v>57990000000</v>
      </c>
      <c r="L73">
        <f t="shared" si="1"/>
        <v>1000</v>
      </c>
      <c r="O73" t="s">
        <v>158</v>
      </c>
      <c r="P73" t="s">
        <v>156</v>
      </c>
      <c r="Q73" t="s">
        <v>159</v>
      </c>
      <c r="R73" t="s">
        <v>160</v>
      </c>
      <c r="S73" t="s">
        <v>156</v>
      </c>
      <c r="T73" t="s">
        <v>159</v>
      </c>
      <c r="U73" t="s">
        <v>161</v>
      </c>
      <c r="V73" t="s">
        <v>156</v>
      </c>
      <c r="W73" t="s">
        <v>159</v>
      </c>
      <c r="X73" t="s">
        <v>162</v>
      </c>
      <c r="Y73" t="s">
        <v>156</v>
      </c>
      <c r="Z73" t="s">
        <v>159</v>
      </c>
      <c r="AA73" t="s">
        <v>163</v>
      </c>
      <c r="AB73" t="s">
        <v>156</v>
      </c>
      <c r="AC73" t="s">
        <v>159</v>
      </c>
    </row>
    <row r="74" spans="1:29">
      <c r="A74" t="s">
        <v>93</v>
      </c>
      <c r="B74" t="s">
        <v>155</v>
      </c>
      <c r="C74">
        <v>1000</v>
      </c>
      <c r="D74" t="s">
        <v>156</v>
      </c>
      <c r="E74">
        <v>926566</v>
      </c>
      <c r="F74">
        <v>9.2656600000000002E-3</v>
      </c>
      <c r="H74" t="s">
        <v>157</v>
      </c>
      <c r="I74" t="s">
        <v>156</v>
      </c>
      <c r="J74">
        <v>474741788500</v>
      </c>
      <c r="L74">
        <f t="shared" si="1"/>
        <v>1024.7338851198942</v>
      </c>
      <c r="O74" t="s">
        <v>158</v>
      </c>
      <c r="P74" t="s">
        <v>156</v>
      </c>
      <c r="Q74" t="s">
        <v>159</v>
      </c>
      <c r="R74" t="s">
        <v>160</v>
      </c>
      <c r="S74" t="s">
        <v>156</v>
      </c>
      <c r="T74" t="s">
        <v>159</v>
      </c>
      <c r="U74" t="s">
        <v>161</v>
      </c>
      <c r="V74" t="s">
        <v>156</v>
      </c>
      <c r="W74" t="s">
        <v>159</v>
      </c>
      <c r="X74" t="s">
        <v>162</v>
      </c>
      <c r="Y74" t="s">
        <v>156</v>
      </c>
      <c r="Z74" t="s">
        <v>159</v>
      </c>
      <c r="AA74" t="s">
        <v>163</v>
      </c>
      <c r="AB74" t="s">
        <v>156</v>
      </c>
      <c r="AC74" t="s">
        <v>159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396-0598-4924-8F3C-331AB2E86E3B}">
  <dimension ref="B1:AF54"/>
  <sheetViews>
    <sheetView workbookViewId="0">
      <selection activeCell="X5" sqref="X5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1.3796051760063059</v>
      </c>
      <c r="V1" s="178">
        <f>SUM(V3:V54)</f>
        <v>0.91999348555405758</v>
      </c>
      <c r="AB1" s="272">
        <f>SUM(AB3:AB54)</f>
        <v>1.3873062717751767</v>
      </c>
      <c r="AF1" s="273">
        <f>SUM(AF3:AF54)</f>
        <v>0.92492161988297639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Sim_Mul_Bet10!$F$2:$F$100,
      (Sim_Mul_Bet10!$A$2:$A$100=C$2) * (Sim_Mul_Bet10!$C$2:$C$100=$B3),0
   ),
   0
)</f>
        <v>0.86992913999999999</v>
      </c>
      <c r="D3" s="166" cm="1">
        <f t="array" ref="D3">_xlfn.IFNA(
   _xlfn._xlws.FILTER(
      Sim_Mul_Bet10!$F$2:$F$100,
      (Sim_Mul_Bet10!$A$2:$A$100=D$2) * (Sim_Mul_Bet10!$C$2:$C$100=$B3),0
   ),
   0
)</f>
        <v>0.13335366000000001</v>
      </c>
      <c r="E3" s="156" cm="1">
        <f t="array" ref="E3">_xlfn.IFNA(
   _xlfn._xlws.FILTER(
      Sim_Mul_Bet10!$F$2:$F$100,
      (Sim_Mul_Bet10!$A$2:$A$100=E$2) * (Sim_Mul_Bet10!$C$2:$C$100=$B3),0
   ),
   0
)</f>
        <v>0</v>
      </c>
      <c r="F3" s="167" cm="1">
        <f t="array" ref="F3">_xlfn.IFNA(
   _xlfn._xlws.FILTER(
      Sim_Mul_Bet10!$L$2:$L$100,
      (Sim_Mul_Bet10!$A$2:$A$100=F$2) * (Sim_Mul_Bet10!$C$2:$C$100=$B3),0
   ),
   0
)</f>
        <v>0</v>
      </c>
      <c r="G3" s="167" cm="1">
        <f t="array" ref="G3">_xlfn.IFNA(
   _xlfn._xlws.FILTER(
      Sim_Mul_Bet10!$L$2:$L$100,
      (Sim_Mul_Bet10!$A$2:$A$100=G$2) * (Sim_Mul_Bet10!$C$2:$C$100=$B3),0
   ),
   0
)</f>
        <v>0</v>
      </c>
      <c r="H3" s="159" cm="1">
        <f t="array" ref="H3">_xlfn.IFNA(
   _xlfn._xlws.FILTER(
      Sim_Mul_Bet10!$L$2:$L$100,
      (Sim_Mul_Bet10!$A$2:$A$100=H$2) * (Sim_Mul_Bet10!$C$2:$C$100=$B3),0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0.86992913999999999</v>
      </c>
      <c r="N3" s="171">
        <f>HLOOKUP(L3,$F$2:$H$54,J3+2,FALSE)</f>
        <v>0</v>
      </c>
      <c r="O3" s="172">
        <f>1-SUM(O4:O53)</f>
        <v>0.80852958813122933</v>
      </c>
      <c r="P3" s="172">
        <f>1-SUM(P4:P53)</f>
        <v>0.87235305875415281</v>
      </c>
      <c r="Q3" s="172">
        <f>1-SUM(Q4:Q54)</f>
        <v>0.87097836325018152</v>
      </c>
      <c r="R3" s="173">
        <f t="shared" ref="R3:R54" si="0">N3*O3</f>
        <v>0</v>
      </c>
      <c r="T3" s="174">
        <f>1000000-SUM(T4:T54)</f>
        <v>808528</v>
      </c>
      <c r="U3" s="175" cm="1">
        <f t="array" ref="U3:U54">T3:T54/SUM($T$3:$T$54)</f>
        <v>0.80852800000000002</v>
      </c>
      <c r="V3" s="178">
        <f>U3*N3/1.5</f>
        <v>0</v>
      </c>
      <c r="Y3" s="172">
        <f>1-SUM(Y4:Y53)</f>
        <v>0.88215850000000007</v>
      </c>
      <c r="Z3" s="172">
        <f>1-SUM(Z4:Z53)</f>
        <v>0.92143900000000001</v>
      </c>
      <c r="AA3" s="172">
        <f>1-SUM(AA4:AA54)</f>
        <v>0.87097836325018152</v>
      </c>
      <c r="AB3" s="276">
        <f>N3*Y3</f>
        <v>0</v>
      </c>
      <c r="AD3" s="174">
        <f>1000000-SUM(AD4:AD54)</f>
        <v>882158</v>
      </c>
      <c r="AE3" s="175" cm="1">
        <f t="array" ref="AE3:AE54">AD3:AD54/SUM($T$3:$T$54)</f>
        <v>0.882158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Sim_Mul_Bet10!$F$2:$F$100,
      (Sim_Mul_Bet10!$A$2:$A$100=C$2) * (Sim_Mul_Bet10!$C$2:$C$100=$B4),0
   ),
   0
)</f>
        <v>2.5889539999999999E-2</v>
      </c>
      <c r="D4" s="181" cm="1">
        <f t="array" ref="D4">_xlfn.IFNA(
   _xlfn._xlws.FILTER(
      Sim_Mul_Bet10!$F$2:$F$100,
      (Sim_Mul_Bet10!$A$2:$A$100=D$2) * (Sim_Mul_Bet10!$C$2:$C$100=$B4),0
   ),
   0
)</f>
        <v>0.12459311000000001</v>
      </c>
      <c r="E4" s="182" cm="1">
        <f t="array" ref="E4">_xlfn.IFNA(
   _xlfn._xlws.FILTER(
      Sim_Mul_Bet10!$F$2:$F$100,
      (Sim_Mul_Bet10!$A$2:$A$100=E$2) * (Sim_Mul_Bet10!$C$2:$C$100=$B4),0
   ),
   0
)</f>
        <v>0</v>
      </c>
      <c r="F4" s="183" cm="1">
        <f t="array" ref="F4">_xlfn.IFNA(
   _xlfn._xlws.FILTER(
      Sim_Mul_Bet10!$L$2:$L$100,
      (Sim_Mul_Bet10!$A$2:$A$100=F$2) * (Sim_Mul_Bet10!$C$2:$C$100=$B4),0
   ),
   0
)</f>
        <v>1</v>
      </c>
      <c r="G4" s="184" cm="1">
        <f t="array" ref="G4">_xlfn.IFNA(
   _xlfn._xlws.FILTER(
      Sim_Mul_Bet10!$L$2:$L$100,
      (Sim_Mul_Bet10!$A$2:$A$100=G$2) * (Sim_Mul_Bet10!$C$2:$C$100=$B4),0
   ),
   0
)</f>
        <v>0.71022969889747523</v>
      </c>
      <c r="H4" s="185" cm="1">
        <f t="array" ref="H4">_xlfn.IFNA(
   _xlfn._xlws.FILTER(
      Sim_Mul_Bet10!$L$2:$L$100,
      (Sim_Mul_Bet10!$A$2:$A$100=H$2) * (Sim_Mul_Bet10!$C$2:$C$100=$B4),0
   ),
   0
)</f>
        <v>0</v>
      </c>
      <c r="J4">
        <v>1</v>
      </c>
      <c r="K4" s="186">
        <v>0</v>
      </c>
      <c r="L4" s="187" t="s">
        <v>93</v>
      </c>
      <c r="M4" s="215">
        <f t="shared" ref="M4:M54" si="1">HLOOKUP(L4,$C$2:$E$54,J4+2,FALSE)</f>
        <v>0.12459311000000001</v>
      </c>
      <c r="N4" s="189">
        <f>HLOOKUP(L4,$F$2:$H$54,J4+2,FALSE)</f>
        <v>0.71022969889747523</v>
      </c>
      <c r="O4" s="190">
        <f>P4*1.5</f>
        <v>3.706005230388075E-2</v>
      </c>
      <c r="P4" s="190">
        <v>2.47067015359205E-2</v>
      </c>
      <c r="Q4" s="190">
        <v>2.47067015359205E-2</v>
      </c>
      <c r="R4" s="191">
        <f t="shared" si="0"/>
        <v>2.6321149788909908E-2</v>
      </c>
      <c r="T4" s="192">
        <f t="shared" ref="T4:T54" si="2">ROUND(O4*1000000,0)</f>
        <v>37060</v>
      </c>
      <c r="U4">
        <v>3.7060000000000003E-2</v>
      </c>
      <c r="V4" s="218">
        <f t="shared" ref="V4:V54" si="3">U4*N4/1.5</f>
        <v>1.7547408427426955E-2</v>
      </c>
      <c r="W4" s="194"/>
      <c r="Y4" s="190">
        <f>Z4*1.5</f>
        <v>1.4999999999999999E-2</v>
      </c>
      <c r="Z4" s="190">
        <v>0.01</v>
      </c>
      <c r="AA4" s="190">
        <v>2.47067015359205E-2</v>
      </c>
      <c r="AB4" s="276">
        <f t="shared" ref="AB4:AB54" si="4">N4*Y4</f>
        <v>1.0653445483462127E-2</v>
      </c>
      <c r="AD4" s="192">
        <f t="shared" ref="AD4:AD54" si="5">ROUND(Y4*1000000,0)</f>
        <v>15000</v>
      </c>
      <c r="AE4">
        <v>1.4999999999999999E-2</v>
      </c>
      <c r="AF4" s="278">
        <f>AE4*N4/1.5</f>
        <v>7.1022969889747512E-3</v>
      </c>
    </row>
    <row r="5" spans="2:32">
      <c r="B5" s="179">
        <v>1</v>
      </c>
      <c r="C5" s="180" cm="1">
        <f t="array" ref="C5">_xlfn.IFNA(
   _xlfn._xlws.FILTER(
      Sim_Mul_Bet10!$F$2:$F$100,
      (Sim_Mul_Bet10!$A$2:$A$100=C$2) * (Sim_Mul_Bet10!$C$2:$C$100=$B5),0
   ),
   0
)</f>
        <v>7.7031299999999999E-3</v>
      </c>
      <c r="D5" s="181" cm="1">
        <f t="array" ref="D5">_xlfn.IFNA(
   _xlfn._xlws.FILTER(
      Sim_Mul_Bet10!$F$2:$F$100,
      (Sim_Mul_Bet10!$A$2:$A$100=D$2) * (Sim_Mul_Bet10!$C$2:$C$100=$B5),0
   ),
   0
)</f>
        <v>5.4247530000000002E-2</v>
      </c>
      <c r="E5" s="182" cm="1">
        <f t="array" ref="E5">_xlfn.IFNA(
   _xlfn._xlws.FILTER(
      Sim_Mul_Bet10!$F$2:$F$100,
      (Sim_Mul_Bet10!$A$2:$A$100=E$2) * (Sim_Mul_Bet10!$C$2:$C$100=$B5),0
   ),
   0
)</f>
        <v>0</v>
      </c>
      <c r="F5" s="183" cm="1">
        <f t="array" ref="F5">_xlfn.IFNA(
   _xlfn._xlws.FILTER(
      Sim_Mul_Bet10!$L$2:$L$100,
      (Sim_Mul_Bet10!$A$2:$A$100=F$2) * (Sim_Mul_Bet10!$C$2:$C$100=$B5),0
   ),
   0
)</f>
        <v>1.662820178291162</v>
      </c>
      <c r="G5" s="184" cm="1">
        <f t="array" ref="G5">_xlfn.IFNA(
   _xlfn._xlws.FILTER(
      Sim_Mul_Bet10!$L$2:$L$100,
      (Sim_Mul_Bet10!$A$2:$A$100=G$2) * (Sim_Mul_Bet10!$C$2:$C$100=$B5),0
   ),
   0
)</f>
        <v>1.6092848651357952</v>
      </c>
      <c r="H5" s="185" cm="1">
        <f t="array" ref="H5">_xlfn.IFNA(
   _xlfn._xlws.FILTER(
      Sim_Mul_Bet10!$L$2:$L$100,
      (Sim_Mul_Bet10!$A$2:$A$100=H$2) * (Sim_Mul_Bet10!$C$2:$C$100=$B5),0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5.4247530000000002E-2</v>
      </c>
      <c r="N5" s="189">
        <f t="shared" ref="N5:N54" si="6">HLOOKUP(L5,$F$2:$H$54,J5+2,FALSE)</f>
        <v>1.6092848651357952</v>
      </c>
      <c r="O5" s="190">
        <f t="shared" ref="O5:O54" si="7">P5*1.5</f>
        <v>5.8950000000000002E-2</v>
      </c>
      <c r="P5" s="190">
        <v>3.9300000000000002E-2</v>
      </c>
      <c r="Q5" s="190">
        <v>3.9380396030518697E-2</v>
      </c>
      <c r="R5" s="191">
        <f t="shared" si="0"/>
        <v>9.4867342799755131E-2</v>
      </c>
      <c r="T5" s="192">
        <f t="shared" si="2"/>
        <v>58950</v>
      </c>
      <c r="U5" s="176">
        <v>5.8950000000000002E-2</v>
      </c>
      <c r="V5" s="195">
        <f t="shared" si="3"/>
        <v>6.3244895199836754E-2</v>
      </c>
      <c r="W5" s="194"/>
      <c r="Y5" s="190">
        <f t="shared" ref="Y5:Y54" si="8">Z5*1.5</f>
        <v>0.03</v>
      </c>
      <c r="Z5" s="190">
        <v>0.02</v>
      </c>
      <c r="AA5" s="190">
        <v>3.9380396030518697E-2</v>
      </c>
      <c r="AB5" s="276">
        <f t="shared" si="4"/>
        <v>4.8278545954073854E-2</v>
      </c>
      <c r="AD5" s="192">
        <f t="shared" si="5"/>
        <v>30000</v>
      </c>
      <c r="AE5" s="176">
        <v>0.03</v>
      </c>
      <c r="AF5" s="278">
        <f t="shared" ref="AF5:AF54" si="9">AE5*N5/1.5</f>
        <v>3.21856973027159E-2</v>
      </c>
    </row>
    <row r="6" spans="2:32">
      <c r="B6" s="179">
        <v>2</v>
      </c>
      <c r="C6" s="180" cm="1">
        <f t="array" ref="C6">_xlfn.IFNA(
   _xlfn._xlws.FILTER(
      Sim_Mul_Bet10!$F$2:$F$100,
      (Sim_Mul_Bet10!$A$2:$A$100=C$2) * (Sim_Mul_Bet10!$C$2:$C$100=$B6),0
   ),
   0
)</f>
        <v>1.1879199999999999E-2</v>
      </c>
      <c r="D6" s="181" cm="1">
        <f t="array" ref="D6">_xlfn.IFNA(
   _xlfn._xlws.FILTER(
      Sim_Mul_Bet10!$F$2:$F$100,
      (Sim_Mul_Bet10!$A$2:$A$100=D$2) * (Sim_Mul_Bet10!$C$2:$C$100=$B6),0
   ),
   0
)</f>
        <v>4.9763290000000002E-2</v>
      </c>
      <c r="E6" s="182" cm="1">
        <f t="array" ref="E6">_xlfn.IFNA(
   _xlfn._xlws.FILTER(
      Sim_Mul_Bet10!$F$2:$F$100,
      (Sim_Mul_Bet10!$A$2:$A$100=E$2) * (Sim_Mul_Bet10!$C$2:$C$100=$B6),0
   ),
   0
)</f>
        <v>0</v>
      </c>
      <c r="F6" s="183" cm="1">
        <f t="array" ref="F6">_xlfn.IFNA(
   _xlfn._xlws.FILTER(
      Sim_Mul_Bet10!$L$2:$L$100,
      (Sim_Mul_Bet10!$A$2:$A$100=F$2) * (Sim_Mul_Bet10!$C$2:$C$100=$B6),0
   ),
   0
)</f>
        <v>2.5040053202235839</v>
      </c>
      <c r="G6" s="184" cm="1">
        <f t="array" ref="G6">_xlfn.IFNA(
   _xlfn._xlws.FILTER(
      Sim_Mul_Bet10!$L$2:$L$100,
      (Sim_Mul_Bet10!$A$2:$A$100=G$2) * (Sim_Mul_Bet10!$C$2:$C$100=$B6),0
   ),
   0
)</f>
        <v>2.522723135869835</v>
      </c>
      <c r="H6" s="185" cm="1">
        <f t="array" ref="H6">_xlfn.IFNA(
   _xlfn._xlws.FILTER(
      Sim_Mul_Bet10!$L$2:$L$100,
      (Sim_Mul_Bet10!$A$2:$A$100=H$2) * (Sim_Mul_Bet10!$C$2:$C$100=$B6),0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4.9763290000000002E-2</v>
      </c>
      <c r="N6" s="189">
        <f t="shared" si="6"/>
        <v>2.522723135869835</v>
      </c>
      <c r="O6" s="190">
        <f t="shared" si="7"/>
        <v>4.9996356540818845E-4</v>
      </c>
      <c r="P6" s="190">
        <v>3.3330904360545898E-4</v>
      </c>
      <c r="Q6" s="190">
        <v>3.3330904360545898E-4</v>
      </c>
      <c r="R6" s="191">
        <f t="shared" si="0"/>
        <v>1.2612696535472085E-3</v>
      </c>
      <c r="T6" s="192">
        <f t="shared" si="2"/>
        <v>500</v>
      </c>
      <c r="U6" s="176">
        <v>5.0000000000000001E-4</v>
      </c>
      <c r="V6" s="195">
        <f t="shared" si="3"/>
        <v>8.4090771195661173E-4</v>
      </c>
      <c r="W6" s="194"/>
      <c r="Y6" s="190">
        <f t="shared" si="8"/>
        <v>1.5000000000000001E-4</v>
      </c>
      <c r="Z6" s="190">
        <v>1E-4</v>
      </c>
      <c r="AA6" s="190">
        <v>3.3330904360545898E-4</v>
      </c>
      <c r="AB6" s="276">
        <f t="shared" si="4"/>
        <v>3.7840847038047529E-4</v>
      </c>
      <c r="AD6" s="192">
        <f t="shared" si="5"/>
        <v>150</v>
      </c>
      <c r="AE6" s="176">
        <v>1.4999999999999999E-4</v>
      </c>
      <c r="AF6" s="278">
        <f t="shared" si="9"/>
        <v>2.5227231358698347E-4</v>
      </c>
    </row>
    <row r="7" spans="2:32">
      <c r="B7" s="179">
        <v>3</v>
      </c>
      <c r="C7" s="180" cm="1">
        <f t="array" ref="C7">_xlfn.IFNA(
   _xlfn._xlws.FILTER(
      Sim_Mul_Bet10!$F$2:$F$100,
      (Sim_Mul_Bet10!$A$2:$A$100=C$2) * (Sim_Mul_Bet10!$C$2:$C$100=$B7),0
   ),
   0
)</f>
        <v>0</v>
      </c>
      <c r="D7" s="181" cm="1">
        <f t="array" ref="D7">_xlfn.IFNA(
   _xlfn._xlws.FILTER(
      Sim_Mul_Bet10!$F$2:$F$100,
      (Sim_Mul_Bet10!$A$2:$A$100=D$2) * (Sim_Mul_Bet10!$C$2:$C$100=$B7),0
   ),
   0
)</f>
        <v>0</v>
      </c>
      <c r="E7" s="182" cm="1">
        <f t="array" ref="E7">_xlfn.IFNA(
   _xlfn._xlws.FILTER(
      Sim_Mul_Bet10!$F$2:$F$100,
      (Sim_Mul_Bet10!$A$2:$A$100=E$2) * (Sim_Mul_Bet10!$C$2:$C$100=$B7),0
   ),
   0
)</f>
        <v>0</v>
      </c>
      <c r="F7" s="183" cm="1">
        <f t="array" ref="F7">_xlfn.IFNA(
   _xlfn._xlws.FILTER(
      Sim_Mul_Bet10!$L$2:$L$100,
      (Sim_Mul_Bet10!$A$2:$A$100=F$2) * (Sim_Mul_Bet10!$C$2:$C$100=$B7),0
   ),
   0
)</f>
        <v>0</v>
      </c>
      <c r="G7" s="184" cm="1">
        <f t="array" ref="G7">_xlfn.IFNA(
   _xlfn._xlws.FILTER(
      Sim_Mul_Bet10!$L$2:$L$100,
      (Sim_Mul_Bet10!$A$2:$A$100=G$2) * (Sim_Mul_Bet10!$C$2:$C$100=$B7),0
   ),
   0
)</f>
        <v>0</v>
      </c>
      <c r="H7" s="185" cm="1">
        <f t="array" ref="H7">_xlfn.IFNA(
   _xlfn._xlws.FILTER(
      Sim_Mul_Bet10!$L$2:$L$100,
      (Sim_Mul_Bet10!$A$2:$A$100=H$2) * (Sim_Mul_Bet10!$C$2:$C$100=$B7),0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0</v>
      </c>
      <c r="N7" s="189">
        <f t="shared" si="6"/>
        <v>0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Sim_Mul_Bet10!$F$2:$F$100,
      (Sim_Mul_Bet10!$A$2:$A$100=C$2) * (Sim_Mul_Bet10!$C$2:$C$100=$B8),0
   ),
   0
)</f>
        <v>2.1506150000000002E-2</v>
      </c>
      <c r="D8" s="181" cm="1">
        <f t="array" ref="D8">_xlfn.IFNA(
   _xlfn._xlws.FILTER(
      Sim_Mul_Bet10!$F$2:$F$100,
      (Sim_Mul_Bet10!$A$2:$A$100=D$2) * (Sim_Mul_Bet10!$C$2:$C$100=$B8),0
   ),
   0
)</f>
        <v>5.3713410000000003E-2</v>
      </c>
      <c r="E8" s="182" cm="1">
        <f t="array" ref="E8">_xlfn.IFNA(
   _xlfn._xlws.FILTER(
      Sim_Mul_Bet10!$F$2:$F$100,
      (Sim_Mul_Bet10!$A$2:$A$100=E$2) * (Sim_Mul_Bet10!$C$2:$C$100=$B8),0
   ),
   0
)</f>
        <v>0</v>
      </c>
      <c r="F8" s="183" cm="1">
        <f t="array" ref="F8">_xlfn.IFNA(
   _xlfn._xlws.FILTER(
      Sim_Mul_Bet10!$L$2:$L$100,
      (Sim_Mul_Bet10!$A$2:$A$100=F$2) * (Sim_Mul_Bet10!$C$2:$C$100=$B8),0
   ),
   0
)</f>
        <v>5</v>
      </c>
      <c r="G8" s="184" cm="1">
        <f t="array" ref="G8">_xlfn.IFNA(
   _xlfn._xlws.FILTER(
      Sim_Mul_Bet10!$L$2:$L$100,
      (Sim_Mul_Bet10!$A$2:$A$100=G$2) * (Sim_Mul_Bet10!$C$2:$C$100=$B8),0
   ),
   0
)</f>
        <v>5</v>
      </c>
      <c r="H8" s="185" cm="1">
        <f t="array" ref="H8">_xlfn.IFNA(
   _xlfn._xlws.FILTER(
      Sim_Mul_Bet10!$L$2:$L$100,
      (Sim_Mul_Bet10!$A$2:$A$100=H$2) * (Sim_Mul_Bet10!$C$2:$C$100=$B8),0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5.3713410000000003E-2</v>
      </c>
      <c r="N8" s="189">
        <f t="shared" si="6"/>
        <v>5</v>
      </c>
      <c r="O8" s="190">
        <f t="shared" si="7"/>
        <v>2.3100000000000002E-2</v>
      </c>
      <c r="P8" s="190">
        <v>1.54E-2</v>
      </c>
      <c r="Q8" s="190">
        <v>1.5364602309683201E-2</v>
      </c>
      <c r="R8" s="191">
        <f t="shared" si="0"/>
        <v>0.11550000000000002</v>
      </c>
      <c r="T8" s="192">
        <f t="shared" si="2"/>
        <v>23100</v>
      </c>
      <c r="U8" s="176">
        <v>2.3099999999999999E-2</v>
      </c>
      <c r="V8" s="195">
        <f t="shared" si="3"/>
        <v>7.6999999999999999E-2</v>
      </c>
      <c r="W8" s="194"/>
      <c r="Y8" s="190">
        <f t="shared" si="8"/>
        <v>7.5600000000000007E-3</v>
      </c>
      <c r="Z8" s="190">
        <v>5.0400000000000002E-3</v>
      </c>
      <c r="AA8" s="190">
        <v>1.5364602309683201E-2</v>
      </c>
      <c r="AB8" s="276">
        <f t="shared" si="4"/>
        <v>3.78E-2</v>
      </c>
      <c r="AD8" s="192">
        <f t="shared" si="5"/>
        <v>7560</v>
      </c>
      <c r="AE8" s="176">
        <v>7.5599999999999999E-3</v>
      </c>
      <c r="AF8" s="278">
        <f t="shared" si="9"/>
        <v>2.52E-2</v>
      </c>
    </row>
    <row r="9" spans="2:32">
      <c r="B9" s="179">
        <v>5</v>
      </c>
      <c r="C9" s="180" cm="1">
        <f t="array" ref="C9">_xlfn.IFNA(
   _xlfn._xlws.FILTER(
      Sim_Mul_Bet10!$F$2:$F$100,
      (Sim_Mul_Bet10!$A$2:$A$100=C$2) * (Sim_Mul_Bet10!$C$2:$C$100=$B9),0
   ),
   0
)</f>
        <v>5.6065799999999999E-3</v>
      </c>
      <c r="D9" s="181" cm="1">
        <f t="array" ref="D9">_xlfn.IFNA(
   _xlfn._xlws.FILTER(
      Sim_Mul_Bet10!$F$2:$F$100,
      (Sim_Mul_Bet10!$A$2:$A$100=D$2) * (Sim_Mul_Bet10!$C$2:$C$100=$B9),0
   ),
   0
)</f>
        <v>4.7861319999999999E-2</v>
      </c>
      <c r="E9" s="182" cm="1">
        <f t="array" ref="E9">_xlfn.IFNA(
   _xlfn._xlws.FILTER(
      Sim_Mul_Bet10!$F$2:$F$100,
      (Sim_Mul_Bet10!$A$2:$A$100=E$2) * (Sim_Mul_Bet10!$C$2:$C$100=$B9),0
   ),
   0
)</f>
        <v>0</v>
      </c>
      <c r="F9" s="183" cm="1">
        <f t="array" ref="F9">_xlfn.IFNA(
   _xlfn._xlws.FILTER(
      Sim_Mul_Bet10!$L$2:$L$100,
      (Sim_Mul_Bet10!$A$2:$A$100=F$2) * (Sim_Mul_Bet10!$C$2:$C$100=$B9),0
   ),
   0
)</f>
        <v>5.2352921032073025</v>
      </c>
      <c r="G9" s="184" cm="1">
        <f t="array" ref="G9">_xlfn.IFNA(
   _xlfn._xlws.FILTER(
      Sim_Mul_Bet10!$L$2:$L$100,
      (Sim_Mul_Bet10!$A$2:$A$100=G$2) * (Sim_Mul_Bet10!$C$2:$C$100=$B9),0
   ),
   0
)</f>
        <v>5.4740066926695707</v>
      </c>
      <c r="H9" s="185" cm="1">
        <f t="array" ref="H9">_xlfn.IFNA(
   _xlfn._xlws.FILTER(
      Sim_Mul_Bet10!$L$2:$L$100,
      (Sim_Mul_Bet10!$A$2:$A$100=H$2) * (Sim_Mul_Bet10!$C$2:$C$100=$B9),0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4.7861319999999999E-2</v>
      </c>
      <c r="N9" s="189">
        <f t="shared" si="6"/>
        <v>5.4740066926695707</v>
      </c>
      <c r="O9" s="190">
        <f t="shared" si="7"/>
        <v>2.7525000000000001E-2</v>
      </c>
      <c r="P9" s="190">
        <v>1.8350000000000002E-2</v>
      </c>
      <c r="Q9" s="190">
        <v>1.8319852534363201E-2</v>
      </c>
      <c r="R9" s="191">
        <f t="shared" si="0"/>
        <v>0.15067203421572994</v>
      </c>
      <c r="T9" s="192">
        <f t="shared" si="2"/>
        <v>27525</v>
      </c>
      <c r="U9" s="176">
        <v>2.7525000000000001E-2</v>
      </c>
      <c r="V9" s="195">
        <f t="shared" si="3"/>
        <v>0.10044802281048663</v>
      </c>
      <c r="W9" s="194"/>
      <c r="Y9" s="190">
        <f t="shared" si="8"/>
        <v>1.3650000000000001E-2</v>
      </c>
      <c r="Z9" s="190">
        <v>9.1000000000000004E-3</v>
      </c>
      <c r="AA9" s="190">
        <v>1.8319852534363201E-2</v>
      </c>
      <c r="AB9" s="276">
        <f t="shared" si="4"/>
        <v>7.4720191354939638E-2</v>
      </c>
      <c r="AD9" s="192">
        <f t="shared" si="5"/>
        <v>13650</v>
      </c>
      <c r="AE9" s="176">
        <v>1.3650000000000001E-2</v>
      </c>
      <c r="AF9" s="278">
        <f t="shared" si="9"/>
        <v>4.981346090329309E-2</v>
      </c>
    </row>
    <row r="10" spans="2:32">
      <c r="B10" s="179">
        <v>6</v>
      </c>
      <c r="C10" s="180" cm="1">
        <f t="array" ref="C10">_xlfn.IFNA(
   _xlfn._xlws.FILTER(
      Sim_Mul_Bet10!$F$2:$F$100,
      (Sim_Mul_Bet10!$A$2:$A$100=C$2) * (Sim_Mul_Bet10!$C$2:$C$100=$B10),0
   ),
   0
)</f>
        <v>5.6830000000000003E-5</v>
      </c>
      <c r="D10" s="181" cm="1">
        <f t="array" ref="D10">_xlfn.IFNA(
   _xlfn._xlws.FILTER(
      Sim_Mul_Bet10!$F$2:$F$100,
      (Sim_Mul_Bet10!$A$2:$A$100=D$2) * (Sim_Mul_Bet10!$C$2:$C$100=$B10),0
   ),
   0
)</f>
        <v>1.099661E-2</v>
      </c>
      <c r="E10" s="182" cm="1">
        <f t="array" ref="E10">_xlfn.IFNA(
   _xlfn._xlws.FILTER(
      Sim_Mul_Bet10!$F$2:$F$100,
      (Sim_Mul_Bet10!$A$2:$A$100=E$2) * (Sim_Mul_Bet10!$C$2:$C$100=$B10),0
   ),
   0
)</f>
        <v>0</v>
      </c>
      <c r="F10" s="183" cm="1">
        <f t="array" ref="F10">_xlfn.IFNA(
   _xlfn._xlws.FILTER(
      Sim_Mul_Bet10!$L$2:$L$100,
      (Sim_Mul_Bet10!$A$2:$A$100=F$2) * (Sim_Mul_Bet10!$C$2:$C$100=$B10),0
   ),
   0
)</f>
        <v>6.2196199190568358</v>
      </c>
      <c r="G10" s="184" cm="1">
        <f t="array" ref="G10">_xlfn.IFNA(
   _xlfn._xlws.FILTER(
      Sim_Mul_Bet10!$L$2:$L$100,
      (Sim_Mul_Bet10!$A$2:$A$100=G$2) * (Sim_Mul_Bet10!$C$2:$C$100=$B10),0
   ),
   0
)</f>
        <v>6.3975183261023165</v>
      </c>
      <c r="H10" s="185" cm="1">
        <f t="array" ref="H10">_xlfn.IFNA(
   _xlfn._xlws.FILTER(
      Sim_Mul_Bet10!$L$2:$L$100,
      (Sim_Mul_Bet10!$A$2:$A$100=H$2) * (Sim_Mul_Bet10!$C$2:$C$100=$B10),0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1.099661E-2</v>
      </c>
      <c r="N10" s="189">
        <f t="shared" si="6"/>
        <v>6.3975183261023165</v>
      </c>
      <c r="O10" s="190">
        <f t="shared" si="7"/>
        <v>1.0499999999999999E-4</v>
      </c>
      <c r="P10" s="190">
        <v>6.9999999999999994E-5</v>
      </c>
      <c r="Q10" s="190">
        <v>7.9616330253935599E-5</v>
      </c>
      <c r="R10" s="191">
        <f t="shared" si="0"/>
        <v>6.717394242407432E-4</v>
      </c>
      <c r="T10" s="192">
        <f t="shared" si="2"/>
        <v>105</v>
      </c>
      <c r="U10" s="176">
        <v>1.05E-4</v>
      </c>
      <c r="V10" s="195">
        <f t="shared" si="3"/>
        <v>4.4782628282716221E-4</v>
      </c>
      <c r="W10" s="194"/>
      <c r="Y10" s="190">
        <f t="shared" si="8"/>
        <v>4.5000000000000003E-5</v>
      </c>
      <c r="Z10" s="190">
        <v>3.0000000000000001E-5</v>
      </c>
      <c r="AA10" s="190">
        <v>7.9616330253935599E-5</v>
      </c>
      <c r="AB10" s="276">
        <f t="shared" si="4"/>
        <v>2.8788832467460424E-4</v>
      </c>
      <c r="AD10" s="192">
        <f t="shared" si="5"/>
        <v>45</v>
      </c>
      <c r="AE10" s="176">
        <v>4.5000000000000003E-5</v>
      </c>
      <c r="AF10" s="278">
        <f t="shared" si="9"/>
        <v>1.9192554978306948E-4</v>
      </c>
    </row>
    <row r="11" spans="2:32">
      <c r="B11" s="179">
        <v>7</v>
      </c>
      <c r="C11" s="180" cm="1">
        <f t="array" ref="C11">_xlfn.IFNA(
   _xlfn._xlws.FILTER(
      Sim_Mul_Bet10!$F$2:$F$100,
      (Sim_Mul_Bet10!$A$2:$A$100=C$2) * (Sim_Mul_Bet10!$C$2:$C$100=$B11),0
   ),
   0
)</f>
        <v>1.5317999999999999E-4</v>
      </c>
      <c r="D11" s="181" cm="1">
        <f t="array" ref="D11">_xlfn.IFNA(
   _xlfn._xlws.FILTER(
      Sim_Mul_Bet10!$F$2:$F$100,
      (Sim_Mul_Bet10!$A$2:$A$100=D$2) * (Sim_Mul_Bet10!$C$2:$C$100=$B11),0
   ),
   0
)</f>
        <v>8.32338E-3</v>
      </c>
      <c r="E11" s="182" cm="1">
        <f t="array" ref="E11">_xlfn.IFNA(
   _xlfn._xlws.FILTER(
      Sim_Mul_Bet10!$F$2:$F$100,
      (Sim_Mul_Bet10!$A$2:$A$100=E$2) * (Sim_Mul_Bet10!$C$2:$C$100=$B11),0
   ),
   0
)</f>
        <v>0</v>
      </c>
      <c r="F11" s="183" cm="1">
        <f t="array" ref="F11">_xlfn.IFNA(
   _xlfn._xlws.FILTER(
      Sim_Mul_Bet10!$L$2:$L$100,
      (Sim_Mul_Bet10!$A$2:$A$100=F$2) * (Sim_Mul_Bet10!$C$2:$C$100=$B11),0
   ),
   0
)</f>
        <v>7.5</v>
      </c>
      <c r="G11" s="184" cm="1">
        <f t="array" ref="G11">_xlfn.IFNA(
   _xlfn._xlws.FILTER(
      Sim_Mul_Bet10!$L$2:$L$100,
      (Sim_Mul_Bet10!$A$2:$A$100=G$2) * (Sim_Mul_Bet10!$C$2:$C$100=$B11),0
   ),
   0
)</f>
        <v>7.5</v>
      </c>
      <c r="H11" s="185" cm="1">
        <f t="array" ref="H11">_xlfn.IFNA(
   _xlfn._xlws.FILTER(
      Sim_Mul_Bet10!$L$2:$L$100,
      (Sim_Mul_Bet10!$A$2:$A$100=H$2) * (Sim_Mul_Bet10!$C$2:$C$100=$B11),0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8.32338E-3</v>
      </c>
      <c r="N11" s="189">
        <f t="shared" si="6"/>
        <v>7.5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Sim_Mul_Bet10!$F$2:$F$100,
      (Sim_Mul_Bet10!$A$2:$A$100=C$2) * (Sim_Mul_Bet10!$C$2:$C$100=$B12),0
   ),
   0
)</f>
        <v>0</v>
      </c>
      <c r="D12" s="181" cm="1">
        <f t="array" ref="D12">_xlfn.IFNA(
   _xlfn._xlws.FILTER(
      Sim_Mul_Bet10!$F$2:$F$100,
      (Sim_Mul_Bet10!$A$2:$A$100=D$2) * (Sim_Mul_Bet10!$C$2:$C$100=$B12),0
   ),
   0
)</f>
        <v>0</v>
      </c>
      <c r="E12" s="182" cm="1">
        <f t="array" ref="E12">_xlfn.IFNA(
   _xlfn._xlws.FILTER(
      Sim_Mul_Bet10!$F$2:$F$100,
      (Sim_Mul_Bet10!$A$2:$A$100=E$2) * (Sim_Mul_Bet10!$C$2:$C$100=$B12),0
   ),
   0
)</f>
        <v>0</v>
      </c>
      <c r="F12" s="183" cm="1">
        <f t="array" ref="F12">_xlfn.IFNA(
   _xlfn._xlws.FILTER(
      Sim_Mul_Bet10!$L$2:$L$100,
      (Sim_Mul_Bet10!$A$2:$A$100=F$2) * (Sim_Mul_Bet10!$C$2:$C$100=$B12),0
   ),
   0
)</f>
        <v>0</v>
      </c>
      <c r="G12" s="184" cm="1">
        <f t="array" ref="G12">_xlfn.IFNA(
   _xlfn._xlws.FILTER(
      Sim_Mul_Bet10!$L$2:$L$100,
      (Sim_Mul_Bet10!$A$2:$A$100=G$2) * (Sim_Mul_Bet10!$C$2:$C$100=$B12),0
   ),
   0
)</f>
        <v>0</v>
      </c>
      <c r="H12" s="185" cm="1">
        <f t="array" ref="H12">_xlfn.IFNA(
   _xlfn._xlws.FILTER(
      Sim_Mul_Bet10!$L$2:$L$100,
      (Sim_Mul_Bet10!$A$2:$A$100=H$2) * (Sim_Mul_Bet10!$C$2:$C$100=$B12),0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Sim_Mul_Bet10!$F$2:$F$100,
      (Sim_Mul_Bet10!$A$2:$A$100=C$2) * (Sim_Mul_Bet10!$C$2:$C$100=$B13),0
   ),
   0
)</f>
        <v>2.1008389999999998E-2</v>
      </c>
      <c r="D13" s="181" cm="1">
        <f t="array" ref="D13">_xlfn.IFNA(
   _xlfn._xlws.FILTER(
      Sim_Mul_Bet10!$F$2:$F$100,
      (Sim_Mul_Bet10!$A$2:$A$100=D$2) * (Sim_Mul_Bet10!$C$2:$C$100=$B13),0
   ),
   0
)</f>
        <v>3.4932959999999999E-2</v>
      </c>
      <c r="E13" s="182" cm="1">
        <f t="array" ref="E13">_xlfn.IFNA(
   _xlfn._xlws.FILTER(
      Sim_Mul_Bet10!$F$2:$F$100,
      (Sim_Mul_Bet10!$A$2:$A$100=E$2) * (Sim_Mul_Bet10!$C$2:$C$100=$B13),0
   ),
   0
)</f>
        <v>0</v>
      </c>
      <c r="F13" s="183" cm="1">
        <f t="array" ref="F13">_xlfn.IFNA(
   _xlfn._xlws.FILTER(
      Sim_Mul_Bet10!$L$2:$L$100,
      (Sim_Mul_Bet10!$A$2:$A$100=F$2) * (Sim_Mul_Bet10!$C$2:$C$100=$B13),0
   ),
   0
)</f>
        <v>10</v>
      </c>
      <c r="G13" s="184" cm="1">
        <f t="array" ref="G13">_xlfn.IFNA(
   _xlfn._xlws.FILTER(
      Sim_Mul_Bet10!$L$2:$L$100,
      (Sim_Mul_Bet10!$A$2:$A$100=G$2) * (Sim_Mul_Bet10!$C$2:$C$100=$B13),0
   ),
   0
)</f>
        <v>10</v>
      </c>
      <c r="H13" s="185" cm="1">
        <f t="array" ref="H13">_xlfn.IFNA(
   _xlfn._xlws.FILTER(
      Sim_Mul_Bet10!$L$2:$L$100,
      (Sim_Mul_Bet10!$A$2:$A$100=H$2) * (Sim_Mul_Bet10!$C$2:$C$100=$B13),0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3.4932959999999999E-2</v>
      </c>
      <c r="N13" s="189">
        <f t="shared" si="6"/>
        <v>10</v>
      </c>
      <c r="O13" s="190">
        <f t="shared" si="7"/>
        <v>6.0344999999999999E-3</v>
      </c>
      <c r="P13" s="190">
        <v>4.0229999999999997E-3</v>
      </c>
      <c r="Q13" s="190">
        <v>4.5151905259265901E-3</v>
      </c>
      <c r="R13" s="191">
        <f t="shared" si="0"/>
        <v>6.0344999999999996E-2</v>
      </c>
      <c r="T13" s="192">
        <f t="shared" si="2"/>
        <v>6035</v>
      </c>
      <c r="U13" s="176">
        <v>6.0350000000000004E-3</v>
      </c>
      <c r="V13" s="195">
        <f t="shared" si="3"/>
        <v>4.0233333333333336E-2</v>
      </c>
      <c r="W13" s="194"/>
      <c r="Y13" s="190">
        <f t="shared" si="8"/>
        <v>1.6650000000000002E-2</v>
      </c>
      <c r="Z13" s="190">
        <v>1.11E-2</v>
      </c>
      <c r="AA13" s="190">
        <v>4.5151905259265901E-3</v>
      </c>
      <c r="AB13" s="276">
        <f t="shared" si="4"/>
        <v>0.16650000000000001</v>
      </c>
      <c r="AD13" s="192">
        <f t="shared" si="5"/>
        <v>16650</v>
      </c>
      <c r="AE13" s="176">
        <v>1.6650000000000002E-2</v>
      </c>
      <c r="AF13" s="278">
        <f t="shared" si="9"/>
        <v>0.111</v>
      </c>
    </row>
    <row r="14" spans="2:32">
      <c r="B14" s="179">
        <v>10</v>
      </c>
      <c r="C14" s="180" cm="1">
        <f t="array" ref="C14">_xlfn.IFNA(
   _xlfn._xlws.FILTER(
      Sim_Mul_Bet10!$F$2:$F$100,
      (Sim_Mul_Bet10!$A$2:$A$100=C$2) * (Sim_Mul_Bet10!$C$2:$C$100=$B14),0
   ),
   0
)</f>
        <v>1.229946E-2</v>
      </c>
      <c r="D14" s="181" cm="1">
        <f t="array" ref="D14">_xlfn.IFNA(
   _xlfn._xlws.FILTER(
      Sim_Mul_Bet10!$F$2:$F$100,
      (Sim_Mul_Bet10!$A$2:$A$100=D$2) * (Sim_Mul_Bet10!$C$2:$C$100=$B14),0
   ),
   0
)</f>
        <v>9.4119120000000001E-2</v>
      </c>
      <c r="E14" s="182" cm="1">
        <f t="array" ref="E14">_xlfn.IFNA(
   _xlfn._xlws.FILTER(
      Sim_Mul_Bet10!$F$2:$F$100,
      (Sim_Mul_Bet10!$A$2:$A$100=E$2) * (Sim_Mul_Bet10!$C$2:$C$100=$B14),0
   ),
   0
)</f>
        <v>0</v>
      </c>
      <c r="F14" s="183" cm="1">
        <f t="array" ref="F14">_xlfn.IFNA(
   _xlfn._xlws.FILTER(
      Sim_Mul_Bet10!$L$2:$L$100,
      (Sim_Mul_Bet10!$A$2:$A$100=F$2) * (Sim_Mul_Bet10!$C$2:$C$100=$B14),0
   ),
   0
)</f>
        <v>13.044569761599291</v>
      </c>
      <c r="G14" s="184" cm="1">
        <f t="array" ref="G14">_xlfn.IFNA(
   _xlfn._xlws.FILTER(
      Sim_Mul_Bet10!$L$2:$L$100,
      (Sim_Mul_Bet10!$A$2:$A$100=G$2) * (Sim_Mul_Bet10!$C$2:$C$100=$B14),0
   ),
   0
)</f>
        <v>11.493492448718177</v>
      </c>
      <c r="H14" s="185" cm="1">
        <f t="array" ref="H14">_xlfn.IFNA(
   _xlfn._xlws.FILTER(
      Sim_Mul_Bet10!$L$2:$L$100,
      (Sim_Mul_Bet10!$A$2:$A$100=H$2) * (Sim_Mul_Bet10!$C$2:$C$100=$B14),0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9.4119120000000001E-2</v>
      </c>
      <c r="N14" s="189">
        <f t="shared" si="6"/>
        <v>11.493492448718177</v>
      </c>
      <c r="O14" s="190">
        <f t="shared" si="7"/>
        <v>1.4284384133949751E-2</v>
      </c>
      <c r="P14" s="190">
        <v>9.5229227559665008E-3</v>
      </c>
      <c r="Q14" s="190">
        <v>9.5229227559665008E-3</v>
      </c>
      <c r="R14" s="191">
        <f t="shared" si="0"/>
        <v>0.16417746117814119</v>
      </c>
      <c r="T14" s="192">
        <f t="shared" si="2"/>
        <v>14284</v>
      </c>
      <c r="U14" s="176">
        <v>1.4284E-2</v>
      </c>
      <c r="V14" s="195">
        <f t="shared" si="3"/>
        <v>0.10944869742499364</v>
      </c>
      <c r="W14" s="194"/>
      <c r="Y14" s="190">
        <f t="shared" si="8"/>
        <v>7.5000000000000002E-4</v>
      </c>
      <c r="Z14" s="190">
        <v>5.0000000000000001E-4</v>
      </c>
      <c r="AA14" s="190">
        <v>9.5229227559665008E-3</v>
      </c>
      <c r="AB14" s="276">
        <f t="shared" si="4"/>
        <v>8.6201193365386328E-3</v>
      </c>
      <c r="AD14" s="192">
        <f t="shared" si="5"/>
        <v>750</v>
      </c>
      <c r="AE14" s="176">
        <v>7.5000000000000002E-4</v>
      </c>
      <c r="AF14" s="278">
        <f t="shared" si="9"/>
        <v>5.7467462243590882E-3</v>
      </c>
    </row>
    <row r="15" spans="2:32">
      <c r="B15" s="179">
        <v>15</v>
      </c>
      <c r="C15" s="180" cm="1">
        <f t="array" ref="C15">_xlfn.IFNA(
   _xlfn._xlws.FILTER(
      Sim_Mul_Bet10!$F$2:$F$100,
      (Sim_Mul_Bet10!$A$2:$A$100=C$2) * (Sim_Mul_Bet10!$C$2:$C$100=$B15),0
   ),
   0
)</f>
        <v>1.012501E-2</v>
      </c>
      <c r="D15" s="181" cm="1">
        <f t="array" ref="D15">_xlfn.IFNA(
   _xlfn._xlws.FILTER(
      Sim_Mul_Bet10!$F$2:$F$100,
      (Sim_Mul_Bet10!$A$2:$A$100=D$2) * (Sim_Mul_Bet10!$C$2:$C$100=$B15),0
   ),
   0
)</f>
        <v>4.0386459999999999E-2</v>
      </c>
      <c r="E15" s="182" cm="1">
        <f t="array" ref="E15">_xlfn.IFNA(
   _xlfn._xlws.FILTER(
      Sim_Mul_Bet10!$F$2:$F$100,
      (Sim_Mul_Bet10!$A$2:$A$100=E$2) * (Sim_Mul_Bet10!$C$2:$C$100=$B15),0
   ),
   0
)</f>
        <v>0</v>
      </c>
      <c r="F15" s="183" cm="1">
        <f t="array" ref="F15">_xlfn.IFNA(
   _xlfn._xlws.FILTER(
      Sim_Mul_Bet10!$L$2:$L$100,
      (Sim_Mul_Bet10!$A$2:$A$100=F$2) * (Sim_Mul_Bet10!$C$2:$C$100=$B15),0
   ),
   0
)</f>
        <v>18.582404659353422</v>
      </c>
      <c r="G15" s="184" cm="1">
        <f t="array" ref="G15">_xlfn.IFNA(
   _xlfn._xlws.FILTER(
      Sim_Mul_Bet10!$L$2:$L$100,
      (Sim_Mul_Bet10!$A$2:$A$100=G$2) * (Sim_Mul_Bet10!$C$2:$C$100=$B15),0
   ),
   0
)</f>
        <v>17.157205335649621</v>
      </c>
      <c r="H15" s="185" cm="1">
        <f t="array" ref="H15">_xlfn.IFNA(
   _xlfn._xlws.FILTER(
      Sim_Mul_Bet10!$L$2:$L$100,
      (Sim_Mul_Bet10!$A$2:$A$100=H$2) * (Sim_Mul_Bet10!$C$2:$C$100=$B15),0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4.0386459999999999E-2</v>
      </c>
      <c r="N15" s="189">
        <f t="shared" si="6"/>
        <v>17.157205335649621</v>
      </c>
      <c r="O15" s="190">
        <f t="shared" si="7"/>
        <v>7.3678841218048951E-3</v>
      </c>
      <c r="P15" s="190">
        <v>4.91192274786993E-3</v>
      </c>
      <c r="Q15" s="190">
        <v>4.91192274786993E-3</v>
      </c>
      <c r="R15" s="191">
        <f t="shared" si="0"/>
        <v>0.12641230076707907</v>
      </c>
      <c r="T15" s="192">
        <f t="shared" si="2"/>
        <v>7368</v>
      </c>
      <c r="U15" s="176">
        <v>7.3680000000000004E-3</v>
      </c>
      <c r="V15" s="195">
        <f t="shared" si="3"/>
        <v>8.4276192608710943E-2</v>
      </c>
      <c r="W15" s="194"/>
      <c r="Y15" s="190">
        <f t="shared" si="8"/>
        <v>1.4999999999999999E-2</v>
      </c>
      <c r="Z15" s="190">
        <v>0.01</v>
      </c>
      <c r="AA15" s="190">
        <v>4.91192274786993E-3</v>
      </c>
      <c r="AB15" s="276">
        <f t="shared" si="4"/>
        <v>0.25735808003474431</v>
      </c>
      <c r="AD15" s="192">
        <f t="shared" si="5"/>
        <v>15000</v>
      </c>
      <c r="AE15" s="176">
        <v>1.4999999999999999E-2</v>
      </c>
      <c r="AF15" s="278">
        <f t="shared" si="9"/>
        <v>0.1715720533564962</v>
      </c>
    </row>
    <row r="16" spans="2:32">
      <c r="B16" s="179">
        <v>20</v>
      </c>
      <c r="C16" s="180" cm="1">
        <f t="array" ref="C16">_xlfn.IFNA(
   _xlfn._xlws.FILTER(
      Sim_Mul_Bet10!$F$2:$F$100,
      (Sim_Mul_Bet10!$A$2:$A$100=C$2) * (Sim_Mul_Bet10!$C$2:$C$100=$B16),0
   ),
   0
)</f>
        <v>2.24142E-3</v>
      </c>
      <c r="D16" s="181" cm="1">
        <f t="array" ref="D16">_xlfn.IFNA(
   _xlfn._xlws.FILTER(
      Sim_Mul_Bet10!$F$2:$F$100,
      (Sim_Mul_Bet10!$A$2:$A$100=D$2) * (Sim_Mul_Bet10!$C$2:$C$100=$B16),0
   ),
   0
)</f>
        <v>4.52165E-2</v>
      </c>
      <c r="E16" s="182" cm="1">
        <f t="array" ref="E16">_xlfn.IFNA(
   _xlfn._xlws.FILTER(
      Sim_Mul_Bet10!$F$2:$F$100,
      (Sim_Mul_Bet10!$A$2:$A$100=E$2) * (Sim_Mul_Bet10!$C$2:$C$100=$B16),0
   ),
   0
)</f>
        <v>0</v>
      </c>
      <c r="F16" s="183" cm="1">
        <f t="array" ref="F16">_xlfn.IFNA(
   _xlfn._xlws.FILTER(
      Sim_Mul_Bet10!$L$2:$L$100,
      (Sim_Mul_Bet10!$A$2:$A$100=F$2) * (Sim_Mul_Bet10!$C$2:$C$100=$B16),0
   ),
   0
)</f>
        <v>21.689702510015973</v>
      </c>
      <c r="G16" s="184" cm="1">
        <f t="array" ref="G16">_xlfn.IFNA(
   _xlfn._xlws.FILTER(
      Sim_Mul_Bet10!$L$2:$L$100,
      (Sim_Mul_Bet10!$A$2:$A$100=G$2) * (Sim_Mul_Bet10!$C$2:$C$100=$B16),0
   ),
   0
)</f>
        <v>21.708489423108823</v>
      </c>
      <c r="H16" s="185" cm="1">
        <f t="array" ref="H16">_xlfn.IFNA(
   _xlfn._xlws.FILTER(
      Sim_Mul_Bet10!$L$2:$L$100,
      (Sim_Mul_Bet10!$A$2:$A$100=H$2) * (Sim_Mul_Bet10!$C$2:$C$100=$B16),0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4.52165E-2</v>
      </c>
      <c r="N16" s="189">
        <f t="shared" si="6"/>
        <v>21.708489423108823</v>
      </c>
      <c r="O16" s="190">
        <f t="shared" si="7"/>
        <v>6.6E-3</v>
      </c>
      <c r="P16" s="190">
        <v>4.4000000000000003E-3</v>
      </c>
      <c r="Q16" s="190">
        <v>4.4598639235467301E-3</v>
      </c>
      <c r="R16" s="191">
        <f t="shared" si="0"/>
        <v>0.14327603019251822</v>
      </c>
      <c r="T16" s="192">
        <f t="shared" si="2"/>
        <v>6600</v>
      </c>
      <c r="U16" s="176">
        <v>6.6E-3</v>
      </c>
      <c r="V16" s="195">
        <f t="shared" si="3"/>
        <v>9.5517353461678819E-2</v>
      </c>
      <c r="W16" s="194"/>
      <c r="Y16" s="190">
        <f t="shared" si="8"/>
        <v>9.0000000000000011E-3</v>
      </c>
      <c r="Z16" s="190">
        <v>6.0000000000000001E-3</v>
      </c>
      <c r="AA16" s="190">
        <v>4.4598639235467301E-3</v>
      </c>
      <c r="AB16" s="276">
        <f t="shared" si="4"/>
        <v>0.19537640480797944</v>
      </c>
      <c r="AD16" s="192">
        <f t="shared" si="5"/>
        <v>9000</v>
      </c>
      <c r="AE16" s="176">
        <v>8.9999999999999993E-3</v>
      </c>
      <c r="AF16" s="278">
        <f t="shared" si="9"/>
        <v>0.13025093653865291</v>
      </c>
    </row>
    <row r="17" spans="2:32">
      <c r="B17" s="179">
        <v>25</v>
      </c>
      <c r="C17" s="180" cm="1">
        <f t="array" ref="C17">_xlfn.IFNA(
   _xlfn._xlws.FILTER(
      Sim_Mul_Bet10!$F$2:$F$100,
      (Sim_Mul_Bet10!$A$2:$A$100=C$2) * (Sim_Mul_Bet10!$C$2:$C$100=$B17),0
   ),
   0
)</f>
        <v>2.6086199999999999E-3</v>
      </c>
      <c r="D17" s="181" cm="1">
        <f t="array" ref="D17">_xlfn.IFNA(
   _xlfn._xlws.FILTER(
      Sim_Mul_Bet10!$F$2:$F$100,
      (Sim_Mul_Bet10!$A$2:$A$100=D$2) * (Sim_Mul_Bet10!$C$2:$C$100=$B17),0
   ),
   0
)</f>
        <v>2.909107E-2</v>
      </c>
      <c r="E17" s="182" cm="1">
        <f t="array" ref="E17">_xlfn.IFNA(
   _xlfn._xlws.FILTER(
      Sim_Mul_Bet10!$F$2:$F$100,
      (Sim_Mul_Bet10!$A$2:$A$100=E$2) * (Sim_Mul_Bet10!$C$2:$C$100=$B17),0
   ),
   0
)</f>
        <v>0</v>
      </c>
      <c r="F17" s="183" cm="1">
        <f t="array" ref="F17">_xlfn.IFNA(
   _xlfn._xlws.FILTER(
      Sim_Mul_Bet10!$L$2:$L$100,
      (Sim_Mul_Bet10!$A$2:$A$100=F$2) * (Sim_Mul_Bet10!$C$2:$C$100=$B17),0
   ),
   0
)</f>
        <v>29.829264515337609</v>
      </c>
      <c r="G17" s="184" cm="1">
        <f t="array" ref="G17">_xlfn.IFNA(
   _xlfn._xlws.FILTER(
      Sim_Mul_Bet10!$L$2:$L$100,
      (Sim_Mul_Bet10!$A$2:$A$100=G$2) * (Sim_Mul_Bet10!$C$2:$C$100=$B17),0
   ),
   0
)</f>
        <v>27.205296092580987</v>
      </c>
      <c r="H17" s="185" cm="1">
        <f t="array" ref="H17">_xlfn.IFNA(
   _xlfn._xlws.FILTER(
      Sim_Mul_Bet10!$L$2:$L$100,
      (Sim_Mul_Bet10!$A$2:$A$100=H$2) * (Sim_Mul_Bet10!$C$2:$C$100=$B17),0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2.909107E-2</v>
      </c>
      <c r="N17" s="189">
        <f t="shared" si="6"/>
        <v>27.205296092580987</v>
      </c>
      <c r="O17" s="190">
        <f t="shared" si="7"/>
        <v>1.65E-3</v>
      </c>
      <c r="P17" s="190">
        <v>1.1000000000000001E-3</v>
      </c>
      <c r="Q17" s="190">
        <v>1.8379227424722101E-3</v>
      </c>
      <c r="R17" s="191">
        <f t="shared" si="0"/>
        <v>4.4888738552758628E-2</v>
      </c>
      <c r="T17" s="192">
        <f t="shared" si="2"/>
        <v>1650</v>
      </c>
      <c r="U17" s="176">
        <v>1.65E-3</v>
      </c>
      <c r="V17" s="195">
        <f t="shared" si="3"/>
        <v>2.9925825701839086E-2</v>
      </c>
      <c r="W17" s="194"/>
      <c r="Y17" s="190">
        <f t="shared" si="8"/>
        <v>1.5000000000000001E-4</v>
      </c>
      <c r="Z17" s="190">
        <v>1E-4</v>
      </c>
      <c r="AA17" s="190">
        <v>1.8379227424722101E-3</v>
      </c>
      <c r="AB17" s="276">
        <f t="shared" si="4"/>
        <v>4.0807944138871481E-3</v>
      </c>
      <c r="AD17" s="192">
        <f t="shared" si="5"/>
        <v>150</v>
      </c>
      <c r="AE17" s="176">
        <v>1.4999999999999999E-4</v>
      </c>
      <c r="AF17" s="278">
        <f t="shared" si="9"/>
        <v>2.7205296092580986E-3</v>
      </c>
    </row>
    <row r="18" spans="2:32">
      <c r="B18" s="179">
        <v>30</v>
      </c>
      <c r="C18" s="180" cm="1">
        <f t="array" ref="C18">_xlfn.IFNA(
   _xlfn._xlws.FILTER(
      Sim_Mul_Bet10!$F$2:$F$100,
      (Sim_Mul_Bet10!$A$2:$A$100=C$2) * (Sim_Mul_Bet10!$C$2:$C$100=$B18),0
   ),
   0
)</f>
        <v>1.0158700000000001E-3</v>
      </c>
      <c r="D18" s="181" cm="1">
        <f t="array" ref="D18">_xlfn.IFNA(
   _xlfn._xlws.FILTER(
      Sim_Mul_Bet10!$F$2:$F$100,
      (Sim_Mul_Bet10!$A$2:$A$100=D$2) * (Sim_Mul_Bet10!$C$2:$C$100=$B18),0
   ),
   0
)</f>
        <v>1.6379040000000001E-2</v>
      </c>
      <c r="E18" s="182" cm="1">
        <f t="array" ref="E18">_xlfn.IFNA(
   _xlfn._xlws.FILTER(
      Sim_Mul_Bet10!$F$2:$F$100,
      (Sim_Mul_Bet10!$A$2:$A$100=E$2) * (Sim_Mul_Bet10!$C$2:$C$100=$B18),0
   ),
   0
)</f>
        <v>0</v>
      </c>
      <c r="F18" s="183" cm="1">
        <f t="array" ref="F18">_xlfn.IFNA(
   _xlfn._xlws.FILTER(
      Sim_Mul_Bet10!$L$2:$L$100,
      (Sim_Mul_Bet10!$A$2:$A$100=F$2) * (Sim_Mul_Bet10!$C$2:$C$100=$B18),0
   ),
   0
)</f>
        <v>30.26433894100623</v>
      </c>
      <c r="G18" s="184" cm="1">
        <f t="array" ref="G18">_xlfn.IFNA(
   _xlfn._xlws.FILTER(
      Sim_Mul_Bet10!$L$2:$L$100,
      (Sim_Mul_Bet10!$A$2:$A$100=G$2) * (Sim_Mul_Bet10!$C$2:$C$100=$B18),0
   ),
   0
)</f>
        <v>30.903060435776457</v>
      </c>
      <c r="H18" s="185" cm="1">
        <f t="array" ref="H18">_xlfn.IFNA(
   _xlfn._xlws.FILTER(
      Sim_Mul_Bet10!$L$2:$L$100,
      (Sim_Mul_Bet10!$A$2:$A$100=H$2) * (Sim_Mul_Bet10!$C$2:$C$100=$B18),0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1.6379040000000001E-2</v>
      </c>
      <c r="N18" s="189">
        <f t="shared" si="6"/>
        <v>30.903060435776457</v>
      </c>
      <c r="O18" s="190">
        <f t="shared" si="7"/>
        <v>0</v>
      </c>
      <c r="P18" s="190">
        <v>0</v>
      </c>
      <c r="Q18" s="190">
        <v>0</v>
      </c>
      <c r="R18" s="191">
        <f t="shared" si="0"/>
        <v>0</v>
      </c>
      <c r="T18" s="192">
        <f t="shared" si="2"/>
        <v>0</v>
      </c>
      <c r="U18" s="176">
        <v>0</v>
      </c>
      <c r="V18" s="195">
        <f t="shared" si="3"/>
        <v>0</v>
      </c>
      <c r="W18" s="194"/>
      <c r="Y18" s="190">
        <f t="shared" si="8"/>
        <v>0</v>
      </c>
      <c r="Z18" s="190">
        <v>0</v>
      </c>
      <c r="AA18" s="190">
        <v>0</v>
      </c>
      <c r="AB18" s="276">
        <f t="shared" si="4"/>
        <v>0</v>
      </c>
      <c r="AD18" s="192">
        <f t="shared" si="5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Sim_Mul_Bet10!$F$2:$F$100,
      (Sim_Mul_Bet10!$A$2:$A$100=C$2) * (Sim_Mul_Bet10!$C$2:$C$100=$B19),0
   ),
   0
)</f>
        <v>1.095E-5</v>
      </c>
      <c r="D19" s="181" cm="1">
        <f t="array" ref="D19">_xlfn.IFNA(
   _xlfn._xlws.FILTER(
      Sim_Mul_Bet10!$F$2:$F$100,
      (Sim_Mul_Bet10!$A$2:$A$100=D$2) * (Sim_Mul_Bet10!$C$2:$C$100=$B19),0
   ),
   0
)</f>
        <v>3.1210299999999999E-3</v>
      </c>
      <c r="E19" s="182" cm="1">
        <f t="array" ref="E19">_xlfn.IFNA(
   _xlfn._xlws.FILTER(
      Sim_Mul_Bet10!$F$2:$F$100,
      (Sim_Mul_Bet10!$A$2:$A$100=E$2) * (Sim_Mul_Bet10!$C$2:$C$100=$B19),0
   ),
   0
)</f>
        <v>0</v>
      </c>
      <c r="F19" s="183" cm="1">
        <f t="array" ref="F19">_xlfn.IFNA(
   _xlfn._xlws.FILTER(
      Sim_Mul_Bet10!$L$2:$L$100,
      (Sim_Mul_Bet10!$A$2:$A$100=F$2) * (Sim_Mul_Bet10!$C$2:$C$100=$B19),0
   ),
   0
)</f>
        <v>39.441095890410956</v>
      </c>
      <c r="G19" s="184" cm="1">
        <f t="array" ref="G19">_xlfn.IFNA(
   _xlfn._xlws.FILTER(
      Sim_Mul_Bet10!$L$2:$L$100,
      (Sim_Mul_Bet10!$A$2:$A$100=G$2) * (Sim_Mul_Bet10!$C$2:$C$100=$B19),0
   ),
   0
)</f>
        <v>36.51612416413812</v>
      </c>
      <c r="H19" s="185" cm="1">
        <f t="array" ref="H19">_xlfn.IFNA(
   _xlfn._xlws.FILTER(
      Sim_Mul_Bet10!$L$2:$L$100,
      (Sim_Mul_Bet10!$A$2:$A$100=H$2) * (Sim_Mul_Bet10!$C$2:$C$100=$B19),0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3.1210299999999999E-3</v>
      </c>
      <c r="N19" s="189">
        <f t="shared" si="6"/>
        <v>36.51612416413812</v>
      </c>
      <c r="O19" s="190">
        <f t="shared" si="7"/>
        <v>0</v>
      </c>
      <c r="P19" s="190">
        <v>0</v>
      </c>
      <c r="Q19" s="190">
        <v>0</v>
      </c>
      <c r="R19" s="191">
        <f t="shared" si="0"/>
        <v>0</v>
      </c>
      <c r="T19" s="192">
        <f t="shared" si="2"/>
        <v>0</v>
      </c>
      <c r="U19" s="176">
        <v>0</v>
      </c>
      <c r="V19" s="195">
        <f t="shared" si="3"/>
        <v>0</v>
      </c>
      <c r="W19" s="194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Sim_Mul_Bet10!$F$2:$F$100,
      (Sim_Mul_Bet10!$A$2:$A$100=C$2) * (Sim_Mul_Bet10!$C$2:$C$100=$B20),0
   ),
   0
)</f>
        <v>2.1900000000000002E-6</v>
      </c>
      <c r="D20" s="181" cm="1">
        <f t="array" ref="D20">_xlfn.IFNA(
   _xlfn._xlws.FILTER(
      Sim_Mul_Bet10!$F$2:$F$100,
      (Sim_Mul_Bet10!$A$2:$A$100=D$2) * (Sim_Mul_Bet10!$C$2:$C$100=$B20),0
   ),
   0
)</f>
        <v>2.08347E-3</v>
      </c>
      <c r="E20" s="182" cm="1">
        <f t="array" ref="E20">_xlfn.IFNA(
   _xlfn._xlws.FILTER(
      Sim_Mul_Bet10!$F$2:$F$100,
      (Sim_Mul_Bet10!$A$2:$A$100=E$2) * (Sim_Mul_Bet10!$C$2:$C$100=$B20),0
   ),
   0
)</f>
        <v>0</v>
      </c>
      <c r="F20" s="183" cm="1">
        <f t="array" ref="F20">_xlfn.IFNA(
   _xlfn._xlws.FILTER(
      Sim_Mul_Bet10!$L$2:$L$100,
      (Sim_Mul_Bet10!$A$2:$A$100=F$2) * (Sim_Mul_Bet10!$C$2:$C$100=$B20),0
   ),
   0
)</f>
        <v>40.472146118721454</v>
      </c>
      <c r="G20" s="184" cm="1">
        <f t="array" ref="G20">_xlfn.IFNA(
   _xlfn._xlws.FILTER(
      Sim_Mul_Bet10!$L$2:$L$100,
      (Sim_Mul_Bet10!$A$2:$A$100=G$2) * (Sim_Mul_Bet10!$C$2:$C$100=$B20),0
   ),
   0
)</f>
        <v>40.709710243008054</v>
      </c>
      <c r="H20" s="185" cm="1">
        <f t="array" ref="H20">_xlfn.IFNA(
   _xlfn._xlws.FILTER(
      Sim_Mul_Bet10!$L$2:$L$100,
      (Sim_Mul_Bet10!$A$2:$A$100=H$2) * (Sim_Mul_Bet10!$C$2:$C$100=$B20),0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2.08347E-3</v>
      </c>
      <c r="N20" s="189">
        <f t="shared" si="6"/>
        <v>40.709710243008054</v>
      </c>
      <c r="O20" s="190">
        <f t="shared" si="7"/>
        <v>0</v>
      </c>
      <c r="P20" s="190">
        <v>0</v>
      </c>
      <c r="Q20" s="190">
        <v>0</v>
      </c>
      <c r="R20" s="191">
        <f t="shared" si="0"/>
        <v>0</v>
      </c>
      <c r="T20" s="192">
        <f t="shared" si="2"/>
        <v>0</v>
      </c>
      <c r="U20" s="176">
        <v>0</v>
      </c>
      <c r="V20" s="195">
        <f t="shared" si="3"/>
        <v>0</v>
      </c>
      <c r="W20" s="194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Sim_Mul_Bet10!$F$2:$F$100,
      (Sim_Mul_Bet10!$A$2:$A$100=C$2) * (Sim_Mul_Bet10!$C$2:$C$100=$B21),0
   ),
   0
)</f>
        <v>2.9633300000000001E-3</v>
      </c>
      <c r="D21" s="181" cm="1">
        <f t="array" ref="D21">_xlfn.IFNA(
   _xlfn._xlws.FILTER(
      Sim_Mul_Bet10!$F$2:$F$100,
      (Sim_Mul_Bet10!$A$2:$A$100=D$2) * (Sim_Mul_Bet10!$C$2:$C$100=$B21),0
   ),
   0
)</f>
        <v>2.1039229999999999E-2</v>
      </c>
      <c r="E21" s="182" cm="1">
        <f t="array" ref="E21">_xlfn.IFNA(
   _xlfn._xlws.FILTER(
      Sim_Mul_Bet10!$F$2:$F$100,
      (Sim_Mul_Bet10!$A$2:$A$100=E$2) * (Sim_Mul_Bet10!$C$2:$C$100=$B21),0
   ),
   0
)</f>
        <v>0</v>
      </c>
      <c r="F21" s="183" cm="1">
        <f t="array" ref="F21">_xlfn.IFNA(
   _xlfn._xlws.FILTER(
      Sim_Mul_Bet10!$L$2:$L$100,
      (Sim_Mul_Bet10!$A$2:$A$100=F$2) * (Sim_Mul_Bet10!$C$2:$C$100=$B21),0
   ),
   0
)</f>
        <v>49.999984814381115</v>
      </c>
      <c r="G21" s="184" cm="1">
        <f t="array" ref="G21">_xlfn.IFNA(
   _xlfn._xlws.FILTER(
      Sim_Mul_Bet10!$L$2:$L$100,
      (Sim_Mul_Bet10!$A$2:$A$100=G$2) * (Sim_Mul_Bet10!$C$2:$C$100=$B21),0
   ),
   0
)</f>
        <v>49.94841484217816</v>
      </c>
      <c r="H21" s="185" cm="1">
        <f t="array" ref="H21">_xlfn.IFNA(
   _xlfn._xlws.FILTER(
      Sim_Mul_Bet10!$L$2:$L$100,
      (Sim_Mul_Bet10!$A$2:$A$100=H$2) * (Sim_Mul_Bet10!$C$2:$C$100=$B21),0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2.1039229999999999E-2</v>
      </c>
      <c r="N21" s="189">
        <f t="shared" si="6"/>
        <v>49.94841484217816</v>
      </c>
      <c r="O21" s="190">
        <f t="shared" si="7"/>
        <v>2.6099999999999999E-3</v>
      </c>
      <c r="P21" s="190">
        <v>1.74E-3</v>
      </c>
      <c r="Q21" s="190">
        <v>1.78394556941869E-3</v>
      </c>
      <c r="R21" s="191">
        <f t="shared" si="0"/>
        <v>0.13036536273808499</v>
      </c>
      <c r="T21" s="192">
        <f t="shared" si="2"/>
        <v>2610</v>
      </c>
      <c r="U21" s="176">
        <v>2.6099999999999999E-3</v>
      </c>
      <c r="V21" s="195">
        <f t="shared" si="3"/>
        <v>8.6910241825389992E-2</v>
      </c>
      <c r="W21" s="194"/>
      <c r="Y21" s="190">
        <f t="shared" si="8"/>
        <v>7.4999999999999997E-3</v>
      </c>
      <c r="Z21" s="190">
        <v>5.0000000000000001E-3</v>
      </c>
      <c r="AA21" s="190">
        <v>1.78394556941869E-3</v>
      </c>
      <c r="AB21" s="276">
        <f t="shared" si="4"/>
        <v>0.37461311131633618</v>
      </c>
      <c r="AD21" s="192">
        <f t="shared" si="5"/>
        <v>7500</v>
      </c>
      <c r="AE21" s="176">
        <v>7.4999999999999997E-3</v>
      </c>
      <c r="AF21" s="278">
        <f t="shared" si="9"/>
        <v>0.24974207421089079</v>
      </c>
    </row>
    <row r="22" spans="2:32">
      <c r="B22" s="179">
        <v>50</v>
      </c>
      <c r="C22" s="180" cm="1">
        <f t="array" ref="C22">_xlfn.IFNA(
   _xlfn._xlws.FILTER(
      Sim_Mul_Bet10!$F$2:$F$100,
      (Sim_Mul_Bet10!$A$2:$A$100=C$2) * (Sim_Mul_Bet10!$C$2:$C$100=$B22),0
   ),
   0
)</f>
        <v>4.0454100000000002E-3</v>
      </c>
      <c r="D22" s="181" cm="1">
        <f t="array" ref="D22">_xlfn.IFNA(
   _xlfn._xlws.FILTER(
      Sim_Mul_Bet10!$F$2:$F$100,
      (Sim_Mul_Bet10!$A$2:$A$100=D$2) * (Sim_Mul_Bet10!$C$2:$C$100=$B22),0
   ),
   0
)</f>
        <v>6.427882E-2</v>
      </c>
      <c r="E22" s="182" cm="1">
        <f t="array" ref="E22">_xlfn.IFNA(
   _xlfn._xlws.FILTER(
      Sim_Mul_Bet10!$F$2:$F$100,
      (Sim_Mul_Bet10!$A$2:$A$100=E$2) * (Sim_Mul_Bet10!$C$2:$C$100=$B22),0
   ),
   0
)</f>
        <v>0</v>
      </c>
      <c r="F22" s="183" cm="1">
        <f t="array" ref="F22">_xlfn.IFNA(
   _xlfn._xlws.FILTER(
      Sim_Mul_Bet10!$L$2:$L$100,
      (Sim_Mul_Bet10!$A$2:$A$100=F$2) * (Sim_Mul_Bet10!$C$2:$C$100=$B22),0
   ),
   0
)</f>
        <v>51.180834575481846</v>
      </c>
      <c r="G22" s="184" cm="1">
        <f t="array" ref="G22">_xlfn.IFNA(
   _xlfn._xlws.FILTER(
      Sim_Mul_Bet10!$L$2:$L$100,
      (Sim_Mul_Bet10!$A$2:$A$100=G$2) * (Sim_Mul_Bet10!$C$2:$C$100=$B22),0
   ),
   0
)</f>
        <v>52.700793138393024</v>
      </c>
      <c r="H22" s="185" cm="1">
        <f t="array" ref="H22">_xlfn.IFNA(
   _xlfn._xlws.FILTER(
      Sim_Mul_Bet10!$L$2:$L$100,
      (Sim_Mul_Bet10!$A$2:$A$100=H$2) * (Sim_Mul_Bet10!$C$2:$C$100=$B22),0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6.427882E-2</v>
      </c>
      <c r="N22" s="189">
        <f t="shared" si="6"/>
        <v>52.700793138393024</v>
      </c>
      <c r="O22" s="190">
        <f t="shared" si="7"/>
        <v>5.3699999999999998E-3</v>
      </c>
      <c r="P22" s="190">
        <v>3.5799999999999998E-3</v>
      </c>
      <c r="Q22" s="190">
        <v>3.58408429075344E-3</v>
      </c>
      <c r="R22" s="191">
        <f t="shared" si="0"/>
        <v>0.28300325915317054</v>
      </c>
      <c r="T22" s="192">
        <f t="shared" si="2"/>
        <v>5370</v>
      </c>
      <c r="U22" s="176">
        <v>5.3699999999999998E-3</v>
      </c>
      <c r="V22" s="195">
        <f t="shared" si="3"/>
        <v>0.18866883943544702</v>
      </c>
      <c r="W22" s="194"/>
      <c r="Y22" s="190">
        <f t="shared" si="8"/>
        <v>1.5E-3</v>
      </c>
      <c r="Z22" s="190">
        <v>1E-3</v>
      </c>
      <c r="AA22" s="190">
        <v>3.58408429075344E-3</v>
      </c>
      <c r="AB22" s="276">
        <f t="shared" si="4"/>
        <v>7.9051189707589536E-2</v>
      </c>
      <c r="AD22" s="192">
        <f t="shared" si="5"/>
        <v>1500</v>
      </c>
      <c r="AE22" s="176">
        <v>1.5E-3</v>
      </c>
      <c r="AF22" s="278">
        <f t="shared" si="9"/>
        <v>5.2700793138393022E-2</v>
      </c>
    </row>
    <row r="23" spans="2:32">
      <c r="B23" s="179">
        <v>60</v>
      </c>
      <c r="C23" s="180" cm="1">
        <f t="array" ref="C23">_xlfn.IFNA(
   _xlfn._xlws.FILTER(
      Sim_Mul_Bet10!$F$2:$F$100,
      (Sim_Mul_Bet10!$A$2:$A$100=C$2) * (Sim_Mul_Bet10!$C$2:$C$100=$B23),0
   ),
   0
)</f>
        <v>1.0730000000000001E-5</v>
      </c>
      <c r="D23" s="181" cm="1">
        <f t="array" ref="D23">_xlfn.IFNA(
   _xlfn._xlws.FILTER(
      Sim_Mul_Bet10!$F$2:$F$100,
      (Sim_Mul_Bet10!$A$2:$A$100=D$2) * (Sim_Mul_Bet10!$C$2:$C$100=$B23),0
   ),
   0
)</f>
        <v>7.7030099999999997E-3</v>
      </c>
      <c r="E23" s="182" cm="1">
        <f t="array" ref="E23">_xlfn.IFNA(
   _xlfn._xlws.FILTER(
      Sim_Mul_Bet10!$F$2:$F$100,
      (Sim_Mul_Bet10!$A$2:$A$100=E$2) * (Sim_Mul_Bet10!$C$2:$C$100=$B23),0
   ),
   0
)</f>
        <v>0</v>
      </c>
      <c r="F23" s="183" cm="1">
        <f t="array" ref="F23">_xlfn.IFNA(
   _xlfn._xlws.FILTER(
      Sim_Mul_Bet10!$L$2:$L$100,
      (Sim_Mul_Bet10!$A$2:$A$100=F$2) * (Sim_Mul_Bet10!$C$2:$C$100=$B23),0
   ),
   0
)</f>
        <v>61.370083876980438</v>
      </c>
      <c r="G23" s="184" cm="1">
        <f t="array" ref="G23">_xlfn.IFNA(
   _xlfn._xlws.FILTER(
      Sim_Mul_Bet10!$L$2:$L$100,
      (Sim_Mul_Bet10!$A$2:$A$100=G$2) * (Sim_Mul_Bet10!$C$2:$C$100=$B23),0
   ),
   0
)</f>
        <v>62.467262277992631</v>
      </c>
      <c r="H23" s="185" cm="1">
        <f t="array" ref="H23">_xlfn.IFNA(
   _xlfn._xlws.FILTER(
      Sim_Mul_Bet10!$L$2:$L$100,
      (Sim_Mul_Bet10!$A$2:$A$100=H$2) * (Sim_Mul_Bet10!$C$2:$C$100=$B23),0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7.7030099999999997E-3</v>
      </c>
      <c r="N23" s="189">
        <f t="shared" si="6"/>
        <v>62.467262277992631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Sim_Mul_Bet10!$F$2:$F$100,
      (Sim_Mul_Bet10!$A$2:$A$100=C$2) * (Sim_Mul_Bet10!$C$2:$C$100=$B24),0
   ),
   0
)</f>
        <v>1.023E-5</v>
      </c>
      <c r="D24" s="181" cm="1">
        <f t="array" ref="D24">_xlfn.IFNA(
   _xlfn._xlws.FILTER(
      Sim_Mul_Bet10!$F$2:$F$100,
      (Sim_Mul_Bet10!$A$2:$A$100=D$2) * (Sim_Mul_Bet10!$C$2:$C$100=$B24),0
   ),
   0
)</f>
        <v>4.1434000000000002E-3</v>
      </c>
      <c r="E24" s="182" cm="1">
        <f t="array" ref="E24">_xlfn.IFNA(
   _xlfn._xlws.FILTER(
      Sim_Mul_Bet10!$F$2:$F$100,
      (Sim_Mul_Bet10!$A$2:$A$100=E$2) * (Sim_Mul_Bet10!$C$2:$C$100=$B24),0
   ),
   0
)</f>
        <v>0</v>
      </c>
      <c r="F24" s="183" cm="1">
        <f t="array" ref="F24">_xlfn.IFNA(
   _xlfn._xlws.FILTER(
      Sim_Mul_Bet10!$L$2:$L$100,
      (Sim_Mul_Bet10!$A$2:$A$100=F$2) * (Sim_Mul_Bet10!$C$2:$C$100=$B24),0
   ),
   0
)</f>
        <v>75.250244379276637</v>
      </c>
      <c r="G24" s="184" cm="1">
        <f t="array" ref="G24">_xlfn.IFNA(
   _xlfn._xlws.FILTER(
      Sim_Mul_Bet10!$L$2:$L$100,
      (Sim_Mul_Bet10!$A$2:$A$100=G$2) * (Sim_Mul_Bet10!$C$2:$C$100=$B24),0
   ),
   0
)</f>
        <v>74.884634599604198</v>
      </c>
      <c r="H24" s="185" cm="1">
        <f t="array" ref="H24">_xlfn.IFNA(
   _xlfn._xlws.FILTER(
      Sim_Mul_Bet10!$L$2:$L$100,
      (Sim_Mul_Bet10!$A$2:$A$100=H$2) * (Sim_Mul_Bet10!$C$2:$C$100=$B24),0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4.1434000000000002E-3</v>
      </c>
      <c r="N24" s="189">
        <f t="shared" si="6"/>
        <v>74.884634599604198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Sim_Mul_Bet10!$F$2:$F$100,
      (Sim_Mul_Bet10!$A$2:$A$100=C$2) * (Sim_Mul_Bet10!$C$2:$C$100=$B25),0
   ),
   0
)</f>
        <v>2E-8</v>
      </c>
      <c r="D25" s="181" cm="1">
        <f t="array" ref="D25">_xlfn.IFNA(
   _xlfn._xlws.FILTER(
      Sim_Mul_Bet10!$F$2:$F$100,
      (Sim_Mul_Bet10!$A$2:$A$100=D$2) * (Sim_Mul_Bet10!$C$2:$C$100=$B25),0
   ),
   0
)</f>
        <v>9.2396999999999998E-4</v>
      </c>
      <c r="E25" s="182" cm="1">
        <f t="array" ref="E25">_xlfn.IFNA(
   _xlfn._xlws.FILTER(
      Sim_Mul_Bet10!$F$2:$F$100,
      (Sim_Mul_Bet10!$A$2:$A$100=E$2) * (Sim_Mul_Bet10!$C$2:$C$100=$B25),0
   ),
   0
)</f>
        <v>0</v>
      </c>
      <c r="F25" s="183" cm="1">
        <f t="array" ref="F25">_xlfn.IFNA(
   _xlfn._xlws.FILTER(
      Sim_Mul_Bet10!$L$2:$L$100,
      (Sim_Mul_Bet10!$A$2:$A$100=F$2) * (Sim_Mul_Bet10!$C$2:$C$100=$B25),0
   ),
   0
)</f>
        <v>80.55</v>
      </c>
      <c r="G25" s="184" cm="1">
        <f t="array" ref="G25">_xlfn.IFNA(
   _xlfn._xlws.FILTER(
      Sim_Mul_Bet10!$L$2:$L$100,
      (Sim_Mul_Bet10!$A$2:$A$100=G$2) * (Sim_Mul_Bet10!$C$2:$C$100=$B25),0
   ),
   0
)</f>
        <v>82.481511304479596</v>
      </c>
      <c r="H25" s="185" cm="1">
        <f t="array" ref="H25">_xlfn.IFNA(
   _xlfn._xlws.FILTER(
      Sim_Mul_Bet10!$L$2:$L$100,
      (Sim_Mul_Bet10!$A$2:$A$100=H$2) * (Sim_Mul_Bet10!$C$2:$C$100=$B25),0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9.2396999999999998E-4</v>
      </c>
      <c r="N25" s="189">
        <f t="shared" si="6"/>
        <v>82.481511304479596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Sim_Mul_Bet10!$F$2:$F$100,
      (Sim_Mul_Bet10!$A$2:$A$100=C$2) * (Sim_Mul_Bet10!$C$2:$C$100=$B26),0
   ),
   0
)</f>
        <v>6.8543E-4</v>
      </c>
      <c r="D26" s="181" cm="1">
        <f t="array" ref="D26">_xlfn.IFNA(
   _xlfn._xlws.FILTER(
      Sim_Mul_Bet10!$F$2:$F$100,
      (Sim_Mul_Bet10!$A$2:$A$100=D$2) * (Sim_Mul_Bet10!$C$2:$C$100=$B26),0
   ),
   0
)</f>
        <v>1.35008E-2</v>
      </c>
      <c r="E26" s="182" cm="1">
        <f t="array" ref="E26">_xlfn.IFNA(
   _xlfn._xlws.FILTER(
      Sim_Mul_Bet10!$F$2:$F$100,
      (Sim_Mul_Bet10!$A$2:$A$100=E$2) * (Sim_Mul_Bet10!$C$2:$C$100=$B26),0
   ),
   0
)</f>
        <v>0</v>
      </c>
      <c r="F26" s="183" cm="1">
        <f t="array" ref="F26">_xlfn.IFNA(
   _xlfn._xlws.FILTER(
      Sim_Mul_Bet10!$L$2:$L$100,
      (Sim_Mul_Bet10!$A$2:$A$100=F$2) * (Sim_Mul_Bet10!$C$2:$C$100=$B26),0
   ),
   0
)</f>
        <v>100</v>
      </c>
      <c r="G26" s="184" cm="1">
        <f t="array" ref="G26">_xlfn.IFNA(
   _xlfn._xlws.FILTER(
      Sim_Mul_Bet10!$L$2:$L$100,
      (Sim_Mul_Bet10!$A$2:$A$100=G$2) * (Sim_Mul_Bet10!$C$2:$C$100=$B26),0
   ),
   0
)</f>
        <v>100</v>
      </c>
      <c r="H26" s="185" cm="1">
        <f t="array" ref="H26">_xlfn.IFNA(
   _xlfn._xlws.FILTER(
      Sim_Mul_Bet10!$L$2:$L$100,
      (Sim_Mul_Bet10!$A$2:$A$100=H$2) * (Sim_Mul_Bet10!$C$2:$C$100=$B26),0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1.35008E-2</v>
      </c>
      <c r="N26" s="189">
        <f t="shared" si="6"/>
        <v>100</v>
      </c>
      <c r="O26" s="190">
        <f t="shared" si="7"/>
        <v>1.0950000000000001E-4</v>
      </c>
      <c r="P26" s="190">
        <v>7.2999999999999999E-5</v>
      </c>
      <c r="Q26" s="190">
        <v>7.5568042274921904E-5</v>
      </c>
      <c r="R26" s="191">
        <f t="shared" si="0"/>
        <v>1.0950000000000001E-2</v>
      </c>
      <c r="T26" s="192">
        <f t="shared" si="2"/>
        <v>110</v>
      </c>
      <c r="U26" s="176">
        <v>1.1E-4</v>
      </c>
      <c r="V26" s="195">
        <f t="shared" si="3"/>
        <v>7.3333333333333341E-3</v>
      </c>
      <c r="W26" s="194"/>
      <c r="Y26" s="190">
        <f t="shared" si="8"/>
        <v>4.4999999999999999E-4</v>
      </c>
      <c r="Z26" s="190">
        <v>2.9999999999999997E-4</v>
      </c>
      <c r="AA26" s="190">
        <v>7.5568042274921904E-5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Sim_Mul_Bet10!$F$2:$F$100,
      (Sim_Mul_Bet10!$A$2:$A$100=C$2) * (Sim_Mul_Bet10!$C$2:$C$100=$B27),0
   ),
   0
)</f>
        <v>1.7362000000000001E-4</v>
      </c>
      <c r="D27" s="181" cm="1">
        <f t="array" ref="D27">_xlfn.IFNA(
   _xlfn._xlws.FILTER(
      Sim_Mul_Bet10!$F$2:$F$100,
      (Sim_Mul_Bet10!$A$2:$A$100=D$2) * (Sim_Mul_Bet10!$C$2:$C$100=$B27),0
   ),
   0
)</f>
        <v>6.4095399999999997E-2</v>
      </c>
      <c r="E27" s="182" cm="1">
        <f t="array" ref="E27">_xlfn.IFNA(
   _xlfn._xlws.FILTER(
      Sim_Mul_Bet10!$F$2:$F$100,
      (Sim_Mul_Bet10!$A$2:$A$100=E$2) * (Sim_Mul_Bet10!$C$2:$C$100=$B27),0
   ),
   0
)</f>
        <v>0</v>
      </c>
      <c r="F27" s="183" cm="1">
        <f t="array" ref="F27">_xlfn.IFNA(
   _xlfn._xlws.FILTER(
      Sim_Mul_Bet10!$L$2:$L$100,
      (Sim_Mul_Bet10!$A$2:$A$100=F$2) * (Sim_Mul_Bet10!$C$2:$C$100=$B27),0
   ),
   0
)</f>
        <v>102.82068886073031</v>
      </c>
      <c r="G27" s="184" cm="1">
        <f t="array" ref="G27">_xlfn.IFNA(
   _xlfn._xlws.FILTER(
      Sim_Mul_Bet10!$L$2:$L$100,
      (Sim_Mul_Bet10!$A$2:$A$100=G$2) * (Sim_Mul_Bet10!$C$2:$C$100=$B27),0
   ),
   0
)</f>
        <v>104.62661415639812</v>
      </c>
      <c r="H27" s="185" cm="1">
        <f t="array" ref="H27">_xlfn.IFNA(
   _xlfn._xlws.FILTER(
      Sim_Mul_Bet10!$L$2:$L$100,
      (Sim_Mul_Bet10!$A$2:$A$100=H$2) * (Sim_Mul_Bet10!$C$2:$C$100=$B27),0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6.4095399999999997E-2</v>
      </c>
      <c r="N27" s="189">
        <f t="shared" si="6"/>
        <v>104.62661415639812</v>
      </c>
      <c r="O27" s="190">
        <f t="shared" si="7"/>
        <v>1.5000000000000001E-4</v>
      </c>
      <c r="P27" s="190">
        <v>1E-4</v>
      </c>
      <c r="Q27" s="190">
        <v>1.06604916780693E-4</v>
      </c>
      <c r="R27" s="191">
        <f t="shared" si="0"/>
        <v>1.5693992123459719E-2</v>
      </c>
      <c r="T27" s="192">
        <f t="shared" si="2"/>
        <v>150</v>
      </c>
      <c r="U27" s="176">
        <v>1.4999999999999999E-4</v>
      </c>
      <c r="V27" s="195">
        <f t="shared" si="3"/>
        <v>1.0462661415639811E-2</v>
      </c>
      <c r="W27" s="194"/>
      <c r="Y27" s="190">
        <f t="shared" si="8"/>
        <v>2.2499999999999999E-4</v>
      </c>
      <c r="Z27" s="190">
        <v>1.4999999999999999E-4</v>
      </c>
      <c r="AA27" s="190">
        <v>1.06604916780693E-4</v>
      </c>
      <c r="AB27" s="276">
        <f t="shared" si="4"/>
        <v>2.3540988185189578E-2</v>
      </c>
      <c r="AD27" s="192">
        <f t="shared" si="5"/>
        <v>225</v>
      </c>
      <c r="AE27" s="176">
        <v>2.2499999999999999E-4</v>
      </c>
      <c r="AF27" s="278">
        <f t="shared" si="9"/>
        <v>1.5693992123459719E-2</v>
      </c>
    </row>
    <row r="28" spans="2:32">
      <c r="B28" s="179">
        <v>120</v>
      </c>
      <c r="C28" s="180" cm="1">
        <f t="array" ref="C28">_xlfn.IFNA(
   _xlfn._xlws.FILTER(
      Sim_Mul_Bet10!$F$2:$F$100,
      (Sim_Mul_Bet10!$A$2:$A$100=C$2) * (Sim_Mul_Bet10!$C$2:$C$100=$B28),0
   ),
   0
)</f>
        <v>1E-8</v>
      </c>
      <c r="D28" s="181" cm="1">
        <f t="array" ref="D28">_xlfn.IFNA(
   _xlfn._xlws.FILTER(
      Sim_Mul_Bet10!$F$2:$F$100,
      (Sim_Mul_Bet10!$A$2:$A$100=D$2) * (Sim_Mul_Bet10!$C$2:$C$100=$B28),0
   ),
   0
)</f>
        <v>2.2824299999999998E-3</v>
      </c>
      <c r="E28" s="182" cm="1">
        <f t="array" ref="E28">_xlfn.IFNA(
   _xlfn._xlws.FILTER(
      Sim_Mul_Bet10!$F$2:$F$100,
      (Sim_Mul_Bet10!$A$2:$A$100=E$2) * (Sim_Mul_Bet10!$C$2:$C$100=$B28),0
   ),
   0
)</f>
        <v>0</v>
      </c>
      <c r="F28" s="183" cm="1">
        <f t="array" ref="F28">_xlfn.IFNA(
   _xlfn._xlws.FILTER(
      Sim_Mul_Bet10!$L$2:$L$100,
      (Sim_Mul_Bet10!$A$2:$A$100=F$2) * (Sim_Mul_Bet10!$C$2:$C$100=$B28),0
   ),
   0
)</f>
        <v>120.5</v>
      </c>
      <c r="G28" s="184" cm="1">
        <f t="array" ref="G28">_xlfn.IFNA(
   _xlfn._xlws.FILTER(
      Sim_Mul_Bet10!$L$2:$L$100,
      (Sim_Mul_Bet10!$A$2:$A$100=G$2) * (Sim_Mul_Bet10!$C$2:$C$100=$B28),0
   ),
   0
)</f>
        <v>126.58400520497892</v>
      </c>
      <c r="H28" s="185" cm="1">
        <f t="array" ref="H28">_xlfn.IFNA(
   _xlfn._xlws.FILTER(
      Sim_Mul_Bet10!$L$2:$L$100,
      (Sim_Mul_Bet10!$A$2:$A$100=H$2) * (Sim_Mul_Bet10!$C$2:$C$100=$B28),0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2.2824299999999998E-3</v>
      </c>
      <c r="N28" s="189">
        <f t="shared" si="6"/>
        <v>126.58400520497892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Sim_Mul_Bet10!$F$2:$F$100,
      (Sim_Mul_Bet10!$A$2:$A$100=C$2) * (Sim_Mul_Bet10!$C$2:$C$100=$B29),0
   ),
   0
)</f>
        <v>4.1400000000000002E-6</v>
      </c>
      <c r="D29" s="181" cm="1">
        <f t="array" ref="D29">_xlfn.IFNA(
   _xlfn._xlws.FILTER(
      Sim_Mul_Bet10!$F$2:$F$100,
      (Sim_Mul_Bet10!$A$2:$A$100=D$2) * (Sim_Mul_Bet10!$C$2:$C$100=$B29),0
   ),
   0
)</f>
        <v>5.65491E-3</v>
      </c>
      <c r="E29" s="182" cm="1">
        <f t="array" ref="E29">_xlfn.IFNA(
   _xlfn._xlws.FILTER(
      Sim_Mul_Bet10!$F$2:$F$100,
      (Sim_Mul_Bet10!$A$2:$A$100=E$2) * (Sim_Mul_Bet10!$C$2:$C$100=$B29),0
   ),
   0
)</f>
        <v>0</v>
      </c>
      <c r="F29" s="183" cm="1">
        <f t="array" ref="F29">_xlfn.IFNA(
   _xlfn._xlws.FILTER(
      Sim_Mul_Bet10!$L$2:$L$100,
      (Sim_Mul_Bet10!$A$2:$A$100=F$2) * (Sim_Mul_Bet10!$C$2:$C$100=$B29),0
   ),
   0
)</f>
        <v>150.40821256038649</v>
      </c>
      <c r="G29" s="184" cm="1">
        <f t="array" ref="G29">_xlfn.IFNA(
   _xlfn._xlws.FILTER(
      Sim_Mul_Bet10!$L$2:$L$100,
      (Sim_Mul_Bet10!$A$2:$A$100=G$2) * (Sim_Mul_Bet10!$C$2:$C$100=$B29),0
   ),
   0
)</f>
        <v>152.31609857628149</v>
      </c>
      <c r="H29" s="185" cm="1">
        <f t="array" ref="H29">_xlfn.IFNA(
   _xlfn._xlws.FILTER(
      Sim_Mul_Bet10!$L$2:$L$100,
      (Sim_Mul_Bet10!$A$2:$A$100=H$2) * (Sim_Mul_Bet10!$C$2:$C$100=$B29),0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5.65491E-3</v>
      </c>
      <c r="N29" s="189">
        <f t="shared" si="6"/>
        <v>152.31609857628149</v>
      </c>
      <c r="O29" s="190">
        <f t="shared" si="7"/>
        <v>2.0241439895068349E-6</v>
      </c>
      <c r="P29" s="190">
        <v>1.3494293263378899E-6</v>
      </c>
      <c r="Q29" s="190">
        <v>1.3494293263378899E-6</v>
      </c>
      <c r="R29" s="191">
        <f t="shared" si="0"/>
        <v>3.0830971543831075E-4</v>
      </c>
      <c r="T29" s="192">
        <f t="shared" si="2"/>
        <v>2</v>
      </c>
      <c r="U29" s="176">
        <v>1.9999999999999999E-6</v>
      </c>
      <c r="V29" s="195">
        <f t="shared" si="3"/>
        <v>2.03088131435042E-4</v>
      </c>
      <c r="W29" s="194"/>
      <c r="Y29" s="190">
        <f t="shared" si="8"/>
        <v>1.5E-6</v>
      </c>
      <c r="Z29" s="190">
        <v>9.9999999999999995E-7</v>
      </c>
      <c r="AA29" s="190">
        <v>1.3494293263378899E-6</v>
      </c>
      <c r="AB29" s="276">
        <f t="shared" si="4"/>
        <v>2.2847414786442225E-4</v>
      </c>
      <c r="AD29" s="192">
        <f t="shared" si="5"/>
        <v>2</v>
      </c>
      <c r="AE29" s="176">
        <v>1.9999999999999999E-6</v>
      </c>
      <c r="AF29" s="278">
        <f t="shared" si="9"/>
        <v>2.03088131435042E-4</v>
      </c>
    </row>
    <row r="30" spans="2:32">
      <c r="B30" s="179">
        <v>160</v>
      </c>
      <c r="C30" s="180" cm="1">
        <f t="array" ref="C30">_xlfn.IFNA(
   _xlfn._xlws.FILTER(
      Sim_Mul_Bet10!$F$2:$F$100,
      (Sim_Mul_Bet10!$A$2:$A$100=C$2) * (Sim_Mul_Bet10!$C$2:$C$100=$B30),0
   ),
   0
)</f>
        <v>0</v>
      </c>
      <c r="D30" s="181" cm="1">
        <f t="array" ref="D30">_xlfn.IFNA(
   _xlfn._xlws.FILTER(
      Sim_Mul_Bet10!$F$2:$F$100,
      (Sim_Mul_Bet10!$A$2:$A$100=D$2) * (Sim_Mul_Bet10!$C$2:$C$100=$B30),0
   ),
   0
)</f>
        <v>8.8529999999999994E-5</v>
      </c>
      <c r="E30" s="182" cm="1">
        <f t="array" ref="E30">_xlfn.IFNA(
   _xlfn._xlws.FILTER(
      Sim_Mul_Bet10!$F$2:$F$100,
      (Sim_Mul_Bet10!$A$2:$A$100=E$2) * (Sim_Mul_Bet10!$C$2:$C$100=$B30),0
   ),
   0
)</f>
        <v>0</v>
      </c>
      <c r="F30" s="183" cm="1">
        <f t="array" ref="F30">_xlfn.IFNA(
   _xlfn._xlws.FILTER(
      Sim_Mul_Bet10!$L$2:$L$100,
      (Sim_Mul_Bet10!$A$2:$A$100=F$2) * (Sim_Mul_Bet10!$C$2:$C$100=$B30),0
   ),
   0
)</f>
        <v>0</v>
      </c>
      <c r="G30" s="184" cm="1">
        <f t="array" ref="G30">_xlfn.IFNA(
   _xlfn._xlws.FILTER(
      Sim_Mul_Bet10!$L$2:$L$100,
      (Sim_Mul_Bet10!$A$2:$A$100=G$2) * (Sim_Mul_Bet10!$C$2:$C$100=$B30),0
   ),
   0
)</f>
        <v>160.44718174630069</v>
      </c>
      <c r="H30" s="185" cm="1">
        <f t="array" ref="H30">_xlfn.IFNA(
   _xlfn._xlws.FILTER(
      Sim_Mul_Bet10!$L$2:$L$100,
      (Sim_Mul_Bet10!$A$2:$A$100=H$2) * (Sim_Mul_Bet10!$C$2:$C$100=$B30),0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8.8529999999999994E-5</v>
      </c>
      <c r="N30" s="189">
        <f t="shared" si="6"/>
        <v>160.44718174630069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Sim_Mul_Bet10!$F$2:$F$100,
      (Sim_Mul_Bet10!$A$2:$A$100=C$2) * (Sim_Mul_Bet10!$C$2:$C$100=$B31),0
   ),
   0
)</f>
        <v>2.8569999999999999E-5</v>
      </c>
      <c r="D31" s="181" cm="1">
        <f t="array" ref="D31">_xlfn.IFNA(
   _xlfn._xlws.FILTER(
      Sim_Mul_Bet10!$F$2:$F$100,
      (Sim_Mul_Bet10!$A$2:$A$100=D$2) * (Sim_Mul_Bet10!$C$2:$C$100=$B31),0
   ),
   0
)</f>
        <v>6.5820899999999996E-3</v>
      </c>
      <c r="E31" s="182" cm="1">
        <f t="array" ref="E31">_xlfn.IFNA(
   _xlfn._xlws.FILTER(
      Sim_Mul_Bet10!$F$2:$F$100,
      (Sim_Mul_Bet10!$A$2:$A$100=E$2) * (Sim_Mul_Bet10!$C$2:$C$100=$B31),0
   ),
   0
)</f>
        <v>0</v>
      </c>
      <c r="F31" s="183" cm="1">
        <f t="array" ref="F31">_xlfn.IFNA(
   _xlfn._xlws.FILTER(
      Sim_Mul_Bet10!$L$2:$L$100,
      (Sim_Mul_Bet10!$A$2:$A$100=F$2) * (Sim_Mul_Bet10!$C$2:$C$100=$B31),0
   ),
   0
)</f>
        <v>200</v>
      </c>
      <c r="G31" s="184" cm="1">
        <f t="array" ref="G31">_xlfn.IFNA(
   _xlfn._xlws.FILTER(
      Sim_Mul_Bet10!$L$2:$L$100,
      (Sim_Mul_Bet10!$A$2:$A$100=G$2) * (Sim_Mul_Bet10!$C$2:$C$100=$B31),0
   ),
   0
)</f>
        <v>200</v>
      </c>
      <c r="H31" s="185" cm="1">
        <f t="array" ref="H31">_xlfn.IFNA(
   _xlfn._xlws.FILTER(
      Sim_Mul_Bet10!$L$2:$L$100,
      (Sim_Mul_Bet10!$A$2:$A$100=H$2) * (Sim_Mul_Bet10!$C$2:$C$100=$B31),0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6.5820899999999996E-3</v>
      </c>
      <c r="N31" s="189">
        <f t="shared" si="6"/>
        <v>200</v>
      </c>
      <c r="O31" s="190">
        <f t="shared" si="7"/>
        <v>5.0603599737670946E-5</v>
      </c>
      <c r="P31" s="190">
        <v>3.3735733158447298E-5</v>
      </c>
      <c r="Q31" s="190">
        <v>3.3735733158447298E-5</v>
      </c>
      <c r="R31" s="191">
        <f t="shared" si="0"/>
        <v>1.0120719947534189E-2</v>
      </c>
      <c r="T31" s="192">
        <f t="shared" si="2"/>
        <v>51</v>
      </c>
      <c r="U31" s="176">
        <v>5.1E-5</v>
      </c>
      <c r="V31" s="195">
        <f t="shared" si="3"/>
        <v>6.8000000000000005E-3</v>
      </c>
      <c r="W31" s="194"/>
      <c r="Y31" s="190">
        <f t="shared" si="8"/>
        <v>1.5000000000000001E-4</v>
      </c>
      <c r="Z31" s="190">
        <v>1E-4</v>
      </c>
      <c r="AA31" s="190">
        <v>3.3735733158447298E-5</v>
      </c>
      <c r="AB31" s="276">
        <f t="shared" si="4"/>
        <v>3.0000000000000002E-2</v>
      </c>
      <c r="AD31" s="192">
        <f t="shared" si="5"/>
        <v>150</v>
      </c>
      <c r="AE31" s="176">
        <v>1.4999999999999999E-4</v>
      </c>
      <c r="AF31" s="278">
        <f t="shared" si="9"/>
        <v>0.02</v>
      </c>
    </row>
    <row r="32" spans="2:32">
      <c r="B32" s="179">
        <v>200</v>
      </c>
      <c r="C32" s="180" cm="1">
        <f t="array" ref="C32">_xlfn.IFNA(
   _xlfn._xlws.FILTER(
      Sim_Mul_Bet10!$F$2:$F$100,
      (Sim_Mul_Bet10!$A$2:$A$100=C$2) * (Sim_Mul_Bet10!$C$2:$C$100=$B32),0
   ),
   0
)</f>
        <v>2.87E-5</v>
      </c>
      <c r="D32" s="181" cm="1">
        <f t="array" ref="D32">_xlfn.IFNA(
   _xlfn._xlws.FILTER(
      Sim_Mul_Bet10!$F$2:$F$100,
      (Sim_Mul_Bet10!$A$2:$A$100=D$2) * (Sim_Mul_Bet10!$C$2:$C$100=$B32),0
   ),
   0
)</f>
        <v>2.7157069999999998E-2</v>
      </c>
      <c r="E32" s="182" cm="1">
        <f t="array" ref="E32">_xlfn.IFNA(
   _xlfn._xlws.FILTER(
      Sim_Mul_Bet10!$F$2:$F$100,
      (Sim_Mul_Bet10!$A$2:$A$100=E$2) * (Sim_Mul_Bet10!$C$2:$C$100=$B32),0
   ),
   0
)</f>
        <v>0</v>
      </c>
      <c r="F32" s="183" cm="1">
        <f t="array" ref="F32">_xlfn.IFNA(
   _xlfn._xlws.FILTER(
      Sim_Mul_Bet10!$L$2:$L$100,
      (Sim_Mul_Bet10!$A$2:$A$100=F$2) * (Sim_Mul_Bet10!$C$2:$C$100=$B32),0
   ),
   0
)</f>
        <v>229.61466898954706</v>
      </c>
      <c r="G32" s="184" cm="1">
        <f t="array" ref="G32">_xlfn.IFNA(
   _xlfn._xlws.FILTER(
      Sim_Mul_Bet10!$L$2:$L$100,
      (Sim_Mul_Bet10!$A$2:$A$100=G$2) * (Sim_Mul_Bet10!$C$2:$C$100=$B32),0
   ),
   0
)</f>
        <v>205.52449642026917</v>
      </c>
      <c r="H32" s="185" cm="1">
        <f t="array" ref="H32">_xlfn.IFNA(
   _xlfn._xlws.FILTER(
      Sim_Mul_Bet10!$L$2:$L$100,
      (Sim_Mul_Bet10!$A$2:$A$100=H$2) * (Sim_Mul_Bet10!$C$2:$C$100=$B32),0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2.7157069999999998E-2</v>
      </c>
      <c r="N32" s="189">
        <f t="shared" si="6"/>
        <v>205.52449642026917</v>
      </c>
      <c r="O32" s="190">
        <f t="shared" si="7"/>
        <v>0</v>
      </c>
      <c r="P32" s="190">
        <v>0</v>
      </c>
      <c r="Q32" s="190">
        <v>0</v>
      </c>
      <c r="R32" s="191">
        <f t="shared" si="0"/>
        <v>0</v>
      </c>
      <c r="T32" s="192">
        <f t="shared" si="2"/>
        <v>0</v>
      </c>
      <c r="U32" s="176">
        <v>0</v>
      </c>
      <c r="V32" s="195">
        <f t="shared" si="3"/>
        <v>0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Sim_Mul_Bet10!$F$2:$F$100,
      (Sim_Mul_Bet10!$A$2:$A$100=C$2) * (Sim_Mul_Bet10!$C$2:$C$100=$B33),0
   ),
   0
)</f>
        <v>4.3900000000000003E-6</v>
      </c>
      <c r="D33" s="181" cm="1">
        <f t="array" ref="D33">_xlfn.IFNA(
   _xlfn._xlws.FILTER(
      Sim_Mul_Bet10!$F$2:$F$100,
      (Sim_Mul_Bet10!$A$2:$A$100=D$2) * (Sim_Mul_Bet10!$C$2:$C$100=$B33),0
   ),
   0
)</f>
        <v>8.4577599999999999E-3</v>
      </c>
      <c r="E33" s="182" cm="1">
        <f t="array" ref="E33">_xlfn.IFNA(
   _xlfn._xlws.FILTER(
      Sim_Mul_Bet10!$F$2:$F$100,
      (Sim_Mul_Bet10!$A$2:$A$100=E$2) * (Sim_Mul_Bet10!$C$2:$C$100=$B33),0
   ),
   0
)</f>
        <v>0</v>
      </c>
      <c r="F33" s="183" cm="1">
        <f t="array" ref="F33">_xlfn.IFNA(
   _xlfn._xlws.FILTER(
      Sim_Mul_Bet10!$L$2:$L$100,
      (Sim_Mul_Bet10!$A$2:$A$100=F$2) * (Sim_Mul_Bet10!$C$2:$C$100=$B33),0
   ),
   0
)</f>
        <v>259.3359908883827</v>
      </c>
      <c r="G33" s="184" cm="1">
        <f t="array" ref="G33">_xlfn.IFNA(
   _xlfn._xlws.FILTER(
      Sim_Mul_Bet10!$L$2:$L$100,
      (Sim_Mul_Bet10!$A$2:$A$100=G$2) * (Sim_Mul_Bet10!$C$2:$C$100=$B33),0
   ),
   0
)</f>
        <v>261.79597872249866</v>
      </c>
      <c r="H33" s="185" cm="1">
        <f t="array" ref="H33">_xlfn.IFNA(
   _xlfn._xlws.FILTER(
      Sim_Mul_Bet10!$L$2:$L$100,
      (Sim_Mul_Bet10!$A$2:$A$100=H$2) * (Sim_Mul_Bet10!$C$2:$C$100=$B33),0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8.4577599999999999E-3</v>
      </c>
      <c r="N33" s="189">
        <f t="shared" si="6"/>
        <v>261.79597872249866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Sim_Mul_Bet10!$F$2:$F$100,
      (Sim_Mul_Bet10!$A$2:$A$100=C$2) * (Sim_Mul_Bet10!$C$2:$C$100=$B34),0
   ),
   0
)</f>
        <v>0</v>
      </c>
      <c r="D34" s="181" cm="1">
        <f t="array" ref="D34">_xlfn.IFNA(
   _xlfn._xlws.FILTER(
      Sim_Mul_Bet10!$F$2:$F$100,
      (Sim_Mul_Bet10!$A$2:$A$100=D$2) * (Sim_Mul_Bet10!$C$2:$C$100=$B34),0
   ),
   0
)</f>
        <v>9.2772000000000004E-4</v>
      </c>
      <c r="E34" s="182" cm="1">
        <f t="array" ref="E34">_xlfn.IFNA(
   _xlfn._xlws.FILTER(
      Sim_Mul_Bet10!$F$2:$F$100,
      (Sim_Mul_Bet10!$A$2:$A$100=E$2) * (Sim_Mul_Bet10!$C$2:$C$100=$B34),0
   ),
   0
)</f>
        <v>0</v>
      </c>
      <c r="F34" s="183" cm="1">
        <f t="array" ref="F34">_xlfn.IFNA(
   _xlfn._xlws.FILTER(
      Sim_Mul_Bet10!$L$2:$L$100,
      (Sim_Mul_Bet10!$A$2:$A$100=F$2) * (Sim_Mul_Bet10!$C$2:$C$100=$B34),0
   ),
   0
)</f>
        <v>0</v>
      </c>
      <c r="G34" s="184" cm="1">
        <f t="array" ref="G34">_xlfn.IFNA(
   _xlfn._xlws.FILTER(
      Sim_Mul_Bet10!$L$2:$L$100,
      (Sim_Mul_Bet10!$A$2:$A$100=G$2) * (Sim_Mul_Bet10!$C$2:$C$100=$B34),0
   ),
   0
)</f>
        <v>302.46636916310956</v>
      </c>
      <c r="H34" s="185" cm="1">
        <f t="array" ref="H34">_xlfn.IFNA(
   _xlfn._xlws.FILTER(
      Sim_Mul_Bet10!$L$2:$L$100,
      (Sim_Mul_Bet10!$A$2:$A$100=H$2) * (Sim_Mul_Bet10!$C$2:$C$100=$B34),0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9.2772000000000004E-4</v>
      </c>
      <c r="N34" s="189">
        <f t="shared" si="6"/>
        <v>302.46636916310956</v>
      </c>
      <c r="O34" s="190">
        <f t="shared" si="7"/>
        <v>0</v>
      </c>
      <c r="P34" s="190">
        <v>0</v>
      </c>
      <c r="Q34" s="190">
        <v>0</v>
      </c>
      <c r="R34" s="191">
        <f t="shared" si="0"/>
        <v>0</v>
      </c>
      <c r="T34" s="192">
        <f t="shared" si="2"/>
        <v>0</v>
      </c>
      <c r="U34" s="176">
        <v>0</v>
      </c>
      <c r="V34" s="195">
        <f t="shared" si="3"/>
        <v>0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Sim_Mul_Bet10!$F$2:$F$100,
      (Sim_Mul_Bet10!$A$2:$A$100=C$2) * (Sim_Mul_Bet10!$C$2:$C$100=$B35),0
   ),
   0
)</f>
        <v>0</v>
      </c>
      <c r="D35" s="181" cm="1">
        <f t="array" ref="D35">_xlfn.IFNA(
   _xlfn._xlws.FILTER(
      Sim_Mul_Bet10!$F$2:$F$100,
      (Sim_Mul_Bet10!$A$2:$A$100=D$2) * (Sim_Mul_Bet10!$C$2:$C$100=$B35),0
   ),
   0
)</f>
        <v>0</v>
      </c>
      <c r="E35" s="182" cm="1">
        <f t="array" ref="E35">_xlfn.IFNA(
   _xlfn._xlws.FILTER(
      Sim_Mul_Bet10!$F$2:$F$100,
      (Sim_Mul_Bet10!$A$2:$A$100=E$2) * (Sim_Mul_Bet10!$C$2:$C$100=$B35),0
   ),
   0
)</f>
        <v>0</v>
      </c>
      <c r="F35" s="183" cm="1">
        <f t="array" ref="F35">_xlfn.IFNA(
   _xlfn._xlws.FILTER(
      Sim_Mul_Bet10!$L$2:$L$100,
      (Sim_Mul_Bet10!$A$2:$A$100=F$2) * (Sim_Mul_Bet10!$C$2:$C$100=$B35),0
   ),
   0
)</f>
        <v>0</v>
      </c>
      <c r="G35" s="184" cm="1">
        <f t="array" ref="G35">_xlfn.IFNA(
   _xlfn._xlws.FILTER(
      Sim_Mul_Bet10!$L$2:$L$100,
      (Sim_Mul_Bet10!$A$2:$A$100=G$2) * (Sim_Mul_Bet10!$C$2:$C$100=$B35),0
   ),
   0
)</f>
        <v>0</v>
      </c>
      <c r="H35" s="185" cm="1">
        <f t="array" ref="H35">_xlfn.IFNA(
   _xlfn._xlws.FILTER(
      Sim_Mul_Bet10!$L$2:$L$100,
      (Sim_Mul_Bet10!$A$2:$A$100=H$2) * (Sim_Mul_Bet10!$C$2:$C$100=$B35),0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Sim_Mul_Bet10!$F$2:$F$100,
      (Sim_Mul_Bet10!$A$2:$A$100=C$2) * (Sim_Mul_Bet10!$C$2:$C$100=$B36),0
   ),
   0
)</f>
        <v>0</v>
      </c>
      <c r="D36" s="181" cm="1">
        <f t="array" ref="D36">_xlfn.IFNA(
   _xlfn._xlws.FILTER(
      Sim_Mul_Bet10!$F$2:$F$100,
      (Sim_Mul_Bet10!$A$2:$A$100=D$2) * (Sim_Mul_Bet10!$C$2:$C$100=$B36),0
   ),
   0
)</f>
        <v>0</v>
      </c>
      <c r="E36" s="182" cm="1">
        <f t="array" ref="E36">_xlfn.IFNA(
   _xlfn._xlws.FILTER(
      Sim_Mul_Bet10!$F$2:$F$100,
      (Sim_Mul_Bet10!$A$2:$A$100=E$2) * (Sim_Mul_Bet10!$C$2:$C$100=$B36),0
   ),
   0
)</f>
        <v>0</v>
      </c>
      <c r="F36" s="183" cm="1">
        <f t="array" ref="F36">_xlfn.IFNA(
   _xlfn._xlws.FILTER(
      Sim_Mul_Bet10!$L$2:$L$100,
      (Sim_Mul_Bet10!$A$2:$A$100=F$2) * (Sim_Mul_Bet10!$C$2:$C$100=$B36),0
   ),
   0
)</f>
        <v>0</v>
      </c>
      <c r="G36" s="184" cm="1">
        <f t="array" ref="G36">_xlfn.IFNA(
   _xlfn._xlws.FILTER(
      Sim_Mul_Bet10!$L$2:$L$100,
      (Sim_Mul_Bet10!$A$2:$A$100=G$2) * (Sim_Mul_Bet10!$C$2:$C$100=$B36),0
   ),
   0
)</f>
        <v>0</v>
      </c>
      <c r="H36" s="185" cm="1">
        <f t="array" ref="H36">_xlfn.IFNA(
   _xlfn._xlws.FILTER(
      Sim_Mul_Bet10!$L$2:$L$100,
      (Sim_Mul_Bet10!$A$2:$A$100=H$2) * (Sim_Mul_Bet10!$C$2:$C$100=$B36),0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Sim_Mul_Bet10!$F$2:$F$100,
      (Sim_Mul_Bet10!$A$2:$A$100=C$2) * (Sim_Mul_Bet10!$C$2:$C$100=$B37),0
   ),
   0
)</f>
        <v>7.4000000000000003E-6</v>
      </c>
      <c r="D37" s="181" cm="1">
        <f t="array" ref="D37">_xlfn.IFNA(
   _xlfn._xlws.FILTER(
      Sim_Mul_Bet10!$F$2:$F$100,
      (Sim_Mul_Bet10!$A$2:$A$100=D$2) * (Sim_Mul_Bet10!$C$2:$C$100=$B37),0
   ),
   0
)</f>
        <v>1.84453E-3</v>
      </c>
      <c r="E37" s="182" cm="1">
        <f t="array" ref="E37">_xlfn.IFNA(
   _xlfn._xlws.FILTER(
      Sim_Mul_Bet10!$F$2:$F$100,
      (Sim_Mul_Bet10!$A$2:$A$100=E$2) * (Sim_Mul_Bet10!$C$2:$C$100=$B37),0
   ),
   0
)</f>
        <v>0</v>
      </c>
      <c r="F37" s="183" cm="1">
        <f t="array" ref="F37">_xlfn.IFNA(
   _xlfn._xlws.FILTER(
      Sim_Mul_Bet10!$L$2:$L$100,
      (Sim_Mul_Bet10!$A$2:$A$100=F$2) * (Sim_Mul_Bet10!$C$2:$C$100=$B37),0
   ),
   0
)</f>
        <v>500</v>
      </c>
      <c r="G37" s="184" cm="1">
        <f t="array" ref="G37">_xlfn.IFNA(
   _xlfn._xlws.FILTER(
      Sim_Mul_Bet10!$L$2:$L$100,
      (Sim_Mul_Bet10!$A$2:$A$100=G$2) * (Sim_Mul_Bet10!$C$2:$C$100=$B37),0
   ),
   0
)</f>
        <v>500</v>
      </c>
      <c r="H37" s="185" cm="1">
        <f t="array" ref="H37">_xlfn.IFNA(
   _xlfn._xlws.FILTER(
      Sim_Mul_Bet10!$L$2:$L$100,
      (Sim_Mul_Bet10!$A$2:$A$100=H$2) * (Sim_Mul_Bet10!$C$2:$C$100=$B37),0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1.84453E-3</v>
      </c>
      <c r="N37" s="189">
        <f t="shared" si="6"/>
        <v>500</v>
      </c>
      <c r="O37" s="190">
        <f t="shared" si="7"/>
        <v>0</v>
      </c>
      <c r="P37" s="190">
        <v>0</v>
      </c>
      <c r="Q37" s="190">
        <v>0</v>
      </c>
      <c r="R37" s="191">
        <f t="shared" si="0"/>
        <v>0</v>
      </c>
      <c r="T37" s="192">
        <f t="shared" si="2"/>
        <v>0</v>
      </c>
      <c r="U37" s="176">
        <v>0</v>
      </c>
      <c r="V37" s="195">
        <f t="shared" si="3"/>
        <v>0</v>
      </c>
      <c r="W37" s="194"/>
      <c r="Y37" s="190">
        <f t="shared" si="8"/>
        <v>0</v>
      </c>
      <c r="Z37" s="190">
        <v>0</v>
      </c>
      <c r="AA37" s="190">
        <v>0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Sim_Mul_Bet10!$F$2:$F$100,
      (Sim_Mul_Bet10!$A$2:$A$100=C$2) * (Sim_Mul_Bet10!$C$2:$C$100=$B38),0
   ),
   0
)</f>
        <v>1.7999999999999999E-6</v>
      </c>
      <c r="D38" s="181" cm="1">
        <f t="array" ref="D38">_xlfn.IFNA(
   _xlfn._xlws.FILTER(
      Sim_Mul_Bet10!$F$2:$F$100,
      (Sim_Mul_Bet10!$A$2:$A$100=D$2) * (Sim_Mul_Bet10!$C$2:$C$100=$B38),0
   ),
   0
)</f>
        <v>1.295867E-2</v>
      </c>
      <c r="E38" s="182" cm="1">
        <f t="array" ref="E38">_xlfn.IFNA(
   _xlfn._xlws.FILTER(
      Sim_Mul_Bet10!$F$2:$F$100,
      (Sim_Mul_Bet10!$A$2:$A$100=E$2) * (Sim_Mul_Bet10!$C$2:$C$100=$B38),0
   ),
   0
)</f>
        <v>0</v>
      </c>
      <c r="F38" s="183" cm="1">
        <f t="array" ref="F38">_xlfn.IFNA(
   _xlfn._xlws.FILTER(
      Sim_Mul_Bet10!$L$2:$L$100,
      (Sim_Mul_Bet10!$A$2:$A$100=F$2) * (Sim_Mul_Bet10!$C$2:$C$100=$B38),0
   ),
   0
)</f>
        <v>516.17222222222222</v>
      </c>
      <c r="G38" s="184" cm="1">
        <f t="array" ref="G38">_xlfn.IFNA(
   _xlfn._xlws.FILTER(
      Sim_Mul_Bet10!$L$2:$L$100,
      (Sim_Mul_Bet10!$A$2:$A$100=G$2) * (Sim_Mul_Bet10!$C$2:$C$100=$B38),0
   ),
   0
)</f>
        <v>513.64383729194435</v>
      </c>
      <c r="H38" s="185" cm="1">
        <f t="array" ref="H38">_xlfn.IFNA(
   _xlfn._xlws.FILTER(
      Sim_Mul_Bet10!$L$2:$L$100,
      (Sim_Mul_Bet10!$A$2:$A$100=H$2) * (Sim_Mul_Bet10!$C$2:$C$100=$B38),0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1.295867E-2</v>
      </c>
      <c r="N38" s="189">
        <f t="shared" si="6"/>
        <v>513.64383729194435</v>
      </c>
      <c r="O38" s="190">
        <f t="shared" si="7"/>
        <v>1.5E-6</v>
      </c>
      <c r="P38" s="190">
        <v>9.9999999999999995E-7</v>
      </c>
      <c r="Q38" s="190">
        <v>1.3494293263378899E-6</v>
      </c>
      <c r="R38" s="191">
        <f t="shared" si="0"/>
        <v>7.7046575593791656E-4</v>
      </c>
      <c r="T38" s="192">
        <f t="shared" si="2"/>
        <v>2</v>
      </c>
      <c r="U38" s="176">
        <v>1.9999999999999999E-6</v>
      </c>
      <c r="V38" s="195">
        <f t="shared" si="3"/>
        <v>6.8485844972259249E-4</v>
      </c>
      <c r="W38" s="194"/>
      <c r="Y38" s="190">
        <f t="shared" si="8"/>
        <v>6.0000000000000008E-5</v>
      </c>
      <c r="Z38" s="190">
        <v>4.0000000000000003E-5</v>
      </c>
      <c r="AA38" s="190">
        <v>1.3494293263378899E-6</v>
      </c>
      <c r="AB38" s="276">
        <f t="shared" si="4"/>
        <v>3.0818630237516666E-2</v>
      </c>
      <c r="AD38" s="192">
        <f t="shared" si="5"/>
        <v>60</v>
      </c>
      <c r="AE38" s="176">
        <v>6.0000000000000002E-5</v>
      </c>
      <c r="AF38" s="278">
        <f t="shared" si="9"/>
        <v>2.0545753491677775E-2</v>
      </c>
    </row>
    <row r="39" spans="2:32">
      <c r="B39" s="179">
        <v>550</v>
      </c>
      <c r="C39" s="180" cm="1">
        <f t="array" ref="C39">_xlfn.IFNA(
   _xlfn._xlws.FILTER(
      Sim_Mul_Bet10!$F$2:$F$100,
      (Sim_Mul_Bet10!$A$2:$A$100=C$2) * (Sim_Mul_Bet10!$C$2:$C$100=$B39),0
   ),
   0
)</f>
        <v>5.9999999999999995E-8</v>
      </c>
      <c r="D39" s="181" cm="1">
        <f t="array" ref="D39">_xlfn.IFNA(
   _xlfn._xlws.FILTER(
      Sim_Mul_Bet10!$F$2:$F$100,
      (Sim_Mul_Bet10!$A$2:$A$100=D$2) * (Sim_Mul_Bet10!$C$2:$C$100=$B39),0
   ),
   0
)</f>
        <v>1.8442E-3</v>
      </c>
      <c r="E39" s="182" cm="1">
        <f t="array" ref="E39">_xlfn.IFNA(
   _xlfn._xlws.FILTER(
      Sim_Mul_Bet10!$F$2:$F$100,
      (Sim_Mul_Bet10!$A$2:$A$100=E$2) * (Sim_Mul_Bet10!$C$2:$C$100=$B39),0
   ),
   0
)</f>
        <v>0</v>
      </c>
      <c r="F39" s="183" cm="1">
        <f t="array" ref="F39">_xlfn.IFNA(
   _xlfn._xlws.FILTER(
      Sim_Mul_Bet10!$L$2:$L$100,
      (Sim_Mul_Bet10!$A$2:$A$100=F$2) * (Sim_Mul_Bet10!$C$2:$C$100=$B39),0
   ),
   0
)</f>
        <v>555</v>
      </c>
      <c r="G39" s="184" cm="1">
        <f t="array" ref="G39">_xlfn.IFNA(
   _xlfn._xlws.FILTER(
      Sim_Mul_Bet10!$L$2:$L$100,
      (Sim_Mul_Bet10!$A$2:$A$100=G$2) * (Sim_Mul_Bet10!$C$2:$C$100=$B39),0
   ),
   0
)</f>
        <v>553.00093265372516</v>
      </c>
      <c r="H39" s="185" cm="1">
        <f t="array" ref="H39">_xlfn.IFNA(
   _xlfn._xlws.FILTER(
      Sim_Mul_Bet10!$L$2:$L$100,
      (Sim_Mul_Bet10!$A$2:$A$100=H$2) * (Sim_Mul_Bet10!$C$2:$C$100=$B39),0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1.8442E-3</v>
      </c>
      <c r="N39" s="189">
        <f t="shared" si="6"/>
        <v>553.00093265372516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Sim_Mul_Bet10!$F$2:$F$100,
      (Sim_Mul_Bet10!$A$2:$A$100=C$2) * (Sim_Mul_Bet10!$C$2:$C$100=$B40),0
   ),
   0
)</f>
        <v>0</v>
      </c>
      <c r="D40" s="181" cm="1">
        <f t="array" ref="D40">_xlfn.IFNA(
   _xlfn._xlws.FILTER(
      Sim_Mul_Bet10!$F$2:$F$100,
      (Sim_Mul_Bet10!$A$2:$A$100=D$2) * (Sim_Mul_Bet10!$C$2:$C$100=$B40),0
   ),
   0
)</f>
        <v>0</v>
      </c>
      <c r="E40" s="182" cm="1">
        <f t="array" ref="E40">_xlfn.IFNA(
   _xlfn._xlws.FILTER(
      Sim_Mul_Bet10!$F$2:$F$100,
      (Sim_Mul_Bet10!$A$2:$A$100=E$2) * (Sim_Mul_Bet10!$C$2:$C$100=$B40),0
   ),
   0
)</f>
        <v>0</v>
      </c>
      <c r="F40" s="183" cm="1">
        <f t="array" ref="F40">_xlfn.IFNA(
   _xlfn._xlws.FILTER(
      Sim_Mul_Bet10!$L$2:$L$100,
      (Sim_Mul_Bet10!$A$2:$A$100=F$2) * (Sim_Mul_Bet10!$C$2:$C$100=$B40),0
   ),
   0
)</f>
        <v>0</v>
      </c>
      <c r="G40" s="184" cm="1">
        <f t="array" ref="G40">_xlfn.IFNA(
   _xlfn._xlws.FILTER(
      Sim_Mul_Bet10!$L$2:$L$100,
      (Sim_Mul_Bet10!$A$2:$A$100=G$2) * (Sim_Mul_Bet10!$C$2:$C$100=$B40),0
   ),
   0
)</f>
        <v>0</v>
      </c>
      <c r="H40" s="185" cm="1">
        <f t="array" ref="H40">_xlfn.IFNA(
   _xlfn._xlws.FILTER(
      Sim_Mul_Bet10!$L$2:$L$100,
      (Sim_Mul_Bet10!$A$2:$A$100=H$2) * (Sim_Mul_Bet10!$C$2:$C$100=$B40),0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1.3494293263378899E-6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1.3494293263378899E-6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Sim_Mul_Bet10!$F$2:$F$100,
      (Sim_Mul_Bet10!$A$2:$A$100=C$2) * (Sim_Mul_Bet10!$C$2:$C$100=$B41),0
   ),
   0
)</f>
        <v>0</v>
      </c>
      <c r="D41" s="181" cm="1">
        <f t="array" ref="D41">_xlfn.IFNA(
   _xlfn._xlws.FILTER(
      Sim_Mul_Bet10!$F$2:$F$100,
      (Sim_Mul_Bet10!$A$2:$A$100=D$2) * (Sim_Mul_Bet10!$C$2:$C$100=$B41),0
   ),
   0
)</f>
        <v>0</v>
      </c>
      <c r="E41" s="182" cm="1">
        <f t="array" ref="E41">_xlfn.IFNA(
   _xlfn._xlws.FILTER(
      Sim_Mul_Bet10!$F$2:$F$100,
      (Sim_Mul_Bet10!$A$2:$A$100=E$2) * (Sim_Mul_Bet10!$C$2:$C$100=$B41),0
   ),
   0
)</f>
        <v>0</v>
      </c>
      <c r="F41" s="183" cm="1">
        <f t="array" ref="F41">_xlfn.IFNA(
   _xlfn._xlws.FILTER(
      Sim_Mul_Bet10!$L$2:$L$100,
      (Sim_Mul_Bet10!$A$2:$A$100=F$2) * (Sim_Mul_Bet10!$C$2:$C$100=$B41),0
   ),
   0
)</f>
        <v>0</v>
      </c>
      <c r="G41" s="184" cm="1">
        <f t="array" ref="G41">_xlfn.IFNA(
   _xlfn._xlws.FILTER(
      Sim_Mul_Bet10!$L$2:$L$100,
      (Sim_Mul_Bet10!$A$2:$A$100=G$2) * (Sim_Mul_Bet10!$C$2:$C$100=$B41),0
   ),
   0
)</f>
        <v>0</v>
      </c>
      <c r="H41" s="185" cm="1">
        <f t="array" ref="H41">_xlfn.IFNA(
   _xlfn._xlws.FILTER(
      Sim_Mul_Bet10!$L$2:$L$100,
      (Sim_Mul_Bet10!$A$2:$A$100=H$2) * (Sim_Mul_Bet10!$C$2:$C$100=$B41),0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Sim_Mul_Bet10!$F$2:$F$100,
      (Sim_Mul_Bet10!$A$2:$A$100=C$2) * (Sim_Mul_Bet10!$C$2:$C$100=$B42),0
   ),
   0
)</f>
        <v>0</v>
      </c>
      <c r="D42" s="181" cm="1">
        <f t="array" ref="D42">_xlfn.IFNA(
   _xlfn._xlws.FILTER(
      Sim_Mul_Bet10!$F$2:$F$100,
      (Sim_Mul_Bet10!$A$2:$A$100=D$2) * (Sim_Mul_Bet10!$C$2:$C$100=$B42),0
   ),
   0
)</f>
        <v>0</v>
      </c>
      <c r="E42" s="182" cm="1">
        <f t="array" ref="E42">_xlfn.IFNA(
   _xlfn._xlws.FILTER(
      Sim_Mul_Bet10!$F$2:$F$100,
      (Sim_Mul_Bet10!$A$2:$A$100=E$2) * (Sim_Mul_Bet10!$C$2:$C$100=$B42),0
   ),
   0
)</f>
        <v>0</v>
      </c>
      <c r="F42" s="183" cm="1">
        <f t="array" ref="F42">_xlfn.IFNA(
   _xlfn._xlws.FILTER(
      Sim_Mul_Bet10!$L$2:$L$100,
      (Sim_Mul_Bet10!$A$2:$A$100=F$2) * (Sim_Mul_Bet10!$C$2:$C$100=$B42),0
   ),
   0
)</f>
        <v>0</v>
      </c>
      <c r="G42" s="184" cm="1">
        <f t="array" ref="G42">_xlfn.IFNA(
   _xlfn._xlws.FILTER(
      Sim_Mul_Bet10!$L$2:$L$100,
      (Sim_Mul_Bet10!$A$2:$A$100=G$2) * (Sim_Mul_Bet10!$C$2:$C$100=$B42),0
   ),
   0
)</f>
        <v>0</v>
      </c>
      <c r="H42" s="185" cm="1">
        <f t="array" ref="H42">_xlfn.IFNA(
   _xlfn._xlws.FILTER(
      Sim_Mul_Bet10!$L$2:$L$100,
      (Sim_Mul_Bet10!$A$2:$A$100=H$2) * (Sim_Mul_Bet10!$C$2:$C$100=$B42),0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Sim_Mul_Bet10!$F$2:$F$100,
      (Sim_Mul_Bet10!$A$2:$A$100=C$2) * (Sim_Mul_Bet10!$C$2:$C$100=$B43),0
   ),
   0
)</f>
        <v>0</v>
      </c>
      <c r="D43" s="181" cm="1">
        <f t="array" ref="D43">_xlfn.IFNA(
   _xlfn._xlws.FILTER(
      Sim_Mul_Bet10!$F$2:$F$100,
      (Sim_Mul_Bet10!$A$2:$A$100=D$2) * (Sim_Mul_Bet10!$C$2:$C$100=$B43),0
   ),
   0
)</f>
        <v>0</v>
      </c>
      <c r="E43" s="182" cm="1">
        <f t="array" ref="E43">_xlfn.IFNA(
   _xlfn._xlws.FILTER(
      Sim_Mul_Bet10!$F$2:$F$100,
      (Sim_Mul_Bet10!$A$2:$A$100=E$2) * (Sim_Mul_Bet10!$C$2:$C$100=$B43),0
   ),
   0
)</f>
        <v>0</v>
      </c>
      <c r="F43" s="183" cm="1">
        <f t="array" ref="F43">_xlfn.IFNA(
   _xlfn._xlws.FILTER(
      Sim_Mul_Bet10!$L$2:$L$100,
      (Sim_Mul_Bet10!$A$2:$A$100=F$2) * (Sim_Mul_Bet10!$C$2:$C$100=$B43),0
   ),
   0
)</f>
        <v>0</v>
      </c>
      <c r="G43" s="184" cm="1">
        <f t="array" ref="G43">_xlfn.IFNA(
   _xlfn._xlws.FILTER(
      Sim_Mul_Bet10!$L$2:$L$100,
      (Sim_Mul_Bet10!$A$2:$A$100=G$2) * (Sim_Mul_Bet10!$C$2:$C$100=$B43),0
   ),
   0
)</f>
        <v>0</v>
      </c>
      <c r="H43" s="185" cm="1">
        <f t="array" ref="H43">_xlfn.IFNA(
   _xlfn._xlws.FILTER(
      Sim_Mul_Bet10!$L$2:$L$100,
      (Sim_Mul_Bet10!$A$2:$A$100=H$2) * (Sim_Mul_Bet10!$C$2:$C$100=$B43),0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1.3494293263378899E-6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1.3494293263378899E-6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Sim_Mul_Bet10!$F$2:$F$100,
      (Sim_Mul_Bet10!$A$2:$A$100=C$2) * (Sim_Mul_Bet10!$C$2:$C$100=$B44),0
   ),
   0
)</f>
        <v>0</v>
      </c>
      <c r="D44" s="181" cm="1">
        <f t="array" ref="D44">_xlfn.IFNA(
   _xlfn._xlws.FILTER(
      Sim_Mul_Bet10!$F$2:$F$100,
      (Sim_Mul_Bet10!$A$2:$A$100=D$2) * (Sim_Mul_Bet10!$C$2:$C$100=$B44),0
   ),
   0
)</f>
        <v>0</v>
      </c>
      <c r="E44" s="182" cm="1">
        <f t="array" ref="E44">_xlfn.IFNA(
   _xlfn._xlws.FILTER(
      Sim_Mul_Bet10!$F$2:$F$100,
      (Sim_Mul_Bet10!$A$2:$A$100=E$2) * (Sim_Mul_Bet10!$C$2:$C$100=$B44),0
   ),
   0
)</f>
        <v>0</v>
      </c>
      <c r="F44" s="183" cm="1">
        <f t="array" ref="F44">_xlfn.IFNA(
   _xlfn._xlws.FILTER(
      Sim_Mul_Bet10!$L$2:$L$100,
      (Sim_Mul_Bet10!$A$2:$A$100=F$2) * (Sim_Mul_Bet10!$C$2:$C$100=$B44),0
   ),
   0
)</f>
        <v>0</v>
      </c>
      <c r="G44" s="184" cm="1">
        <f t="array" ref="G44">_xlfn.IFNA(
   _xlfn._xlws.FILTER(
      Sim_Mul_Bet10!$L$2:$L$100,
      (Sim_Mul_Bet10!$A$2:$A$100=G$2) * (Sim_Mul_Bet10!$C$2:$C$100=$B44),0
   ),
   0
)</f>
        <v>0</v>
      </c>
      <c r="H44" s="185" cm="1">
        <f t="array" ref="H44">_xlfn.IFNA(
   _xlfn._xlws.FILTER(
      Sim_Mul_Bet10!$L$2:$L$100,
      (Sim_Mul_Bet10!$A$2:$A$100=H$2) * (Sim_Mul_Bet10!$C$2:$C$100=$B44),0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Sim_Mul_Bet10!$F$2:$F$100,
      (Sim_Mul_Bet10!$A$2:$A$100=C$2) * (Sim_Mul_Bet10!$C$2:$C$100=$B45),0
   ),
   0
)</f>
        <v>0</v>
      </c>
      <c r="D45" s="181" cm="1">
        <f t="array" ref="D45">_xlfn.IFNA(
   _xlfn._xlws.FILTER(
      Sim_Mul_Bet10!$F$2:$F$100,
      (Sim_Mul_Bet10!$A$2:$A$100=D$2) * (Sim_Mul_Bet10!$C$2:$C$100=$B45),0
   ),
   0
)</f>
        <v>0</v>
      </c>
      <c r="E45" s="182" cm="1">
        <f t="array" ref="E45">_xlfn.IFNA(
   _xlfn._xlws.FILTER(
      Sim_Mul_Bet10!$F$2:$F$100,
      (Sim_Mul_Bet10!$A$2:$A$100=E$2) * (Sim_Mul_Bet10!$C$2:$C$100=$B45),0
   ),
   0
)</f>
        <v>0</v>
      </c>
      <c r="F45" s="183" cm="1">
        <f t="array" ref="F45">_xlfn.IFNA(
   _xlfn._xlws.FILTER(
      Sim_Mul_Bet10!$L$2:$L$100,
      (Sim_Mul_Bet10!$A$2:$A$100=F$2) * (Sim_Mul_Bet10!$C$2:$C$100=$B45),0
   ),
   0
)</f>
        <v>0</v>
      </c>
      <c r="G45" s="184" cm="1">
        <f t="array" ref="G45">_xlfn.IFNA(
   _xlfn._xlws.FILTER(
      Sim_Mul_Bet10!$L$2:$L$100,
      (Sim_Mul_Bet10!$A$2:$A$100=G$2) * (Sim_Mul_Bet10!$C$2:$C$100=$B45),0
   ),
   0
)</f>
        <v>0</v>
      </c>
      <c r="H45" s="185" cm="1">
        <f t="array" ref="H45">_xlfn.IFNA(
   _xlfn._xlws.FILTER(
      Sim_Mul_Bet10!$L$2:$L$100,
      (Sim_Mul_Bet10!$A$2:$A$100=H$2) * (Sim_Mul_Bet10!$C$2:$C$100=$B45),0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Sim_Mul_Bet10!$F$2:$F$100,
      (Sim_Mul_Bet10!$A$2:$A$100=C$2) * (Sim_Mul_Bet10!$C$2:$C$100=$B46),0
   ),
   0
)</f>
        <v>0</v>
      </c>
      <c r="D46" s="181" cm="1">
        <f t="array" ref="D46">_xlfn.IFNA(
   _xlfn._xlws.FILTER(
      Sim_Mul_Bet10!$F$2:$F$100,
      (Sim_Mul_Bet10!$A$2:$A$100=D$2) * (Sim_Mul_Bet10!$C$2:$C$100=$B46),0
   ),
   0
)</f>
        <v>0</v>
      </c>
      <c r="E46" s="182" cm="1">
        <f t="array" ref="E46">_xlfn.IFNA(
   _xlfn._xlws.FILTER(
      Sim_Mul_Bet10!$F$2:$F$100,
      (Sim_Mul_Bet10!$A$2:$A$100=E$2) * (Sim_Mul_Bet10!$C$2:$C$100=$B46),0
   ),
   0
)</f>
        <v>0</v>
      </c>
      <c r="F46" s="183" cm="1">
        <f t="array" ref="F46">_xlfn.IFNA(
   _xlfn._xlws.FILTER(
      Sim_Mul_Bet10!$L$2:$L$100,
      (Sim_Mul_Bet10!$A$2:$A$100=F$2) * (Sim_Mul_Bet10!$C$2:$C$100=$B46),0
   ),
   0
)</f>
        <v>0</v>
      </c>
      <c r="G46" s="184" cm="1">
        <f t="array" ref="G46">_xlfn.IFNA(
   _xlfn._xlws.FILTER(
      Sim_Mul_Bet10!$L$2:$L$100,
      (Sim_Mul_Bet10!$A$2:$A$100=G$2) * (Sim_Mul_Bet10!$C$2:$C$100=$B46),0
   ),
   0
)</f>
        <v>0</v>
      </c>
      <c r="H46" s="185" cm="1">
        <f t="array" ref="H46">_xlfn.IFNA(
   _xlfn._xlws.FILTER(
      Sim_Mul_Bet10!$L$2:$L$100,
      (Sim_Mul_Bet10!$A$2:$A$100=H$2) * (Sim_Mul_Bet10!$C$2:$C$100=$B46),0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Sim_Mul_Bet10!$F$2:$F$100,
      (Sim_Mul_Bet10!$A$2:$A$100=C$2) * (Sim_Mul_Bet10!$C$2:$C$100=$B47),0
   ),
   0
)</f>
        <v>3.7E-7</v>
      </c>
      <c r="D47" s="181" cm="1">
        <f t="array" ref="D47">_xlfn.IFNA(
   _xlfn._xlws.FILTER(
      Sim_Mul_Bet10!$F$2:$F$100,
      (Sim_Mul_Bet10!$A$2:$A$100=D$2) * (Sim_Mul_Bet10!$C$2:$C$100=$B47),0
   ),
   0
)</f>
        <v>9.2027999999999999E-4</v>
      </c>
      <c r="E47" s="182" cm="1">
        <f t="array" ref="E47">_xlfn.IFNA(
   _xlfn._xlws.FILTER(
      Sim_Mul_Bet10!$F$2:$F$100,
      (Sim_Mul_Bet10!$A$2:$A$100=E$2) * (Sim_Mul_Bet10!$C$2:$C$100=$B47),0
   ),
   0
)</f>
        <v>0</v>
      </c>
      <c r="F47" s="183" cm="1">
        <f t="array" ref="F47">_xlfn.IFNA(
   _xlfn._xlws.FILTER(
      Sim_Mul_Bet10!$L$2:$L$100,
      (Sim_Mul_Bet10!$A$2:$A$100=F$2) * (Sim_Mul_Bet10!$C$2:$C$100=$B47),0
   ),
   0
)</f>
        <v>1000</v>
      </c>
      <c r="G47" s="184" cm="1">
        <f t="array" ref="G47">_xlfn.IFNA(
   _xlfn._xlws.FILTER(
      Sim_Mul_Bet10!$L$2:$L$100,
      (Sim_Mul_Bet10!$A$2:$A$100=G$2) * (Sim_Mul_Bet10!$C$2:$C$100=$B47),0
   ),
   0
)</f>
        <v>1000</v>
      </c>
      <c r="H47" s="185" cm="1">
        <f t="array" ref="H47">_xlfn.IFNA(
   _xlfn._xlws.FILTER(
      Sim_Mul_Bet10!$L$2:$L$100,
      (Sim_Mul_Bet10!$A$2:$A$100=H$2) * (Sim_Mul_Bet10!$C$2:$C$100=$B47),0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9.2027999999999999E-4</v>
      </c>
      <c r="N47" s="189">
        <f t="shared" si="6"/>
        <v>1000</v>
      </c>
      <c r="O47" s="190">
        <f t="shared" si="7"/>
        <v>0</v>
      </c>
      <c r="P47" s="190">
        <v>0</v>
      </c>
      <c r="Q47" s="190">
        <v>0</v>
      </c>
      <c r="R47" s="191">
        <f t="shared" si="0"/>
        <v>0</v>
      </c>
      <c r="T47" s="192">
        <f t="shared" si="2"/>
        <v>0</v>
      </c>
      <c r="U47" s="176">
        <v>0</v>
      </c>
      <c r="V47" s="195">
        <f t="shared" si="3"/>
        <v>0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Sim_Mul_Bet10!$F$2:$F$100,
      (Sim_Mul_Bet10!$A$2:$A$100=C$2) * (Sim_Mul_Bet10!$C$2:$C$100=$B48),0
   ),
   0
)</f>
        <v>1.3E-7</v>
      </c>
      <c r="D48" s="181" cm="1">
        <f t="array" ref="D48">_xlfn.IFNA(
   _xlfn._xlws.FILTER(
      Sim_Mul_Bet10!$F$2:$F$100,
      (Sim_Mul_Bet10!$A$2:$A$100=D$2) * (Sim_Mul_Bet10!$C$2:$C$100=$B48),0
   ),
   0
)</f>
        <v>7.4152200000000001E-3</v>
      </c>
      <c r="E48" s="182" cm="1">
        <f t="array" ref="E48">_xlfn.IFNA(
   _xlfn._xlws.FILTER(
      Sim_Mul_Bet10!$F$2:$F$100,
      (Sim_Mul_Bet10!$A$2:$A$100=E$2) * (Sim_Mul_Bet10!$C$2:$C$100=$B48),0
   ),
   0
)</f>
        <v>0</v>
      </c>
      <c r="F48" s="183" cm="1">
        <f t="array" ref="F48">_xlfn.IFNA(
   _xlfn._xlws.FILTER(
      Sim_Mul_Bet10!$L$2:$L$100,
      (Sim_Mul_Bet10!$A$2:$A$100=F$2) * (Sim_Mul_Bet10!$C$2:$C$100=$B48),0
   ),
   0
)</f>
        <v>1023.6153846153845</v>
      </c>
      <c r="G48" s="184" cm="1">
        <f t="array" ref="G48">_xlfn.IFNA(
   _xlfn._xlws.FILTER(
      Sim_Mul_Bet10!$L$2:$L$100,
      (Sim_Mul_Bet10!$A$2:$A$100=G$2) * (Sim_Mul_Bet10!$C$2:$C$100=$B48),0
   ),
   0
)</f>
        <v>1024.7632733755709</v>
      </c>
      <c r="H48" s="185" cm="1">
        <f t="array" ref="H48">_xlfn.IFNA(
   _xlfn._xlws.FILTER(
      Sim_Mul_Bet10!$L$2:$L$100,
      (Sim_Mul_Bet10!$A$2:$A$100=H$2) * (Sim_Mul_Bet10!$C$2:$C$100=$B48),0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7.4152200000000001E-3</v>
      </c>
      <c r="N48" s="189">
        <f t="shared" si="6"/>
        <v>1024.7632733755709</v>
      </c>
      <c r="O48" s="190">
        <f t="shared" si="7"/>
        <v>0</v>
      </c>
      <c r="P48" s="190">
        <v>0</v>
      </c>
      <c r="Q48" s="190">
        <v>0</v>
      </c>
      <c r="R48" s="191">
        <f t="shared" si="0"/>
        <v>0</v>
      </c>
      <c r="T48" s="192">
        <f t="shared" si="2"/>
        <v>0</v>
      </c>
      <c r="U48" s="176">
        <v>0</v>
      </c>
      <c r="V48" s="195">
        <f t="shared" si="3"/>
        <v>0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Sim_Mul_Bet10!$F$2:$F$100,
      (Sim_Mul_Bet10!$A$2:$A$100=C$2) * (Sim_Mul_Bet10!$C$2:$C$100=$B49),0
   ),
   0
)</f>
        <v>0</v>
      </c>
      <c r="D49" s="181" cm="1">
        <f t="array" ref="D49">_xlfn.IFNA(
   _xlfn._xlws.FILTER(
      Sim_Mul_Bet10!$F$2:$F$100,
      (Sim_Mul_Bet10!$A$2:$A$100=D$2) * (Sim_Mul_Bet10!$C$2:$C$100=$B49),0
   ),
   0
)</f>
        <v>0</v>
      </c>
      <c r="E49" s="182" cm="1">
        <f t="array" ref="E49">_xlfn.IFNA(
   _xlfn._xlws.FILTER(
      Sim_Mul_Bet10!$F$2:$F$100,
      (Sim_Mul_Bet10!$A$2:$A$100=E$2) * (Sim_Mul_Bet10!$C$2:$C$100=$B49),0
   ),
   0
)</f>
        <v>0</v>
      </c>
      <c r="F49" s="183" cm="1">
        <f t="array" ref="F49">_xlfn.IFNA(
   _xlfn._xlws.FILTER(
      Sim_Mul_Bet10!$L$2:$L$100,
      (Sim_Mul_Bet10!$A$2:$A$100=F$2) * (Sim_Mul_Bet10!$C$2:$C$100=$B49),0
   ),
   0
)</f>
        <v>0</v>
      </c>
      <c r="G49" s="184" cm="1">
        <f t="array" ref="G49">_xlfn.IFNA(
   _xlfn._xlws.FILTER(
      Sim_Mul_Bet10!$L$2:$L$100,
      (Sim_Mul_Bet10!$A$2:$A$100=G$2) * (Sim_Mul_Bet10!$C$2:$C$100=$B49),0
   ),
   0
)</f>
        <v>0</v>
      </c>
      <c r="H49" s="185" cm="1">
        <f t="array" ref="H49">_xlfn.IFNA(
   _xlfn._xlws.FILTER(
      Sim_Mul_Bet10!$L$2:$L$100,
      (Sim_Mul_Bet10!$A$2:$A$100=H$2) * (Sim_Mul_Bet10!$C$2:$C$100=$B49),0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Sim_Mul_Bet10!$F$2:$F$100,
      (Sim_Mul_Bet10!$A$2:$A$100=C$2) * (Sim_Mul_Bet10!$C$2:$C$100=$B50),0
   ),
   0
)</f>
        <v>0</v>
      </c>
      <c r="D50" s="181" cm="1">
        <f t="array" ref="D50">_xlfn.IFNA(
   _xlfn._xlws.FILTER(
      Sim_Mul_Bet10!$F$2:$F$100,
      (Sim_Mul_Bet10!$A$2:$A$100=D$2) * (Sim_Mul_Bet10!$C$2:$C$100=$B50),0
   ),
   0
)</f>
        <v>0</v>
      </c>
      <c r="E50" s="182" cm="1">
        <f t="array" ref="E50">_xlfn.IFNA(
   _xlfn._xlws.FILTER(
      Sim_Mul_Bet10!$F$2:$F$100,
      (Sim_Mul_Bet10!$A$2:$A$100=E$2) * (Sim_Mul_Bet10!$C$2:$C$100=$B50),0
   ),
   0
)</f>
        <v>0</v>
      </c>
      <c r="F50" s="183" cm="1">
        <f t="array" ref="F50">_xlfn.IFNA(
   _xlfn._xlws.FILTER(
      Sim_Mul_Bet10!$L$2:$L$100,
      (Sim_Mul_Bet10!$A$2:$A$100=F$2) * (Sim_Mul_Bet10!$C$2:$C$100=$B50),0
   ),
   0
)</f>
        <v>0</v>
      </c>
      <c r="G50" s="184" cm="1">
        <f t="array" ref="G50">_xlfn.IFNA(
   _xlfn._xlws.FILTER(
      Sim_Mul_Bet10!$L$2:$L$100,
      (Sim_Mul_Bet10!$A$2:$A$100=G$2) * (Sim_Mul_Bet10!$C$2:$C$100=$B50),0
   ),
   0
)</f>
        <v>0</v>
      </c>
      <c r="H50" s="185" cm="1">
        <f t="array" ref="H50">_xlfn.IFNA(
   _xlfn._xlws.FILTER(
      Sim_Mul_Bet10!$L$2:$L$100,
      (Sim_Mul_Bet10!$A$2:$A$100=H$2) * (Sim_Mul_Bet10!$C$2:$C$100=$B50),0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Sim_Mul_Bet10!$F$2:$F$100,
      (Sim_Mul_Bet10!$A$2:$A$100=C$2) * (Sim_Mul_Bet10!$C$2:$C$100=$B51),0
   ),
   0
)</f>
        <v>0</v>
      </c>
      <c r="D51" s="181" cm="1">
        <f t="array" ref="D51">_xlfn.IFNA(
   _xlfn._xlws.FILTER(
      Sim_Mul_Bet10!$F$2:$F$100,
      (Sim_Mul_Bet10!$A$2:$A$100=D$2) * (Sim_Mul_Bet10!$C$2:$C$100=$B51),0
   ),
   0
)</f>
        <v>0</v>
      </c>
      <c r="E51" s="182" cm="1">
        <f t="array" ref="E51">_xlfn.IFNA(
   _xlfn._xlws.FILTER(
      Sim_Mul_Bet10!$F$2:$F$100,
      (Sim_Mul_Bet10!$A$2:$A$100=E$2) * (Sim_Mul_Bet10!$C$2:$C$100=$B51),0
   ),
   0
)</f>
        <v>0</v>
      </c>
      <c r="F51" s="183" cm="1">
        <f t="array" ref="F51">_xlfn.IFNA(
   _xlfn._xlws.FILTER(
      Sim_Mul_Bet10!$L$2:$L$100,
      (Sim_Mul_Bet10!$A$2:$A$100=F$2) * (Sim_Mul_Bet10!$C$2:$C$100=$B51),0
   ),
   0
)</f>
        <v>0</v>
      </c>
      <c r="G51" s="184" cm="1">
        <f t="array" ref="G51">_xlfn.IFNA(
   _xlfn._xlws.FILTER(
      Sim_Mul_Bet10!$L$2:$L$100,
      (Sim_Mul_Bet10!$A$2:$A$100=G$2) * (Sim_Mul_Bet10!$C$2:$C$100=$B51),0
   ),
   0
)</f>
        <v>0</v>
      </c>
      <c r="H51" s="185" cm="1">
        <f t="array" ref="H51">_xlfn.IFNA(
   _xlfn._xlws.FILTER(
      Sim_Mul_Bet10!$L$2:$L$100,
      (Sim_Mul_Bet10!$A$2:$A$100=H$2) * (Sim_Mul_Bet10!$C$2:$C$100=$B51),0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Sim_Mul_Bet10!$F$2:$F$100,
      (Sim_Mul_Bet10!$A$2:$A$100=C$2) * (Sim_Mul_Bet10!$C$2:$C$100=$B52),0
   ),
   0
)</f>
        <v>0</v>
      </c>
      <c r="D52" s="181" cm="1">
        <f t="array" ref="D52">_xlfn.IFNA(
   _xlfn._xlws.FILTER(
      Sim_Mul_Bet10!$F$2:$F$100,
      (Sim_Mul_Bet10!$A$2:$A$100=D$2) * (Sim_Mul_Bet10!$C$2:$C$100=$B52),0
   ),
   0
)</f>
        <v>0</v>
      </c>
      <c r="E52" s="182" cm="1">
        <f t="array" ref="E52">_xlfn.IFNA(
   _xlfn._xlws.FILTER(
      Sim_Mul_Bet10!$F$2:$F$100,
      (Sim_Mul_Bet10!$A$2:$A$100=E$2) * (Sim_Mul_Bet10!$C$2:$C$100=$B52),0
   ),
   0
)</f>
        <v>0</v>
      </c>
      <c r="F52" s="183" cm="1">
        <f t="array" ref="F52">_xlfn.IFNA(
   _xlfn._xlws.FILTER(
      Sim_Mul_Bet10!$L$2:$L$100,
      (Sim_Mul_Bet10!$A$2:$A$100=F$2) * (Sim_Mul_Bet10!$C$2:$C$100=$B52),0
   ),
   0
)</f>
        <v>0</v>
      </c>
      <c r="G52" s="184" cm="1">
        <f t="array" ref="G52">_xlfn.IFNA(
   _xlfn._xlws.FILTER(
      Sim_Mul_Bet10!$L$2:$L$100,
      (Sim_Mul_Bet10!$A$2:$A$100=G$2) * (Sim_Mul_Bet10!$C$2:$C$100=$B52),0
   ),
   0
)</f>
        <v>0</v>
      </c>
      <c r="H52" s="185" cm="1">
        <f t="array" ref="H52">_xlfn.IFNA(
   _xlfn._xlws.FILTER(
      Sim_Mul_Bet10!$L$2:$L$100,
      (Sim_Mul_Bet10!$A$2:$A$100=H$2) * (Sim_Mul_Bet10!$C$2:$C$100=$B52),0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Sim_Mul_Bet10!$F$2:$F$100,
      (Sim_Mul_Bet10!$A$2:$A$100=C$2) * (Sim_Mul_Bet10!$C$2:$C$100=$B53),0
   ),
   0
)</f>
        <v>0</v>
      </c>
      <c r="D53" s="181" cm="1">
        <f t="array" ref="D53">_xlfn.IFNA(
   _xlfn._xlws.FILTER(
      Sim_Mul_Bet10!$F$2:$F$100,
      (Sim_Mul_Bet10!$A$2:$A$100=D$2) * (Sim_Mul_Bet10!$C$2:$C$100=$B53),0
   ),
   0
)</f>
        <v>0</v>
      </c>
      <c r="E53" s="182" cm="1">
        <f t="array" ref="E53">_xlfn.IFNA(
   _xlfn._xlws.FILTER(
      Sim_Mul_Bet10!$F$2:$F$100,
      (Sim_Mul_Bet10!$A$2:$A$100=E$2) * (Sim_Mul_Bet10!$C$2:$C$100=$B53),0
   ),
   0
)</f>
        <v>0</v>
      </c>
      <c r="F53" s="183" cm="1">
        <f t="array" ref="F53">_xlfn.IFNA(
   _xlfn._xlws.FILTER(
      Sim_Mul_Bet10!$L$2:$L$100,
      (Sim_Mul_Bet10!$A$2:$A$100=F$2) * (Sim_Mul_Bet10!$C$2:$C$100=$B53),0
   ),
   0
)</f>
        <v>0</v>
      </c>
      <c r="G53" s="184" cm="1">
        <f t="array" ref="G53">_xlfn.IFNA(
   _xlfn._xlws.FILTER(
      Sim_Mul_Bet10!$L$2:$L$100,
      (Sim_Mul_Bet10!$A$2:$A$100=G$2) * (Sim_Mul_Bet10!$C$2:$C$100=$B53),0
   ),
   0
)</f>
        <v>0</v>
      </c>
      <c r="H53" s="185" cm="1">
        <f t="array" ref="H53">_xlfn.IFNA(
   _xlfn._xlws.FILTER(
      Sim_Mul_Bet10!$L$2:$L$100,
      (Sim_Mul_Bet10!$A$2:$A$100=H$2) * (Sim_Mul_Bet10!$C$2:$C$100=$B53),0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Sim_Mul_Bet10!$F$2:$F$100,
      (Sim_Mul_Bet10!$A$2:$A$100=C$2) * (Sim_Mul_Bet10!$C$2:$C$100=$B54),0
   ),
   0
)</f>
        <v>0</v>
      </c>
      <c r="D54" s="198" cm="1">
        <f t="array" ref="D54">_xlfn.IFNA(
   _xlfn._xlws.FILTER(
      Sim_Mul_Bet10!$F$2:$F$100,
      (Sim_Mul_Bet10!$A$2:$A$100=D$2) * (Sim_Mul_Bet10!$C$2:$C$100=$B54),0
   ),
   0
)</f>
        <v>0</v>
      </c>
      <c r="E54" s="199" cm="1">
        <f t="array" ref="E54">_xlfn.IFNA(
   _xlfn._xlws.FILTER(
      Sim_Mul_Bet10!$F$2:$F$100,
      (Sim_Mul_Bet10!$A$2:$A$100=E$2) * (Sim_Mul_Bet10!$C$2:$C$100=$B54),0
   ),
   0
)</f>
        <v>0</v>
      </c>
      <c r="F54" s="200" cm="1">
        <f t="array" ref="F54">_xlfn.IFNA(
   _xlfn._xlws.FILTER(
      Sim_Mul_Bet10!$L$2:$L$100,
      (Sim_Mul_Bet10!$A$2:$A$100=F$2) * (Sim_Mul_Bet10!$C$2:$C$100=$B54),0
   ),
   0
)</f>
        <v>0</v>
      </c>
      <c r="G54" s="201" cm="1">
        <f t="array" ref="G54">_xlfn.IFNA(
   _xlfn._xlws.FILTER(
      Sim_Mul_Bet10!$L$2:$L$100,
      (Sim_Mul_Bet10!$A$2:$A$100=G$2) * (Sim_Mul_Bet10!$C$2:$C$100=$B54),0
   ),
   0
)</f>
        <v>0</v>
      </c>
      <c r="H54" s="202" cm="1">
        <f t="array" ref="H54">_xlfn.IFNA(
   _xlfn._xlws.FILTER(
      Sim_Mul_Bet10!$L$2:$L$100,
      (Sim_Mul_Bet10!$A$2:$A$100=H$2) * (Sim_Mul_Bet10!$C$2:$C$100=$B54),0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02" priority="27" operator="equal">
      <formula>0</formula>
    </cfRule>
  </conditionalFormatting>
  <conditionalFormatting sqref="N1:N1048576">
    <cfRule type="cellIs" dxfId="1501" priority="26" operator="equal">
      <formula>0</formula>
    </cfRule>
  </conditionalFormatting>
  <conditionalFormatting sqref="O3:P3">
    <cfRule type="cellIs" dxfId="1500" priority="23" operator="equal">
      <formula>0</formula>
    </cfRule>
  </conditionalFormatting>
  <conditionalFormatting sqref="Q3:Q54">
    <cfRule type="cellIs" dxfId="1499" priority="22" operator="equal">
      <formula>0</formula>
    </cfRule>
  </conditionalFormatting>
  <conditionalFormatting sqref="O4:O54">
    <cfRule type="cellIs" dxfId="1498" priority="19" operator="equal">
      <formula>0</formula>
    </cfRule>
  </conditionalFormatting>
  <conditionalFormatting sqref="M1:M1048576">
    <cfRule type="cellIs" dxfId="1497" priority="24" operator="lessThan">
      <formula>0.001</formula>
    </cfRule>
  </conditionalFormatting>
  <conditionalFormatting sqref="F4:H54 F3:G3">
    <cfRule type="cellIs" dxfId="1496" priority="18" operator="equal">
      <formula>0</formula>
    </cfRule>
  </conditionalFormatting>
  <conditionalFormatting sqref="P44:P54">
    <cfRule type="cellIs" dxfId="1495" priority="13" operator="equal">
      <formula>0</formula>
    </cfRule>
  </conditionalFormatting>
  <conditionalFormatting sqref="P4:P43">
    <cfRule type="cellIs" dxfId="1494" priority="12" operator="equal">
      <formula>0</formula>
    </cfRule>
  </conditionalFormatting>
  <conditionalFormatting sqref="Z4:Z43">
    <cfRule type="cellIs" dxfId="1493" priority="1" operator="equal">
      <formula>0</formula>
    </cfRule>
  </conditionalFormatting>
  <conditionalFormatting sqref="AD1:AD1048576 Y1:Y2 Y55:Y1048576 AA55:AA1048576 AA1:AA2">
    <cfRule type="cellIs" dxfId="1492" priority="11" operator="equal">
      <formula>0</formula>
    </cfRule>
  </conditionalFormatting>
  <conditionalFormatting sqref="Y3:Y54">
    <cfRule type="cellIs" dxfId="1491" priority="10" operator="equal">
      <formula>0</formula>
    </cfRule>
  </conditionalFormatting>
  <conditionalFormatting sqref="AA3">
    <cfRule type="cellIs" dxfId="1490" priority="9" operator="equal">
      <formula>0</formula>
    </cfRule>
  </conditionalFormatting>
  <conditionalFormatting sqref="Z1:Z2 Z55:Z1048576">
    <cfRule type="cellIs" dxfId="1489" priority="8" operator="equal">
      <formula>0</formula>
    </cfRule>
  </conditionalFormatting>
  <conditionalFormatting sqref="Z3">
    <cfRule type="cellIs" dxfId="1488" priority="7" operator="equal">
      <formula>0</formula>
    </cfRule>
  </conditionalFormatting>
  <conditionalFormatting sqref="AA4:AA54">
    <cfRule type="cellIs" dxfId="1487" priority="3" operator="equal">
      <formula>0</formula>
    </cfRule>
  </conditionalFormatting>
  <conditionalFormatting sqref="Z44:Z54">
    <cfRule type="cellIs" dxfId="1486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ED75-8221-42B2-B961-0BD22D64C01A}">
  <dimension ref="A1:AC71"/>
  <sheetViews>
    <sheetView workbookViewId="0"/>
  </sheetViews>
  <sheetFormatPr defaultRowHeight="16.2"/>
  <sheetData>
    <row r="1" spans="1:29">
      <c r="L1">
        <v>10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86992914</v>
      </c>
      <c r="F2" cm="1">
        <f t="array" ref="F2:F34">E2:E34/SUM(E2:E34)</f>
        <v>0.86992913999999999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2588954</v>
      </c>
      <c r="F3">
        <v>2.5889539999999999E-2</v>
      </c>
      <c r="H3" t="s">
        <v>157</v>
      </c>
      <c r="I3" t="s">
        <v>156</v>
      </c>
      <c r="J3">
        <v>2588954000</v>
      </c>
      <c r="L3">
        <f>J3/E3/100/$L$1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128414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770313</v>
      </c>
      <c r="F4">
        <v>7.7031299999999999E-3</v>
      </c>
      <c r="H4" t="s">
        <v>157</v>
      </c>
      <c r="I4" t="s">
        <v>156</v>
      </c>
      <c r="J4">
        <v>1280892000</v>
      </c>
      <c r="L4">
        <f t="shared" ref="L4:L34" si="0">J4/E4/100/$L$1</f>
        <v>1.662820178291162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343852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1187920</v>
      </c>
      <c r="F5">
        <v>1.1879199999999999E-2</v>
      </c>
      <c r="H5" t="s">
        <v>157</v>
      </c>
      <c r="I5" t="s">
        <v>156</v>
      </c>
      <c r="J5">
        <v>2974558000</v>
      </c>
      <c r="L5">
        <f t="shared" si="0"/>
        <v>2.5040053202235839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4631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4</v>
      </c>
      <c r="D6" t="s">
        <v>156</v>
      </c>
      <c r="E6">
        <v>2150615</v>
      </c>
      <c r="F6">
        <v>2.1506150000000002E-2</v>
      </c>
      <c r="H6" t="s">
        <v>157</v>
      </c>
      <c r="I6" t="s">
        <v>156</v>
      </c>
      <c r="J6">
        <v>10753075000</v>
      </c>
      <c r="L6">
        <f t="shared" si="0"/>
        <v>5</v>
      </c>
      <c r="O6" t="s">
        <v>158</v>
      </c>
      <c r="P6" t="s">
        <v>156</v>
      </c>
      <c r="Q6">
        <v>628994</v>
      </c>
      <c r="R6" t="s">
        <v>160</v>
      </c>
      <c r="S6" t="s">
        <v>156</v>
      </c>
      <c r="T6">
        <v>109231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5</v>
      </c>
      <c r="D7" t="s">
        <v>156</v>
      </c>
      <c r="E7">
        <v>560658</v>
      </c>
      <c r="F7">
        <v>5.6065799999999999E-3</v>
      </c>
      <c r="H7" t="s">
        <v>157</v>
      </c>
      <c r="I7" t="s">
        <v>156</v>
      </c>
      <c r="J7">
        <v>2935208400</v>
      </c>
      <c r="L7">
        <f t="shared" si="0"/>
        <v>5.2352921032073025</v>
      </c>
      <c r="O7" t="s">
        <v>158</v>
      </c>
      <c r="P7" t="s">
        <v>156</v>
      </c>
      <c r="Q7">
        <v>257433</v>
      </c>
      <c r="R7" t="s">
        <v>160</v>
      </c>
      <c r="S7" t="s">
        <v>156</v>
      </c>
      <c r="T7">
        <v>293504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6</v>
      </c>
      <c r="D8" t="s">
        <v>156</v>
      </c>
      <c r="E8">
        <v>5683</v>
      </c>
      <c r="F8">
        <v>5.6830000000000003E-5</v>
      </c>
      <c r="H8" t="s">
        <v>157</v>
      </c>
      <c r="I8" t="s">
        <v>156</v>
      </c>
      <c r="J8">
        <v>35346100</v>
      </c>
      <c r="L8">
        <f t="shared" si="0"/>
        <v>6.2196199190568358</v>
      </c>
      <c r="O8" t="s">
        <v>158</v>
      </c>
      <c r="P8" t="s">
        <v>156</v>
      </c>
      <c r="Q8">
        <v>1019</v>
      </c>
      <c r="R8" t="s">
        <v>160</v>
      </c>
      <c r="S8" t="s">
        <v>156</v>
      </c>
      <c r="T8">
        <v>4664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7</v>
      </c>
      <c r="D9" t="s">
        <v>156</v>
      </c>
      <c r="E9">
        <v>15318</v>
      </c>
      <c r="F9">
        <v>1.5317999999999999E-4</v>
      </c>
      <c r="H9" t="s">
        <v>157</v>
      </c>
      <c r="I9" t="s">
        <v>156</v>
      </c>
      <c r="J9">
        <v>114885000</v>
      </c>
      <c r="L9">
        <f t="shared" si="0"/>
        <v>7.5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 t="s">
        <v>159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9</v>
      </c>
      <c r="D10" t="s">
        <v>156</v>
      </c>
      <c r="E10">
        <v>2100839</v>
      </c>
      <c r="F10">
        <v>2.1008389999999998E-2</v>
      </c>
      <c r="H10" t="s">
        <v>157</v>
      </c>
      <c r="I10" t="s">
        <v>156</v>
      </c>
      <c r="J10">
        <v>21008390000</v>
      </c>
      <c r="L10">
        <f t="shared" si="0"/>
        <v>10</v>
      </c>
      <c r="O10" t="s">
        <v>158</v>
      </c>
      <c r="P10" t="s">
        <v>156</v>
      </c>
      <c r="Q10">
        <v>379819</v>
      </c>
      <c r="R10" t="s">
        <v>160</v>
      </c>
      <c r="S10" t="s">
        <v>156</v>
      </c>
      <c r="T10">
        <v>68607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10</v>
      </c>
      <c r="D11" t="s">
        <v>156</v>
      </c>
      <c r="E11">
        <v>1229946</v>
      </c>
      <c r="F11">
        <v>1.229946E-2</v>
      </c>
      <c r="H11" t="s">
        <v>157</v>
      </c>
      <c r="I11" t="s">
        <v>156</v>
      </c>
      <c r="J11">
        <v>16044116400</v>
      </c>
      <c r="L11">
        <f t="shared" si="0"/>
        <v>13.044569761599291</v>
      </c>
      <c r="O11" t="s">
        <v>158</v>
      </c>
      <c r="P11" t="s">
        <v>156</v>
      </c>
      <c r="Q11">
        <v>818765</v>
      </c>
      <c r="R11" t="s">
        <v>160</v>
      </c>
      <c r="S11" t="s">
        <v>156</v>
      </c>
      <c r="T11">
        <v>385825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15</v>
      </c>
      <c r="D12" t="s">
        <v>156</v>
      </c>
      <c r="E12">
        <v>1012501</v>
      </c>
      <c r="F12">
        <v>1.012501E-2</v>
      </c>
      <c r="H12" t="s">
        <v>157</v>
      </c>
      <c r="I12" t="s">
        <v>156</v>
      </c>
      <c r="J12">
        <v>18814703300</v>
      </c>
      <c r="L12">
        <f t="shared" si="0"/>
        <v>18.582404659353422</v>
      </c>
      <c r="O12" t="s">
        <v>158</v>
      </c>
      <c r="P12" t="s">
        <v>156</v>
      </c>
      <c r="Q12">
        <v>401175</v>
      </c>
      <c r="R12" t="s">
        <v>160</v>
      </c>
      <c r="S12" t="s">
        <v>156</v>
      </c>
      <c r="T12">
        <v>29408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20</v>
      </c>
      <c r="D13" t="s">
        <v>156</v>
      </c>
      <c r="E13">
        <v>224142</v>
      </c>
      <c r="F13">
        <v>2.24142E-3</v>
      </c>
      <c r="H13" t="s">
        <v>157</v>
      </c>
      <c r="I13" t="s">
        <v>156</v>
      </c>
      <c r="J13">
        <v>4861573300</v>
      </c>
      <c r="L13">
        <f t="shared" si="0"/>
        <v>21.689702510015973</v>
      </c>
      <c r="O13" t="s">
        <v>158</v>
      </c>
      <c r="P13" t="s">
        <v>156</v>
      </c>
      <c r="Q13">
        <v>55164</v>
      </c>
      <c r="R13" t="s">
        <v>160</v>
      </c>
      <c r="S13" t="s">
        <v>156</v>
      </c>
      <c r="T13">
        <v>1053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25</v>
      </c>
      <c r="D14" t="s">
        <v>156</v>
      </c>
      <c r="E14">
        <v>260862</v>
      </c>
      <c r="F14">
        <v>2.6086199999999999E-3</v>
      </c>
      <c r="H14" t="s">
        <v>157</v>
      </c>
      <c r="I14" t="s">
        <v>156</v>
      </c>
      <c r="J14">
        <v>7781321600</v>
      </c>
      <c r="L14">
        <f t="shared" si="0"/>
        <v>29.829264515337609</v>
      </c>
      <c r="O14" t="s">
        <v>158</v>
      </c>
      <c r="P14" t="s">
        <v>156</v>
      </c>
      <c r="Q14">
        <v>244559</v>
      </c>
      <c r="R14" t="s">
        <v>160</v>
      </c>
      <c r="S14" t="s">
        <v>156</v>
      </c>
      <c r="T14">
        <v>75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30</v>
      </c>
      <c r="D15" t="s">
        <v>156</v>
      </c>
      <c r="E15">
        <v>101587</v>
      </c>
      <c r="F15">
        <v>1.0158700000000001E-3</v>
      </c>
      <c r="H15" t="s">
        <v>157</v>
      </c>
      <c r="I15" t="s">
        <v>156</v>
      </c>
      <c r="J15">
        <v>3074463400</v>
      </c>
      <c r="L15">
        <f t="shared" si="0"/>
        <v>30.26433894100623</v>
      </c>
      <c r="O15" t="s">
        <v>158</v>
      </c>
      <c r="P15" t="s">
        <v>156</v>
      </c>
      <c r="Q15">
        <v>101166</v>
      </c>
      <c r="R15" t="s">
        <v>160</v>
      </c>
      <c r="S15" t="s">
        <v>156</v>
      </c>
      <c r="T15" t="s">
        <v>159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35</v>
      </c>
      <c r="D16" t="s">
        <v>156</v>
      </c>
      <c r="E16">
        <v>1095</v>
      </c>
      <c r="F16">
        <v>1.095E-5</v>
      </c>
      <c r="H16" t="s">
        <v>157</v>
      </c>
      <c r="I16" t="s">
        <v>156</v>
      </c>
      <c r="J16">
        <v>43188000</v>
      </c>
      <c r="L16">
        <f t="shared" si="0"/>
        <v>39.441095890410956</v>
      </c>
      <c r="O16" t="s">
        <v>158</v>
      </c>
      <c r="P16" t="s">
        <v>156</v>
      </c>
      <c r="Q16">
        <v>1095</v>
      </c>
      <c r="R16" t="s">
        <v>160</v>
      </c>
      <c r="S16" t="s">
        <v>156</v>
      </c>
      <c r="T16" t="s">
        <v>159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40</v>
      </c>
      <c r="D17" t="s">
        <v>156</v>
      </c>
      <c r="E17">
        <v>219</v>
      </c>
      <c r="F17">
        <v>2.1900000000000002E-6</v>
      </c>
      <c r="H17" t="s">
        <v>157</v>
      </c>
      <c r="I17" t="s">
        <v>156</v>
      </c>
      <c r="J17">
        <v>8863400</v>
      </c>
      <c r="L17">
        <f t="shared" si="0"/>
        <v>40.472146118721454</v>
      </c>
      <c r="O17" t="s">
        <v>158</v>
      </c>
      <c r="P17" t="s">
        <v>156</v>
      </c>
      <c r="Q17">
        <v>219</v>
      </c>
      <c r="R17" t="s">
        <v>160</v>
      </c>
      <c r="S17" t="s">
        <v>156</v>
      </c>
      <c r="T17" t="s">
        <v>159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45</v>
      </c>
      <c r="D18" t="s">
        <v>156</v>
      </c>
      <c r="E18">
        <v>296333</v>
      </c>
      <c r="F18">
        <v>2.9633300000000001E-3</v>
      </c>
      <c r="H18" t="s">
        <v>157</v>
      </c>
      <c r="I18" t="s">
        <v>156</v>
      </c>
      <c r="J18">
        <v>14816645500</v>
      </c>
      <c r="L18">
        <f t="shared" si="0"/>
        <v>49.999984814381115</v>
      </c>
      <c r="O18" t="s">
        <v>158</v>
      </c>
      <c r="P18" t="s">
        <v>156</v>
      </c>
      <c r="Q18">
        <v>53214</v>
      </c>
      <c r="R18" t="s">
        <v>160</v>
      </c>
      <c r="S18" t="s">
        <v>156</v>
      </c>
      <c r="T18">
        <v>56291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50</v>
      </c>
      <c r="D19" t="s">
        <v>156</v>
      </c>
      <c r="E19">
        <v>404541</v>
      </c>
      <c r="F19">
        <v>4.0454100000000002E-3</v>
      </c>
      <c r="H19" t="s">
        <v>157</v>
      </c>
      <c r="I19" t="s">
        <v>156</v>
      </c>
      <c r="J19">
        <v>20704746000</v>
      </c>
      <c r="L19">
        <f t="shared" si="0"/>
        <v>51.180834575481846</v>
      </c>
      <c r="O19" t="s">
        <v>158</v>
      </c>
      <c r="P19" t="s">
        <v>156</v>
      </c>
      <c r="Q19">
        <v>22137</v>
      </c>
      <c r="R19" t="s">
        <v>160</v>
      </c>
      <c r="S19" t="s">
        <v>156</v>
      </c>
      <c r="T19">
        <v>349593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60</v>
      </c>
      <c r="D20" t="s">
        <v>156</v>
      </c>
      <c r="E20">
        <v>1073</v>
      </c>
      <c r="F20">
        <v>1.0730000000000001E-5</v>
      </c>
      <c r="H20" t="s">
        <v>157</v>
      </c>
      <c r="I20" t="s">
        <v>156</v>
      </c>
      <c r="J20">
        <v>65850100</v>
      </c>
      <c r="L20">
        <f t="shared" si="0"/>
        <v>61.370083876980438</v>
      </c>
      <c r="O20" t="s">
        <v>158</v>
      </c>
      <c r="P20" t="s">
        <v>156</v>
      </c>
      <c r="Q20">
        <v>103</v>
      </c>
      <c r="R20" t="s">
        <v>160</v>
      </c>
      <c r="S20" t="s">
        <v>156</v>
      </c>
      <c r="T20">
        <v>970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70</v>
      </c>
      <c r="D21" t="s">
        <v>156</v>
      </c>
      <c r="E21">
        <v>1023</v>
      </c>
      <c r="F21">
        <v>1.023E-5</v>
      </c>
      <c r="H21" t="s">
        <v>157</v>
      </c>
      <c r="I21" t="s">
        <v>156</v>
      </c>
      <c r="J21">
        <v>76981000</v>
      </c>
      <c r="L21">
        <f t="shared" si="0"/>
        <v>75.250244379276637</v>
      </c>
      <c r="O21" t="s">
        <v>158</v>
      </c>
      <c r="P21" t="s">
        <v>156</v>
      </c>
      <c r="Q21">
        <v>14</v>
      </c>
      <c r="R21" t="s">
        <v>160</v>
      </c>
      <c r="S21" t="s">
        <v>156</v>
      </c>
      <c r="T21" t="s">
        <v>159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80</v>
      </c>
      <c r="D22" t="s">
        <v>156</v>
      </c>
      <c r="E22">
        <v>2</v>
      </c>
      <c r="F22">
        <v>2E-8</v>
      </c>
      <c r="H22" t="s">
        <v>157</v>
      </c>
      <c r="I22" t="s">
        <v>156</v>
      </c>
      <c r="J22">
        <v>161100</v>
      </c>
      <c r="L22">
        <f t="shared" si="0"/>
        <v>80.55</v>
      </c>
      <c r="O22" t="s">
        <v>158</v>
      </c>
      <c r="P22" t="s">
        <v>156</v>
      </c>
      <c r="Q22">
        <v>2</v>
      </c>
      <c r="R22" t="s">
        <v>160</v>
      </c>
      <c r="S22" t="s">
        <v>156</v>
      </c>
      <c r="T22" t="s">
        <v>159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90</v>
      </c>
      <c r="D23" t="s">
        <v>156</v>
      </c>
      <c r="E23">
        <v>68543</v>
      </c>
      <c r="F23">
        <v>6.8543E-4</v>
      </c>
      <c r="H23" t="s">
        <v>157</v>
      </c>
      <c r="I23" t="s">
        <v>156</v>
      </c>
      <c r="J23">
        <v>6854300000</v>
      </c>
      <c r="L23">
        <f t="shared" si="0"/>
        <v>100</v>
      </c>
      <c r="O23" t="s">
        <v>158</v>
      </c>
      <c r="P23" t="s">
        <v>156</v>
      </c>
      <c r="Q23">
        <v>2516</v>
      </c>
      <c r="R23" t="s">
        <v>160</v>
      </c>
      <c r="S23" t="s">
        <v>156</v>
      </c>
      <c r="T23">
        <v>457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100</v>
      </c>
      <c r="D24" t="s">
        <v>156</v>
      </c>
      <c r="E24">
        <v>17362</v>
      </c>
      <c r="F24">
        <v>1.7362000000000001E-4</v>
      </c>
      <c r="H24" t="s">
        <v>157</v>
      </c>
      <c r="I24" t="s">
        <v>156</v>
      </c>
      <c r="J24">
        <v>1785172800</v>
      </c>
      <c r="L24">
        <f t="shared" si="0"/>
        <v>102.82068886073031</v>
      </c>
      <c r="O24" t="s">
        <v>158</v>
      </c>
      <c r="P24" t="s">
        <v>156</v>
      </c>
      <c r="Q24">
        <v>1032</v>
      </c>
      <c r="R24" t="s">
        <v>160</v>
      </c>
      <c r="S24" t="s">
        <v>156</v>
      </c>
      <c r="T24">
        <v>2898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120</v>
      </c>
      <c r="D25" t="s">
        <v>156</v>
      </c>
      <c r="E25">
        <v>1</v>
      </c>
      <c r="F25">
        <v>1E-8</v>
      </c>
      <c r="H25" t="s">
        <v>157</v>
      </c>
      <c r="I25" t="s">
        <v>156</v>
      </c>
      <c r="J25">
        <v>120500</v>
      </c>
      <c r="L25">
        <f t="shared" si="0"/>
        <v>120.5</v>
      </c>
      <c r="O25" t="s">
        <v>158</v>
      </c>
      <c r="P25" t="s">
        <v>156</v>
      </c>
      <c r="Q25">
        <v>1</v>
      </c>
      <c r="R25" t="s">
        <v>160</v>
      </c>
      <c r="S25" t="s">
        <v>156</v>
      </c>
      <c r="T25" t="s">
        <v>159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140</v>
      </c>
      <c r="D26" t="s">
        <v>156</v>
      </c>
      <c r="E26">
        <v>414</v>
      </c>
      <c r="F26">
        <v>4.1400000000000002E-6</v>
      </c>
      <c r="H26" t="s">
        <v>157</v>
      </c>
      <c r="I26" t="s">
        <v>156</v>
      </c>
      <c r="J26">
        <v>62269000</v>
      </c>
      <c r="L26">
        <f t="shared" si="0"/>
        <v>150.40821256038649</v>
      </c>
      <c r="O26" t="s">
        <v>158</v>
      </c>
      <c r="P26" t="s">
        <v>156</v>
      </c>
      <c r="Q26" t="s">
        <v>159</v>
      </c>
      <c r="R26" t="s">
        <v>160</v>
      </c>
      <c r="S26" t="s">
        <v>156</v>
      </c>
      <c r="T26" t="s">
        <v>159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180</v>
      </c>
      <c r="D27" t="s">
        <v>156</v>
      </c>
      <c r="E27">
        <v>2857</v>
      </c>
      <c r="F27">
        <v>2.8569999999999999E-5</v>
      </c>
      <c r="H27" t="s">
        <v>157</v>
      </c>
      <c r="I27" t="s">
        <v>156</v>
      </c>
      <c r="J27">
        <v>571400000</v>
      </c>
      <c r="L27">
        <f t="shared" si="0"/>
        <v>200</v>
      </c>
      <c r="O27" t="s">
        <v>158</v>
      </c>
      <c r="P27" t="s">
        <v>156</v>
      </c>
      <c r="Q27">
        <v>2501</v>
      </c>
      <c r="R27" t="s">
        <v>160</v>
      </c>
      <c r="S27" t="s">
        <v>156</v>
      </c>
      <c r="T27" t="s">
        <v>159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200</v>
      </c>
      <c r="D28" t="s">
        <v>156</v>
      </c>
      <c r="E28">
        <v>2870</v>
      </c>
      <c r="F28">
        <v>2.87E-5</v>
      </c>
      <c r="H28" t="s">
        <v>157</v>
      </c>
      <c r="I28" t="s">
        <v>156</v>
      </c>
      <c r="J28">
        <v>658994100</v>
      </c>
      <c r="L28">
        <f t="shared" si="0"/>
        <v>229.61466898954706</v>
      </c>
      <c r="O28" t="s">
        <v>158</v>
      </c>
      <c r="P28" t="s">
        <v>156</v>
      </c>
      <c r="Q28">
        <v>1104</v>
      </c>
      <c r="R28" t="s">
        <v>160</v>
      </c>
      <c r="S28" t="s">
        <v>156</v>
      </c>
      <c r="T28" t="s">
        <v>159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92</v>
      </c>
      <c r="B29" t="s">
        <v>155</v>
      </c>
      <c r="C29">
        <v>250</v>
      </c>
      <c r="D29" t="s">
        <v>156</v>
      </c>
      <c r="E29">
        <v>439</v>
      </c>
      <c r="F29">
        <v>4.3900000000000003E-6</v>
      </c>
      <c r="H29" t="s">
        <v>157</v>
      </c>
      <c r="I29" t="s">
        <v>156</v>
      </c>
      <c r="J29">
        <v>113848500</v>
      </c>
      <c r="L29">
        <f t="shared" si="0"/>
        <v>259.3359908883827</v>
      </c>
      <c r="O29" t="s">
        <v>158</v>
      </c>
      <c r="P29" t="s">
        <v>156</v>
      </c>
      <c r="Q29" t="s">
        <v>159</v>
      </c>
      <c r="R29" t="s">
        <v>160</v>
      </c>
      <c r="S29" t="s">
        <v>156</v>
      </c>
      <c r="T29" t="s">
        <v>159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0" spans="1:29">
      <c r="A30" t="s">
        <v>92</v>
      </c>
      <c r="B30" t="s">
        <v>155</v>
      </c>
      <c r="C30">
        <v>450</v>
      </c>
      <c r="D30" t="s">
        <v>156</v>
      </c>
      <c r="E30">
        <v>740</v>
      </c>
      <c r="F30">
        <v>7.4000000000000003E-6</v>
      </c>
      <c r="H30" t="s">
        <v>157</v>
      </c>
      <c r="I30" t="s">
        <v>156</v>
      </c>
      <c r="J30">
        <v>370000000</v>
      </c>
      <c r="L30">
        <f t="shared" si="0"/>
        <v>500</v>
      </c>
      <c r="O30" t="s">
        <v>158</v>
      </c>
      <c r="P30" t="s">
        <v>156</v>
      </c>
      <c r="Q30" t="s">
        <v>159</v>
      </c>
      <c r="R30" t="s">
        <v>160</v>
      </c>
      <c r="S30" t="s">
        <v>156</v>
      </c>
      <c r="T30" t="s">
        <v>159</v>
      </c>
      <c r="U30" t="s">
        <v>161</v>
      </c>
      <c r="V30" t="s">
        <v>156</v>
      </c>
      <c r="W30" t="s">
        <v>159</v>
      </c>
      <c r="X30" t="s">
        <v>162</v>
      </c>
      <c r="Y30" t="s">
        <v>156</v>
      </c>
      <c r="Z30" t="s">
        <v>159</v>
      </c>
      <c r="AA30" t="s">
        <v>163</v>
      </c>
      <c r="AB30" t="s">
        <v>156</v>
      </c>
      <c r="AC30" t="s">
        <v>159</v>
      </c>
    </row>
    <row r="31" spans="1:29">
      <c r="A31" t="s">
        <v>92</v>
      </c>
      <c r="B31" t="s">
        <v>155</v>
      </c>
      <c r="C31">
        <v>500</v>
      </c>
      <c r="D31" t="s">
        <v>156</v>
      </c>
      <c r="E31">
        <v>180</v>
      </c>
      <c r="F31">
        <v>1.7999999999999999E-6</v>
      </c>
      <c r="H31" t="s">
        <v>157</v>
      </c>
      <c r="I31" t="s">
        <v>156</v>
      </c>
      <c r="J31">
        <v>92911000</v>
      </c>
      <c r="L31">
        <f t="shared" si="0"/>
        <v>516.17222222222222</v>
      </c>
      <c r="O31" t="s">
        <v>158</v>
      </c>
      <c r="P31" t="s">
        <v>156</v>
      </c>
      <c r="Q31" t="s">
        <v>159</v>
      </c>
      <c r="R31" t="s">
        <v>160</v>
      </c>
      <c r="S31" t="s">
        <v>156</v>
      </c>
      <c r="T31" t="s">
        <v>159</v>
      </c>
      <c r="U31" t="s">
        <v>161</v>
      </c>
      <c r="V31" t="s">
        <v>156</v>
      </c>
      <c r="W31" t="s">
        <v>159</v>
      </c>
      <c r="X31" t="s">
        <v>162</v>
      </c>
      <c r="Y31" t="s">
        <v>156</v>
      </c>
      <c r="Z31" t="s">
        <v>159</v>
      </c>
      <c r="AA31" t="s">
        <v>163</v>
      </c>
      <c r="AB31" t="s">
        <v>156</v>
      </c>
      <c r="AC31" t="s">
        <v>159</v>
      </c>
    </row>
    <row r="32" spans="1:29">
      <c r="A32" t="s">
        <v>92</v>
      </c>
      <c r="B32" t="s">
        <v>155</v>
      </c>
      <c r="C32">
        <v>550</v>
      </c>
      <c r="D32" t="s">
        <v>156</v>
      </c>
      <c r="E32">
        <v>6</v>
      </c>
      <c r="F32">
        <v>5.9999999999999995E-8</v>
      </c>
      <c r="H32" t="s">
        <v>157</v>
      </c>
      <c r="I32" t="s">
        <v>156</v>
      </c>
      <c r="J32">
        <v>3330000</v>
      </c>
      <c r="L32">
        <f t="shared" si="0"/>
        <v>555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 t="s">
        <v>159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92</v>
      </c>
      <c r="B33" t="s">
        <v>155</v>
      </c>
      <c r="C33">
        <v>950</v>
      </c>
      <c r="D33" t="s">
        <v>156</v>
      </c>
      <c r="E33">
        <v>37</v>
      </c>
      <c r="F33">
        <v>3.7E-7</v>
      </c>
      <c r="H33" t="s">
        <v>157</v>
      </c>
      <c r="I33" t="s">
        <v>156</v>
      </c>
      <c r="J33">
        <v>37000000</v>
      </c>
      <c r="L33">
        <f t="shared" si="0"/>
        <v>1000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 t="s">
        <v>159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92</v>
      </c>
      <c r="B34" t="s">
        <v>155</v>
      </c>
      <c r="C34">
        <v>1000</v>
      </c>
      <c r="D34" t="s">
        <v>156</v>
      </c>
      <c r="E34">
        <v>13</v>
      </c>
      <c r="F34">
        <v>1.3E-7</v>
      </c>
      <c r="H34" t="s">
        <v>157</v>
      </c>
      <c r="I34" t="s">
        <v>156</v>
      </c>
      <c r="J34">
        <v>13307000</v>
      </c>
      <c r="L34">
        <f t="shared" si="0"/>
        <v>1023.6153846153845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 t="s">
        <v>159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7" spans="1:29">
      <c r="A37" t="s">
        <v>93</v>
      </c>
      <c r="B37" t="s">
        <v>155</v>
      </c>
      <c r="C37">
        <v>-1</v>
      </c>
      <c r="D37" t="s">
        <v>156</v>
      </c>
      <c r="E37">
        <v>13335366</v>
      </c>
      <c r="F37" cm="1">
        <f t="array" ref="F37:F71">E37:E71/SUM(E37:E71)</f>
        <v>0.13335366000000001</v>
      </c>
    </row>
    <row r="38" spans="1:29">
      <c r="A38" t="s">
        <v>93</v>
      </c>
      <c r="B38" t="s">
        <v>155</v>
      </c>
      <c r="C38">
        <v>0</v>
      </c>
      <c r="D38" t="s">
        <v>156</v>
      </c>
      <c r="E38">
        <v>12459311</v>
      </c>
      <c r="F38">
        <v>0.12459311000000001</v>
      </c>
      <c r="H38" t="s">
        <v>157</v>
      </c>
      <c r="I38" t="s">
        <v>156</v>
      </c>
      <c r="J38">
        <v>8848972700</v>
      </c>
      <c r="L38">
        <f t="shared" ref="L38:L71" si="1">J38/E38/100/$L$1</f>
        <v>0.71022969889747523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1346784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1</v>
      </c>
      <c r="D39" t="s">
        <v>156</v>
      </c>
      <c r="E39">
        <v>5424753</v>
      </c>
      <c r="F39">
        <v>5.4247530000000002E-2</v>
      </c>
      <c r="H39" t="s">
        <v>157</v>
      </c>
      <c r="I39" t="s">
        <v>156</v>
      </c>
      <c r="J39">
        <v>8729972900</v>
      </c>
      <c r="L39">
        <f t="shared" si="1"/>
        <v>1.6092848651357952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3757607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2</v>
      </c>
      <c r="D40" t="s">
        <v>156</v>
      </c>
      <c r="E40">
        <v>4976329</v>
      </c>
      <c r="F40">
        <v>4.9763290000000002E-2</v>
      </c>
      <c r="H40" t="s">
        <v>157</v>
      </c>
      <c r="I40" t="s">
        <v>156</v>
      </c>
      <c r="J40">
        <v>12553900300</v>
      </c>
      <c r="L40">
        <f t="shared" si="1"/>
        <v>2.522723135869835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>
        <v>536239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4</v>
      </c>
      <c r="D41" t="s">
        <v>156</v>
      </c>
      <c r="E41">
        <v>5371341</v>
      </c>
      <c r="F41">
        <v>5.3713410000000003E-2</v>
      </c>
      <c r="H41" t="s">
        <v>157</v>
      </c>
      <c r="I41" t="s">
        <v>156</v>
      </c>
      <c r="J41">
        <v>26856705000</v>
      </c>
      <c r="L41">
        <f t="shared" si="1"/>
        <v>5</v>
      </c>
      <c r="O41" t="s">
        <v>158</v>
      </c>
      <c r="P41" t="s">
        <v>156</v>
      </c>
      <c r="Q41">
        <v>556219</v>
      </c>
      <c r="R41" t="s">
        <v>160</v>
      </c>
      <c r="S41" t="s">
        <v>156</v>
      </c>
      <c r="T41">
        <v>370980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5</v>
      </c>
      <c r="D42" t="s">
        <v>156</v>
      </c>
      <c r="E42">
        <v>4786132</v>
      </c>
      <c r="F42">
        <v>4.7861319999999999E-2</v>
      </c>
      <c r="H42" t="s">
        <v>157</v>
      </c>
      <c r="I42" t="s">
        <v>156</v>
      </c>
      <c r="J42">
        <v>26199318600</v>
      </c>
      <c r="L42">
        <f t="shared" si="1"/>
        <v>5.4740066926695707</v>
      </c>
      <c r="O42" t="s">
        <v>158</v>
      </c>
      <c r="P42" t="s">
        <v>156</v>
      </c>
      <c r="Q42">
        <v>902634</v>
      </c>
      <c r="R42" t="s">
        <v>160</v>
      </c>
      <c r="S42" t="s">
        <v>156</v>
      </c>
      <c r="T42">
        <v>3050637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6</v>
      </c>
      <c r="D43" t="s">
        <v>156</v>
      </c>
      <c r="E43">
        <v>1099661</v>
      </c>
      <c r="F43">
        <v>1.099661E-2</v>
      </c>
      <c r="H43" t="s">
        <v>157</v>
      </c>
      <c r="I43" t="s">
        <v>156</v>
      </c>
      <c r="J43">
        <v>7035101400</v>
      </c>
      <c r="L43">
        <f t="shared" si="1"/>
        <v>6.3975183261023165</v>
      </c>
      <c r="O43" t="s">
        <v>158</v>
      </c>
      <c r="P43" t="s">
        <v>156</v>
      </c>
      <c r="Q43">
        <v>207811</v>
      </c>
      <c r="R43" t="s">
        <v>160</v>
      </c>
      <c r="S43" t="s">
        <v>156</v>
      </c>
      <c r="T43">
        <v>891850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7</v>
      </c>
      <c r="D44" t="s">
        <v>156</v>
      </c>
      <c r="E44">
        <v>832338</v>
      </c>
      <c r="F44">
        <v>8.32338E-3</v>
      </c>
      <c r="H44" t="s">
        <v>157</v>
      </c>
      <c r="I44" t="s">
        <v>156</v>
      </c>
      <c r="J44">
        <v>6242535000</v>
      </c>
      <c r="L44">
        <f t="shared" si="1"/>
        <v>7.5</v>
      </c>
      <c r="O44" t="s">
        <v>158</v>
      </c>
      <c r="P44" t="s">
        <v>156</v>
      </c>
      <c r="Q44" t="s">
        <v>159</v>
      </c>
      <c r="R44" t="s">
        <v>160</v>
      </c>
      <c r="S44" t="s">
        <v>156</v>
      </c>
      <c r="T44" t="s">
        <v>159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9</v>
      </c>
      <c r="D45" t="s">
        <v>156</v>
      </c>
      <c r="E45">
        <v>3493296</v>
      </c>
      <c r="F45">
        <v>3.4932959999999999E-2</v>
      </c>
      <c r="H45" t="s">
        <v>157</v>
      </c>
      <c r="I45" t="s">
        <v>156</v>
      </c>
      <c r="J45">
        <v>34932960000</v>
      </c>
      <c r="L45">
        <f t="shared" si="1"/>
        <v>10</v>
      </c>
      <c r="O45" t="s">
        <v>158</v>
      </c>
      <c r="P45" t="s">
        <v>156</v>
      </c>
      <c r="Q45">
        <v>658548</v>
      </c>
      <c r="R45" t="s">
        <v>160</v>
      </c>
      <c r="S45" t="s">
        <v>156</v>
      </c>
      <c r="T45">
        <v>337289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10</v>
      </c>
      <c r="D46" t="s">
        <v>156</v>
      </c>
      <c r="E46">
        <v>9411912</v>
      </c>
      <c r="F46">
        <v>9.4119120000000001E-2</v>
      </c>
      <c r="H46" t="s">
        <v>157</v>
      </c>
      <c r="I46" t="s">
        <v>156</v>
      </c>
      <c r="J46">
        <v>108175739500</v>
      </c>
      <c r="L46">
        <f t="shared" si="1"/>
        <v>11.493492448718177</v>
      </c>
      <c r="O46" t="s">
        <v>158</v>
      </c>
      <c r="P46" t="s">
        <v>156</v>
      </c>
      <c r="Q46">
        <v>2062588</v>
      </c>
      <c r="R46" t="s">
        <v>160</v>
      </c>
      <c r="S46" t="s">
        <v>156</v>
      </c>
      <c r="T46">
        <v>4015671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15</v>
      </c>
      <c r="D47" t="s">
        <v>156</v>
      </c>
      <c r="E47">
        <v>4038646</v>
      </c>
      <c r="F47">
        <v>4.0386459999999999E-2</v>
      </c>
      <c r="H47" t="s">
        <v>157</v>
      </c>
      <c r="I47" t="s">
        <v>156</v>
      </c>
      <c r="J47">
        <v>69291878700</v>
      </c>
      <c r="L47">
        <f t="shared" si="1"/>
        <v>17.157205335649621</v>
      </c>
      <c r="O47" t="s">
        <v>158</v>
      </c>
      <c r="P47" t="s">
        <v>156</v>
      </c>
      <c r="Q47">
        <v>2269104</v>
      </c>
      <c r="R47" t="s">
        <v>160</v>
      </c>
      <c r="S47" t="s">
        <v>156</v>
      </c>
      <c r="T47">
        <v>1120805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20</v>
      </c>
      <c r="D48" t="s">
        <v>156</v>
      </c>
      <c r="E48">
        <v>4521650</v>
      </c>
      <c r="F48">
        <v>4.52165E-2</v>
      </c>
      <c r="H48" t="s">
        <v>157</v>
      </c>
      <c r="I48" t="s">
        <v>156</v>
      </c>
      <c r="J48">
        <v>98158191200</v>
      </c>
      <c r="L48">
        <f t="shared" si="1"/>
        <v>21.708489423108823</v>
      </c>
      <c r="O48" t="s">
        <v>158</v>
      </c>
      <c r="P48" t="s">
        <v>156</v>
      </c>
      <c r="Q48">
        <v>1734629</v>
      </c>
      <c r="R48" t="s">
        <v>160</v>
      </c>
      <c r="S48" t="s">
        <v>156</v>
      </c>
      <c r="T48">
        <v>377114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25</v>
      </c>
      <c r="D49" t="s">
        <v>156</v>
      </c>
      <c r="E49">
        <v>2909107</v>
      </c>
      <c r="F49">
        <v>2.909107E-2</v>
      </c>
      <c r="H49" t="s">
        <v>157</v>
      </c>
      <c r="I49" t="s">
        <v>156</v>
      </c>
      <c r="J49">
        <v>79143117300</v>
      </c>
      <c r="L49">
        <f t="shared" si="1"/>
        <v>27.205296092580987</v>
      </c>
      <c r="O49" t="s">
        <v>158</v>
      </c>
      <c r="P49" t="s">
        <v>156</v>
      </c>
      <c r="Q49">
        <v>1076606</v>
      </c>
      <c r="R49" t="s">
        <v>160</v>
      </c>
      <c r="S49" t="s">
        <v>156</v>
      </c>
      <c r="T49">
        <v>72452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30</v>
      </c>
      <c r="D50" t="s">
        <v>156</v>
      </c>
      <c r="E50">
        <v>1637904</v>
      </c>
      <c r="F50">
        <v>1.6379040000000001E-2</v>
      </c>
      <c r="H50" t="s">
        <v>157</v>
      </c>
      <c r="I50" t="s">
        <v>156</v>
      </c>
      <c r="J50">
        <v>50616246300</v>
      </c>
      <c r="L50">
        <f t="shared" si="1"/>
        <v>30.903060435776457</v>
      </c>
      <c r="O50" t="s">
        <v>158</v>
      </c>
      <c r="P50" t="s">
        <v>156</v>
      </c>
      <c r="Q50">
        <v>1448293</v>
      </c>
      <c r="R50" t="s">
        <v>160</v>
      </c>
      <c r="S50" t="s">
        <v>156</v>
      </c>
      <c r="T50">
        <v>4263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35</v>
      </c>
      <c r="D51" t="s">
        <v>156</v>
      </c>
      <c r="E51">
        <v>312103</v>
      </c>
      <c r="F51">
        <v>3.1210299999999999E-3</v>
      </c>
      <c r="H51" t="s">
        <v>157</v>
      </c>
      <c r="I51" t="s">
        <v>156</v>
      </c>
      <c r="J51">
        <v>11396791900</v>
      </c>
      <c r="L51">
        <f t="shared" si="1"/>
        <v>36.51612416413812</v>
      </c>
      <c r="O51" t="s">
        <v>158</v>
      </c>
      <c r="P51" t="s">
        <v>156</v>
      </c>
      <c r="Q51">
        <v>312103</v>
      </c>
      <c r="R51" t="s">
        <v>160</v>
      </c>
      <c r="S51" t="s">
        <v>156</v>
      </c>
      <c r="T51" t="s">
        <v>159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40</v>
      </c>
      <c r="D52" t="s">
        <v>156</v>
      </c>
      <c r="E52">
        <v>208347</v>
      </c>
      <c r="F52">
        <v>2.08347E-3</v>
      </c>
      <c r="H52" t="s">
        <v>157</v>
      </c>
      <c r="I52" t="s">
        <v>156</v>
      </c>
      <c r="J52">
        <v>8481746000</v>
      </c>
      <c r="L52">
        <f t="shared" si="1"/>
        <v>40.709710243008054</v>
      </c>
      <c r="O52" t="s">
        <v>158</v>
      </c>
      <c r="P52" t="s">
        <v>156</v>
      </c>
      <c r="Q52">
        <v>208347</v>
      </c>
      <c r="R52" t="s">
        <v>160</v>
      </c>
      <c r="S52" t="s">
        <v>156</v>
      </c>
      <c r="T52" t="s">
        <v>159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45</v>
      </c>
      <c r="D53" t="s">
        <v>156</v>
      </c>
      <c r="E53">
        <v>2103923</v>
      </c>
      <c r="F53">
        <v>2.1039229999999999E-2</v>
      </c>
      <c r="H53" t="s">
        <v>157</v>
      </c>
      <c r="I53" t="s">
        <v>156</v>
      </c>
      <c r="J53">
        <v>105087618800</v>
      </c>
      <c r="L53">
        <f t="shared" si="1"/>
        <v>49.94841484217816</v>
      </c>
      <c r="O53" t="s">
        <v>158</v>
      </c>
      <c r="P53" t="s">
        <v>156</v>
      </c>
      <c r="Q53">
        <v>578164</v>
      </c>
      <c r="R53" t="s">
        <v>160</v>
      </c>
      <c r="S53" t="s">
        <v>156</v>
      </c>
      <c r="T53">
        <v>41400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50</v>
      </c>
      <c r="D54" t="s">
        <v>156</v>
      </c>
      <c r="E54">
        <v>6427882</v>
      </c>
      <c r="F54">
        <v>6.427882E-2</v>
      </c>
      <c r="H54" t="s">
        <v>157</v>
      </c>
      <c r="I54" t="s">
        <v>156</v>
      </c>
      <c r="J54">
        <v>338754479600</v>
      </c>
      <c r="L54">
        <f t="shared" si="1"/>
        <v>52.700793138393024</v>
      </c>
      <c r="O54" t="s">
        <v>158</v>
      </c>
      <c r="P54" t="s">
        <v>156</v>
      </c>
      <c r="Q54">
        <v>1597024</v>
      </c>
      <c r="R54" t="s">
        <v>160</v>
      </c>
      <c r="S54" t="s">
        <v>156</v>
      </c>
      <c r="T54">
        <v>1590816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60</v>
      </c>
      <c r="D55" t="s">
        <v>156</v>
      </c>
      <c r="E55">
        <v>770301</v>
      </c>
      <c r="F55">
        <v>7.7030099999999997E-3</v>
      </c>
      <c r="H55" t="s">
        <v>157</v>
      </c>
      <c r="I55" t="s">
        <v>156</v>
      </c>
      <c r="J55">
        <v>48118594600</v>
      </c>
      <c r="L55">
        <f t="shared" si="1"/>
        <v>62.467262277992631</v>
      </c>
      <c r="O55" t="s">
        <v>158</v>
      </c>
      <c r="P55" t="s">
        <v>156</v>
      </c>
      <c r="Q55">
        <v>440138</v>
      </c>
      <c r="R55" t="s">
        <v>160</v>
      </c>
      <c r="S55" t="s">
        <v>156</v>
      </c>
      <c r="T55">
        <v>330163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70</v>
      </c>
      <c r="D56" t="s">
        <v>156</v>
      </c>
      <c r="E56">
        <v>414340</v>
      </c>
      <c r="F56">
        <v>4.1434000000000002E-3</v>
      </c>
      <c r="H56" t="s">
        <v>157</v>
      </c>
      <c r="I56" t="s">
        <v>156</v>
      </c>
      <c r="J56">
        <v>31027699500</v>
      </c>
      <c r="L56">
        <f t="shared" si="1"/>
        <v>74.884634599604198</v>
      </c>
      <c r="O56" t="s">
        <v>158</v>
      </c>
      <c r="P56" t="s">
        <v>156</v>
      </c>
      <c r="Q56">
        <v>127857</v>
      </c>
      <c r="R56" t="s">
        <v>160</v>
      </c>
      <c r="S56" t="s">
        <v>156</v>
      </c>
      <c r="T56">
        <v>8793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80</v>
      </c>
      <c r="D57" t="s">
        <v>156</v>
      </c>
      <c r="E57">
        <v>92397</v>
      </c>
      <c r="F57">
        <v>9.2396999999999998E-4</v>
      </c>
      <c r="H57" t="s">
        <v>157</v>
      </c>
      <c r="I57" t="s">
        <v>156</v>
      </c>
      <c r="J57">
        <v>7621044200</v>
      </c>
      <c r="L57">
        <f t="shared" si="1"/>
        <v>82.481511304479596</v>
      </c>
      <c r="O57" t="s">
        <v>158</v>
      </c>
      <c r="P57" t="s">
        <v>156</v>
      </c>
      <c r="Q57">
        <v>92397</v>
      </c>
      <c r="R57" t="s">
        <v>160</v>
      </c>
      <c r="S57" t="s">
        <v>156</v>
      </c>
      <c r="T57" t="s">
        <v>159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90</v>
      </c>
      <c r="D58" t="s">
        <v>156</v>
      </c>
      <c r="E58">
        <v>1350080</v>
      </c>
      <c r="F58">
        <v>1.35008E-2</v>
      </c>
      <c r="H58" t="s">
        <v>157</v>
      </c>
      <c r="I58" t="s">
        <v>156</v>
      </c>
      <c r="J58">
        <v>135008000000</v>
      </c>
      <c r="L58">
        <f t="shared" si="1"/>
        <v>100</v>
      </c>
      <c r="O58" t="s">
        <v>158</v>
      </c>
      <c r="P58" t="s">
        <v>156</v>
      </c>
      <c r="Q58">
        <v>566837</v>
      </c>
      <c r="R58" t="s">
        <v>160</v>
      </c>
      <c r="S58" t="s">
        <v>156</v>
      </c>
      <c r="T58">
        <v>41837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100</v>
      </c>
      <c r="D59" t="s">
        <v>156</v>
      </c>
      <c r="E59">
        <v>6409540</v>
      </c>
      <c r="F59">
        <v>6.4095399999999997E-2</v>
      </c>
      <c r="H59" t="s">
        <v>157</v>
      </c>
      <c r="I59" t="s">
        <v>156</v>
      </c>
      <c r="J59">
        <v>670608468500</v>
      </c>
      <c r="L59">
        <f t="shared" si="1"/>
        <v>104.62661415639812</v>
      </c>
      <c r="O59" t="s">
        <v>158</v>
      </c>
      <c r="P59" t="s">
        <v>156</v>
      </c>
      <c r="Q59">
        <v>2128791</v>
      </c>
      <c r="R59" t="s">
        <v>160</v>
      </c>
      <c r="S59" t="s">
        <v>156</v>
      </c>
      <c r="T59">
        <v>1966981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120</v>
      </c>
      <c r="D60" t="s">
        <v>156</v>
      </c>
      <c r="E60">
        <v>228243</v>
      </c>
      <c r="F60">
        <v>2.2824299999999998E-3</v>
      </c>
      <c r="H60" t="s">
        <v>157</v>
      </c>
      <c r="I60" t="s">
        <v>156</v>
      </c>
      <c r="J60">
        <v>28891913100</v>
      </c>
      <c r="L60">
        <f t="shared" si="1"/>
        <v>126.58400520497892</v>
      </c>
      <c r="O60" t="s">
        <v>158</v>
      </c>
      <c r="P60" t="s">
        <v>156</v>
      </c>
      <c r="Q60">
        <v>219416</v>
      </c>
      <c r="R60" t="s">
        <v>160</v>
      </c>
      <c r="S60" t="s">
        <v>156</v>
      </c>
      <c r="T60">
        <v>8827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140</v>
      </c>
      <c r="D61" t="s">
        <v>156</v>
      </c>
      <c r="E61">
        <v>565491</v>
      </c>
      <c r="F61">
        <v>5.65491E-3</v>
      </c>
      <c r="H61" t="s">
        <v>157</v>
      </c>
      <c r="I61" t="s">
        <v>156</v>
      </c>
      <c r="J61">
        <v>86133382900</v>
      </c>
      <c r="L61">
        <f t="shared" si="1"/>
        <v>152.31609857628149</v>
      </c>
      <c r="O61" t="s">
        <v>158</v>
      </c>
      <c r="P61" t="s">
        <v>156</v>
      </c>
      <c r="Q61">
        <v>208014</v>
      </c>
      <c r="R61" t="s">
        <v>160</v>
      </c>
      <c r="S61" t="s">
        <v>156</v>
      </c>
      <c r="T61">
        <v>80074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160</v>
      </c>
      <c r="D62" t="s">
        <v>156</v>
      </c>
      <c r="E62">
        <v>8853</v>
      </c>
      <c r="F62">
        <v>8.8529999999999994E-5</v>
      </c>
      <c r="H62" t="s">
        <v>157</v>
      </c>
      <c r="I62" t="s">
        <v>156</v>
      </c>
      <c r="J62">
        <v>1420438900</v>
      </c>
      <c r="L62">
        <f t="shared" si="1"/>
        <v>160.44718174630069</v>
      </c>
      <c r="O62" t="s">
        <v>158</v>
      </c>
      <c r="P62" t="s">
        <v>156</v>
      </c>
      <c r="Q62" t="s">
        <v>159</v>
      </c>
      <c r="R62" t="s">
        <v>160</v>
      </c>
      <c r="S62" t="s">
        <v>156</v>
      </c>
      <c r="T62">
        <v>8853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180</v>
      </c>
      <c r="D63" t="s">
        <v>156</v>
      </c>
      <c r="E63">
        <v>658209</v>
      </c>
      <c r="F63">
        <v>6.5820899999999996E-3</v>
      </c>
      <c r="H63" t="s">
        <v>157</v>
      </c>
      <c r="I63" t="s">
        <v>156</v>
      </c>
      <c r="J63">
        <v>131641800000</v>
      </c>
      <c r="L63">
        <f t="shared" si="1"/>
        <v>200</v>
      </c>
      <c r="O63" t="s">
        <v>158</v>
      </c>
      <c r="P63" t="s">
        <v>156</v>
      </c>
      <c r="Q63">
        <v>565824</v>
      </c>
      <c r="R63" t="s">
        <v>160</v>
      </c>
      <c r="S63" t="s">
        <v>156</v>
      </c>
      <c r="T63">
        <v>567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200</v>
      </c>
      <c r="D64" t="s">
        <v>156</v>
      </c>
      <c r="E64">
        <v>2715707</v>
      </c>
      <c r="F64">
        <v>2.7157069999999998E-2</v>
      </c>
      <c r="H64" t="s">
        <v>157</v>
      </c>
      <c r="I64" t="s">
        <v>156</v>
      </c>
      <c r="J64">
        <v>558144313600</v>
      </c>
      <c r="L64">
        <f t="shared" si="1"/>
        <v>205.52449642026917</v>
      </c>
      <c r="O64" t="s">
        <v>158</v>
      </c>
      <c r="P64" t="s">
        <v>156</v>
      </c>
      <c r="Q64">
        <v>1839367</v>
      </c>
      <c r="R64" t="s">
        <v>160</v>
      </c>
      <c r="S64" t="s">
        <v>156</v>
      </c>
      <c r="T64">
        <v>44158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250</v>
      </c>
      <c r="D65" t="s">
        <v>156</v>
      </c>
      <c r="E65">
        <v>845776</v>
      </c>
      <c r="F65">
        <v>8.4577599999999999E-3</v>
      </c>
      <c r="H65" t="s">
        <v>157</v>
      </c>
      <c r="I65" t="s">
        <v>156</v>
      </c>
      <c r="J65">
        <v>221420755700</v>
      </c>
      <c r="L65">
        <f t="shared" si="1"/>
        <v>261.79597872249866</v>
      </c>
      <c r="O65" t="s">
        <v>158</v>
      </c>
      <c r="P65" t="s">
        <v>156</v>
      </c>
      <c r="Q65">
        <v>104330</v>
      </c>
      <c r="R65" t="s">
        <v>160</v>
      </c>
      <c r="S65" t="s">
        <v>156</v>
      </c>
      <c r="T65" t="s">
        <v>159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300</v>
      </c>
      <c r="D66" t="s">
        <v>156</v>
      </c>
      <c r="E66">
        <v>92772</v>
      </c>
      <c r="F66">
        <v>9.2772000000000004E-4</v>
      </c>
      <c r="H66" t="s">
        <v>157</v>
      </c>
      <c r="I66" t="s">
        <v>156</v>
      </c>
      <c r="J66">
        <v>28060410000</v>
      </c>
      <c r="L66">
        <f t="shared" si="1"/>
        <v>302.46636916310956</v>
      </c>
      <c r="O66" t="s">
        <v>158</v>
      </c>
      <c r="P66" t="s">
        <v>156</v>
      </c>
      <c r="Q66">
        <v>92772</v>
      </c>
      <c r="R66" t="s">
        <v>160</v>
      </c>
      <c r="S66" t="s">
        <v>156</v>
      </c>
      <c r="T66" t="s">
        <v>159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450</v>
      </c>
      <c r="D67" t="s">
        <v>156</v>
      </c>
      <c r="E67">
        <v>184453</v>
      </c>
      <c r="F67">
        <v>1.84453E-3</v>
      </c>
      <c r="H67" t="s">
        <v>157</v>
      </c>
      <c r="I67" t="s">
        <v>156</v>
      </c>
      <c r="J67">
        <v>92226500000</v>
      </c>
      <c r="L67">
        <f t="shared" si="1"/>
        <v>500</v>
      </c>
      <c r="O67" t="s">
        <v>158</v>
      </c>
      <c r="P67" t="s">
        <v>156</v>
      </c>
      <c r="Q67" t="s">
        <v>159</v>
      </c>
      <c r="R67" t="s">
        <v>160</v>
      </c>
      <c r="S67" t="s">
        <v>156</v>
      </c>
      <c r="T67" t="s">
        <v>159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500</v>
      </c>
      <c r="D68" t="s">
        <v>156</v>
      </c>
      <c r="E68">
        <v>1295867</v>
      </c>
      <c r="F68">
        <v>1.295867E-2</v>
      </c>
      <c r="H68" t="s">
        <v>157</v>
      </c>
      <c r="I68" t="s">
        <v>156</v>
      </c>
      <c r="J68">
        <v>665614098500</v>
      </c>
      <c r="L68">
        <f t="shared" si="1"/>
        <v>513.64383729194435</v>
      </c>
      <c r="O68" t="s">
        <v>158</v>
      </c>
      <c r="P68" t="s">
        <v>156</v>
      </c>
      <c r="Q68" t="s">
        <v>159</v>
      </c>
      <c r="R68" t="s">
        <v>160</v>
      </c>
      <c r="S68" t="s">
        <v>156</v>
      </c>
      <c r="T68" t="s">
        <v>159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  <row r="69" spans="1:29">
      <c r="A69" t="s">
        <v>93</v>
      </c>
      <c r="B69" t="s">
        <v>155</v>
      </c>
      <c r="C69">
        <v>550</v>
      </c>
      <c r="D69" t="s">
        <v>156</v>
      </c>
      <c r="E69">
        <v>184420</v>
      </c>
      <c r="F69">
        <v>1.8442E-3</v>
      </c>
      <c r="H69" t="s">
        <v>157</v>
      </c>
      <c r="I69" t="s">
        <v>156</v>
      </c>
      <c r="J69">
        <v>101984432000</v>
      </c>
      <c r="L69">
        <f t="shared" si="1"/>
        <v>553.00093265372516</v>
      </c>
      <c r="O69" t="s">
        <v>158</v>
      </c>
      <c r="P69" t="s">
        <v>156</v>
      </c>
      <c r="Q69" t="s">
        <v>159</v>
      </c>
      <c r="R69" t="s">
        <v>160</v>
      </c>
      <c r="S69" t="s">
        <v>156</v>
      </c>
      <c r="T69" t="s">
        <v>159</v>
      </c>
      <c r="U69" t="s">
        <v>161</v>
      </c>
      <c r="V69" t="s">
        <v>156</v>
      </c>
      <c r="W69" t="s">
        <v>159</v>
      </c>
      <c r="X69" t="s">
        <v>162</v>
      </c>
      <c r="Y69" t="s">
        <v>156</v>
      </c>
      <c r="Z69" t="s">
        <v>159</v>
      </c>
      <c r="AA69" t="s">
        <v>163</v>
      </c>
      <c r="AB69" t="s">
        <v>156</v>
      </c>
      <c r="AC69" t="s">
        <v>159</v>
      </c>
    </row>
    <row r="70" spans="1:29">
      <c r="A70" t="s">
        <v>93</v>
      </c>
      <c r="B70" t="s">
        <v>155</v>
      </c>
      <c r="C70">
        <v>950</v>
      </c>
      <c r="D70" t="s">
        <v>156</v>
      </c>
      <c r="E70">
        <v>92028</v>
      </c>
      <c r="F70">
        <v>9.2027999999999999E-4</v>
      </c>
      <c r="H70" t="s">
        <v>157</v>
      </c>
      <c r="I70" t="s">
        <v>156</v>
      </c>
      <c r="J70">
        <v>92028000000</v>
      </c>
      <c r="L70">
        <f t="shared" si="1"/>
        <v>1000</v>
      </c>
      <c r="O70" t="s">
        <v>158</v>
      </c>
      <c r="P70" t="s">
        <v>156</v>
      </c>
      <c r="Q70" t="s">
        <v>159</v>
      </c>
      <c r="R70" t="s">
        <v>160</v>
      </c>
      <c r="S70" t="s">
        <v>156</v>
      </c>
      <c r="T70" t="s">
        <v>159</v>
      </c>
      <c r="U70" t="s">
        <v>161</v>
      </c>
      <c r="V70" t="s">
        <v>156</v>
      </c>
      <c r="W70" t="s">
        <v>159</v>
      </c>
      <c r="X70" t="s">
        <v>162</v>
      </c>
      <c r="Y70" t="s">
        <v>156</v>
      </c>
      <c r="Z70" t="s">
        <v>159</v>
      </c>
      <c r="AA70" t="s">
        <v>163</v>
      </c>
      <c r="AB70" t="s">
        <v>156</v>
      </c>
      <c r="AC70" t="s">
        <v>159</v>
      </c>
    </row>
    <row r="71" spans="1:29">
      <c r="A71" t="s">
        <v>93</v>
      </c>
      <c r="B71" t="s">
        <v>155</v>
      </c>
      <c r="C71">
        <v>1000</v>
      </c>
      <c r="D71" t="s">
        <v>156</v>
      </c>
      <c r="E71">
        <v>741522</v>
      </c>
      <c r="F71">
        <v>7.4152200000000001E-3</v>
      </c>
      <c r="H71" t="s">
        <v>157</v>
      </c>
      <c r="I71" t="s">
        <v>156</v>
      </c>
      <c r="J71">
        <v>759884512000</v>
      </c>
      <c r="L71">
        <f t="shared" si="1"/>
        <v>1024.7632733755709</v>
      </c>
      <c r="O71" t="s">
        <v>158</v>
      </c>
      <c r="P71" t="s">
        <v>156</v>
      </c>
      <c r="Q71" t="s">
        <v>159</v>
      </c>
      <c r="R71" t="s">
        <v>160</v>
      </c>
      <c r="S71" t="s">
        <v>156</v>
      </c>
      <c r="T71" t="s">
        <v>159</v>
      </c>
      <c r="U71" t="s">
        <v>161</v>
      </c>
      <c r="V71" t="s">
        <v>156</v>
      </c>
      <c r="W71" t="s">
        <v>159</v>
      </c>
      <c r="X71" t="s">
        <v>162</v>
      </c>
      <c r="Y71" t="s">
        <v>156</v>
      </c>
      <c r="Z71" t="s">
        <v>159</v>
      </c>
      <c r="AA71" t="s">
        <v>163</v>
      </c>
      <c r="AB71" t="s">
        <v>156</v>
      </c>
      <c r="AC71" t="s">
        <v>159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962-8A83-4F9D-980D-67336EE5A89E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1.3784299957001276</v>
      </c>
      <c r="V1" s="178">
        <f>SUM(V3:V54)</f>
        <v>0.91998900989871235</v>
      </c>
      <c r="AB1" s="272">
        <f>SUM(AB3:AB54)</f>
        <v>1.3875115135938614</v>
      </c>
      <c r="AF1" s="273">
        <f>SUM(AF3:AF54)</f>
        <v>0.92500859751113662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Sim_Mul_Bet50!$F$2:$F$100,
      (Sim_Mul_Bet50!$A$2:$A$100=C$2) * (Sim_Mul_Bet50!$C$2:$C$100=$B3),0
   ),
   0
)</f>
        <v>0.70458379000000004</v>
      </c>
      <c r="D3" s="166" cm="1">
        <f t="array" ref="D3">_xlfn.IFNA(
   _xlfn._xlws.FILTER(
      Sim_Mul_Bet50!$F$2:$F$100,
      (Sim_Mul_Bet50!$A$2:$A$100=D$2) * (Sim_Mul_Bet50!$C$2:$C$100=$B3),0
   ),
   0
)</f>
        <v>0.13995719000000001</v>
      </c>
      <c r="E3" s="156" cm="1">
        <f t="array" ref="E3">_xlfn.IFNA(
   _xlfn._xlws.FILTER(
      Sim_Mul_Bet50!$F$2:$F$100,
      (Sim_Mul_Bet50!$A$2:$A$100=E$2) * (Sim_Mul_Bet50!$C$2:$C$100=$B3),0
   ),
   0
)</f>
        <v>0</v>
      </c>
      <c r="F3" s="167" cm="1">
        <f t="array" ref="F3">_xlfn.IFNA(
   _xlfn._xlws.FILTER(
      Sim_Mul_Bet50!$L$2:$L$100,
      (Sim_Mul_Bet50!$A$2:$A$100=F$2) * (Sim_Mul_Bet50!$C$2:$C$100=$B3),0
   ),
   0
)</f>
        <v>0</v>
      </c>
      <c r="G3" s="167" cm="1">
        <f t="array" ref="G3">_xlfn.IFNA(
   _xlfn._xlws.FILTER(
      Sim_Mul_Bet50!$L$2:$L$100,
      (Sim_Mul_Bet50!$A$2:$A$100=G$2) * (Sim_Mul_Bet50!$C$2:$C$100=$B3),0
   ),
   0
)</f>
        <v>0</v>
      </c>
      <c r="H3" s="159" cm="1">
        <f t="array" ref="H3">_xlfn.IFNA(
   _xlfn._xlws.FILTER(
      Sim_Mul_Bet50!$L$2:$L$100,
      (Sim_Mul_Bet50!$A$2:$A$100=H$2) * (Sim_Mul_Bet50!$C$2:$C$100=$B3),0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0.70458379000000004</v>
      </c>
      <c r="N3" s="171">
        <f>HLOOKUP(L3,$F$2:$H$54,J3+2,FALSE)</f>
        <v>0</v>
      </c>
      <c r="O3" s="172">
        <f>1-SUM(O4:O53)</f>
        <v>0.8060838153931188</v>
      </c>
      <c r="P3" s="172">
        <f>1-SUM(P4:P53)</f>
        <v>0.87072254359541246</v>
      </c>
      <c r="Q3" s="172">
        <f>1-SUM(Q4:Q54)</f>
        <v>0.87113099350559631</v>
      </c>
      <c r="R3" s="173">
        <f t="shared" ref="R3:R54" si="0">N3*O3</f>
        <v>0</v>
      </c>
      <c r="T3" s="174">
        <f>1000000-SUM(T4:T54)</f>
        <v>806081</v>
      </c>
      <c r="U3" s="175" cm="1">
        <f t="array" ref="U3:U54">T3:T54/SUM($T$3:$T$54)</f>
        <v>0.80608100000000005</v>
      </c>
      <c r="V3" s="178">
        <f>U3*N3/1.5</f>
        <v>0</v>
      </c>
      <c r="Y3" s="172">
        <f>1-SUM(Y4:Y53)</f>
        <v>0.89606025977615034</v>
      </c>
      <c r="Z3" s="172">
        <f>1-SUM(Z4:Z53)</f>
        <v>0.93070683985076685</v>
      </c>
      <c r="AA3" s="172">
        <f>1-SUM(AA4:AA54)</f>
        <v>0.87113099350559631</v>
      </c>
      <c r="AB3" s="276">
        <f>N3*Y3</f>
        <v>0</v>
      </c>
      <c r="AD3" s="174">
        <f>1000000-SUM(AD4:AD54)</f>
        <v>896060</v>
      </c>
      <c r="AE3" s="175" cm="1">
        <f t="array" ref="AE3:AE54">AD3:AD54/SUM($T$3:$T$54)</f>
        <v>0.89605999999999997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Sim_Mul_Bet50!$F$2:$F$100,
      (Sim_Mul_Bet50!$A$2:$A$100=C$2) * (Sim_Mul_Bet50!$C$2:$C$100=$B4),0
   ),
   0
)</f>
        <v>6.2623139999999994E-2</v>
      </c>
      <c r="D4" s="181" cm="1">
        <f t="array" ref="D4">_xlfn.IFNA(
   _xlfn._xlws.FILTER(
      Sim_Mul_Bet50!$F$2:$F$100,
      (Sim_Mul_Bet50!$A$2:$A$100=D$2) * (Sim_Mul_Bet50!$C$2:$C$100=$B4),0
   ),
   0
)</f>
        <v>0.20506682000000001</v>
      </c>
      <c r="E4" s="182" cm="1">
        <f t="array" ref="E4">_xlfn.IFNA(
   _xlfn._xlws.FILTER(
      Sim_Mul_Bet50!$F$2:$F$100,
      (Sim_Mul_Bet50!$A$2:$A$100=E$2) * (Sim_Mul_Bet50!$C$2:$C$100=$B4),0
   ),
   0
)</f>
        <v>0</v>
      </c>
      <c r="F4" s="183" cm="1">
        <f t="array" ref="F4">_xlfn.IFNA(
   _xlfn._xlws.FILTER(
      Sim_Mul_Bet50!$L$2:$L$100,
      (Sim_Mul_Bet50!$A$2:$A$100=F$2) * (Sim_Mul_Bet50!$C$2:$C$100=$B4),0
   ),
   0
)</f>
        <v>1</v>
      </c>
      <c r="G4" s="184" cm="1">
        <f t="array" ref="G4">_xlfn.IFNA(
   _xlfn._xlws.FILTER(
      Sim_Mul_Bet50!$L$2:$L$100,
      (Sim_Mul_Bet50!$A$2:$A$100=G$2) * (Sim_Mul_Bet50!$C$2:$C$100=$B4),0
   ),
   0
)</f>
        <v>0.43158646532871581</v>
      </c>
      <c r="H4" s="185" cm="1">
        <f t="array" ref="H4">_xlfn.IFNA(
   _xlfn._xlws.FILTER(
      Sim_Mul_Bet50!$L$2:$L$100,
      (Sim_Mul_Bet50!$A$2:$A$100=H$2) * (Sim_Mul_Bet50!$C$2:$C$100=$B4),0
   ),
   0
)</f>
        <v>0</v>
      </c>
      <c r="J4">
        <v>1</v>
      </c>
      <c r="K4" s="186">
        <v>0</v>
      </c>
      <c r="L4" s="187" t="s">
        <v>92</v>
      </c>
      <c r="M4" s="215">
        <f t="shared" ref="M4:M54" si="1">HLOOKUP(L4,$C$2:$E$54,J4+2,FALSE)</f>
        <v>6.2623139999999994E-2</v>
      </c>
      <c r="N4" s="189">
        <f>HLOOKUP(L4,$F$2:$H$54,J4+2,FALSE)</f>
        <v>1</v>
      </c>
      <c r="O4" s="190">
        <f>P4*1.5</f>
        <v>7.4629508083459944E-2</v>
      </c>
      <c r="P4" s="190">
        <v>4.9753005388973301E-2</v>
      </c>
      <c r="Q4" s="190">
        <v>4.9753005388973301E-2</v>
      </c>
      <c r="R4" s="191">
        <f t="shared" si="0"/>
        <v>7.4629508083459944E-2</v>
      </c>
      <c r="T4" s="192">
        <f t="shared" ref="T4:T54" si="2">ROUND(O4*1000000,0)</f>
        <v>74630</v>
      </c>
      <c r="U4">
        <v>7.4630000000000002E-2</v>
      </c>
      <c r="V4" s="193">
        <f t="shared" ref="V4:V54" si="3">U4*N4/1.5</f>
        <v>4.9753333333333337E-2</v>
      </c>
      <c r="W4" s="194"/>
      <c r="Y4" s="190">
        <f>Z4*1.5</f>
        <v>2.2499999999999999E-2</v>
      </c>
      <c r="Z4" s="190">
        <v>1.4999999999999999E-2</v>
      </c>
      <c r="AA4" s="190">
        <v>4.9753005388973301E-2</v>
      </c>
      <c r="AB4" s="276">
        <f t="shared" ref="AB4:AB54" si="4">N4*Y4</f>
        <v>2.2499999999999999E-2</v>
      </c>
      <c r="AD4" s="192">
        <f t="shared" ref="AD4:AD54" si="5">ROUND(Y4*1000000,0)</f>
        <v>22500</v>
      </c>
      <c r="AE4">
        <v>2.2499999999999999E-2</v>
      </c>
      <c r="AF4" s="278">
        <f>AE4*N4/1.5</f>
        <v>1.4999999999999999E-2</v>
      </c>
    </row>
    <row r="5" spans="2:32">
      <c r="B5" s="179">
        <v>1</v>
      </c>
      <c r="C5" s="180" cm="1">
        <f t="array" ref="C5">_xlfn.IFNA(
   _xlfn._xlws.FILTER(
      Sim_Mul_Bet50!$F$2:$F$100,
      (Sim_Mul_Bet50!$A$2:$A$100=C$2) * (Sim_Mul_Bet50!$C$2:$C$100=$B5),0
   ),
   0
)</f>
        <v>9.3676960000000004E-2</v>
      </c>
      <c r="D5" s="181" cm="1">
        <f t="array" ref="D5">_xlfn.IFNA(
   _xlfn._xlws.FILTER(
      Sim_Mul_Bet50!$F$2:$F$100,
      (Sim_Mul_Bet50!$A$2:$A$100=D$2) * (Sim_Mul_Bet50!$C$2:$C$100=$B5),0
   ),
   0
)</f>
        <v>8.2194920000000005E-2</v>
      </c>
      <c r="E5" s="182" cm="1">
        <f t="array" ref="E5">_xlfn.IFNA(
   _xlfn._xlws.FILTER(
      Sim_Mul_Bet50!$F$2:$F$100,
      (Sim_Mul_Bet50!$A$2:$A$100=E$2) * (Sim_Mul_Bet50!$C$2:$C$100=$B5),0
   ),
   0
)</f>
        <v>0</v>
      </c>
      <c r="F5" s="183" cm="1">
        <f t="array" ref="F5">_xlfn.IFNA(
   _xlfn._xlws.FILTER(
      Sim_Mul_Bet50!$L$2:$L$100,
      (Sim_Mul_Bet50!$A$2:$A$100=F$2) * (Sim_Mul_Bet50!$C$2:$C$100=$B5),0
   ),
   0
)</f>
        <v>1.8207789556791767</v>
      </c>
      <c r="G5" s="184" cm="1">
        <f t="array" ref="G5">_xlfn.IFNA(
   _xlfn._xlws.FILTER(
      Sim_Mul_Bet50!$L$2:$L$100,
      (Sim_Mul_Bet50!$A$2:$A$100=G$2) * (Sim_Mul_Bet50!$C$2:$C$100=$B5),0
   ),
   0
)</f>
        <v>1.496677921214596</v>
      </c>
      <c r="H5" s="185" cm="1">
        <f t="array" ref="H5">_xlfn.IFNA(
   _xlfn._xlws.FILTER(
      Sim_Mul_Bet50!$L$2:$L$100,
      (Sim_Mul_Bet50!$A$2:$A$100=H$2) * (Sim_Mul_Bet50!$C$2:$C$100=$B5),0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8.2194920000000005E-2</v>
      </c>
      <c r="N5" s="189">
        <f t="shared" ref="N5:N54" si="6">HLOOKUP(L5,$F$2:$H$54,J5+2,FALSE)</f>
        <v>1.496677921214596</v>
      </c>
      <c r="O5" s="190">
        <f t="shared" ref="O5:O54" si="7">P5*1.5</f>
        <v>2.3758118004698098E-2</v>
      </c>
      <c r="P5" s="190">
        <v>1.5838745336465399E-2</v>
      </c>
      <c r="Q5" s="190">
        <v>1.5838745336465399E-2</v>
      </c>
      <c r="R5" s="191">
        <f t="shared" si="0"/>
        <v>3.5558250667242615E-2</v>
      </c>
      <c r="T5" s="192">
        <f t="shared" si="2"/>
        <v>23758</v>
      </c>
      <c r="U5" s="176">
        <v>2.3758000000000001E-2</v>
      </c>
      <c r="V5" s="195">
        <f t="shared" si="3"/>
        <v>2.3705382701477581E-2</v>
      </c>
      <c r="W5" s="194"/>
      <c r="Y5" s="190">
        <f t="shared" ref="Y5:Y54" si="8">Z5*1.5</f>
        <v>1.4999999999999999E-2</v>
      </c>
      <c r="Z5" s="190">
        <v>0.01</v>
      </c>
      <c r="AA5" s="190">
        <v>1.5838745336465399E-2</v>
      </c>
      <c r="AB5" s="276">
        <f t="shared" si="4"/>
        <v>2.245016881821894E-2</v>
      </c>
      <c r="AD5" s="192">
        <f t="shared" si="5"/>
        <v>15000</v>
      </c>
      <c r="AE5" s="176">
        <v>1.4999999999999999E-2</v>
      </c>
      <c r="AF5" s="278">
        <f t="shared" ref="AF5:AF54" si="9">AE5*N5/1.5</f>
        <v>1.496677921214596E-2</v>
      </c>
    </row>
    <row r="6" spans="2:32">
      <c r="B6" s="179">
        <v>2</v>
      </c>
      <c r="C6" s="180" cm="1">
        <f t="array" ref="C6">_xlfn.IFNA(
   _xlfn._xlws.FILTER(
      Sim_Mul_Bet50!$F$2:$F$100,
      (Sim_Mul_Bet50!$A$2:$A$100=C$2) * (Sim_Mul_Bet50!$C$2:$C$100=$B6),0
   ),
   0
)</f>
        <v>6.5056900000000001E-2</v>
      </c>
      <c r="D6" s="181" cm="1">
        <f t="array" ref="D6">_xlfn.IFNA(
   _xlfn._xlws.FILTER(
      Sim_Mul_Bet50!$F$2:$F$100,
      (Sim_Mul_Bet50!$A$2:$A$100=D$2) * (Sim_Mul_Bet50!$C$2:$C$100=$B6),0
   ),
   0
)</f>
        <v>8.0607529999999997E-2</v>
      </c>
      <c r="E6" s="182" cm="1">
        <f t="array" ref="E6">_xlfn.IFNA(
   _xlfn._xlws.FILTER(
      Sim_Mul_Bet50!$F$2:$F$100,
      (Sim_Mul_Bet50!$A$2:$A$100=E$2) * (Sim_Mul_Bet50!$C$2:$C$100=$B6),0
   ),
   0
)</f>
        <v>0</v>
      </c>
      <c r="F6" s="183" cm="1">
        <f t="array" ref="F6">_xlfn.IFNA(
   _xlfn._xlws.FILTER(
      Sim_Mul_Bet50!$L$2:$L$100,
      (Sim_Mul_Bet50!$A$2:$A$100=F$2) * (Sim_Mul_Bet50!$C$2:$C$100=$B6),0
   ),
   0
)</f>
        <v>2.1082502609254359</v>
      </c>
      <c r="G6" s="184" cm="1">
        <f t="array" ref="G6">_xlfn.IFNA(
   _xlfn._xlws.FILTER(
      Sim_Mul_Bet50!$L$2:$L$100,
      (Sim_Mul_Bet50!$A$2:$A$100=G$2) * (Sim_Mul_Bet50!$C$2:$C$100=$B6),0
   ),
   0
)</f>
        <v>2.2328010447659166</v>
      </c>
      <c r="H6" s="185" cm="1">
        <f t="array" ref="H6">_xlfn.IFNA(
   _xlfn._xlws.FILTER(
      Sim_Mul_Bet50!$L$2:$L$100,
      (Sim_Mul_Bet50!$A$2:$A$100=H$2) * (Sim_Mul_Bet50!$C$2:$C$100=$B6),0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8.0607529999999997E-2</v>
      </c>
      <c r="N6" s="189">
        <f t="shared" si="6"/>
        <v>2.2328010447659166</v>
      </c>
      <c r="O6" s="190">
        <f t="shared" si="7"/>
        <v>4.4821749343650751E-3</v>
      </c>
      <c r="P6" s="190">
        <v>2.9881166229100498E-3</v>
      </c>
      <c r="Q6" s="190">
        <v>2.9881166229100498E-3</v>
      </c>
      <c r="R6" s="191">
        <f t="shared" si="0"/>
        <v>1.0007804876273943E-2</v>
      </c>
      <c r="T6" s="192">
        <f t="shared" si="2"/>
        <v>4482</v>
      </c>
      <c r="U6" s="176">
        <v>4.4819999999999999E-3</v>
      </c>
      <c r="V6" s="195">
        <f t="shared" si="3"/>
        <v>6.6716095217605577E-3</v>
      </c>
      <c r="W6" s="194"/>
      <c r="Y6" s="190">
        <f t="shared" si="8"/>
        <v>7.5000000000000002E-4</v>
      </c>
      <c r="Z6" s="190">
        <v>5.0000000000000001E-4</v>
      </c>
      <c r="AA6" s="190">
        <v>2.9881166229100498E-3</v>
      </c>
      <c r="AB6" s="276">
        <f t="shared" si="4"/>
        <v>1.6746007835744374E-3</v>
      </c>
      <c r="AD6" s="192">
        <f t="shared" si="5"/>
        <v>750</v>
      </c>
      <c r="AE6" s="176">
        <v>7.5000000000000002E-4</v>
      </c>
      <c r="AF6" s="278">
        <f t="shared" si="9"/>
        <v>1.1164005223829583E-3</v>
      </c>
    </row>
    <row r="7" spans="2:32">
      <c r="B7" s="179">
        <v>3</v>
      </c>
      <c r="C7" s="180" cm="1">
        <f t="array" ref="C7">_xlfn.IFNA(
   _xlfn._xlws.FILTER(
      Sim_Mul_Bet50!$F$2:$F$100,
      (Sim_Mul_Bet50!$A$2:$A$100=C$2) * (Sim_Mul_Bet50!$C$2:$C$100=$B7),0
   ),
   0
)</f>
        <v>8.9286699999999997E-3</v>
      </c>
      <c r="D7" s="181" cm="1">
        <f t="array" ref="D7">_xlfn.IFNA(
   _xlfn._xlws.FILTER(
      Sim_Mul_Bet50!$F$2:$F$100,
      (Sim_Mul_Bet50!$A$2:$A$100=D$2) * (Sim_Mul_Bet50!$C$2:$C$100=$B7),0
   ),
   0
)</f>
        <v>1.7616239999999998E-2</v>
      </c>
      <c r="E7" s="182" cm="1">
        <f t="array" ref="E7">_xlfn.IFNA(
   _xlfn._xlws.FILTER(
      Sim_Mul_Bet50!$F$2:$F$100,
      (Sim_Mul_Bet50!$A$2:$A$100=E$2) * (Sim_Mul_Bet50!$C$2:$C$100=$B7),0
   ),
   0
)</f>
        <v>0</v>
      </c>
      <c r="F7" s="183" cm="1">
        <f t="array" ref="F7">_xlfn.IFNA(
   _xlfn._xlws.FILTER(
      Sim_Mul_Bet50!$L$2:$L$100,
      (Sim_Mul_Bet50!$A$2:$A$100=F$2) * (Sim_Mul_Bet50!$C$2:$C$100=$B7),0
   ),
   0
)</f>
        <v>3.9348433305296311</v>
      </c>
      <c r="G7" s="184" cm="1">
        <f t="array" ref="G7">_xlfn.IFNA(
   _xlfn._xlws.FILTER(
      Sim_Mul_Bet50!$L$2:$L$100,
      (Sim_Mul_Bet50!$A$2:$A$100=G$2) * (Sim_Mul_Bet50!$C$2:$C$100=$B7),0
   ),
   0
)</f>
        <v>3.5633894065930072</v>
      </c>
      <c r="H7" s="185" cm="1">
        <f t="array" ref="H7">_xlfn.IFNA(
   _xlfn._xlws.FILTER(
      Sim_Mul_Bet50!$L$2:$L$100,
      (Sim_Mul_Bet50!$A$2:$A$100=H$2) * (Sim_Mul_Bet50!$C$2:$C$100=$B7),0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1.7616239999999998E-2</v>
      </c>
      <c r="N7" s="189">
        <f t="shared" si="6"/>
        <v>3.5633894065930072</v>
      </c>
      <c r="O7" s="190">
        <f t="shared" si="7"/>
        <v>1.2177007047118964E-3</v>
      </c>
      <c r="P7" s="190">
        <v>8.1180046980793095E-4</v>
      </c>
      <c r="Q7" s="190">
        <v>8.1180046980793095E-4</v>
      </c>
      <c r="R7" s="191">
        <f t="shared" si="0"/>
        <v>4.3391417915712108E-3</v>
      </c>
      <c r="T7" s="192">
        <f t="shared" si="2"/>
        <v>1218</v>
      </c>
      <c r="U7" s="176">
        <v>1.2179999999999999E-3</v>
      </c>
      <c r="V7" s="195">
        <f t="shared" si="3"/>
        <v>2.8934721981535212E-3</v>
      </c>
      <c r="W7" s="194"/>
      <c r="Y7" s="190">
        <f t="shared" si="8"/>
        <v>1.5000000000000001E-4</v>
      </c>
      <c r="Z7" s="190">
        <v>1E-4</v>
      </c>
      <c r="AA7" s="190">
        <v>8.1180046980793095E-4</v>
      </c>
      <c r="AB7" s="276">
        <f t="shared" si="4"/>
        <v>5.3450841098895115E-4</v>
      </c>
      <c r="AD7" s="192">
        <f t="shared" si="5"/>
        <v>150</v>
      </c>
      <c r="AE7" s="176">
        <v>1.4999999999999999E-4</v>
      </c>
      <c r="AF7" s="278">
        <f t="shared" si="9"/>
        <v>3.5633894065930071E-4</v>
      </c>
    </row>
    <row r="8" spans="2:32">
      <c r="B8" s="179">
        <v>4</v>
      </c>
      <c r="C8" s="180" cm="1">
        <f t="array" ref="C8">_xlfn.IFNA(
   _xlfn._xlws.FILTER(
      Sim_Mul_Bet50!$F$2:$F$100,
      (Sim_Mul_Bet50!$A$2:$A$100=C$2) * (Sim_Mul_Bet50!$C$2:$C$100=$B8),0
   ),
   0
)</f>
        <v>1.3256479999999999E-2</v>
      </c>
      <c r="D8" s="181" cm="1">
        <f t="array" ref="D8">_xlfn.IFNA(
   _xlfn._xlws.FILTER(
      Sim_Mul_Bet50!$F$2:$F$100,
      (Sim_Mul_Bet50!$A$2:$A$100=D$2) * (Sim_Mul_Bet50!$C$2:$C$100=$B8),0
   ),
   0
)</f>
        <v>2.6804209999999998E-2</v>
      </c>
      <c r="E8" s="182" cm="1">
        <f t="array" ref="E8">_xlfn.IFNA(
   _xlfn._xlws.FILTER(
      Sim_Mul_Bet50!$F$2:$F$100,
      (Sim_Mul_Bet50!$A$2:$A$100=E$2) * (Sim_Mul_Bet50!$C$2:$C$100=$B8),0
   ),
   0
)</f>
        <v>0</v>
      </c>
      <c r="F8" s="183" cm="1">
        <f t="array" ref="F8">_xlfn.IFNA(
   _xlfn._xlws.FILTER(
      Sim_Mul_Bet50!$L$2:$L$100,
      (Sim_Mul_Bet50!$A$2:$A$100=F$2) * (Sim_Mul_Bet50!$C$2:$C$100=$B8),0
   ),
   0
)</f>
        <v>4.8959229297671776</v>
      </c>
      <c r="G8" s="184" cm="1">
        <f t="array" ref="G8">_xlfn.IFNA(
   _xlfn._xlws.FILTER(
      Sim_Mul_Bet50!$L$2:$L$100,
      (Sim_Mul_Bet50!$A$2:$A$100=G$2) * (Sim_Mul_Bet50!$C$2:$C$100=$B8),0
   ),
   0
)</f>
        <v>4.3646060152490973</v>
      </c>
      <c r="H8" s="185" cm="1">
        <f t="array" ref="H8">_xlfn.IFNA(
   _xlfn._xlws.FILTER(
      Sim_Mul_Bet50!$L$2:$L$100,
      (Sim_Mul_Bet50!$A$2:$A$100=H$2) * (Sim_Mul_Bet50!$C$2:$C$100=$B8),0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2.6804209999999998E-2</v>
      </c>
      <c r="N8" s="189">
        <f t="shared" si="6"/>
        <v>4.3646060152490973</v>
      </c>
      <c r="O8" s="190">
        <f t="shared" si="7"/>
        <v>4.4999999999999998E-2</v>
      </c>
      <c r="P8" s="190">
        <v>0.03</v>
      </c>
      <c r="Q8" s="190">
        <v>2.9492538344617899E-2</v>
      </c>
      <c r="R8" s="191">
        <f t="shared" si="0"/>
        <v>0.19640727068620936</v>
      </c>
      <c r="T8" s="192">
        <f t="shared" si="2"/>
        <v>45000</v>
      </c>
      <c r="U8" s="176">
        <v>4.4999999999999998E-2</v>
      </c>
      <c r="V8" s="195">
        <f t="shared" si="3"/>
        <v>0.13093818045747291</v>
      </c>
      <c r="W8" s="194"/>
      <c r="Y8" s="190">
        <f t="shared" si="8"/>
        <v>1.3499999999999998E-2</v>
      </c>
      <c r="Z8" s="190">
        <v>8.9999999999999993E-3</v>
      </c>
      <c r="AA8" s="190">
        <v>2.9492538344617899E-2</v>
      </c>
      <c r="AB8" s="276">
        <f t="shared" si="4"/>
        <v>5.8922181205862803E-2</v>
      </c>
      <c r="AD8" s="192">
        <f t="shared" si="5"/>
        <v>13500</v>
      </c>
      <c r="AE8" s="176">
        <v>1.35E-2</v>
      </c>
      <c r="AF8" s="278">
        <f t="shared" si="9"/>
        <v>3.9281454137241871E-2</v>
      </c>
    </row>
    <row r="9" spans="2:32">
      <c r="B9" s="179">
        <v>5</v>
      </c>
      <c r="C9" s="180" cm="1">
        <f t="array" ref="C9">_xlfn.IFNA(
   _xlfn._xlws.FILTER(
      Sim_Mul_Bet50!$F$2:$F$100,
      (Sim_Mul_Bet50!$A$2:$A$100=C$2) * (Sim_Mul_Bet50!$C$2:$C$100=$B9),0
   ),
   0
)</f>
        <v>1.37543E-3</v>
      </c>
      <c r="D9" s="181" cm="1">
        <f t="array" ref="D9">_xlfn.IFNA(
   _xlfn._xlws.FILTER(
      Sim_Mul_Bet50!$F$2:$F$100,
      (Sim_Mul_Bet50!$A$2:$A$100=D$2) * (Sim_Mul_Bet50!$C$2:$C$100=$B9),0
   ),
   0
)</f>
        <v>1.3272259999999999E-2</v>
      </c>
      <c r="E9" s="182" cm="1">
        <f t="array" ref="E9">_xlfn.IFNA(
   _xlfn._xlws.FILTER(
      Sim_Mul_Bet50!$F$2:$F$100,
      (Sim_Mul_Bet50!$A$2:$A$100=E$2) * (Sim_Mul_Bet50!$C$2:$C$100=$B9),0
   ),
   0
)</f>
        <v>0</v>
      </c>
      <c r="F9" s="183" cm="1">
        <f t="array" ref="F9">_xlfn.IFNA(
   _xlfn._xlws.FILTER(
      Sim_Mul_Bet50!$L$2:$L$100,
      (Sim_Mul_Bet50!$A$2:$A$100=F$2) * (Sim_Mul_Bet50!$C$2:$C$100=$B9),0
   ),
   0
)</f>
        <v>5.3703460008869959</v>
      </c>
      <c r="G9" s="184" cm="1">
        <f t="array" ref="G9">_xlfn.IFNA(
   _xlfn._xlws.FILTER(
      Sim_Mul_Bet50!$L$2:$L$100,
      (Sim_Mul_Bet50!$A$2:$A$100=G$2) * (Sim_Mul_Bet50!$C$2:$C$100=$B9),0
   ),
   0
)</f>
        <v>5.3225549831000896</v>
      </c>
      <c r="H9" s="185" cm="1">
        <f t="array" ref="H9">_xlfn.IFNA(
   _xlfn._xlws.FILTER(
      Sim_Mul_Bet50!$L$2:$L$100,
      (Sim_Mul_Bet50!$A$2:$A$100=H$2) * (Sim_Mul_Bet50!$C$2:$C$100=$B9),0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1.3272259999999999E-2</v>
      </c>
      <c r="N9" s="189">
        <f t="shared" si="6"/>
        <v>5.3225549831000896</v>
      </c>
      <c r="O9" s="190">
        <f t="shared" si="7"/>
        <v>1.4897402238496619E-3</v>
      </c>
      <c r="P9" s="190">
        <v>9.9316014923310795E-4</v>
      </c>
      <c r="Q9" s="190">
        <v>9.9316014923310795E-4</v>
      </c>
      <c r="R9" s="191">
        <f t="shared" si="0"/>
        <v>7.9292242519756612E-3</v>
      </c>
      <c r="T9" s="192">
        <f t="shared" si="2"/>
        <v>1490</v>
      </c>
      <c r="U9" s="176">
        <v>1.49E-3</v>
      </c>
      <c r="V9" s="195">
        <f t="shared" si="3"/>
        <v>5.2870712832127562E-3</v>
      </c>
      <c r="W9" s="194"/>
      <c r="Y9" s="190">
        <f t="shared" si="8"/>
        <v>1.4897402238496619E-3</v>
      </c>
      <c r="Z9" s="190">
        <v>9.9316014923310795E-4</v>
      </c>
      <c r="AA9" s="190">
        <v>9.9316014923310795E-4</v>
      </c>
      <c r="AB9" s="276">
        <f t="shared" si="4"/>
        <v>7.9292242519756612E-3</v>
      </c>
      <c r="AD9" s="192">
        <f t="shared" si="5"/>
        <v>1490</v>
      </c>
      <c r="AE9" s="176">
        <v>1.49E-3</v>
      </c>
      <c r="AF9" s="278">
        <f t="shared" si="9"/>
        <v>5.2870712832127562E-3</v>
      </c>
    </row>
    <row r="10" spans="2:32">
      <c r="B10" s="179">
        <v>6</v>
      </c>
      <c r="C10" s="180" cm="1">
        <f t="array" ref="C10">_xlfn.IFNA(
   _xlfn._xlws.FILTER(
      Sim_Mul_Bet50!$F$2:$F$100,
      (Sim_Mul_Bet50!$A$2:$A$100=C$2) * (Sim_Mul_Bet50!$C$2:$C$100=$B10),0
   ),
   0
)</f>
        <v>1.8790000000000001E-5</v>
      </c>
      <c r="D10" s="181" cm="1">
        <f t="array" ref="D10">_xlfn.IFNA(
   _xlfn._xlws.FILTER(
      Sim_Mul_Bet50!$F$2:$F$100,
      (Sim_Mul_Bet50!$A$2:$A$100=D$2) * (Sim_Mul_Bet50!$C$2:$C$100=$B10),0
   ),
   0
)</f>
        <v>1.1279E-3</v>
      </c>
      <c r="E10" s="182" cm="1">
        <f t="array" ref="E10">_xlfn.IFNA(
   _xlfn._xlws.FILTER(
      Sim_Mul_Bet50!$F$2:$F$100,
      (Sim_Mul_Bet50!$A$2:$A$100=E$2) * (Sim_Mul_Bet50!$C$2:$C$100=$B10),0
   ),
   0
)</f>
        <v>0</v>
      </c>
      <c r="F10" s="183" cm="1">
        <f t="array" ref="F10">_xlfn.IFNA(
   _xlfn._xlws.FILTER(
      Sim_Mul_Bet50!$L$2:$L$100,
      (Sim_Mul_Bet50!$A$2:$A$100=F$2) * (Sim_Mul_Bet50!$C$2:$C$100=$B10),0
   ),
   0
)</f>
        <v>6.1233528472591798</v>
      </c>
      <c r="G10" s="184" cm="1">
        <f t="array" ref="G10">_xlfn.IFNA(
   _xlfn._xlws.FILTER(
      Sim_Mul_Bet50!$L$2:$L$100,
      (Sim_Mul_Bet50!$A$2:$A$100=G$2) * (Sim_Mul_Bet50!$C$2:$C$100=$B10),0
   ),
   0
)</f>
        <v>6.119599077932441</v>
      </c>
      <c r="H10" s="185" cm="1">
        <f t="array" ref="H10">_xlfn.IFNA(
   _xlfn._xlws.FILTER(
      Sim_Mul_Bet50!$L$2:$L$100,
      (Sim_Mul_Bet50!$A$2:$A$100=H$2) * (Sim_Mul_Bet50!$C$2:$C$100=$B10),0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1.1279E-3</v>
      </c>
      <c r="N10" s="189">
        <f t="shared" si="6"/>
        <v>6.119599077932441</v>
      </c>
      <c r="O10" s="190">
        <f t="shared" si="7"/>
        <v>0</v>
      </c>
      <c r="P10" s="190">
        <v>0</v>
      </c>
      <c r="Q10" s="190">
        <v>0</v>
      </c>
      <c r="R10" s="191">
        <f t="shared" si="0"/>
        <v>0</v>
      </c>
      <c r="T10" s="192">
        <f t="shared" si="2"/>
        <v>0</v>
      </c>
      <c r="U10" s="176">
        <v>0</v>
      </c>
      <c r="V10" s="195">
        <f t="shared" si="3"/>
        <v>0</v>
      </c>
      <c r="W10" s="194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Sim_Mul_Bet50!$F$2:$F$100,
      (Sim_Mul_Bet50!$A$2:$A$100=C$2) * (Sim_Mul_Bet50!$C$2:$C$100=$B11),0
   ),
   0
)</f>
        <v>0</v>
      </c>
      <c r="D11" s="181" cm="1">
        <f t="array" ref="D11">_xlfn.IFNA(
   _xlfn._xlws.FILTER(
      Sim_Mul_Bet50!$F$2:$F$100,
      (Sim_Mul_Bet50!$A$2:$A$100=D$2) * (Sim_Mul_Bet50!$C$2:$C$100=$B11),0
   ),
   0
)</f>
        <v>0</v>
      </c>
      <c r="E11" s="182" cm="1">
        <f t="array" ref="E11">_xlfn.IFNA(
   _xlfn._xlws.FILTER(
      Sim_Mul_Bet50!$F$2:$F$100,
      (Sim_Mul_Bet50!$A$2:$A$100=E$2) * (Sim_Mul_Bet50!$C$2:$C$100=$B11),0
   ),
   0
)</f>
        <v>0</v>
      </c>
      <c r="F11" s="183" cm="1">
        <f t="array" ref="F11">_xlfn.IFNA(
   _xlfn._xlws.FILTER(
      Sim_Mul_Bet50!$L$2:$L$100,
      (Sim_Mul_Bet50!$A$2:$A$100=F$2) * (Sim_Mul_Bet50!$C$2:$C$100=$B11),0
   ),
   0
)</f>
        <v>0</v>
      </c>
      <c r="G11" s="184" cm="1">
        <f t="array" ref="G11">_xlfn.IFNA(
   _xlfn._xlws.FILTER(
      Sim_Mul_Bet50!$L$2:$L$100,
      (Sim_Mul_Bet50!$A$2:$A$100=G$2) * (Sim_Mul_Bet50!$C$2:$C$100=$B11),0
   ),
   0
)</f>
        <v>0</v>
      </c>
      <c r="H11" s="185" cm="1">
        <f t="array" ref="H11">_xlfn.IFNA(
   _xlfn._xlws.FILTER(
      Sim_Mul_Bet50!$L$2:$L$100,
      (Sim_Mul_Bet50!$A$2:$A$100=H$2) * (Sim_Mul_Bet50!$C$2:$C$100=$B11),0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0</v>
      </c>
      <c r="N11" s="189">
        <f t="shared" si="6"/>
        <v>0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Sim_Mul_Bet50!$F$2:$F$100,
      (Sim_Mul_Bet50!$A$2:$A$100=C$2) * (Sim_Mul_Bet50!$C$2:$C$100=$B12),0
   ),
   0
)</f>
        <v>0</v>
      </c>
      <c r="D12" s="181" cm="1">
        <f t="array" ref="D12">_xlfn.IFNA(
   _xlfn._xlws.FILTER(
      Sim_Mul_Bet50!$F$2:$F$100,
      (Sim_Mul_Bet50!$A$2:$A$100=D$2) * (Sim_Mul_Bet50!$C$2:$C$100=$B12),0
   ),
   0
)</f>
        <v>0</v>
      </c>
      <c r="E12" s="182" cm="1">
        <f t="array" ref="E12">_xlfn.IFNA(
   _xlfn._xlws.FILTER(
      Sim_Mul_Bet50!$F$2:$F$100,
      (Sim_Mul_Bet50!$A$2:$A$100=E$2) * (Sim_Mul_Bet50!$C$2:$C$100=$B12),0
   ),
   0
)</f>
        <v>0</v>
      </c>
      <c r="F12" s="183" cm="1">
        <f t="array" ref="F12">_xlfn.IFNA(
   _xlfn._xlws.FILTER(
      Sim_Mul_Bet50!$L$2:$L$100,
      (Sim_Mul_Bet50!$A$2:$A$100=F$2) * (Sim_Mul_Bet50!$C$2:$C$100=$B12),0
   ),
   0
)</f>
        <v>0</v>
      </c>
      <c r="G12" s="184" cm="1">
        <f t="array" ref="G12">_xlfn.IFNA(
   _xlfn._xlws.FILTER(
      Sim_Mul_Bet50!$L$2:$L$100,
      (Sim_Mul_Bet50!$A$2:$A$100=G$2) * (Sim_Mul_Bet50!$C$2:$C$100=$B12),0
   ),
   0
)</f>
        <v>0</v>
      </c>
      <c r="H12" s="185" cm="1">
        <f t="array" ref="H12">_xlfn.IFNA(
   _xlfn._xlws.FILTER(
      Sim_Mul_Bet50!$L$2:$L$100,
      (Sim_Mul_Bet50!$A$2:$A$100=H$2) * (Sim_Mul_Bet50!$C$2:$C$100=$B12),0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Sim_Mul_Bet50!$F$2:$F$100,
      (Sim_Mul_Bet50!$A$2:$A$100=C$2) * (Sim_Mul_Bet50!$C$2:$C$100=$B13),0
   ),
   0
)</f>
        <v>1.554148E-2</v>
      </c>
      <c r="D13" s="181" cm="1">
        <f t="array" ref="D13">_xlfn.IFNA(
   _xlfn._xlws.FILTER(
      Sim_Mul_Bet50!$F$2:$F$100,
      (Sim_Mul_Bet50!$A$2:$A$100=D$2) * (Sim_Mul_Bet50!$C$2:$C$100=$B13),0
   ),
   0
)</f>
        <v>2.1699889999999999E-2</v>
      </c>
      <c r="E13" s="182" cm="1">
        <f t="array" ref="E13">_xlfn.IFNA(
   _xlfn._xlws.FILTER(
      Sim_Mul_Bet50!$F$2:$F$100,
      (Sim_Mul_Bet50!$A$2:$A$100=E$2) * (Sim_Mul_Bet50!$C$2:$C$100=$B13),0
   ),
   0
)</f>
        <v>0</v>
      </c>
      <c r="F13" s="183" cm="1">
        <f t="array" ref="F13">_xlfn.IFNA(
   _xlfn._xlws.FILTER(
      Sim_Mul_Bet50!$L$2:$L$100,
      (Sim_Mul_Bet50!$A$2:$A$100=F$2) * (Sim_Mul_Bet50!$C$2:$C$100=$B13),0
   ),
   0
)</f>
        <v>10</v>
      </c>
      <c r="G13" s="184" cm="1">
        <f t="array" ref="G13">_xlfn.IFNA(
   _xlfn._xlws.FILTER(
      Sim_Mul_Bet50!$L$2:$L$100,
      (Sim_Mul_Bet50!$A$2:$A$100=G$2) * (Sim_Mul_Bet50!$C$2:$C$100=$B13),0
   ),
   0
)</f>
        <v>10</v>
      </c>
      <c r="H13" s="185" cm="1">
        <f t="array" ref="H13">_xlfn.IFNA(
   _xlfn._xlws.FILTER(
      Sim_Mul_Bet50!$L$2:$L$100,
      (Sim_Mul_Bet50!$A$2:$A$100=H$2) * (Sim_Mul_Bet50!$C$2:$C$100=$B13),0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2.1699889999999999E-2</v>
      </c>
      <c r="N13" s="189">
        <f t="shared" si="6"/>
        <v>10</v>
      </c>
      <c r="O13" s="190">
        <f t="shared" si="7"/>
        <v>5.3939999999999995E-3</v>
      </c>
      <c r="P13" s="190">
        <v>3.5959999999999998E-3</v>
      </c>
      <c r="Q13" s="190">
        <v>3.9640044217217098E-3</v>
      </c>
      <c r="R13" s="191">
        <f t="shared" si="0"/>
        <v>5.3939999999999995E-2</v>
      </c>
      <c r="T13" s="192">
        <f t="shared" si="2"/>
        <v>5394</v>
      </c>
      <c r="U13" s="176">
        <v>5.3940000000000004E-3</v>
      </c>
      <c r="V13" s="195">
        <f t="shared" si="3"/>
        <v>3.5959999999999999E-2</v>
      </c>
      <c r="W13" s="194"/>
      <c r="Y13" s="190">
        <f t="shared" si="8"/>
        <v>1.8525E-2</v>
      </c>
      <c r="Z13" s="190">
        <v>1.235E-2</v>
      </c>
      <c r="AA13" s="190">
        <v>3.9640044217217098E-3</v>
      </c>
      <c r="AB13" s="276">
        <f t="shared" si="4"/>
        <v>0.18525</v>
      </c>
      <c r="AD13" s="192">
        <f t="shared" si="5"/>
        <v>18525</v>
      </c>
      <c r="AE13" s="176">
        <v>1.8525E-2</v>
      </c>
      <c r="AF13" s="278">
        <f t="shared" si="9"/>
        <v>0.1235</v>
      </c>
    </row>
    <row r="14" spans="2:32">
      <c r="B14" s="179">
        <v>10</v>
      </c>
      <c r="C14" s="180" cm="1">
        <f t="array" ref="C14">_xlfn.IFNA(
   _xlfn._xlws.FILTER(
      Sim_Mul_Bet50!$F$2:$F$100,
      (Sim_Mul_Bet50!$A$2:$A$100=C$2) * (Sim_Mul_Bet50!$C$2:$C$100=$B14),0
   ),
   0
)</f>
        <v>1.1025429999999999E-2</v>
      </c>
      <c r="D14" s="181" cm="1">
        <f t="array" ref="D14">_xlfn.IFNA(
   _xlfn._xlws.FILTER(
      Sim_Mul_Bet50!$F$2:$F$100,
      (Sim_Mul_Bet50!$A$2:$A$100=D$2) * (Sim_Mul_Bet50!$C$2:$C$100=$B14),0
   ),
   0
)</f>
        <v>6.795139E-2</v>
      </c>
      <c r="E14" s="182" cm="1">
        <f t="array" ref="E14">_xlfn.IFNA(
   _xlfn._xlws.FILTER(
      Sim_Mul_Bet50!$F$2:$F$100,
      (Sim_Mul_Bet50!$A$2:$A$100=E$2) * (Sim_Mul_Bet50!$C$2:$C$100=$B14),0
   ),
   0
)</f>
        <v>0</v>
      </c>
      <c r="F14" s="183" cm="1">
        <f t="array" ref="F14">_xlfn.IFNA(
   _xlfn._xlws.FILTER(
      Sim_Mul_Bet50!$L$2:$L$100,
      (Sim_Mul_Bet50!$A$2:$A$100=F$2) * (Sim_Mul_Bet50!$C$2:$C$100=$B14),0
   ),
   0
)</f>
        <v>10.535267957803006</v>
      </c>
      <c r="G14" s="184" cm="1">
        <f t="array" ref="G14">_xlfn.IFNA(
   _xlfn._xlws.FILTER(
      Sim_Mul_Bet50!$L$2:$L$100,
      (Sim_Mul_Bet50!$A$2:$A$100=G$2) * (Sim_Mul_Bet50!$C$2:$C$100=$B14),0
   ),
   0
)</f>
        <v>10.673482540975249</v>
      </c>
      <c r="H14" s="185" cm="1">
        <f t="array" ref="H14">_xlfn.IFNA(
   _xlfn._xlws.FILTER(
      Sim_Mul_Bet50!$L$2:$L$100,
      (Sim_Mul_Bet50!$A$2:$A$100=H$2) * (Sim_Mul_Bet50!$C$2:$C$100=$B14),0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6.795139E-2</v>
      </c>
      <c r="N14" s="189">
        <f t="shared" si="6"/>
        <v>10.673482540975249</v>
      </c>
      <c r="O14" s="190">
        <f t="shared" si="7"/>
        <v>9.6120630095343305E-3</v>
      </c>
      <c r="P14" s="190">
        <v>6.4080420063562203E-3</v>
      </c>
      <c r="Q14" s="190">
        <v>6.4080420063562203E-3</v>
      </c>
      <c r="R14" s="191">
        <f t="shared" si="0"/>
        <v>0.10259418671501867</v>
      </c>
      <c r="T14" s="192">
        <f t="shared" si="2"/>
        <v>9612</v>
      </c>
      <c r="U14" s="176">
        <v>9.6120000000000008E-3</v>
      </c>
      <c r="V14" s="195">
        <f t="shared" si="3"/>
        <v>6.8395676122569402E-2</v>
      </c>
      <c r="W14" s="194"/>
      <c r="Y14" s="190">
        <f t="shared" si="8"/>
        <v>4.4999999999999999E-4</v>
      </c>
      <c r="Z14" s="190">
        <v>2.9999999999999997E-4</v>
      </c>
      <c r="AA14" s="190">
        <v>6.4080420063562203E-3</v>
      </c>
      <c r="AB14" s="276">
        <f t="shared" si="4"/>
        <v>4.8030671434388618E-3</v>
      </c>
      <c r="AD14" s="192">
        <f t="shared" si="5"/>
        <v>450</v>
      </c>
      <c r="AE14" s="176">
        <v>4.4999999999999999E-4</v>
      </c>
      <c r="AF14" s="278">
        <f t="shared" si="9"/>
        <v>3.2020447622925744E-3</v>
      </c>
    </row>
    <row r="15" spans="2:32">
      <c r="B15" s="179">
        <v>15</v>
      </c>
      <c r="C15" s="180" cm="1">
        <f t="array" ref="C15">_xlfn.IFNA(
   _xlfn._xlws.FILTER(
      Sim_Mul_Bet50!$F$2:$F$100,
      (Sim_Mul_Bet50!$A$2:$A$100=C$2) * (Sim_Mul_Bet50!$C$2:$C$100=$B15),0
   ),
   0
)</f>
        <v>1.4858909999999999E-2</v>
      </c>
      <c r="D15" s="181" cm="1">
        <f t="array" ref="D15">_xlfn.IFNA(
   _xlfn._xlws.FILTER(
      Sim_Mul_Bet50!$F$2:$F$100,
      (Sim_Mul_Bet50!$A$2:$A$100=D$2) * (Sim_Mul_Bet50!$C$2:$C$100=$B15),0
   ),
   0
)</f>
        <v>1.9595919999999999E-2</v>
      </c>
      <c r="E15" s="182" cm="1">
        <f t="array" ref="E15">_xlfn.IFNA(
   _xlfn._xlws.FILTER(
      Sim_Mul_Bet50!$F$2:$F$100,
      (Sim_Mul_Bet50!$A$2:$A$100=E$2) * (Sim_Mul_Bet50!$C$2:$C$100=$B15),0
   ),
   0
)</f>
        <v>0</v>
      </c>
      <c r="F15" s="183" cm="1">
        <f t="array" ref="F15">_xlfn.IFNA(
   _xlfn._xlws.FILTER(
      Sim_Mul_Bet50!$L$2:$L$100,
      (Sim_Mul_Bet50!$A$2:$A$100=F$2) * (Sim_Mul_Bet50!$C$2:$C$100=$B15),0
   ),
   0
)</f>
        <v>19.999515374950114</v>
      </c>
      <c r="G15" s="184" cm="1">
        <f t="array" ref="G15">_xlfn.IFNA(
   _xlfn._xlws.FILTER(
      Sim_Mul_Bet50!$L$2:$L$100,
      (Sim_Mul_Bet50!$A$2:$A$100=G$2) * (Sim_Mul_Bet50!$C$2:$C$100=$B15),0
   ),
   0
)</f>
        <v>19.73358392971598</v>
      </c>
      <c r="H15" s="185" cm="1">
        <f t="array" ref="H15">_xlfn.IFNA(
   _xlfn._xlws.FILTER(
      Sim_Mul_Bet50!$L$2:$L$100,
      (Sim_Mul_Bet50!$A$2:$A$100=H$2) * (Sim_Mul_Bet50!$C$2:$C$100=$B15),0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1.9595919999999999E-2</v>
      </c>
      <c r="N15" s="189">
        <f t="shared" si="6"/>
        <v>19.73358392971598</v>
      </c>
      <c r="O15" s="190">
        <f t="shared" si="7"/>
        <v>6.8250000000000003E-3</v>
      </c>
      <c r="P15" s="190">
        <v>4.5500000000000002E-3</v>
      </c>
      <c r="Q15" s="190">
        <v>4.5253558104186801E-3</v>
      </c>
      <c r="R15" s="191">
        <f t="shared" si="0"/>
        <v>0.13468171032031157</v>
      </c>
      <c r="T15" s="192">
        <f t="shared" si="2"/>
        <v>6825</v>
      </c>
      <c r="U15" s="176">
        <v>6.8250000000000003E-3</v>
      </c>
      <c r="V15" s="195">
        <f t="shared" si="3"/>
        <v>8.978780688020771E-2</v>
      </c>
      <c r="W15" s="194"/>
      <c r="Y15" s="190">
        <f t="shared" si="8"/>
        <v>6.0000000000000001E-3</v>
      </c>
      <c r="Z15" s="190">
        <v>4.0000000000000001E-3</v>
      </c>
      <c r="AA15" s="190">
        <v>4.5253558104186801E-3</v>
      </c>
      <c r="AB15" s="276">
        <f t="shared" si="4"/>
        <v>0.11840150357829589</v>
      </c>
      <c r="AD15" s="192">
        <f t="shared" si="5"/>
        <v>6000</v>
      </c>
      <c r="AE15" s="176">
        <v>6.0000000000000001E-3</v>
      </c>
      <c r="AF15" s="278">
        <f t="shared" si="9"/>
        <v>7.8934335718863921E-2</v>
      </c>
    </row>
    <row r="16" spans="2:32">
      <c r="B16" s="179">
        <v>20</v>
      </c>
      <c r="C16" s="180" cm="1">
        <f t="array" ref="C16">_xlfn.IFNA(
   _xlfn._xlws.FILTER(
      Sim_Mul_Bet50!$F$2:$F$100,
      (Sim_Mul_Bet50!$A$2:$A$100=C$2) * (Sim_Mul_Bet50!$C$2:$C$100=$B16),0
   ),
   0
)</f>
        <v>4.0911599999999999E-3</v>
      </c>
      <c r="D16" s="181" cm="1">
        <f t="array" ref="D16">_xlfn.IFNA(
   _xlfn._xlws.FILTER(
      Sim_Mul_Bet50!$F$2:$F$100,
      (Sim_Mul_Bet50!$A$2:$A$100=D$2) * (Sim_Mul_Bet50!$C$2:$C$100=$B16),0
   ),
   0
)</f>
        <v>7.1668889999999999E-2</v>
      </c>
      <c r="E16" s="182" cm="1">
        <f t="array" ref="E16">_xlfn.IFNA(
   _xlfn._xlws.FILTER(
      Sim_Mul_Bet50!$F$2:$F$100,
      (Sim_Mul_Bet50!$A$2:$A$100=E$2) * (Sim_Mul_Bet50!$C$2:$C$100=$B16),0
   ),
   0
)</f>
        <v>0</v>
      </c>
      <c r="F16" s="183" cm="1">
        <f t="array" ref="F16">_xlfn.IFNA(
   _xlfn._xlws.FILTER(
      Sim_Mul_Bet50!$L$2:$L$100,
      (Sim_Mul_Bet50!$A$2:$A$100=F$2) * (Sim_Mul_Bet50!$C$2:$C$100=$B16),0
   ),
   0
)</f>
        <v>20.372277349211469</v>
      </c>
      <c r="G16" s="184" cm="1">
        <f t="array" ref="G16">_xlfn.IFNA(
   _xlfn._xlws.FILTER(
      Sim_Mul_Bet50!$L$2:$L$100,
      (Sim_Mul_Bet50!$A$2:$A$100=G$2) * (Sim_Mul_Bet50!$C$2:$C$100=$B16),0
   ),
   0
)</f>
        <v>20.875929952312642</v>
      </c>
      <c r="H16" s="185" cm="1">
        <f t="array" ref="H16">_xlfn.IFNA(
   _xlfn._xlws.FILTER(
      Sim_Mul_Bet50!$L$2:$L$100,
      (Sim_Mul_Bet50!$A$2:$A$100=H$2) * (Sim_Mul_Bet50!$C$2:$C$100=$B16),0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7.1668889999999999E-2</v>
      </c>
      <c r="N16" s="189">
        <f t="shared" si="6"/>
        <v>20.875929952312642</v>
      </c>
      <c r="O16" s="190">
        <f t="shared" si="7"/>
        <v>7.1400000000000005E-3</v>
      </c>
      <c r="P16" s="190">
        <v>4.7600000000000003E-3</v>
      </c>
      <c r="Q16" s="190">
        <v>4.5944452121044598E-3</v>
      </c>
      <c r="R16" s="191">
        <f t="shared" si="0"/>
        <v>0.14905413985951227</v>
      </c>
      <c r="T16" s="192">
        <f t="shared" si="2"/>
        <v>7140</v>
      </c>
      <c r="U16" s="176">
        <v>7.1399999999999996E-3</v>
      </c>
      <c r="V16" s="195">
        <f t="shared" si="3"/>
        <v>9.9369426573008179E-2</v>
      </c>
      <c r="W16" s="194"/>
      <c r="Y16" s="190">
        <f t="shared" si="8"/>
        <v>1.2750000000000001E-2</v>
      </c>
      <c r="Z16" s="190">
        <v>8.5000000000000006E-3</v>
      </c>
      <c r="AA16" s="190">
        <v>4.5944452121044598E-3</v>
      </c>
      <c r="AB16" s="276">
        <f t="shared" si="4"/>
        <v>0.26616810689198622</v>
      </c>
      <c r="AD16" s="192">
        <f t="shared" si="5"/>
        <v>12750</v>
      </c>
      <c r="AE16" s="176">
        <v>1.2749999999999999E-2</v>
      </c>
      <c r="AF16" s="278">
        <f t="shared" si="9"/>
        <v>0.17744540459465744</v>
      </c>
    </row>
    <row r="17" spans="2:32">
      <c r="B17" s="179">
        <v>25</v>
      </c>
      <c r="C17" s="180" cm="1">
        <f t="array" ref="C17">_xlfn.IFNA(
   _xlfn._xlws.FILTER(
      Sim_Mul_Bet50!$F$2:$F$100,
      (Sim_Mul_Bet50!$A$2:$A$100=C$2) * (Sim_Mul_Bet50!$C$2:$C$100=$B17),0
   ),
   0
)</f>
        <v>1.8871599999999999E-3</v>
      </c>
      <c r="D17" s="181" cm="1">
        <f t="array" ref="D17">_xlfn.IFNA(
   _xlfn._xlws.FILTER(
      Sim_Mul_Bet50!$F$2:$F$100,
      (Sim_Mul_Bet50!$A$2:$A$100=D$2) * (Sim_Mul_Bet50!$C$2:$C$100=$B17),0
   ),
   0
)</f>
        <v>7.1409500000000001E-3</v>
      </c>
      <c r="E17" s="182" cm="1">
        <f t="array" ref="E17">_xlfn.IFNA(
   _xlfn._xlws.FILTER(
      Sim_Mul_Bet50!$F$2:$F$100,
      (Sim_Mul_Bet50!$A$2:$A$100=E$2) * (Sim_Mul_Bet50!$C$2:$C$100=$B17),0
   ),
   0
)</f>
        <v>0</v>
      </c>
      <c r="F17" s="183" cm="1">
        <f t="array" ref="F17">_xlfn.IFNA(
   _xlfn._xlws.FILTER(
      Sim_Mul_Bet50!$L$2:$L$100,
      (Sim_Mul_Bet50!$A$2:$A$100=F$2) * (Sim_Mul_Bet50!$C$2:$C$100=$B17),0
   ),
   0
)</f>
        <v>30</v>
      </c>
      <c r="G17" s="184" cm="1">
        <f t="array" ref="G17">_xlfn.IFNA(
   _xlfn._xlws.FILTER(
      Sim_Mul_Bet50!$L$2:$L$100,
      (Sim_Mul_Bet50!$A$2:$A$100=G$2) * (Sim_Mul_Bet50!$C$2:$C$100=$B17),0
   ),
   0
)</f>
        <v>29.978132965501789</v>
      </c>
      <c r="H17" s="185" cm="1">
        <f t="array" ref="H17">_xlfn.IFNA(
   _xlfn._xlws.FILTER(
      Sim_Mul_Bet50!$L$2:$L$100,
      (Sim_Mul_Bet50!$A$2:$A$100=H$2) * (Sim_Mul_Bet50!$C$2:$C$100=$B17),0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7.1409500000000001E-3</v>
      </c>
      <c r="N17" s="189">
        <f t="shared" si="6"/>
        <v>29.978132965501789</v>
      </c>
      <c r="O17" s="190">
        <f t="shared" si="7"/>
        <v>3.38106259499793E-3</v>
      </c>
      <c r="P17" s="190">
        <v>2.2540417299986202E-3</v>
      </c>
      <c r="Q17" s="190">
        <v>2.2540417299986202E-3</v>
      </c>
      <c r="R17" s="191">
        <f t="shared" si="0"/>
        <v>0.10135794403753247</v>
      </c>
      <c r="T17" s="192">
        <f t="shared" si="2"/>
        <v>3381</v>
      </c>
      <c r="U17" s="176">
        <v>3.3809999999999999E-3</v>
      </c>
      <c r="V17" s="195">
        <f t="shared" si="3"/>
        <v>6.7570711704241032E-2</v>
      </c>
      <c r="W17" s="194"/>
      <c r="Y17" s="190">
        <f t="shared" si="8"/>
        <v>4.4999999999999999E-4</v>
      </c>
      <c r="Z17" s="190">
        <v>2.9999999999999997E-4</v>
      </c>
      <c r="AA17" s="190">
        <v>2.2540417299986202E-3</v>
      </c>
      <c r="AB17" s="276">
        <f t="shared" si="4"/>
        <v>1.3490159834475804E-2</v>
      </c>
      <c r="AD17" s="192">
        <f t="shared" si="5"/>
        <v>450</v>
      </c>
      <c r="AE17" s="176">
        <v>4.4999999999999999E-4</v>
      </c>
      <c r="AF17" s="278">
        <f t="shared" si="9"/>
        <v>8.9934398896505362E-3</v>
      </c>
    </row>
    <row r="18" spans="2:32">
      <c r="B18" s="179">
        <v>30</v>
      </c>
      <c r="C18" s="180" cm="1">
        <f t="array" ref="C18">_xlfn.IFNA(
   _xlfn._xlws.FILTER(
      Sim_Mul_Bet50!$F$2:$F$100,
      (Sim_Mul_Bet50!$A$2:$A$100=C$2) * (Sim_Mul_Bet50!$C$2:$C$100=$B18),0
   ),
   0
)</f>
        <v>3.9725999999999997E-4</v>
      </c>
      <c r="D18" s="181" cm="1">
        <f t="array" ref="D18">_xlfn.IFNA(
   _xlfn._xlws.FILTER(
      Sim_Mul_Bet50!$F$2:$F$100,
      (Sim_Mul_Bet50!$A$2:$A$100=D$2) * (Sim_Mul_Bet50!$C$2:$C$100=$B18),0
   ),
   0
)</f>
        <v>2.0001680000000001E-2</v>
      </c>
      <c r="E18" s="182" cm="1">
        <f t="array" ref="E18">_xlfn.IFNA(
   _xlfn._xlws.FILTER(
      Sim_Mul_Bet50!$F$2:$F$100,
      (Sim_Mul_Bet50!$A$2:$A$100=E$2) * (Sim_Mul_Bet50!$C$2:$C$100=$B18),0
   ),
   0
)</f>
        <v>0</v>
      </c>
      <c r="F18" s="183" cm="1">
        <f t="array" ref="F18">_xlfn.IFNA(
   _xlfn._xlws.FILTER(
      Sim_Mul_Bet50!$L$2:$L$100,
      (Sim_Mul_Bet50!$A$2:$A$100=F$2) * (Sim_Mul_Bet50!$C$2:$C$100=$B18),0
   ),
   0
)</f>
        <v>30.215646679756333</v>
      </c>
      <c r="G18" s="184" cm="1">
        <f t="array" ref="G18">_xlfn.IFNA(
   _xlfn._xlws.FILTER(
      Sim_Mul_Bet50!$L$2:$L$100,
      (Sim_Mul_Bet50!$A$2:$A$100=G$2) * (Sim_Mul_Bet50!$C$2:$C$100=$B18),0
   ),
   0
)</f>
        <v>30.674077417496932</v>
      </c>
      <c r="H18" s="185" cm="1">
        <f t="array" ref="H18">_xlfn.IFNA(
   _xlfn._xlws.FILTER(
      Sim_Mul_Bet50!$L$2:$L$100,
      (Sim_Mul_Bet50!$A$2:$A$100=H$2) * (Sim_Mul_Bet50!$C$2:$C$100=$B18),0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2.0001680000000001E-2</v>
      </c>
      <c r="N18" s="189">
        <f t="shared" si="6"/>
        <v>30.674077417496932</v>
      </c>
      <c r="O18" s="190">
        <f t="shared" si="7"/>
        <v>1.5E-3</v>
      </c>
      <c r="P18" s="190">
        <v>1E-3</v>
      </c>
      <c r="Q18" s="190">
        <v>9.4997927317949399E-4</v>
      </c>
      <c r="R18" s="191">
        <f t="shared" si="0"/>
        <v>4.6011116126245401E-2</v>
      </c>
      <c r="T18" s="192">
        <f t="shared" si="2"/>
        <v>1500</v>
      </c>
      <c r="U18" s="176">
        <v>1.5E-3</v>
      </c>
      <c r="V18" s="195">
        <f t="shared" si="3"/>
        <v>3.0674077417496934E-2</v>
      </c>
      <c r="W18" s="194"/>
      <c r="Y18" s="190">
        <f t="shared" si="8"/>
        <v>1.5000000000000001E-4</v>
      </c>
      <c r="Z18" s="190">
        <v>1E-4</v>
      </c>
      <c r="AA18" s="190">
        <v>9.4997927317949399E-4</v>
      </c>
      <c r="AB18" s="276">
        <f t="shared" si="4"/>
        <v>4.6011116126245402E-3</v>
      </c>
      <c r="AD18" s="192">
        <f t="shared" si="5"/>
        <v>150</v>
      </c>
      <c r="AE18" s="176">
        <v>1.4999999999999999E-4</v>
      </c>
      <c r="AF18" s="278">
        <f t="shared" si="9"/>
        <v>3.0674077417496928E-3</v>
      </c>
    </row>
    <row r="19" spans="2:32">
      <c r="B19" s="179">
        <v>35</v>
      </c>
      <c r="C19" s="180" cm="1">
        <f t="array" ref="C19">_xlfn.IFNA(
   _xlfn._xlws.FILTER(
      Sim_Mul_Bet50!$F$2:$F$100,
      (Sim_Mul_Bet50!$A$2:$A$100=C$2) * (Sim_Mul_Bet50!$C$2:$C$100=$B19),0
   ),
   0
)</f>
        <v>4.4721000000000002E-4</v>
      </c>
      <c r="D19" s="181" cm="1">
        <f t="array" ref="D19">_xlfn.IFNA(
   _xlfn._xlws.FILTER(
      Sim_Mul_Bet50!$F$2:$F$100,
      (Sim_Mul_Bet50!$A$2:$A$100=D$2) * (Sim_Mul_Bet50!$C$2:$C$100=$B19),0
   ),
   0
)</f>
        <v>3.46117E-3</v>
      </c>
      <c r="E19" s="182" cm="1">
        <f t="array" ref="E19">_xlfn.IFNA(
   _xlfn._xlws.FILTER(
      Sim_Mul_Bet50!$F$2:$F$100,
      (Sim_Mul_Bet50!$A$2:$A$100=E$2) * (Sim_Mul_Bet50!$C$2:$C$100=$B19),0
   ),
   0
)</f>
        <v>0</v>
      </c>
      <c r="F19" s="183" cm="1">
        <f t="array" ref="F19">_xlfn.IFNA(
   _xlfn._xlws.FILTER(
      Sim_Mul_Bet50!$L$2:$L$100,
      (Sim_Mul_Bet50!$A$2:$A$100=F$2) * (Sim_Mul_Bet50!$C$2:$C$100=$B19),0
   ),
   0
)</f>
        <v>40</v>
      </c>
      <c r="G19" s="184" cm="1">
        <f t="array" ref="G19">_xlfn.IFNA(
   _xlfn._xlws.FILTER(
      Sim_Mul_Bet50!$L$2:$L$100,
      (Sim_Mul_Bet50!$A$2:$A$100=G$2) * (Sim_Mul_Bet50!$C$2:$C$100=$B19),0
   ),
   0
)</f>
        <v>40</v>
      </c>
      <c r="H19" s="185" cm="1">
        <f t="array" ref="H19">_xlfn.IFNA(
   _xlfn._xlws.FILTER(
      Sim_Mul_Bet50!$L$2:$L$100,
      (Sim_Mul_Bet50!$A$2:$A$100=H$2) * (Sim_Mul_Bet50!$C$2:$C$100=$B19),0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3.46117E-3</v>
      </c>
      <c r="N19" s="189">
        <f t="shared" si="6"/>
        <v>40</v>
      </c>
      <c r="O19" s="190">
        <f t="shared" si="7"/>
        <v>2.5499999999999997E-3</v>
      </c>
      <c r="P19" s="190">
        <v>1.6999999999999999E-3</v>
      </c>
      <c r="Q19" s="190">
        <v>1.68405416609092E-3</v>
      </c>
      <c r="R19" s="191">
        <f t="shared" si="0"/>
        <v>0.10199999999999999</v>
      </c>
      <c r="T19" s="192">
        <f t="shared" si="2"/>
        <v>2550</v>
      </c>
      <c r="U19" s="176">
        <v>2.5500000000000002E-3</v>
      </c>
      <c r="V19" s="195">
        <f t="shared" si="3"/>
        <v>6.8000000000000005E-2</v>
      </c>
      <c r="W19" s="194"/>
      <c r="Y19" s="190">
        <f t="shared" si="8"/>
        <v>1.5000000000000001E-4</v>
      </c>
      <c r="Z19" s="190">
        <v>1E-4</v>
      </c>
      <c r="AA19" s="190">
        <v>1.68405416609092E-3</v>
      </c>
      <c r="AB19" s="276">
        <f t="shared" si="4"/>
        <v>6.0000000000000001E-3</v>
      </c>
      <c r="AD19" s="192">
        <f t="shared" si="5"/>
        <v>150</v>
      </c>
      <c r="AE19" s="176">
        <v>1.4999999999999999E-4</v>
      </c>
      <c r="AF19" s="278">
        <f t="shared" si="9"/>
        <v>3.9999999999999992E-3</v>
      </c>
    </row>
    <row r="20" spans="2:32">
      <c r="B20" s="179">
        <v>40</v>
      </c>
      <c r="C20" s="180" cm="1">
        <f t="array" ref="C20">_xlfn.IFNA(
   _xlfn._xlws.FILTER(
      Sim_Mul_Bet50!$F$2:$F$100,
      (Sim_Mul_Bet50!$A$2:$A$100=C$2) * (Sim_Mul_Bet50!$C$2:$C$100=$B20),0
   ),
   0
)</f>
        <v>1.4059000000000001E-4</v>
      </c>
      <c r="D20" s="181" cm="1">
        <f t="array" ref="D20">_xlfn.IFNA(
   _xlfn._xlws.FILTER(
      Sim_Mul_Bet50!$F$2:$F$100,
      (Sim_Mul_Bet50!$A$2:$A$100=D$2) * (Sim_Mul_Bet50!$C$2:$C$100=$B20),0
   ),
   0
)</f>
        <v>1.16005E-2</v>
      </c>
      <c r="E20" s="182" cm="1">
        <f t="array" ref="E20">_xlfn.IFNA(
   _xlfn._xlws.FILTER(
      Sim_Mul_Bet50!$F$2:$F$100,
      (Sim_Mul_Bet50!$A$2:$A$100=E$2) * (Sim_Mul_Bet50!$C$2:$C$100=$B20),0
   ),
   0
)</f>
        <v>0</v>
      </c>
      <c r="F20" s="183" cm="1">
        <f t="array" ref="F20">_xlfn.IFNA(
   _xlfn._xlws.FILTER(
      Sim_Mul_Bet50!$L$2:$L$100,
      (Sim_Mul_Bet50!$A$2:$A$100=F$2) * (Sim_Mul_Bet50!$C$2:$C$100=$B20),0
   ),
   0
)</f>
        <v>40.53181876378121</v>
      </c>
      <c r="G20" s="184" cm="1">
        <f t="array" ref="G20">_xlfn.IFNA(
   _xlfn._xlws.FILTER(
      Sim_Mul_Bet50!$L$2:$L$100,
      (Sim_Mul_Bet50!$A$2:$A$100=G$2) * (Sim_Mul_Bet50!$C$2:$C$100=$B20),0
   ),
   0
)</f>
        <v>41.205137761303391</v>
      </c>
      <c r="H20" s="185" cm="1">
        <f t="array" ref="H20">_xlfn.IFNA(
   _xlfn._xlws.FILTER(
      Sim_Mul_Bet50!$L$2:$L$100,
      (Sim_Mul_Bet50!$A$2:$A$100=H$2) * (Sim_Mul_Bet50!$C$2:$C$100=$B20),0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1.16005E-2</v>
      </c>
      <c r="N20" s="189">
        <f t="shared" si="6"/>
        <v>41.205137761303391</v>
      </c>
      <c r="O20" s="190">
        <f t="shared" si="7"/>
        <v>1.0499999999999999E-3</v>
      </c>
      <c r="P20" s="190">
        <v>6.9999999999999999E-4</v>
      </c>
      <c r="Q20" s="190">
        <v>6.9089401685781403E-4</v>
      </c>
      <c r="R20" s="191">
        <f t="shared" si="0"/>
        <v>4.3265394649368558E-2</v>
      </c>
      <c r="T20" s="192">
        <f t="shared" si="2"/>
        <v>1050</v>
      </c>
      <c r="U20" s="176">
        <v>1.0499999999999999E-3</v>
      </c>
      <c r="V20" s="195">
        <f t="shared" si="3"/>
        <v>2.8843596432912372E-2</v>
      </c>
      <c r="W20" s="194"/>
      <c r="Y20" s="190">
        <f t="shared" si="8"/>
        <v>7.5000000000000002E-4</v>
      </c>
      <c r="Z20" s="190">
        <v>5.0000000000000001E-4</v>
      </c>
      <c r="AA20" s="190">
        <v>6.9089401685781403E-4</v>
      </c>
      <c r="AB20" s="276">
        <f t="shared" si="4"/>
        <v>3.0903853320977545E-2</v>
      </c>
      <c r="AD20" s="192">
        <f t="shared" si="5"/>
        <v>750</v>
      </c>
      <c r="AE20" s="176">
        <v>7.5000000000000002E-4</v>
      </c>
      <c r="AF20" s="278">
        <f t="shared" si="9"/>
        <v>2.0602568880651696E-2</v>
      </c>
    </row>
    <row r="21" spans="2:32">
      <c r="B21" s="179">
        <v>45</v>
      </c>
      <c r="C21" s="180" cm="1">
        <f t="array" ref="C21">_xlfn.IFNA(
   _xlfn._xlws.FILTER(
      Sim_Mul_Bet50!$F$2:$F$100,
      (Sim_Mul_Bet50!$A$2:$A$100=C$2) * (Sim_Mul_Bet50!$C$2:$C$100=$B21),0
   ),
   0
)</f>
        <v>1.1058800000000001E-3</v>
      </c>
      <c r="D21" s="181" cm="1">
        <f t="array" ref="D21">_xlfn.IFNA(
   _xlfn._xlws.FILTER(
      Sim_Mul_Bet50!$F$2:$F$100,
      (Sim_Mul_Bet50!$A$2:$A$100=D$2) * (Sim_Mul_Bet50!$C$2:$C$100=$B21),0
   ),
   0
)</f>
        <v>8.3984000000000003E-3</v>
      </c>
      <c r="E21" s="182" cm="1">
        <f t="array" ref="E21">_xlfn.IFNA(
   _xlfn._xlws.FILTER(
      Sim_Mul_Bet50!$F$2:$F$100,
      (Sim_Mul_Bet50!$A$2:$A$100=E$2) * (Sim_Mul_Bet50!$C$2:$C$100=$B21),0
   ),
   0
)</f>
        <v>0</v>
      </c>
      <c r="F21" s="183" cm="1">
        <f t="array" ref="F21">_xlfn.IFNA(
   _xlfn._xlws.FILTER(
      Sim_Mul_Bet50!$L$2:$L$100,
      (Sim_Mul_Bet50!$A$2:$A$100=F$2) * (Sim_Mul_Bet50!$C$2:$C$100=$B21),0
   ),
   0
)</f>
        <v>50</v>
      </c>
      <c r="G21" s="184" cm="1">
        <f t="array" ref="G21">_xlfn.IFNA(
   _xlfn._xlws.FILTER(
      Sim_Mul_Bet50!$L$2:$L$100,
      (Sim_Mul_Bet50!$A$2:$A$100=G$2) * (Sim_Mul_Bet50!$C$2:$C$100=$B21),0
   ),
   0
)</f>
        <v>50</v>
      </c>
      <c r="H21" s="185" cm="1">
        <f t="array" ref="H21">_xlfn.IFNA(
   _xlfn._xlws.FILTER(
      Sim_Mul_Bet50!$L$2:$L$100,
      (Sim_Mul_Bet50!$A$2:$A$100=H$2) * (Sim_Mul_Bet50!$C$2:$C$100=$B21),0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8.3984000000000003E-3</v>
      </c>
      <c r="N21" s="189">
        <f t="shared" si="6"/>
        <v>50</v>
      </c>
      <c r="O21" s="190">
        <f t="shared" si="7"/>
        <v>5.7000000000000002E-3</v>
      </c>
      <c r="P21" s="190">
        <v>3.8E-3</v>
      </c>
      <c r="Q21" s="190">
        <v>3.8085532679287002E-3</v>
      </c>
      <c r="R21" s="191">
        <f t="shared" si="0"/>
        <v>0.28500000000000003</v>
      </c>
      <c r="T21" s="192">
        <f t="shared" si="2"/>
        <v>5700</v>
      </c>
      <c r="U21" s="176">
        <v>5.7000000000000002E-3</v>
      </c>
      <c r="V21" s="195">
        <f t="shared" si="3"/>
        <v>0.19000000000000003</v>
      </c>
      <c r="W21" s="194"/>
      <c r="Y21" s="190">
        <f t="shared" si="8"/>
        <v>1.0500000000000001E-2</v>
      </c>
      <c r="Z21" s="190">
        <v>7.0000000000000001E-3</v>
      </c>
      <c r="AA21" s="190">
        <v>3.8085532679287002E-3</v>
      </c>
      <c r="AB21" s="276">
        <f t="shared" si="4"/>
        <v>0.52500000000000002</v>
      </c>
      <c r="AD21" s="192">
        <f t="shared" si="5"/>
        <v>10500</v>
      </c>
      <c r="AE21" s="176">
        <v>1.0500000000000001E-2</v>
      </c>
      <c r="AF21" s="278">
        <f t="shared" si="9"/>
        <v>0.35000000000000003</v>
      </c>
    </row>
    <row r="22" spans="2:32">
      <c r="B22" s="179">
        <v>50</v>
      </c>
      <c r="C22" s="180" cm="1">
        <f t="array" ref="C22">_xlfn.IFNA(
   _xlfn._xlws.FILTER(
      Sim_Mul_Bet50!$F$2:$F$100,
      (Sim_Mul_Bet50!$A$2:$A$100=C$2) * (Sim_Mul_Bet50!$C$2:$C$100=$B22),0
   ),
   0
)</f>
        <v>2.2944E-4</v>
      </c>
      <c r="D22" s="181" cm="1">
        <f t="array" ref="D22">_xlfn.IFNA(
   _xlfn._xlws.FILTER(
      Sim_Mul_Bet50!$F$2:$F$100,
      (Sim_Mul_Bet50!$A$2:$A$100=D$2) * (Sim_Mul_Bet50!$C$2:$C$100=$B22),0
   ),
   0
)</f>
        <v>2.3332829999999999E-2</v>
      </c>
      <c r="E22" s="182" cm="1">
        <f t="array" ref="E22">_xlfn.IFNA(
   _xlfn._xlws.FILTER(
      Sim_Mul_Bet50!$F$2:$F$100,
      (Sim_Mul_Bet50!$A$2:$A$100=E$2) * (Sim_Mul_Bet50!$C$2:$C$100=$B22),0
   ),
   0
)</f>
        <v>0</v>
      </c>
      <c r="F22" s="183" cm="1">
        <f t="array" ref="F22">_xlfn.IFNA(
   _xlfn._xlws.FILTER(
      Sim_Mul_Bet50!$L$2:$L$100,
      (Sim_Mul_Bet50!$A$2:$A$100=F$2) * (Sim_Mul_Bet50!$C$2:$C$100=$B22),0
   ),
   0
)</f>
        <v>50.583362099023709</v>
      </c>
      <c r="G22" s="184" cm="1">
        <f t="array" ref="G22">_xlfn.IFNA(
   _xlfn._xlws.FILTER(
      Sim_Mul_Bet50!$L$2:$L$100,
      (Sim_Mul_Bet50!$A$2:$A$100=G$2) * (Sim_Mul_Bet50!$C$2:$C$100=$B22),0
   ),
   0
)</f>
        <v>51.153345376450261</v>
      </c>
      <c r="H22" s="185" cm="1">
        <f t="array" ref="H22">_xlfn.IFNA(
   _xlfn._xlws.FILTER(
      Sim_Mul_Bet50!$L$2:$L$100,
      (Sim_Mul_Bet50!$A$2:$A$100=H$2) * (Sim_Mul_Bet50!$C$2:$C$100=$B22),0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2.3332829999999999E-2</v>
      </c>
      <c r="N22" s="189">
        <f t="shared" si="6"/>
        <v>51.153345376450261</v>
      </c>
      <c r="O22" s="190">
        <f t="shared" si="7"/>
        <v>0</v>
      </c>
      <c r="P22" s="190">
        <v>0</v>
      </c>
      <c r="Q22" s="190">
        <v>0</v>
      </c>
      <c r="R22" s="191">
        <f t="shared" si="0"/>
        <v>0</v>
      </c>
      <c r="T22" s="192">
        <f t="shared" si="2"/>
        <v>0</v>
      </c>
      <c r="U22" s="176">
        <v>0</v>
      </c>
      <c r="V22" s="195">
        <f t="shared" si="3"/>
        <v>0</v>
      </c>
      <c r="W22" s="194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Sim_Mul_Bet50!$F$2:$F$100,
      (Sim_Mul_Bet50!$A$2:$A$100=C$2) * (Sim_Mul_Bet50!$C$2:$C$100=$B23),0
   ),
   0
)</f>
        <v>7.3E-7</v>
      </c>
      <c r="D23" s="181" cm="1">
        <f t="array" ref="D23">_xlfn.IFNA(
   _xlfn._xlws.FILTER(
      Sim_Mul_Bet50!$F$2:$F$100,
      (Sim_Mul_Bet50!$A$2:$A$100=D$2) * (Sim_Mul_Bet50!$C$2:$C$100=$B23),0
   ),
   0
)</f>
        <v>1.1116699999999999E-3</v>
      </c>
      <c r="E23" s="182" cm="1">
        <f t="array" ref="E23">_xlfn.IFNA(
   _xlfn._xlws.FILTER(
      Sim_Mul_Bet50!$F$2:$F$100,
      (Sim_Mul_Bet50!$A$2:$A$100=E$2) * (Sim_Mul_Bet50!$C$2:$C$100=$B23),0
   ),
   0
)</f>
        <v>0</v>
      </c>
      <c r="F23" s="183" cm="1">
        <f t="array" ref="F23">_xlfn.IFNA(
   _xlfn._xlws.FILTER(
      Sim_Mul_Bet50!$L$2:$L$100,
      (Sim_Mul_Bet50!$A$2:$A$100=F$2) * (Sim_Mul_Bet50!$C$2:$C$100=$B23),0
   ),
   0
)</f>
        <v>63.170684931506848</v>
      </c>
      <c r="G23" s="184" cm="1">
        <f t="array" ref="G23">_xlfn.IFNA(
   _xlfn._xlws.FILTER(
      Sim_Mul_Bet50!$L$2:$L$100,
      (Sim_Mul_Bet50!$A$2:$A$100=G$2) * (Sim_Mul_Bet50!$C$2:$C$100=$B23),0
   ),
   0
)</f>
        <v>63.412069948815748</v>
      </c>
      <c r="H23" s="185" cm="1">
        <f t="array" ref="H23">_xlfn.IFNA(
   _xlfn._xlws.FILTER(
      Sim_Mul_Bet50!$L$2:$L$100,
      (Sim_Mul_Bet50!$A$2:$A$100=H$2) * (Sim_Mul_Bet50!$C$2:$C$100=$B23),0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1.1116699999999999E-3</v>
      </c>
      <c r="N23" s="189">
        <f t="shared" si="6"/>
        <v>63.412069948815748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Sim_Mul_Bet50!$F$2:$F$100,
      (Sim_Mul_Bet50!$A$2:$A$100=C$2) * (Sim_Mul_Bet50!$C$2:$C$100=$B24),0
   ),
   0
)</f>
        <v>8.0000000000000002E-8</v>
      </c>
      <c r="D24" s="181" cm="1">
        <f t="array" ref="D24">_xlfn.IFNA(
   _xlfn._xlws.FILTER(
      Sim_Mul_Bet50!$F$2:$F$100,
      (Sim_Mul_Bet50!$A$2:$A$100=D$2) * (Sim_Mul_Bet50!$C$2:$C$100=$B24),0
   ),
   0
)</f>
        <v>1.1103599999999999E-3</v>
      </c>
      <c r="E24" s="182" cm="1">
        <f t="array" ref="E24">_xlfn.IFNA(
   _xlfn._xlws.FILTER(
      Sim_Mul_Bet50!$F$2:$F$100,
      (Sim_Mul_Bet50!$A$2:$A$100=E$2) * (Sim_Mul_Bet50!$C$2:$C$100=$B24),0
   ),
   0
)</f>
        <v>0</v>
      </c>
      <c r="F24" s="183" cm="1">
        <f t="array" ref="F24">_xlfn.IFNA(
   _xlfn._xlws.FILTER(
      Sim_Mul_Bet50!$L$2:$L$100,
      (Sim_Mul_Bet50!$A$2:$A$100=F$2) * (Sim_Mul_Bet50!$C$2:$C$100=$B24),0
   ),
   0
)</f>
        <v>70.592500000000001</v>
      </c>
      <c r="G24" s="184" cm="1">
        <f t="array" ref="G24">_xlfn.IFNA(
   _xlfn._xlws.FILTER(
      Sim_Mul_Bet50!$L$2:$L$100,
      (Sim_Mul_Bet50!$A$2:$A$100=G$2) * (Sim_Mul_Bet50!$C$2:$C$100=$B24),0
   ),
   0
)</f>
        <v>70.671402428041361</v>
      </c>
      <c r="H24" s="185" cm="1">
        <f t="array" ref="H24">_xlfn.IFNA(
   _xlfn._xlws.FILTER(
      Sim_Mul_Bet50!$L$2:$L$100,
      (Sim_Mul_Bet50!$A$2:$A$100=H$2) * (Sim_Mul_Bet50!$C$2:$C$100=$B24),0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1.1103599999999999E-3</v>
      </c>
      <c r="N24" s="189">
        <f t="shared" si="6"/>
        <v>70.671402428041361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Sim_Mul_Bet50!$F$2:$F$100,
      (Sim_Mul_Bet50!$A$2:$A$100=C$2) * (Sim_Mul_Bet50!$C$2:$C$100=$B25),0
   ),
   0
)</f>
        <v>0</v>
      </c>
      <c r="D25" s="181" cm="1">
        <f t="array" ref="D25">_xlfn.IFNA(
   _xlfn._xlws.FILTER(
      Sim_Mul_Bet50!$F$2:$F$100,
      (Sim_Mul_Bet50!$A$2:$A$100=D$2) * (Sim_Mul_Bet50!$C$2:$C$100=$B25),0
   ),
   0
)</f>
        <v>0</v>
      </c>
      <c r="E25" s="182" cm="1">
        <f t="array" ref="E25">_xlfn.IFNA(
   _xlfn._xlws.FILTER(
      Sim_Mul_Bet50!$F$2:$F$100,
      (Sim_Mul_Bet50!$A$2:$A$100=E$2) * (Sim_Mul_Bet50!$C$2:$C$100=$B25),0
   ),
   0
)</f>
        <v>0</v>
      </c>
      <c r="F25" s="183" cm="1">
        <f t="array" ref="F25">_xlfn.IFNA(
   _xlfn._xlws.FILTER(
      Sim_Mul_Bet50!$L$2:$L$100,
      (Sim_Mul_Bet50!$A$2:$A$100=F$2) * (Sim_Mul_Bet50!$C$2:$C$100=$B25),0
   ),
   0
)</f>
        <v>0</v>
      </c>
      <c r="G25" s="184" cm="1">
        <f t="array" ref="G25">_xlfn.IFNA(
   _xlfn._xlws.FILTER(
      Sim_Mul_Bet50!$L$2:$L$100,
      (Sim_Mul_Bet50!$A$2:$A$100=G$2) * (Sim_Mul_Bet50!$C$2:$C$100=$B25),0
   ),
   0
)</f>
        <v>0</v>
      </c>
      <c r="H25" s="185" cm="1">
        <f t="array" ref="H25">_xlfn.IFNA(
   _xlfn._xlws.FILTER(
      Sim_Mul_Bet50!$L$2:$L$100,
      (Sim_Mul_Bet50!$A$2:$A$100=H$2) * (Sim_Mul_Bet50!$C$2:$C$100=$B25),0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0</v>
      </c>
      <c r="N25" s="189">
        <f t="shared" si="6"/>
        <v>0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Sim_Mul_Bet50!$F$2:$F$100,
      (Sim_Mul_Bet50!$A$2:$A$100=C$2) * (Sim_Mul_Bet50!$C$2:$C$100=$B26),0
   ),
   0
)</f>
        <v>4.8047999999999998E-4</v>
      </c>
      <c r="D26" s="181" cm="1">
        <f t="array" ref="D26">_xlfn.IFNA(
   _xlfn._xlws.FILTER(
      Sim_Mul_Bet50!$F$2:$F$100,
      (Sim_Mul_Bet50!$A$2:$A$100=D$2) * (Sim_Mul_Bet50!$C$2:$C$100=$B26),0
   ),
   0
)</f>
        <v>1.11726E-2</v>
      </c>
      <c r="E26" s="182" cm="1">
        <f t="array" ref="E26">_xlfn.IFNA(
   _xlfn._xlws.FILTER(
      Sim_Mul_Bet50!$F$2:$F$100,
      (Sim_Mul_Bet50!$A$2:$A$100=E$2) * (Sim_Mul_Bet50!$C$2:$C$100=$B26),0
   ),
   0
)</f>
        <v>0</v>
      </c>
      <c r="F26" s="183" cm="1">
        <f t="array" ref="F26">_xlfn.IFNA(
   _xlfn._xlws.FILTER(
      Sim_Mul_Bet50!$L$2:$L$100,
      (Sim_Mul_Bet50!$A$2:$A$100=F$2) * (Sim_Mul_Bet50!$C$2:$C$100=$B26),0
   ),
   0
)</f>
        <v>100</v>
      </c>
      <c r="G26" s="184" cm="1">
        <f t="array" ref="G26">_xlfn.IFNA(
   _xlfn._xlws.FILTER(
      Sim_Mul_Bet50!$L$2:$L$100,
      (Sim_Mul_Bet50!$A$2:$A$100=G$2) * (Sim_Mul_Bet50!$C$2:$C$100=$B26),0
   ),
   0
)</f>
        <v>100</v>
      </c>
      <c r="H26" s="185" cm="1">
        <f t="array" ref="H26">_xlfn.IFNA(
   _xlfn._xlws.FILTER(
      Sim_Mul_Bet50!$L$2:$L$100,
      (Sim_Mul_Bet50!$A$2:$A$100=H$2) * (Sim_Mul_Bet50!$C$2:$C$100=$B26),0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1.11726E-2</v>
      </c>
      <c r="N26" s="189">
        <f t="shared" si="6"/>
        <v>100</v>
      </c>
      <c r="O26" s="190">
        <f t="shared" si="7"/>
        <v>3.0000000000000004E-5</v>
      </c>
      <c r="P26" s="190">
        <v>2.0000000000000002E-5</v>
      </c>
      <c r="Q26" s="190">
        <v>1.7272350421445401E-5</v>
      </c>
      <c r="R26" s="191">
        <f t="shared" si="0"/>
        <v>3.0000000000000005E-3</v>
      </c>
      <c r="T26" s="192">
        <f t="shared" si="2"/>
        <v>30</v>
      </c>
      <c r="U26" s="176">
        <v>3.0000000000000001E-5</v>
      </c>
      <c r="V26" s="195">
        <f t="shared" si="3"/>
        <v>2E-3</v>
      </c>
      <c r="W26" s="194"/>
      <c r="Y26" s="190">
        <f t="shared" si="8"/>
        <v>4.4999999999999999E-4</v>
      </c>
      <c r="Z26" s="190">
        <v>2.9999999999999997E-4</v>
      </c>
      <c r="AA26" s="190">
        <v>1.7272350421445401E-5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Sim_Mul_Bet50!$F$2:$F$100,
      (Sim_Mul_Bet50!$A$2:$A$100=C$2) * (Sim_Mul_Bet50!$C$2:$C$100=$B27),0
   ),
   0
)</f>
        <v>1.2207E-4</v>
      </c>
      <c r="D27" s="181" cm="1">
        <f t="array" ref="D27">_xlfn.IFNA(
   _xlfn._xlws.FILTER(
      Sim_Mul_Bet50!$F$2:$F$100,
      (Sim_Mul_Bet50!$A$2:$A$100=D$2) * (Sim_Mul_Bet50!$C$2:$C$100=$B27),0
   ),
   0
)</f>
        <v>4.2366939999999999E-2</v>
      </c>
      <c r="E27" s="182" cm="1">
        <f t="array" ref="E27">_xlfn.IFNA(
   _xlfn._xlws.FILTER(
      Sim_Mul_Bet50!$F$2:$F$100,
      (Sim_Mul_Bet50!$A$2:$A$100=E$2) * (Sim_Mul_Bet50!$C$2:$C$100=$B27),0
   ),
   0
)</f>
        <v>0</v>
      </c>
      <c r="F27" s="183" cm="1">
        <f t="array" ref="F27">_xlfn.IFNA(
   _xlfn._xlws.FILTER(
      Sim_Mul_Bet50!$L$2:$L$100,
      (Sim_Mul_Bet50!$A$2:$A$100=F$2) * (Sim_Mul_Bet50!$C$2:$C$100=$B27),0
   ),
   0
)</f>
        <v>101.5372310969116</v>
      </c>
      <c r="G27" s="184" cm="1">
        <f t="array" ref="G27">_xlfn.IFNA(
   _xlfn._xlws.FILTER(
      Sim_Mul_Bet50!$L$2:$L$100,
      (Sim_Mul_Bet50!$A$2:$A$100=G$2) * (Sim_Mul_Bet50!$C$2:$C$100=$B27),0
   ),
   0
)</f>
        <v>102.55351827627861</v>
      </c>
      <c r="H27" s="185" cm="1">
        <f t="array" ref="H27">_xlfn.IFNA(
   _xlfn._xlws.FILTER(
      Sim_Mul_Bet50!$L$2:$L$100,
      (Sim_Mul_Bet50!$A$2:$A$100=H$2) * (Sim_Mul_Bet50!$C$2:$C$100=$B27),0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4.2366939999999999E-2</v>
      </c>
      <c r="N27" s="189">
        <f t="shared" si="6"/>
        <v>102.55351827627861</v>
      </c>
      <c r="O27" s="190">
        <f t="shared" si="7"/>
        <v>9.0000000000000006E-5</v>
      </c>
      <c r="P27" s="190">
        <v>6.0000000000000002E-5</v>
      </c>
      <c r="Q27" s="190">
        <v>5.1817051264336101E-5</v>
      </c>
      <c r="R27" s="191">
        <f t="shared" si="0"/>
        <v>9.2298166448650746E-3</v>
      </c>
      <c r="T27" s="192">
        <f t="shared" si="2"/>
        <v>90</v>
      </c>
      <c r="U27" s="176">
        <v>9.0000000000000006E-5</v>
      </c>
      <c r="V27" s="195">
        <f t="shared" si="3"/>
        <v>6.1532110965767167E-3</v>
      </c>
      <c r="W27" s="194"/>
      <c r="Y27" s="190">
        <f t="shared" si="8"/>
        <v>1.5000000000000001E-4</v>
      </c>
      <c r="Z27" s="190">
        <v>1E-4</v>
      </c>
      <c r="AA27" s="190">
        <v>5.1817051264336101E-5</v>
      </c>
      <c r="AB27" s="276">
        <f t="shared" si="4"/>
        <v>1.5383027741441792E-2</v>
      </c>
      <c r="AD27" s="192">
        <f t="shared" si="5"/>
        <v>150</v>
      </c>
      <c r="AE27" s="176">
        <v>1.4999999999999999E-4</v>
      </c>
      <c r="AF27" s="278">
        <f t="shared" si="9"/>
        <v>1.025535182762786E-2</v>
      </c>
    </row>
    <row r="28" spans="2:32">
      <c r="B28" s="179">
        <v>120</v>
      </c>
      <c r="C28" s="180" cm="1">
        <f t="array" ref="C28">_xlfn.IFNA(
   _xlfn._xlws.FILTER(
      Sim_Mul_Bet50!$F$2:$F$100,
      (Sim_Mul_Bet50!$A$2:$A$100=C$2) * (Sim_Mul_Bet50!$C$2:$C$100=$B28),0
   ),
   0
)</f>
        <v>2E-8</v>
      </c>
      <c r="D28" s="181" cm="1">
        <f t="array" ref="D28">_xlfn.IFNA(
   _xlfn._xlws.FILTER(
      Sim_Mul_Bet50!$F$2:$F$100,
      (Sim_Mul_Bet50!$A$2:$A$100=D$2) * (Sim_Mul_Bet50!$C$2:$C$100=$B28),0
   ),
   0
)</f>
        <v>2.3614199999999999E-3</v>
      </c>
      <c r="E28" s="182" cm="1">
        <f t="array" ref="E28">_xlfn.IFNA(
   _xlfn._xlws.FILTER(
      Sim_Mul_Bet50!$F$2:$F$100,
      (Sim_Mul_Bet50!$A$2:$A$100=E$2) * (Sim_Mul_Bet50!$C$2:$C$100=$B28),0
   ),
   0
)</f>
        <v>0</v>
      </c>
      <c r="F28" s="183" cm="1">
        <f t="array" ref="F28">_xlfn.IFNA(
   _xlfn._xlws.FILTER(
      Sim_Mul_Bet50!$L$2:$L$100,
      (Sim_Mul_Bet50!$A$2:$A$100=F$2) * (Sim_Mul_Bet50!$C$2:$C$100=$B28),0
   ),
   0
)</f>
        <v>121.05</v>
      </c>
      <c r="G28" s="184" cm="1">
        <f t="array" ref="G28">_xlfn.IFNA(
   _xlfn._xlws.FILTER(
      Sim_Mul_Bet50!$L$2:$L$100,
      (Sim_Mul_Bet50!$A$2:$A$100=G$2) * (Sim_Mul_Bet50!$C$2:$C$100=$B28),0
   ),
   0
)</f>
        <v>122.78584902304544</v>
      </c>
      <c r="H28" s="185" cm="1">
        <f t="array" ref="H28">_xlfn.IFNA(
   _xlfn._xlws.FILTER(
      Sim_Mul_Bet50!$L$2:$L$100,
      (Sim_Mul_Bet50!$A$2:$A$100=H$2) * (Sim_Mul_Bet50!$C$2:$C$100=$B28),0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2.3614199999999999E-3</v>
      </c>
      <c r="N28" s="189">
        <f t="shared" si="6"/>
        <v>122.78584902304544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Sim_Mul_Bet50!$F$2:$F$100,
      (Sim_Mul_Bet50!$A$2:$A$100=C$2) * (Sim_Mul_Bet50!$C$2:$C$100=$B29),0
   ),
   0
)</f>
        <v>0</v>
      </c>
      <c r="D29" s="181" cm="1">
        <f t="array" ref="D29">_xlfn.IFNA(
   _xlfn._xlws.FILTER(
      Sim_Mul_Bet50!$F$2:$F$100,
      (Sim_Mul_Bet50!$A$2:$A$100=D$2) * (Sim_Mul_Bet50!$C$2:$C$100=$B29),0
   ),
   0
)</f>
        <v>4.1816999999999999E-4</v>
      </c>
      <c r="E29" s="182" cm="1">
        <f t="array" ref="E29">_xlfn.IFNA(
   _xlfn._xlws.FILTER(
      Sim_Mul_Bet50!$F$2:$F$100,
      (Sim_Mul_Bet50!$A$2:$A$100=E$2) * (Sim_Mul_Bet50!$C$2:$C$100=$B29),0
   ),
   0
)</f>
        <v>0</v>
      </c>
      <c r="F29" s="183" cm="1">
        <f t="array" ref="F29">_xlfn.IFNA(
   _xlfn._xlws.FILTER(
      Sim_Mul_Bet50!$L$2:$L$100,
      (Sim_Mul_Bet50!$A$2:$A$100=F$2) * (Sim_Mul_Bet50!$C$2:$C$100=$B29),0
   ),
   0
)</f>
        <v>0</v>
      </c>
      <c r="G29" s="184" cm="1">
        <f t="array" ref="G29">_xlfn.IFNA(
   _xlfn._xlws.FILTER(
      Sim_Mul_Bet50!$L$2:$L$100,
      (Sim_Mul_Bet50!$A$2:$A$100=G$2) * (Sim_Mul_Bet50!$C$2:$C$100=$B29),0
   ),
   0
)</f>
        <v>151.03951216012626</v>
      </c>
      <c r="H29" s="185" cm="1">
        <f t="array" ref="H29">_xlfn.IFNA(
   _xlfn._xlws.FILTER(
      Sim_Mul_Bet50!$L$2:$L$100,
      (Sim_Mul_Bet50!$A$2:$A$100=H$2) * (Sim_Mul_Bet50!$C$2:$C$100=$B29),0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4.1816999999999999E-4</v>
      </c>
      <c r="N29" s="189">
        <f t="shared" si="6"/>
        <v>151.03951216012626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Sim_Mul_Bet50!$F$2:$F$100,
      (Sim_Mul_Bet50!$A$2:$A$100=C$2) * (Sim_Mul_Bet50!$C$2:$C$100=$B30),0
   ),
   0
)</f>
        <v>0</v>
      </c>
      <c r="D30" s="181" cm="1">
        <f t="array" ref="D30">_xlfn.IFNA(
   _xlfn._xlws.FILTER(
      Sim_Mul_Bet50!$F$2:$F$100,
      (Sim_Mul_Bet50!$A$2:$A$100=D$2) * (Sim_Mul_Bet50!$C$2:$C$100=$B30),0
   ),
   0
)</f>
        <v>0</v>
      </c>
      <c r="E30" s="182" cm="1">
        <f t="array" ref="E30">_xlfn.IFNA(
   _xlfn._xlws.FILTER(
      Sim_Mul_Bet50!$F$2:$F$100,
      (Sim_Mul_Bet50!$A$2:$A$100=E$2) * (Sim_Mul_Bet50!$C$2:$C$100=$B30),0
   ),
   0
)</f>
        <v>0</v>
      </c>
      <c r="F30" s="183" cm="1">
        <f t="array" ref="F30">_xlfn.IFNA(
   _xlfn._xlws.FILTER(
      Sim_Mul_Bet50!$L$2:$L$100,
      (Sim_Mul_Bet50!$A$2:$A$100=F$2) * (Sim_Mul_Bet50!$C$2:$C$100=$B30),0
   ),
   0
)</f>
        <v>0</v>
      </c>
      <c r="G30" s="184" cm="1">
        <f t="array" ref="G30">_xlfn.IFNA(
   _xlfn._xlws.FILTER(
      Sim_Mul_Bet50!$L$2:$L$100,
      (Sim_Mul_Bet50!$A$2:$A$100=G$2) * (Sim_Mul_Bet50!$C$2:$C$100=$B30),0
   ),
   0
)</f>
        <v>0</v>
      </c>
      <c r="H30" s="185" cm="1">
        <f t="array" ref="H30">_xlfn.IFNA(
   _xlfn._xlws.FILTER(
      Sim_Mul_Bet50!$L$2:$L$100,
      (Sim_Mul_Bet50!$A$2:$A$100=H$2) * (Sim_Mul_Bet50!$C$2:$C$100=$B30),0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0</v>
      </c>
      <c r="N30" s="189">
        <f t="shared" si="6"/>
        <v>0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Sim_Mul_Bet50!$F$2:$F$100,
      (Sim_Mul_Bet50!$A$2:$A$100=C$2) * (Sim_Mul_Bet50!$C$2:$C$100=$B31),0
   ),
   0
)</f>
        <v>1.0801E-4</v>
      </c>
      <c r="D31" s="181" cm="1">
        <f t="array" ref="D31">_xlfn.IFNA(
   _xlfn._xlws.FILTER(
      Sim_Mul_Bet50!$F$2:$F$100,
      (Sim_Mul_Bet50!$A$2:$A$100=D$2) * (Sim_Mul_Bet50!$C$2:$C$100=$B31),0
   ),
   0
)</f>
        <v>9.5890400000000001E-3</v>
      </c>
      <c r="E31" s="182" cm="1">
        <f t="array" ref="E31">_xlfn.IFNA(
   _xlfn._xlws.FILTER(
      Sim_Mul_Bet50!$F$2:$F$100,
      (Sim_Mul_Bet50!$A$2:$A$100=E$2) * (Sim_Mul_Bet50!$C$2:$C$100=$B31),0
   ),
   0
)</f>
        <v>0</v>
      </c>
      <c r="F31" s="183" cm="1">
        <f t="array" ref="F31">_xlfn.IFNA(
   _xlfn._xlws.FILTER(
      Sim_Mul_Bet50!$L$2:$L$100,
      (Sim_Mul_Bet50!$A$2:$A$100=F$2) * (Sim_Mul_Bet50!$C$2:$C$100=$B31),0
   ),
   0
)</f>
        <v>200</v>
      </c>
      <c r="G31" s="184" cm="1">
        <f t="array" ref="G31">_xlfn.IFNA(
   _xlfn._xlws.FILTER(
      Sim_Mul_Bet50!$L$2:$L$100,
      (Sim_Mul_Bet50!$A$2:$A$100=G$2) * (Sim_Mul_Bet50!$C$2:$C$100=$B31),0
   ),
   0
)</f>
        <v>200</v>
      </c>
      <c r="H31" s="185" cm="1">
        <f t="array" ref="H31">_xlfn.IFNA(
   _xlfn._xlws.FILTER(
      Sim_Mul_Bet50!$L$2:$L$100,
      (Sim_Mul_Bet50!$A$2:$A$100=H$2) * (Sim_Mul_Bet50!$C$2:$C$100=$B31),0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9.5890400000000001E-3</v>
      </c>
      <c r="N31" s="189">
        <f t="shared" si="6"/>
        <v>200</v>
      </c>
      <c r="O31" s="190">
        <f t="shared" si="7"/>
        <v>5.1817051264336047E-5</v>
      </c>
      <c r="P31" s="190">
        <v>3.45447008428907E-5</v>
      </c>
      <c r="Q31" s="190">
        <v>3.45447008428907E-5</v>
      </c>
      <c r="R31" s="191">
        <f t="shared" si="0"/>
        <v>1.036341025286721E-2</v>
      </c>
      <c r="T31" s="192">
        <f t="shared" si="2"/>
        <v>52</v>
      </c>
      <c r="U31" s="176">
        <v>5.1999999999999997E-5</v>
      </c>
      <c r="V31" s="195">
        <f t="shared" si="3"/>
        <v>6.933333333333333E-3</v>
      </c>
      <c r="W31" s="194"/>
      <c r="Y31" s="190">
        <f t="shared" si="8"/>
        <v>1.8000000000000001E-4</v>
      </c>
      <c r="Z31" s="190">
        <v>1.2E-4</v>
      </c>
      <c r="AA31" s="190">
        <v>3.45447008428907E-5</v>
      </c>
      <c r="AB31" s="276">
        <f t="shared" si="4"/>
        <v>3.6000000000000004E-2</v>
      </c>
      <c r="AD31" s="192">
        <f t="shared" si="5"/>
        <v>180</v>
      </c>
      <c r="AE31" s="176">
        <v>1.8000000000000001E-4</v>
      </c>
      <c r="AF31" s="278">
        <f t="shared" si="9"/>
        <v>2.4000000000000004E-2</v>
      </c>
    </row>
    <row r="32" spans="2:32">
      <c r="B32" s="179">
        <v>200</v>
      </c>
      <c r="C32" s="180" cm="1">
        <f t="array" ref="C32">_xlfn.IFNA(
   _xlfn._xlws.FILTER(
      Sim_Mul_Bet50!$F$2:$F$100,
      (Sim_Mul_Bet50!$A$2:$A$100=C$2) * (Sim_Mul_Bet50!$C$2:$C$100=$B32),0
   ),
   0
)</f>
        <v>4.0599999999999998E-5</v>
      </c>
      <c r="D32" s="181" cm="1">
        <f t="array" ref="D32">_xlfn.IFNA(
   _xlfn._xlws.FILTER(
      Sim_Mul_Bet50!$F$2:$F$100,
      (Sim_Mul_Bet50!$A$2:$A$100=D$2) * (Sim_Mul_Bet50!$C$2:$C$100=$B32),0
   ),
   0
)</f>
        <v>4.1882250000000003E-2</v>
      </c>
      <c r="E32" s="182" cm="1">
        <f t="array" ref="E32">_xlfn.IFNA(
   _xlfn._xlws.FILTER(
      Sim_Mul_Bet50!$F$2:$F$100,
      (Sim_Mul_Bet50!$A$2:$A$100=E$2) * (Sim_Mul_Bet50!$C$2:$C$100=$B32),0
   ),
   0
)</f>
        <v>0</v>
      </c>
      <c r="F32" s="183" cm="1">
        <f t="array" ref="F32">_xlfn.IFNA(
   _xlfn._xlws.FILTER(
      Sim_Mul_Bet50!$L$2:$L$100,
      (Sim_Mul_Bet50!$A$2:$A$100=F$2) * (Sim_Mul_Bet50!$C$2:$C$100=$B32),0
   ),
   0
)</f>
        <v>201.87588177339902</v>
      </c>
      <c r="G32" s="184" cm="1">
        <f t="array" ref="G32">_xlfn.IFNA(
   _xlfn._xlws.FILTER(
      Sim_Mul_Bet50!$L$2:$L$100,
      (Sim_Mul_Bet50!$A$2:$A$100=G$2) * (Sim_Mul_Bet50!$C$2:$C$100=$B32),0
   ),
   0
)</f>
        <v>204.24089084039181</v>
      </c>
      <c r="H32" s="185" cm="1">
        <f t="array" ref="H32">_xlfn.IFNA(
   _xlfn._xlws.FILTER(
      Sim_Mul_Bet50!$L$2:$L$100,
      (Sim_Mul_Bet50!$A$2:$A$100=H$2) * (Sim_Mul_Bet50!$C$2:$C$100=$B32),0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4.1882250000000003E-2</v>
      </c>
      <c r="N32" s="189">
        <f t="shared" si="6"/>
        <v>204.24089084039181</v>
      </c>
      <c r="O32" s="190">
        <f t="shared" si="7"/>
        <v>0</v>
      </c>
      <c r="P32" s="190">
        <v>0</v>
      </c>
      <c r="Q32" s="190">
        <v>0</v>
      </c>
      <c r="R32" s="191">
        <f t="shared" si="0"/>
        <v>0</v>
      </c>
      <c r="T32" s="192">
        <f t="shared" si="2"/>
        <v>0</v>
      </c>
      <c r="U32" s="176">
        <v>0</v>
      </c>
      <c r="V32" s="195">
        <f t="shared" si="3"/>
        <v>0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Sim_Mul_Bet50!$F$2:$F$100,
      (Sim_Mul_Bet50!$A$2:$A$100=C$2) * (Sim_Mul_Bet50!$C$2:$C$100=$B33),0
   ),
   0
)</f>
        <v>0</v>
      </c>
      <c r="D33" s="181" cm="1">
        <f t="array" ref="D33">_xlfn.IFNA(
   _xlfn._xlws.FILTER(
      Sim_Mul_Bet50!$F$2:$F$100,
      (Sim_Mul_Bet50!$A$2:$A$100=D$2) * (Sim_Mul_Bet50!$C$2:$C$100=$B33),0
   ),
   0
)</f>
        <v>4.9264000000000003E-4</v>
      </c>
      <c r="E33" s="182" cm="1">
        <f t="array" ref="E33">_xlfn.IFNA(
   _xlfn._xlws.FILTER(
      Sim_Mul_Bet50!$F$2:$F$100,
      (Sim_Mul_Bet50!$A$2:$A$100=E$2) * (Sim_Mul_Bet50!$C$2:$C$100=$B33),0
   ),
   0
)</f>
        <v>0</v>
      </c>
      <c r="F33" s="183" cm="1">
        <f t="array" ref="F33">_xlfn.IFNA(
   _xlfn._xlws.FILTER(
      Sim_Mul_Bet50!$L$2:$L$100,
      (Sim_Mul_Bet50!$A$2:$A$100=F$2) * (Sim_Mul_Bet50!$C$2:$C$100=$B33),0
   ),
   0
)</f>
        <v>0</v>
      </c>
      <c r="G33" s="184" cm="1">
        <f t="array" ref="G33">_xlfn.IFNA(
   _xlfn._xlws.FILTER(
      Sim_Mul_Bet50!$L$2:$L$100,
      (Sim_Mul_Bet50!$A$2:$A$100=G$2) * (Sim_Mul_Bet50!$C$2:$C$100=$B33),0
   ),
   0
)</f>
        <v>265.35679969145826</v>
      </c>
      <c r="H33" s="185" cm="1">
        <f t="array" ref="H33">_xlfn.IFNA(
   _xlfn._xlws.FILTER(
      Sim_Mul_Bet50!$L$2:$L$100,
      (Sim_Mul_Bet50!$A$2:$A$100=H$2) * (Sim_Mul_Bet50!$C$2:$C$100=$B33),0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4.9264000000000003E-4</v>
      </c>
      <c r="N33" s="189">
        <f t="shared" si="6"/>
        <v>265.35679969145826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Sim_Mul_Bet50!$F$2:$F$100,
      (Sim_Mul_Bet50!$A$2:$A$100=C$2) * (Sim_Mul_Bet50!$C$2:$C$100=$B34),0
   ),
   0
)</f>
        <v>0</v>
      </c>
      <c r="D34" s="181" cm="1">
        <f t="array" ref="D34">_xlfn.IFNA(
   _xlfn._xlws.FILTER(
      Sim_Mul_Bet50!$F$2:$F$100,
      (Sim_Mul_Bet50!$A$2:$A$100=D$2) * (Sim_Mul_Bet50!$C$2:$C$100=$B34),0
   ),
   0
)</f>
        <v>8.3295000000000005E-4</v>
      </c>
      <c r="E34" s="182" cm="1">
        <f t="array" ref="E34">_xlfn.IFNA(
   _xlfn._xlws.FILTER(
      Sim_Mul_Bet50!$F$2:$F$100,
      (Sim_Mul_Bet50!$A$2:$A$100=E$2) * (Sim_Mul_Bet50!$C$2:$C$100=$B34),0
   ),
   0
)</f>
        <v>0</v>
      </c>
      <c r="F34" s="183" cm="1">
        <f t="array" ref="F34">_xlfn.IFNA(
   _xlfn._xlws.FILTER(
      Sim_Mul_Bet50!$L$2:$L$100,
      (Sim_Mul_Bet50!$A$2:$A$100=F$2) * (Sim_Mul_Bet50!$C$2:$C$100=$B34),0
   ),
   0
)</f>
        <v>0</v>
      </c>
      <c r="G34" s="184" cm="1">
        <f t="array" ref="G34">_xlfn.IFNA(
   _xlfn._xlws.FILTER(
      Sim_Mul_Bet50!$L$2:$L$100,
      (Sim_Mul_Bet50!$A$2:$A$100=G$2) * (Sim_Mul_Bet50!$C$2:$C$100=$B34),0
   ),
   0
)</f>
        <v>301.39846257278344</v>
      </c>
      <c r="H34" s="185" cm="1">
        <f t="array" ref="H34">_xlfn.IFNA(
   _xlfn._xlws.FILTER(
      Sim_Mul_Bet50!$L$2:$L$100,
      (Sim_Mul_Bet50!$A$2:$A$100=H$2) * (Sim_Mul_Bet50!$C$2:$C$100=$B34),0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8.3295000000000005E-4</v>
      </c>
      <c r="N34" s="189">
        <f t="shared" si="6"/>
        <v>301.39846257278344</v>
      </c>
      <c r="O34" s="190">
        <f t="shared" si="7"/>
        <v>0</v>
      </c>
      <c r="P34" s="190">
        <v>0</v>
      </c>
      <c r="Q34" s="190">
        <v>0</v>
      </c>
      <c r="R34" s="191">
        <f t="shared" si="0"/>
        <v>0</v>
      </c>
      <c r="T34" s="192">
        <f t="shared" si="2"/>
        <v>0</v>
      </c>
      <c r="U34" s="176">
        <v>0</v>
      </c>
      <c r="V34" s="195">
        <f t="shared" si="3"/>
        <v>0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Sim_Mul_Bet50!$F$2:$F$100,
      (Sim_Mul_Bet50!$A$2:$A$100=C$2) * (Sim_Mul_Bet50!$C$2:$C$100=$B35),0
   ),
   0
)</f>
        <v>1.42E-6</v>
      </c>
      <c r="D35" s="181" cm="1">
        <f t="array" ref="D35">_xlfn.IFNA(
   _xlfn._xlws.FILTER(
      Sim_Mul_Bet50!$F$2:$F$100,
      (Sim_Mul_Bet50!$A$2:$A$100=D$2) * (Sim_Mul_Bet50!$C$2:$C$100=$B35),0
   ),
   0
)</f>
        <v>6.2777999999999998E-4</v>
      </c>
      <c r="E35" s="182" cm="1">
        <f t="array" ref="E35">_xlfn.IFNA(
   _xlfn._xlws.FILTER(
      Sim_Mul_Bet50!$F$2:$F$100,
      (Sim_Mul_Bet50!$A$2:$A$100=E$2) * (Sim_Mul_Bet50!$C$2:$C$100=$B35),0
   ),
   0
)</f>
        <v>0</v>
      </c>
      <c r="F35" s="183" cm="1">
        <f t="array" ref="F35">_xlfn.IFNA(
   _xlfn._xlws.FILTER(
      Sim_Mul_Bet50!$L$2:$L$100,
      (Sim_Mul_Bet50!$A$2:$A$100=F$2) * (Sim_Mul_Bet50!$C$2:$C$100=$B35),0
   ),
   0
)</f>
        <v>400</v>
      </c>
      <c r="G35" s="184" cm="1">
        <f t="array" ref="G35">_xlfn.IFNA(
   _xlfn._xlws.FILTER(
      Sim_Mul_Bet50!$L$2:$L$100,
      (Sim_Mul_Bet50!$A$2:$A$100=G$2) * (Sim_Mul_Bet50!$C$2:$C$100=$B35),0
   ),
   0
)</f>
        <v>400</v>
      </c>
      <c r="H35" s="185" cm="1">
        <f t="array" ref="H35">_xlfn.IFNA(
   _xlfn._xlws.FILTER(
      Sim_Mul_Bet50!$L$2:$L$100,
      (Sim_Mul_Bet50!$A$2:$A$100=H$2) * (Sim_Mul_Bet50!$C$2:$C$100=$B35),0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6.2777999999999998E-4</v>
      </c>
      <c r="N35" s="189">
        <f t="shared" si="6"/>
        <v>400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Sim_Mul_Bet50!$F$2:$F$100,
      (Sim_Mul_Bet50!$A$2:$A$100=C$2) * (Sim_Mul_Bet50!$C$2:$C$100=$B36),0
   ),
   0
)</f>
        <v>1.9099999999999999E-6</v>
      </c>
      <c r="D36" s="181" cm="1">
        <f t="array" ref="D36">_xlfn.IFNA(
   _xlfn._xlws.FILTER(
      Sim_Mul_Bet50!$F$2:$F$100,
      (Sim_Mul_Bet50!$A$2:$A$100=D$2) * (Sim_Mul_Bet50!$C$2:$C$100=$B36),0
   ),
   0
)</f>
        <v>3.19776E-3</v>
      </c>
      <c r="E36" s="182" cm="1">
        <f t="array" ref="E36">_xlfn.IFNA(
   _xlfn._xlws.FILTER(
      Sim_Mul_Bet50!$F$2:$F$100,
      (Sim_Mul_Bet50!$A$2:$A$100=E$2) * (Sim_Mul_Bet50!$C$2:$C$100=$B36),0
   ),
   0
)</f>
        <v>0</v>
      </c>
      <c r="F36" s="183" cm="1">
        <f t="array" ref="F36">_xlfn.IFNA(
   _xlfn._xlws.FILTER(
      Sim_Mul_Bet50!$L$2:$L$100,
      (Sim_Mul_Bet50!$A$2:$A$100=F$2) * (Sim_Mul_Bet50!$C$2:$C$100=$B36),0
   ),
   0
)</f>
        <v>403.2152879581152</v>
      </c>
      <c r="G36" s="184" cm="1">
        <f t="array" ref="G36">_xlfn.IFNA(
   _xlfn._xlws.FILTER(
      Sim_Mul_Bet50!$L$2:$L$100,
      (Sim_Mul_Bet50!$A$2:$A$100=G$2) * (Sim_Mul_Bet50!$C$2:$C$100=$B36),0
   ),
   0
)</f>
        <v>402.35011877063948</v>
      </c>
      <c r="H36" s="185" cm="1">
        <f t="array" ref="H36">_xlfn.IFNA(
   _xlfn._xlws.FILTER(
      Sim_Mul_Bet50!$L$2:$L$100,
      (Sim_Mul_Bet50!$A$2:$A$100=H$2) * (Sim_Mul_Bet50!$C$2:$C$100=$B36),0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3.19776E-3</v>
      </c>
      <c r="N36" s="189">
        <f t="shared" si="6"/>
        <v>402.35011877063948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Sim_Mul_Bet50!$F$2:$F$100,
      (Sim_Mul_Bet50!$A$2:$A$100=C$2) * (Sim_Mul_Bet50!$C$2:$C$100=$B37),0
   ),
   0
)</f>
        <v>0</v>
      </c>
      <c r="D37" s="181" cm="1">
        <f t="array" ref="D37">_xlfn.IFNA(
   _xlfn._xlws.FILTER(
      Sim_Mul_Bet50!$F$2:$F$100,
      (Sim_Mul_Bet50!$A$2:$A$100=D$2) * (Sim_Mul_Bet50!$C$2:$C$100=$B37),0
   ),
   0
)</f>
        <v>6.3894700000000004E-3</v>
      </c>
      <c r="E37" s="182" cm="1">
        <f t="array" ref="E37">_xlfn.IFNA(
   _xlfn._xlws.FILTER(
      Sim_Mul_Bet50!$F$2:$F$100,
      (Sim_Mul_Bet50!$A$2:$A$100=E$2) * (Sim_Mul_Bet50!$C$2:$C$100=$B37),0
   ),
   0
)</f>
        <v>0</v>
      </c>
      <c r="F37" s="183" cm="1">
        <f t="array" ref="F37">_xlfn.IFNA(
   _xlfn._xlws.FILTER(
      Sim_Mul_Bet50!$L$2:$L$100,
      (Sim_Mul_Bet50!$A$2:$A$100=F$2) * (Sim_Mul_Bet50!$C$2:$C$100=$B37),0
   ),
   0
)</f>
        <v>0</v>
      </c>
      <c r="G37" s="184" cm="1">
        <f t="array" ref="G37">_xlfn.IFNA(
   _xlfn._xlws.FILTER(
      Sim_Mul_Bet50!$L$2:$L$100,
      (Sim_Mul_Bet50!$A$2:$A$100=G$2) * (Sim_Mul_Bet50!$C$2:$C$100=$B37),0
   ),
   0
)</f>
        <v>500</v>
      </c>
      <c r="H37" s="185" cm="1">
        <f t="array" ref="H37">_xlfn.IFNA(
   _xlfn._xlws.FILTER(
      Sim_Mul_Bet50!$L$2:$L$100,
      (Sim_Mul_Bet50!$A$2:$A$100=H$2) * (Sim_Mul_Bet50!$C$2:$C$100=$B37),0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6.3894700000000004E-3</v>
      </c>
      <c r="N37" s="189">
        <f t="shared" si="6"/>
        <v>500</v>
      </c>
      <c r="O37" s="190">
        <f t="shared" si="7"/>
        <v>7.500000000000001E-6</v>
      </c>
      <c r="P37" s="190">
        <v>5.0000000000000004E-6</v>
      </c>
      <c r="Q37" s="190">
        <v>8.6361752107226801E-6</v>
      </c>
      <c r="R37" s="191">
        <f t="shared" si="0"/>
        <v>3.7500000000000007E-3</v>
      </c>
      <c r="T37" s="192">
        <f t="shared" si="2"/>
        <v>8</v>
      </c>
      <c r="U37" s="176">
        <v>7.9999999999999996E-6</v>
      </c>
      <c r="V37" s="195">
        <f t="shared" si="3"/>
        <v>2.6666666666666666E-3</v>
      </c>
      <c r="W37" s="194"/>
      <c r="Y37" s="190">
        <f t="shared" si="8"/>
        <v>4.5000000000000003E-5</v>
      </c>
      <c r="Z37" s="190">
        <v>3.0000000000000001E-5</v>
      </c>
      <c r="AA37" s="190">
        <v>8.6361752107226801E-6</v>
      </c>
      <c r="AB37" s="276">
        <f t="shared" si="4"/>
        <v>2.2500000000000003E-2</v>
      </c>
      <c r="AD37" s="192">
        <f t="shared" si="5"/>
        <v>45</v>
      </c>
      <c r="AE37" s="176">
        <v>4.5000000000000003E-5</v>
      </c>
      <c r="AF37" s="278">
        <f t="shared" si="9"/>
        <v>1.5000000000000001E-2</v>
      </c>
    </row>
    <row r="38" spans="2:32">
      <c r="B38" s="179">
        <v>500</v>
      </c>
      <c r="C38" s="180" cm="1">
        <f t="array" ref="C38">_xlfn.IFNA(
   _xlfn._xlws.FILTER(
      Sim_Mul_Bet50!$F$2:$F$100,
      (Sim_Mul_Bet50!$A$2:$A$100=C$2) * (Sim_Mul_Bet50!$C$2:$C$100=$B38),0
   ),
   0
)</f>
        <v>0</v>
      </c>
      <c r="D38" s="181" cm="1">
        <f t="array" ref="D38">_xlfn.IFNA(
   _xlfn._xlws.FILTER(
      Sim_Mul_Bet50!$F$2:$F$100,
      (Sim_Mul_Bet50!$A$2:$A$100=D$2) * (Sim_Mul_Bet50!$C$2:$C$100=$B38),0
   ),
   0
)</f>
        <v>2.113394E-2</v>
      </c>
      <c r="E38" s="182" cm="1">
        <f t="array" ref="E38">_xlfn.IFNA(
   _xlfn._xlws.FILTER(
      Sim_Mul_Bet50!$F$2:$F$100,
      (Sim_Mul_Bet50!$A$2:$A$100=E$2) * (Sim_Mul_Bet50!$C$2:$C$100=$B38),0
   ),
   0
)</f>
        <v>0</v>
      </c>
      <c r="F38" s="183" cm="1">
        <f t="array" ref="F38">_xlfn.IFNA(
   _xlfn._xlws.FILTER(
      Sim_Mul_Bet50!$L$2:$L$100,
      (Sim_Mul_Bet50!$A$2:$A$100=F$2) * (Sim_Mul_Bet50!$C$2:$C$100=$B38),0
   ),
   0
)</f>
        <v>0</v>
      </c>
      <c r="G38" s="184" cm="1">
        <f t="array" ref="G38">_xlfn.IFNA(
   _xlfn._xlws.FILTER(
      Sim_Mul_Bet50!$L$2:$L$100,
      (Sim_Mul_Bet50!$A$2:$A$100=G$2) * (Sim_Mul_Bet50!$C$2:$C$100=$B38),0
   ),
   0
)</f>
        <v>503.25438579838874</v>
      </c>
      <c r="H38" s="185" cm="1">
        <f t="array" ref="H38">_xlfn.IFNA(
   _xlfn._xlws.FILTER(
      Sim_Mul_Bet50!$L$2:$L$100,
      (Sim_Mul_Bet50!$A$2:$A$100=H$2) * (Sim_Mul_Bet50!$C$2:$C$100=$B38),0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2.113394E-2</v>
      </c>
      <c r="N38" s="189">
        <f t="shared" si="6"/>
        <v>503.25438579838874</v>
      </c>
      <c r="O38" s="190">
        <f t="shared" si="7"/>
        <v>4.5000000000000001E-6</v>
      </c>
      <c r="P38" s="190">
        <v>3.0000000000000001E-6</v>
      </c>
      <c r="Q38" s="190">
        <v>0</v>
      </c>
      <c r="R38" s="191">
        <f t="shared" si="0"/>
        <v>2.2646447360927494E-3</v>
      </c>
      <c r="T38" s="192">
        <f t="shared" si="2"/>
        <v>5</v>
      </c>
      <c r="U38" s="176">
        <v>5.0000000000000004E-6</v>
      </c>
      <c r="V38" s="195">
        <f t="shared" si="3"/>
        <v>1.6775146193279626E-3</v>
      </c>
      <c r="W38" s="194"/>
      <c r="Y38" s="190">
        <f t="shared" si="8"/>
        <v>0</v>
      </c>
      <c r="Z38" s="190">
        <v>0</v>
      </c>
      <c r="AA38" s="190">
        <v>0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Sim_Mul_Bet50!$F$2:$F$100,
      (Sim_Mul_Bet50!$A$2:$A$100=C$2) * (Sim_Mul_Bet50!$C$2:$C$100=$B39),0
   ),
   0
)</f>
        <v>0</v>
      </c>
      <c r="D39" s="181" cm="1">
        <f t="array" ref="D39">_xlfn.IFNA(
   _xlfn._xlws.FILTER(
      Sim_Mul_Bet50!$F$2:$F$100,
      (Sim_Mul_Bet50!$A$2:$A$100=D$2) * (Sim_Mul_Bet50!$C$2:$C$100=$B39),0
   ),
   0
)</f>
        <v>6.9610000000000006E-5</v>
      </c>
      <c r="E39" s="182" cm="1">
        <f t="array" ref="E39">_xlfn.IFNA(
   _xlfn._xlws.FILTER(
      Sim_Mul_Bet50!$F$2:$F$100,
      (Sim_Mul_Bet50!$A$2:$A$100=E$2) * (Sim_Mul_Bet50!$C$2:$C$100=$B39),0
   ),
   0
)</f>
        <v>0</v>
      </c>
      <c r="F39" s="183" cm="1">
        <f t="array" ref="F39">_xlfn.IFNA(
   _xlfn._xlws.FILTER(
      Sim_Mul_Bet50!$L$2:$L$100,
      (Sim_Mul_Bet50!$A$2:$A$100=F$2) * (Sim_Mul_Bet50!$C$2:$C$100=$B39),0
   ),
   0
)</f>
        <v>0</v>
      </c>
      <c r="G39" s="184" cm="1">
        <f t="array" ref="G39">_xlfn.IFNA(
   _xlfn._xlws.FILTER(
      Sim_Mul_Bet50!$L$2:$L$100,
      (Sim_Mul_Bet50!$A$2:$A$100=G$2) * (Sim_Mul_Bet50!$C$2:$C$100=$B39),0
   ),
   0
)</f>
        <v>600</v>
      </c>
      <c r="H39" s="185" cm="1">
        <f t="array" ref="H39">_xlfn.IFNA(
   _xlfn._xlws.FILTER(
      Sim_Mul_Bet50!$L$2:$L$100,
      (Sim_Mul_Bet50!$A$2:$A$100=H$2) * (Sim_Mul_Bet50!$C$2:$C$100=$B39),0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6.9610000000000006E-5</v>
      </c>
      <c r="N39" s="189">
        <f t="shared" si="6"/>
        <v>600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Sim_Mul_Bet50!$F$2:$F$100,
      (Sim_Mul_Bet50!$A$2:$A$100=C$2) * (Sim_Mul_Bet50!$C$2:$C$100=$B40),0
   ),
   0
)</f>
        <v>0</v>
      </c>
      <c r="D40" s="181" cm="1">
        <f t="array" ref="D40">_xlfn.IFNA(
   _xlfn._xlws.FILTER(
      Sim_Mul_Bet50!$F$2:$F$100,
      (Sim_Mul_Bet50!$A$2:$A$100=D$2) * (Sim_Mul_Bet50!$C$2:$C$100=$B40),0
   ),
   0
)</f>
        <v>3.4645999999999999E-4</v>
      </c>
      <c r="E40" s="182" cm="1">
        <f t="array" ref="E40">_xlfn.IFNA(
   _xlfn._xlws.FILTER(
      Sim_Mul_Bet50!$F$2:$F$100,
      (Sim_Mul_Bet50!$A$2:$A$100=E$2) * (Sim_Mul_Bet50!$C$2:$C$100=$B40),0
   ),
   0
)</f>
        <v>0</v>
      </c>
      <c r="F40" s="183" cm="1">
        <f t="array" ref="F40">_xlfn.IFNA(
   _xlfn._xlws.FILTER(
      Sim_Mul_Bet50!$L$2:$L$100,
      (Sim_Mul_Bet50!$A$2:$A$100=F$2) * (Sim_Mul_Bet50!$C$2:$C$100=$B40),0
   ),
   0
)</f>
        <v>0</v>
      </c>
      <c r="G40" s="184" cm="1">
        <f t="array" ref="G40">_xlfn.IFNA(
   _xlfn._xlws.FILTER(
      Sim_Mul_Bet50!$L$2:$L$100,
      (Sim_Mul_Bet50!$A$2:$A$100=G$2) * (Sim_Mul_Bet50!$C$2:$C$100=$B40),0
   ),
   0
)</f>
        <v>601.2439265716099</v>
      </c>
      <c r="H40" s="185" cm="1">
        <f t="array" ref="H40">_xlfn.IFNA(
   _xlfn._xlws.FILTER(
      Sim_Mul_Bet50!$L$2:$L$100,
      (Sim_Mul_Bet50!$A$2:$A$100=H$2) * (Sim_Mul_Bet50!$C$2:$C$100=$B40),0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3.4645999999999999E-4</v>
      </c>
      <c r="N40" s="189">
        <f t="shared" si="6"/>
        <v>601.2439265716099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Sim_Mul_Bet50!$F$2:$F$100,
      (Sim_Mul_Bet50!$A$2:$A$100=C$2) * (Sim_Mul_Bet50!$C$2:$C$100=$B41),0
   ),
   0
)</f>
        <v>0</v>
      </c>
      <c r="D41" s="181" cm="1">
        <f t="array" ref="D41">_xlfn.IFNA(
   _xlfn._xlws.FILTER(
      Sim_Mul_Bet50!$F$2:$F$100,
      (Sim_Mul_Bet50!$A$2:$A$100=D$2) * (Sim_Mul_Bet50!$C$2:$C$100=$B41),0
   ),
   0
)</f>
        <v>7.0649999999999996E-5</v>
      </c>
      <c r="E41" s="182" cm="1">
        <f t="array" ref="E41">_xlfn.IFNA(
   _xlfn._xlws.FILTER(
      Sim_Mul_Bet50!$F$2:$F$100,
      (Sim_Mul_Bet50!$A$2:$A$100=E$2) * (Sim_Mul_Bet50!$C$2:$C$100=$B41),0
   ),
   0
)</f>
        <v>0</v>
      </c>
      <c r="F41" s="183" cm="1">
        <f t="array" ref="F41">_xlfn.IFNA(
   _xlfn._xlws.FILTER(
      Sim_Mul_Bet50!$L$2:$L$100,
      (Sim_Mul_Bet50!$A$2:$A$100=F$2) * (Sim_Mul_Bet50!$C$2:$C$100=$B41),0
   ),
   0
)</f>
        <v>0</v>
      </c>
      <c r="G41" s="184" cm="1">
        <f t="array" ref="G41">_xlfn.IFNA(
   _xlfn._xlws.FILTER(
      Sim_Mul_Bet50!$L$2:$L$100,
      (Sim_Mul_Bet50!$A$2:$A$100=G$2) * (Sim_Mul_Bet50!$C$2:$C$100=$B41),0
   ),
   0
)</f>
        <v>700</v>
      </c>
      <c r="H41" s="185" cm="1">
        <f t="array" ref="H41">_xlfn.IFNA(
   _xlfn._xlws.FILTER(
      Sim_Mul_Bet50!$L$2:$L$100,
      (Sim_Mul_Bet50!$A$2:$A$100=H$2) * (Sim_Mul_Bet50!$C$2:$C$100=$B41),0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7.0649999999999996E-5</v>
      </c>
      <c r="N41" s="189">
        <f t="shared" si="6"/>
        <v>700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Sim_Mul_Bet50!$F$2:$F$100,
      (Sim_Mul_Bet50!$A$2:$A$100=C$2) * (Sim_Mul_Bet50!$C$2:$C$100=$B42),0
   ),
   0
)</f>
        <v>0</v>
      </c>
      <c r="D42" s="181" cm="1">
        <f t="array" ref="D42">_xlfn.IFNA(
   _xlfn._xlws.FILTER(
      Sim_Mul_Bet50!$F$2:$F$100,
      (Sim_Mul_Bet50!$A$2:$A$100=D$2) * (Sim_Mul_Bet50!$C$2:$C$100=$B42),0
   ),
   0
)</f>
        <v>3.4759999999999999E-4</v>
      </c>
      <c r="E42" s="182" cm="1">
        <f t="array" ref="E42">_xlfn.IFNA(
   _xlfn._xlws.FILTER(
      Sim_Mul_Bet50!$F$2:$F$100,
      (Sim_Mul_Bet50!$A$2:$A$100=E$2) * (Sim_Mul_Bet50!$C$2:$C$100=$B42),0
   ),
   0
)</f>
        <v>0</v>
      </c>
      <c r="F42" s="183" cm="1">
        <f t="array" ref="F42">_xlfn.IFNA(
   _xlfn._xlws.FILTER(
      Sim_Mul_Bet50!$L$2:$L$100,
      (Sim_Mul_Bet50!$A$2:$A$100=F$2) * (Sim_Mul_Bet50!$C$2:$C$100=$B42),0
   ),
   0
)</f>
        <v>0</v>
      </c>
      <c r="G42" s="184" cm="1">
        <f t="array" ref="G42">_xlfn.IFNA(
   _xlfn._xlws.FILTER(
      Sim_Mul_Bet50!$L$2:$L$100,
      (Sim_Mul_Bet50!$A$2:$A$100=G$2) * (Sim_Mul_Bet50!$C$2:$C$100=$B42),0
   ),
   0
)</f>
        <v>701.24174626006891</v>
      </c>
      <c r="H42" s="185" cm="1">
        <f t="array" ref="H42">_xlfn.IFNA(
   _xlfn._xlws.FILTER(
      Sim_Mul_Bet50!$L$2:$L$100,
      (Sim_Mul_Bet50!$A$2:$A$100=H$2) * (Sim_Mul_Bet50!$C$2:$C$100=$B42),0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3.4759999999999999E-4</v>
      </c>
      <c r="N42" s="189">
        <f t="shared" si="6"/>
        <v>701.24174626006891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Sim_Mul_Bet50!$F$2:$F$100,
      (Sim_Mul_Bet50!$A$2:$A$100=C$2) * (Sim_Mul_Bet50!$C$2:$C$100=$B43),0
   ),
   0
)</f>
        <v>0</v>
      </c>
      <c r="D43" s="181" cm="1">
        <f t="array" ref="D43">_xlfn.IFNA(
   _xlfn._xlws.FILTER(
      Sim_Mul_Bet50!$F$2:$F$100,
      (Sim_Mul_Bet50!$A$2:$A$100=D$2) * (Sim_Mul_Bet50!$C$2:$C$100=$B43),0
   ),
   0
)</f>
        <v>0</v>
      </c>
      <c r="E43" s="182" cm="1">
        <f t="array" ref="E43">_xlfn.IFNA(
   _xlfn._xlws.FILTER(
      Sim_Mul_Bet50!$F$2:$F$100,
      (Sim_Mul_Bet50!$A$2:$A$100=E$2) * (Sim_Mul_Bet50!$C$2:$C$100=$B43),0
   ),
   0
)</f>
        <v>0</v>
      </c>
      <c r="F43" s="183" cm="1">
        <f t="array" ref="F43">_xlfn.IFNA(
   _xlfn._xlws.FILTER(
      Sim_Mul_Bet50!$L$2:$L$100,
      (Sim_Mul_Bet50!$A$2:$A$100=F$2) * (Sim_Mul_Bet50!$C$2:$C$100=$B43),0
   ),
   0
)</f>
        <v>0</v>
      </c>
      <c r="G43" s="184" cm="1">
        <f t="array" ref="G43">_xlfn.IFNA(
   _xlfn._xlws.FILTER(
      Sim_Mul_Bet50!$L$2:$L$100,
      (Sim_Mul_Bet50!$A$2:$A$100=G$2) * (Sim_Mul_Bet50!$C$2:$C$100=$B43),0
   ),
   0
)</f>
        <v>0</v>
      </c>
      <c r="H43" s="185" cm="1">
        <f t="array" ref="H43">_xlfn.IFNA(
   _xlfn._xlws.FILTER(
      Sim_Mul_Bet50!$L$2:$L$100,
      (Sim_Mul_Bet50!$A$2:$A$100=H$2) * (Sim_Mul_Bet50!$C$2:$C$100=$B43),0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Sim_Mul_Bet50!$F$2:$F$100,
      (Sim_Mul_Bet50!$A$2:$A$100=C$2) * (Sim_Mul_Bet50!$C$2:$C$100=$B44),0
   ),
   0
)</f>
        <v>0</v>
      </c>
      <c r="D44" s="181" cm="1">
        <f t="array" ref="D44">_xlfn.IFNA(
   _xlfn._xlws.FILTER(
      Sim_Mul_Bet50!$F$2:$F$100,
      (Sim_Mul_Bet50!$A$2:$A$100=D$2) * (Sim_Mul_Bet50!$C$2:$C$100=$B44),0
   ),
   0
)</f>
        <v>0</v>
      </c>
      <c r="E44" s="182" cm="1">
        <f t="array" ref="E44">_xlfn.IFNA(
   _xlfn._xlws.FILTER(
      Sim_Mul_Bet50!$F$2:$F$100,
      (Sim_Mul_Bet50!$A$2:$A$100=E$2) * (Sim_Mul_Bet50!$C$2:$C$100=$B44),0
   ),
   0
)</f>
        <v>0</v>
      </c>
      <c r="F44" s="183" cm="1">
        <f t="array" ref="F44">_xlfn.IFNA(
   _xlfn._xlws.FILTER(
      Sim_Mul_Bet50!$L$2:$L$100,
      (Sim_Mul_Bet50!$A$2:$A$100=F$2) * (Sim_Mul_Bet50!$C$2:$C$100=$B44),0
   ),
   0
)</f>
        <v>0</v>
      </c>
      <c r="G44" s="184" cm="1">
        <f t="array" ref="G44">_xlfn.IFNA(
   _xlfn._xlws.FILTER(
      Sim_Mul_Bet50!$L$2:$L$100,
      (Sim_Mul_Bet50!$A$2:$A$100=G$2) * (Sim_Mul_Bet50!$C$2:$C$100=$B44),0
   ),
   0
)</f>
        <v>0</v>
      </c>
      <c r="H44" s="185" cm="1">
        <f t="array" ref="H44">_xlfn.IFNA(
   _xlfn._xlws.FILTER(
      Sim_Mul_Bet50!$L$2:$L$100,
      (Sim_Mul_Bet50!$A$2:$A$100=H$2) * (Sim_Mul_Bet50!$C$2:$C$100=$B44),0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Sim_Mul_Bet50!$F$2:$F$100,
      (Sim_Mul_Bet50!$A$2:$A$100=C$2) * (Sim_Mul_Bet50!$C$2:$C$100=$B45),0
   ),
   0
)</f>
        <v>0</v>
      </c>
      <c r="D45" s="181" cm="1">
        <f t="array" ref="D45">_xlfn.IFNA(
   _xlfn._xlws.FILTER(
      Sim_Mul_Bet50!$F$2:$F$100,
      (Sim_Mul_Bet50!$A$2:$A$100=D$2) * (Sim_Mul_Bet50!$C$2:$C$100=$B45),0
   ),
   0
)</f>
        <v>0</v>
      </c>
      <c r="E45" s="182" cm="1">
        <f t="array" ref="E45">_xlfn.IFNA(
   _xlfn._xlws.FILTER(
      Sim_Mul_Bet50!$F$2:$F$100,
      (Sim_Mul_Bet50!$A$2:$A$100=E$2) * (Sim_Mul_Bet50!$C$2:$C$100=$B45),0
   ),
   0
)</f>
        <v>0</v>
      </c>
      <c r="F45" s="183" cm="1">
        <f t="array" ref="F45">_xlfn.IFNA(
   _xlfn._xlws.FILTER(
      Sim_Mul_Bet50!$L$2:$L$100,
      (Sim_Mul_Bet50!$A$2:$A$100=F$2) * (Sim_Mul_Bet50!$C$2:$C$100=$B45),0
   ),
   0
)</f>
        <v>0</v>
      </c>
      <c r="G45" s="184" cm="1">
        <f t="array" ref="G45">_xlfn.IFNA(
   _xlfn._xlws.FILTER(
      Sim_Mul_Bet50!$L$2:$L$100,
      (Sim_Mul_Bet50!$A$2:$A$100=G$2) * (Sim_Mul_Bet50!$C$2:$C$100=$B45),0
   ),
   0
)</f>
        <v>0</v>
      </c>
      <c r="H45" s="185" cm="1">
        <f t="array" ref="H45">_xlfn.IFNA(
   _xlfn._xlws.FILTER(
      Sim_Mul_Bet50!$L$2:$L$100,
      (Sim_Mul_Bet50!$A$2:$A$100=H$2) * (Sim_Mul_Bet50!$C$2:$C$100=$B45),0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Sim_Mul_Bet50!$F$2:$F$100,
      (Sim_Mul_Bet50!$A$2:$A$100=C$2) * (Sim_Mul_Bet50!$C$2:$C$100=$B46),0
   ),
   0
)</f>
        <v>0</v>
      </c>
      <c r="D46" s="181" cm="1">
        <f t="array" ref="D46">_xlfn.IFNA(
   _xlfn._xlws.FILTER(
      Sim_Mul_Bet50!$F$2:$F$100,
      (Sim_Mul_Bet50!$A$2:$A$100=D$2) * (Sim_Mul_Bet50!$C$2:$C$100=$B46),0
   ),
   0
)</f>
        <v>0</v>
      </c>
      <c r="E46" s="182" cm="1">
        <f t="array" ref="E46">_xlfn.IFNA(
   _xlfn._xlws.FILTER(
      Sim_Mul_Bet50!$F$2:$F$100,
      (Sim_Mul_Bet50!$A$2:$A$100=E$2) * (Sim_Mul_Bet50!$C$2:$C$100=$B46),0
   ),
   0
)</f>
        <v>0</v>
      </c>
      <c r="F46" s="183" cm="1">
        <f t="array" ref="F46">_xlfn.IFNA(
   _xlfn._xlws.FILTER(
      Sim_Mul_Bet50!$L$2:$L$100,
      (Sim_Mul_Bet50!$A$2:$A$100=F$2) * (Sim_Mul_Bet50!$C$2:$C$100=$B46),0
   ),
   0
)</f>
        <v>0</v>
      </c>
      <c r="G46" s="184" cm="1">
        <f t="array" ref="G46">_xlfn.IFNA(
   _xlfn._xlws.FILTER(
      Sim_Mul_Bet50!$L$2:$L$100,
      (Sim_Mul_Bet50!$A$2:$A$100=G$2) * (Sim_Mul_Bet50!$C$2:$C$100=$B46),0
   ),
   0
)</f>
        <v>0</v>
      </c>
      <c r="H46" s="185" cm="1">
        <f t="array" ref="H46">_xlfn.IFNA(
   _xlfn._xlws.FILTER(
      Sim_Mul_Bet50!$L$2:$L$100,
      (Sim_Mul_Bet50!$A$2:$A$100=H$2) * (Sim_Mul_Bet50!$C$2:$C$100=$B46),0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Sim_Mul_Bet50!$F$2:$F$100,
      (Sim_Mul_Bet50!$A$2:$A$100=C$2) * (Sim_Mul_Bet50!$C$2:$C$100=$B47),0
   ),
   0
)</f>
        <v>0</v>
      </c>
      <c r="D47" s="181" cm="1">
        <f t="array" ref="D47">_xlfn.IFNA(
   _xlfn._xlws.FILTER(
      Sim_Mul_Bet50!$F$2:$F$100,
      (Sim_Mul_Bet50!$A$2:$A$100=D$2) * (Sim_Mul_Bet50!$C$2:$C$100=$B47),0
   ),
   0
)</f>
        <v>6.9324299999999998E-3</v>
      </c>
      <c r="E47" s="182" cm="1">
        <f t="array" ref="E47">_xlfn.IFNA(
   _xlfn._xlws.FILTER(
      Sim_Mul_Bet50!$F$2:$F$100,
      (Sim_Mul_Bet50!$A$2:$A$100=E$2) * (Sim_Mul_Bet50!$C$2:$C$100=$B47),0
   ),
   0
)</f>
        <v>0</v>
      </c>
      <c r="F47" s="183" cm="1">
        <f t="array" ref="F47">_xlfn.IFNA(
   _xlfn._xlws.FILTER(
      Sim_Mul_Bet50!$L$2:$L$100,
      (Sim_Mul_Bet50!$A$2:$A$100=F$2) * (Sim_Mul_Bet50!$C$2:$C$100=$B47),0
   ),
   0
)</f>
        <v>0</v>
      </c>
      <c r="G47" s="184" cm="1">
        <f t="array" ref="G47">_xlfn.IFNA(
   _xlfn._xlws.FILTER(
      Sim_Mul_Bet50!$L$2:$L$100,
      (Sim_Mul_Bet50!$A$2:$A$100=G$2) * (Sim_Mul_Bet50!$C$2:$C$100=$B47),0
   ),
   0
)</f>
        <v>1000</v>
      </c>
      <c r="H47" s="185" cm="1">
        <f t="array" ref="H47">_xlfn.IFNA(
   _xlfn._xlws.FILTER(
      Sim_Mul_Bet50!$L$2:$L$100,
      (Sim_Mul_Bet50!$A$2:$A$100=H$2) * (Sim_Mul_Bet50!$C$2:$C$100=$B47),0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6.9324299999999998E-3</v>
      </c>
      <c r="N47" s="189">
        <f t="shared" si="6"/>
        <v>1000</v>
      </c>
      <c r="O47" s="190">
        <f t="shared" si="7"/>
        <v>1.5E-6</v>
      </c>
      <c r="P47" s="190">
        <v>9.9999999999999995E-7</v>
      </c>
      <c r="Q47" s="190">
        <v>0</v>
      </c>
      <c r="R47" s="191">
        <f t="shared" si="0"/>
        <v>1.5E-3</v>
      </c>
      <c r="T47" s="192">
        <f t="shared" si="2"/>
        <v>2</v>
      </c>
      <c r="U47" s="176">
        <v>1.9999999999999999E-6</v>
      </c>
      <c r="V47" s="195">
        <f t="shared" si="3"/>
        <v>1.3333333333333333E-3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Sim_Mul_Bet50!$F$2:$F$100,
      (Sim_Mul_Bet50!$A$2:$A$100=C$2) * (Sim_Mul_Bet50!$C$2:$C$100=$B48),0
   ),
   0
)</f>
        <v>0</v>
      </c>
      <c r="D48" s="181" cm="1">
        <f t="array" ref="D48">_xlfn.IFNA(
   _xlfn._xlws.FILTER(
      Sim_Mul_Bet50!$F$2:$F$100,
      (Sim_Mul_Bet50!$A$2:$A$100=D$2) * (Sim_Mul_Bet50!$C$2:$C$100=$B48),0
   ),
   0
)</f>
        <v>2.526987E-2</v>
      </c>
      <c r="E48" s="182" cm="1">
        <f t="array" ref="E48">_xlfn.IFNA(
   _xlfn._xlws.FILTER(
      Sim_Mul_Bet50!$F$2:$F$100,
      (Sim_Mul_Bet50!$A$2:$A$100=E$2) * (Sim_Mul_Bet50!$C$2:$C$100=$B48),0
   ),
   0
)</f>
        <v>0</v>
      </c>
      <c r="F48" s="183" cm="1">
        <f t="array" ref="F48">_xlfn.IFNA(
   _xlfn._xlws.FILTER(
      Sim_Mul_Bet50!$L$2:$L$100,
      (Sim_Mul_Bet50!$A$2:$A$100=F$2) * (Sim_Mul_Bet50!$C$2:$C$100=$B48),0
   ),
   0
)</f>
        <v>0</v>
      </c>
      <c r="G48" s="184" cm="1">
        <f t="array" ref="G48">_xlfn.IFNA(
   _xlfn._xlws.FILTER(
      Sim_Mul_Bet50!$L$2:$L$100,
      (Sim_Mul_Bet50!$A$2:$A$100=G$2) * (Sim_Mul_Bet50!$C$2:$C$100=$B48),0
   ),
   0
)</f>
        <v>1030.9546677208866</v>
      </c>
      <c r="H48" s="185" cm="1">
        <f t="array" ref="H48">_xlfn.IFNA(
   _xlfn._xlws.FILTER(
      Sim_Mul_Bet50!$L$2:$L$100,
      (Sim_Mul_Bet50!$A$2:$A$100=H$2) * (Sim_Mul_Bet50!$C$2:$C$100=$B48),0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2.526987E-2</v>
      </c>
      <c r="N48" s="189">
        <f t="shared" si="6"/>
        <v>1030.9546677208866</v>
      </c>
      <c r="O48" s="190">
        <f t="shared" si="7"/>
        <v>1.5E-6</v>
      </c>
      <c r="P48" s="190">
        <v>9.9999999999999995E-7</v>
      </c>
      <c r="Q48" s="190">
        <v>0</v>
      </c>
      <c r="R48" s="191">
        <f t="shared" si="0"/>
        <v>1.54643200158133E-3</v>
      </c>
      <c r="T48" s="192">
        <f t="shared" si="2"/>
        <v>2</v>
      </c>
      <c r="U48" s="176">
        <v>1.9999999999999999E-6</v>
      </c>
      <c r="V48" s="195">
        <f t="shared" si="3"/>
        <v>1.3746062236278487E-3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Sim_Mul_Bet50!$F$2:$F$100,
      (Sim_Mul_Bet50!$A$2:$A$100=C$2) * (Sim_Mul_Bet50!$C$2:$C$100=$B49),0
   ),
   0
)</f>
        <v>0</v>
      </c>
      <c r="D49" s="181" cm="1">
        <f t="array" ref="D49">_xlfn.IFNA(
   _xlfn._xlws.FILTER(
      Sim_Mul_Bet50!$F$2:$F$100,
      (Sim_Mul_Bet50!$A$2:$A$100=D$2) * (Sim_Mul_Bet50!$C$2:$C$100=$B49),0
   ),
   0
)</f>
        <v>2.7777000000000001E-3</v>
      </c>
      <c r="E49" s="182" cm="1">
        <f t="array" ref="E49">_xlfn.IFNA(
   _xlfn._xlws.FILTER(
      Sim_Mul_Bet50!$F$2:$F$100,
      (Sim_Mul_Bet50!$A$2:$A$100=E$2) * (Sim_Mul_Bet50!$C$2:$C$100=$B49),0
   ),
   0
)</f>
        <v>0</v>
      </c>
      <c r="F49" s="183" cm="1">
        <f t="array" ref="F49">_xlfn.IFNA(
   _xlfn._xlws.FILTER(
      Sim_Mul_Bet50!$L$2:$L$100,
      (Sim_Mul_Bet50!$A$2:$A$100=F$2) * (Sim_Mul_Bet50!$C$2:$C$100=$B49),0
   ),
   0
)</f>
        <v>0</v>
      </c>
      <c r="G49" s="184" cm="1">
        <f t="array" ref="G49">_xlfn.IFNA(
   _xlfn._xlws.FILTER(
      Sim_Mul_Bet50!$L$2:$L$100,
      (Sim_Mul_Bet50!$A$2:$A$100=G$2) * (Sim_Mul_Bet50!$C$2:$C$100=$B49),0
   ),
   0
)</f>
        <v>2012.4712020736581</v>
      </c>
      <c r="H49" s="185" cm="1">
        <f t="array" ref="H49">_xlfn.IFNA(
   _xlfn._xlws.FILTER(
      Sim_Mul_Bet50!$L$2:$L$100,
      (Sim_Mul_Bet50!$A$2:$A$100=H$2) * (Sim_Mul_Bet50!$C$2:$C$100=$B49),0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2.7777000000000001E-3</v>
      </c>
      <c r="N49" s="189">
        <f t="shared" si="6"/>
        <v>2012.4712020736581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Sim_Mul_Bet50!$F$2:$F$100,
      (Sim_Mul_Bet50!$A$2:$A$100=C$2) * (Sim_Mul_Bet50!$C$2:$C$100=$B50),0
   ),
   0
)</f>
        <v>0</v>
      </c>
      <c r="D50" s="181" cm="1">
        <f t="array" ref="D50">_xlfn.IFNA(
   _xlfn._xlws.FILTER(
      Sim_Mul_Bet50!$F$2:$F$100,
      (Sim_Mul_Bet50!$A$2:$A$100=D$2) * (Sim_Mul_Bet50!$C$2:$C$100=$B50),0
   ),
   0
)</f>
        <v>0</v>
      </c>
      <c r="E50" s="182" cm="1">
        <f t="array" ref="E50">_xlfn.IFNA(
   _xlfn._xlws.FILTER(
      Sim_Mul_Bet50!$F$2:$F$100,
      (Sim_Mul_Bet50!$A$2:$A$100=E$2) * (Sim_Mul_Bet50!$C$2:$C$100=$B50),0
   ),
   0
)</f>
        <v>0</v>
      </c>
      <c r="F50" s="183" cm="1">
        <f t="array" ref="F50">_xlfn.IFNA(
   _xlfn._xlws.FILTER(
      Sim_Mul_Bet50!$L$2:$L$100,
      (Sim_Mul_Bet50!$A$2:$A$100=F$2) * (Sim_Mul_Bet50!$C$2:$C$100=$B50),0
   ),
   0
)</f>
        <v>0</v>
      </c>
      <c r="G50" s="184" cm="1">
        <f t="array" ref="G50">_xlfn.IFNA(
   _xlfn._xlws.FILTER(
      Sim_Mul_Bet50!$L$2:$L$100,
      (Sim_Mul_Bet50!$A$2:$A$100=G$2) * (Sim_Mul_Bet50!$C$2:$C$100=$B50),0
   ),
   0
)</f>
        <v>0</v>
      </c>
      <c r="H50" s="185" cm="1">
        <f t="array" ref="H50">_xlfn.IFNA(
   _xlfn._xlws.FILTER(
      Sim_Mul_Bet50!$L$2:$L$100,
      (Sim_Mul_Bet50!$A$2:$A$100=H$2) * (Sim_Mul_Bet50!$C$2:$C$100=$B50),0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Sim_Mul_Bet50!$F$2:$F$100,
      (Sim_Mul_Bet50!$A$2:$A$100=C$2) * (Sim_Mul_Bet50!$C$2:$C$100=$B51),0
   ),
   0
)</f>
        <v>0</v>
      </c>
      <c r="D51" s="181" cm="1">
        <f t="array" ref="D51">_xlfn.IFNA(
   _xlfn._xlws.FILTER(
      Sim_Mul_Bet50!$F$2:$F$100,
      (Sim_Mul_Bet50!$A$2:$A$100=D$2) * (Sim_Mul_Bet50!$C$2:$C$100=$B51),0
   ),
   0
)</f>
        <v>0</v>
      </c>
      <c r="E51" s="182" cm="1">
        <f t="array" ref="E51">_xlfn.IFNA(
   _xlfn._xlws.FILTER(
      Sim_Mul_Bet50!$F$2:$F$100,
      (Sim_Mul_Bet50!$A$2:$A$100=E$2) * (Sim_Mul_Bet50!$C$2:$C$100=$B51),0
   ),
   0
)</f>
        <v>0</v>
      </c>
      <c r="F51" s="183" cm="1">
        <f t="array" ref="F51">_xlfn.IFNA(
   _xlfn._xlws.FILTER(
      Sim_Mul_Bet50!$L$2:$L$100,
      (Sim_Mul_Bet50!$A$2:$A$100=F$2) * (Sim_Mul_Bet50!$C$2:$C$100=$B51),0
   ),
   0
)</f>
        <v>0</v>
      </c>
      <c r="G51" s="184" cm="1">
        <f t="array" ref="G51">_xlfn.IFNA(
   _xlfn._xlws.FILTER(
      Sim_Mul_Bet50!$L$2:$L$100,
      (Sim_Mul_Bet50!$A$2:$A$100=G$2) * (Sim_Mul_Bet50!$C$2:$C$100=$B51),0
   ),
   0
)</f>
        <v>0</v>
      </c>
      <c r="H51" s="185" cm="1">
        <f t="array" ref="H51">_xlfn.IFNA(
   _xlfn._xlws.FILTER(
      Sim_Mul_Bet50!$L$2:$L$100,
      (Sim_Mul_Bet50!$A$2:$A$100=H$2) * (Sim_Mul_Bet50!$C$2:$C$100=$B51),0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Sim_Mul_Bet50!$F$2:$F$100,
      (Sim_Mul_Bet50!$A$2:$A$100=C$2) * (Sim_Mul_Bet50!$C$2:$C$100=$B52),0
   ),
   0
)</f>
        <v>0</v>
      </c>
      <c r="D52" s="181" cm="1">
        <f t="array" ref="D52">_xlfn.IFNA(
   _xlfn._xlws.FILTER(
      Sim_Mul_Bet50!$F$2:$F$100,
      (Sim_Mul_Bet50!$A$2:$A$100=D$2) * (Sim_Mul_Bet50!$C$2:$C$100=$B52),0
   ),
   0
)</f>
        <v>0</v>
      </c>
      <c r="E52" s="182" cm="1">
        <f t="array" ref="E52">_xlfn.IFNA(
   _xlfn._xlws.FILTER(
      Sim_Mul_Bet50!$F$2:$F$100,
      (Sim_Mul_Bet50!$A$2:$A$100=E$2) * (Sim_Mul_Bet50!$C$2:$C$100=$B52),0
   ),
   0
)</f>
        <v>0</v>
      </c>
      <c r="F52" s="183" cm="1">
        <f t="array" ref="F52">_xlfn.IFNA(
   _xlfn._xlws.FILTER(
      Sim_Mul_Bet50!$L$2:$L$100,
      (Sim_Mul_Bet50!$A$2:$A$100=F$2) * (Sim_Mul_Bet50!$C$2:$C$100=$B52),0
   ),
   0
)</f>
        <v>0</v>
      </c>
      <c r="G52" s="184" cm="1">
        <f t="array" ref="G52">_xlfn.IFNA(
   _xlfn._xlws.FILTER(
      Sim_Mul_Bet50!$L$2:$L$100,
      (Sim_Mul_Bet50!$A$2:$A$100=G$2) * (Sim_Mul_Bet50!$C$2:$C$100=$B52),0
   ),
   0
)</f>
        <v>0</v>
      </c>
      <c r="H52" s="185" cm="1">
        <f t="array" ref="H52">_xlfn.IFNA(
   _xlfn._xlws.FILTER(
      Sim_Mul_Bet50!$L$2:$L$100,
      (Sim_Mul_Bet50!$A$2:$A$100=H$2) * (Sim_Mul_Bet50!$C$2:$C$100=$B52),0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Sim_Mul_Bet50!$F$2:$F$100,
      (Sim_Mul_Bet50!$A$2:$A$100=C$2) * (Sim_Mul_Bet50!$C$2:$C$100=$B53),0
   ),
   0
)</f>
        <v>0</v>
      </c>
      <c r="D53" s="181" cm="1">
        <f t="array" ref="D53">_xlfn.IFNA(
   _xlfn._xlws.FILTER(
      Sim_Mul_Bet50!$F$2:$F$100,
      (Sim_Mul_Bet50!$A$2:$A$100=D$2) * (Sim_Mul_Bet50!$C$2:$C$100=$B53),0
   ),
   0
)</f>
        <v>0</v>
      </c>
      <c r="E53" s="182" cm="1">
        <f t="array" ref="E53">_xlfn.IFNA(
   _xlfn._xlws.FILTER(
      Sim_Mul_Bet50!$F$2:$F$100,
      (Sim_Mul_Bet50!$A$2:$A$100=E$2) * (Sim_Mul_Bet50!$C$2:$C$100=$B53),0
   ),
   0
)</f>
        <v>0</v>
      </c>
      <c r="F53" s="183" cm="1">
        <f t="array" ref="F53">_xlfn.IFNA(
   _xlfn._xlws.FILTER(
      Sim_Mul_Bet50!$L$2:$L$100,
      (Sim_Mul_Bet50!$A$2:$A$100=F$2) * (Sim_Mul_Bet50!$C$2:$C$100=$B53),0
   ),
   0
)</f>
        <v>0</v>
      </c>
      <c r="G53" s="184" cm="1">
        <f t="array" ref="G53">_xlfn.IFNA(
   _xlfn._xlws.FILTER(
      Sim_Mul_Bet50!$L$2:$L$100,
      (Sim_Mul_Bet50!$A$2:$A$100=G$2) * (Sim_Mul_Bet50!$C$2:$C$100=$B53),0
   ),
   0
)</f>
        <v>0</v>
      </c>
      <c r="H53" s="185" cm="1">
        <f t="array" ref="H53">_xlfn.IFNA(
   _xlfn._xlws.FILTER(
      Sim_Mul_Bet50!$L$2:$L$100,
      (Sim_Mul_Bet50!$A$2:$A$100=H$2) * (Sim_Mul_Bet50!$C$2:$C$100=$B53),0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Sim_Mul_Bet50!$F$2:$F$100,
      (Sim_Mul_Bet50!$A$2:$A$100=C$2) * (Sim_Mul_Bet50!$C$2:$C$100=$B54),0
   ),
   0
)</f>
        <v>0</v>
      </c>
      <c r="D54" s="198" cm="1">
        <f t="array" ref="D54">_xlfn.IFNA(
   _xlfn._xlws.FILTER(
      Sim_Mul_Bet50!$F$2:$F$100,
      (Sim_Mul_Bet50!$A$2:$A$100=D$2) * (Sim_Mul_Bet50!$C$2:$C$100=$B54),0
   ),
   0
)</f>
        <v>0</v>
      </c>
      <c r="E54" s="199" cm="1">
        <f t="array" ref="E54">_xlfn.IFNA(
   _xlfn._xlws.FILTER(
      Sim_Mul_Bet50!$F$2:$F$100,
      (Sim_Mul_Bet50!$A$2:$A$100=E$2) * (Sim_Mul_Bet50!$C$2:$C$100=$B54),0
   ),
   0
)</f>
        <v>0</v>
      </c>
      <c r="F54" s="200" cm="1">
        <f t="array" ref="F54">_xlfn.IFNA(
   _xlfn._xlws.FILTER(
      Sim_Mul_Bet50!$L$2:$L$100,
      (Sim_Mul_Bet50!$A$2:$A$100=F$2) * (Sim_Mul_Bet50!$C$2:$C$100=$B54),0
   ),
   0
)</f>
        <v>0</v>
      </c>
      <c r="G54" s="201" cm="1">
        <f t="array" ref="G54">_xlfn.IFNA(
   _xlfn._xlws.FILTER(
      Sim_Mul_Bet50!$L$2:$L$100,
      (Sim_Mul_Bet50!$A$2:$A$100=G$2) * (Sim_Mul_Bet50!$C$2:$C$100=$B54),0
   ),
   0
)</f>
        <v>0</v>
      </c>
      <c r="H54" s="202" cm="1">
        <f t="array" ref="H54">_xlfn.IFNA(
   _xlfn._xlws.FILTER(
      Sim_Mul_Bet50!$L$2:$L$100,
      (Sim_Mul_Bet50!$A$2:$A$100=H$2) * (Sim_Mul_Bet50!$C$2:$C$100=$B54),0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1485" priority="40" operator="equal">
      <formula>0</formula>
    </cfRule>
  </conditionalFormatting>
  <conditionalFormatting sqref="T1:T1048576 O55:Q1048576 O1:Q2">
    <cfRule type="cellIs" dxfId="1484" priority="41" operator="equal">
      <formula>0</formula>
    </cfRule>
  </conditionalFormatting>
  <conditionalFormatting sqref="O3:P3">
    <cfRule type="cellIs" dxfId="1483" priority="37" operator="equal">
      <formula>0</formula>
    </cfRule>
  </conditionalFormatting>
  <conditionalFormatting sqref="Q3">
    <cfRule type="cellIs" dxfId="1482" priority="36" operator="equal">
      <formula>0</formula>
    </cfRule>
  </conditionalFormatting>
  <conditionalFormatting sqref="O4:O54">
    <cfRule type="cellIs" dxfId="1481" priority="35" operator="equal">
      <formula>0</formula>
    </cfRule>
  </conditionalFormatting>
  <conditionalFormatting sqref="M1:M1048576">
    <cfRule type="cellIs" dxfId="1480" priority="38" operator="lessThan">
      <formula>0.001</formula>
    </cfRule>
  </conditionalFormatting>
  <conditionalFormatting sqref="C4:E54 C3:D3">
    <cfRule type="cellIs" dxfId="1479" priority="34" operator="equal">
      <formula>0</formula>
    </cfRule>
  </conditionalFormatting>
  <conditionalFormatting sqref="F4:H54 F3:G3">
    <cfRule type="cellIs" dxfId="1478" priority="33" operator="equal">
      <formula>0</formula>
    </cfRule>
  </conditionalFormatting>
  <conditionalFormatting sqref="AD1:AD1048576 Y1:Y2 Y55:Y1048576 AA55:AA1048576 AA1:AA2">
    <cfRule type="cellIs" dxfId="1477" priority="12" operator="equal">
      <formula>0</formula>
    </cfRule>
  </conditionalFormatting>
  <conditionalFormatting sqref="Y3:Y54">
    <cfRule type="cellIs" dxfId="1476" priority="11" operator="equal">
      <formula>0</formula>
    </cfRule>
  </conditionalFormatting>
  <conditionalFormatting sqref="AA3">
    <cfRule type="cellIs" dxfId="1475" priority="10" operator="equal">
      <formula>0</formula>
    </cfRule>
  </conditionalFormatting>
  <conditionalFormatting sqref="Z1:Z2 Z55:Z1048576">
    <cfRule type="cellIs" dxfId="1474" priority="9" operator="equal">
      <formula>0</formula>
    </cfRule>
  </conditionalFormatting>
  <conditionalFormatting sqref="Z3">
    <cfRule type="cellIs" dxfId="1473" priority="8" operator="equal">
      <formula>0</formula>
    </cfRule>
  </conditionalFormatting>
  <conditionalFormatting sqref="AA4:AA54">
    <cfRule type="cellIs" dxfId="1472" priority="4" operator="equal">
      <formula>0</formula>
    </cfRule>
  </conditionalFormatting>
  <conditionalFormatting sqref="Z4:Z54">
    <cfRule type="cellIs" dxfId="1471" priority="3" operator="equal">
      <formula>0</formula>
    </cfRule>
  </conditionalFormatting>
  <conditionalFormatting sqref="Q4:Q54">
    <cfRule type="cellIs" dxfId="1470" priority="2" operator="equal">
      <formula>0</formula>
    </cfRule>
  </conditionalFormatting>
  <conditionalFormatting sqref="P4:P54">
    <cfRule type="cellIs" dxfId="1469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48E1-7C8A-4858-A77E-D4281880C6F5}">
  <dimension ref="A1:AC69"/>
  <sheetViews>
    <sheetView workbookViewId="0"/>
  </sheetViews>
  <sheetFormatPr defaultRowHeight="16.2"/>
  <sheetData>
    <row r="1" spans="1:29">
      <c r="L1">
        <v>50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70458379</v>
      </c>
      <c r="F2" cm="1">
        <f t="array" ref="F2:F28">E2:E28/SUM(E2:E28)</f>
        <v>0.70458379000000004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6262314</v>
      </c>
      <c r="F3">
        <v>6.2623139999999994E-2</v>
      </c>
      <c r="H3" t="s">
        <v>157</v>
      </c>
      <c r="I3" t="s">
        <v>156</v>
      </c>
      <c r="J3">
        <v>31311570000</v>
      </c>
      <c r="L3">
        <f>J3/E3/$L$1/100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1302369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9367696</v>
      </c>
      <c r="F4">
        <v>9.3676960000000004E-2</v>
      </c>
      <c r="H4" t="s">
        <v>157</v>
      </c>
      <c r="I4" t="s">
        <v>156</v>
      </c>
      <c r="J4">
        <v>85282518700</v>
      </c>
      <c r="L4">
        <f t="shared" ref="L4:L28" si="0">J4/E4/$L$1/100</f>
        <v>1.8207789556791767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8824191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6505690</v>
      </c>
      <c r="F5">
        <v>6.5056900000000001E-2</v>
      </c>
      <c r="H5" t="s">
        <v>157</v>
      </c>
      <c r="I5" t="s">
        <v>156</v>
      </c>
      <c r="J5">
        <v>68578113200</v>
      </c>
      <c r="L5">
        <f t="shared" si="0"/>
        <v>2.1082502609254359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6479696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3</v>
      </c>
      <c r="D6" t="s">
        <v>156</v>
      </c>
      <c r="E6">
        <v>892867</v>
      </c>
      <c r="F6">
        <v>8.9286699999999997E-3</v>
      </c>
      <c r="H6" t="s">
        <v>157</v>
      </c>
      <c r="I6" t="s">
        <v>156</v>
      </c>
      <c r="J6">
        <v>17566458800</v>
      </c>
      <c r="L6">
        <f t="shared" si="0"/>
        <v>3.9348433305296311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>
        <v>252349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4</v>
      </c>
      <c r="D7" t="s">
        <v>156</v>
      </c>
      <c r="E7">
        <v>1325648</v>
      </c>
      <c r="F7">
        <v>1.3256479999999999E-2</v>
      </c>
      <c r="H7" t="s">
        <v>157</v>
      </c>
      <c r="I7" t="s">
        <v>156</v>
      </c>
      <c r="J7">
        <v>32451352200</v>
      </c>
      <c r="L7">
        <f t="shared" si="0"/>
        <v>4.8959229297671776</v>
      </c>
      <c r="O7" t="s">
        <v>158</v>
      </c>
      <c r="P7" t="s">
        <v>156</v>
      </c>
      <c r="Q7" t="s">
        <v>159</v>
      </c>
      <c r="R7" t="s">
        <v>160</v>
      </c>
      <c r="S7" t="s">
        <v>156</v>
      </c>
      <c r="T7">
        <v>44283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5</v>
      </c>
      <c r="D8" t="s">
        <v>156</v>
      </c>
      <c r="E8">
        <v>137543</v>
      </c>
      <c r="F8">
        <v>1.37543E-3</v>
      </c>
      <c r="H8" t="s">
        <v>157</v>
      </c>
      <c r="I8" t="s">
        <v>156</v>
      </c>
      <c r="J8">
        <v>3693267500</v>
      </c>
      <c r="L8">
        <f t="shared" si="0"/>
        <v>5.3703460008869959</v>
      </c>
      <c r="O8" t="s">
        <v>158</v>
      </c>
      <c r="P8" t="s">
        <v>156</v>
      </c>
      <c r="Q8" t="s">
        <v>159</v>
      </c>
      <c r="R8" t="s">
        <v>160</v>
      </c>
      <c r="S8" t="s">
        <v>156</v>
      </c>
      <c r="T8">
        <v>757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6</v>
      </c>
      <c r="D9" t="s">
        <v>156</v>
      </c>
      <c r="E9">
        <v>1879</v>
      </c>
      <c r="F9">
        <v>1.8790000000000001E-5</v>
      </c>
      <c r="H9" t="s">
        <v>157</v>
      </c>
      <c r="I9" t="s">
        <v>156</v>
      </c>
      <c r="J9">
        <v>57528900</v>
      </c>
      <c r="L9">
        <f t="shared" si="0"/>
        <v>6.1233528472591798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>
        <v>1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9</v>
      </c>
      <c r="D10" t="s">
        <v>156</v>
      </c>
      <c r="E10">
        <v>1554148</v>
      </c>
      <c r="F10">
        <v>1.554148E-2</v>
      </c>
      <c r="H10" t="s">
        <v>157</v>
      </c>
      <c r="I10" t="s">
        <v>156</v>
      </c>
      <c r="J10">
        <v>77707400000</v>
      </c>
      <c r="L10">
        <f t="shared" si="0"/>
        <v>10</v>
      </c>
      <c r="O10" t="s">
        <v>158</v>
      </c>
      <c r="P10" t="s">
        <v>156</v>
      </c>
      <c r="Q10">
        <v>1089325</v>
      </c>
      <c r="R10" t="s">
        <v>160</v>
      </c>
      <c r="S10" t="s">
        <v>156</v>
      </c>
      <c r="T10">
        <v>372926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10</v>
      </c>
      <c r="D11" t="s">
        <v>156</v>
      </c>
      <c r="E11">
        <v>1102543</v>
      </c>
      <c r="F11">
        <v>1.1025429999999999E-2</v>
      </c>
      <c r="H11" t="s">
        <v>157</v>
      </c>
      <c r="I11" t="s">
        <v>156</v>
      </c>
      <c r="J11">
        <v>58077929700</v>
      </c>
      <c r="L11">
        <f t="shared" si="0"/>
        <v>10.535267957803006</v>
      </c>
      <c r="O11" t="s">
        <v>158</v>
      </c>
      <c r="P11" t="s">
        <v>156</v>
      </c>
      <c r="Q11">
        <v>225277</v>
      </c>
      <c r="R11" t="s">
        <v>160</v>
      </c>
      <c r="S11" t="s">
        <v>156</v>
      </c>
      <c r="T11">
        <v>861522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15</v>
      </c>
      <c r="D12" t="s">
        <v>156</v>
      </c>
      <c r="E12">
        <v>1485891</v>
      </c>
      <c r="F12">
        <v>1.4858909999999999E-2</v>
      </c>
      <c r="H12" t="s">
        <v>157</v>
      </c>
      <c r="I12" t="s">
        <v>156</v>
      </c>
      <c r="J12">
        <v>148585499500</v>
      </c>
      <c r="L12">
        <f t="shared" si="0"/>
        <v>19.999515374950114</v>
      </c>
      <c r="O12" t="s">
        <v>158</v>
      </c>
      <c r="P12" t="s">
        <v>156</v>
      </c>
      <c r="Q12">
        <v>910624</v>
      </c>
      <c r="R12" t="s">
        <v>160</v>
      </c>
      <c r="S12" t="s">
        <v>156</v>
      </c>
      <c r="T12">
        <v>74238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20</v>
      </c>
      <c r="D13" t="s">
        <v>156</v>
      </c>
      <c r="E13">
        <v>409116</v>
      </c>
      <c r="F13">
        <v>4.0911599999999999E-3</v>
      </c>
      <c r="H13" t="s">
        <v>157</v>
      </c>
      <c r="I13" t="s">
        <v>156</v>
      </c>
      <c r="J13">
        <v>41673123100</v>
      </c>
      <c r="L13">
        <f t="shared" si="0"/>
        <v>20.372277349211469</v>
      </c>
      <c r="O13" t="s">
        <v>158</v>
      </c>
      <c r="P13" t="s">
        <v>156</v>
      </c>
      <c r="Q13">
        <v>187785</v>
      </c>
      <c r="R13" t="s">
        <v>160</v>
      </c>
      <c r="S13" t="s">
        <v>156</v>
      </c>
      <c r="T13">
        <v>123564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25</v>
      </c>
      <c r="D14" t="s">
        <v>156</v>
      </c>
      <c r="E14">
        <v>188716</v>
      </c>
      <c r="F14">
        <v>1.8871599999999999E-3</v>
      </c>
      <c r="H14" t="s">
        <v>157</v>
      </c>
      <c r="I14" t="s">
        <v>156</v>
      </c>
      <c r="J14">
        <v>28307400000</v>
      </c>
      <c r="L14">
        <f t="shared" si="0"/>
        <v>30</v>
      </c>
      <c r="O14" t="s">
        <v>158</v>
      </c>
      <c r="P14" t="s">
        <v>156</v>
      </c>
      <c r="Q14">
        <v>184778</v>
      </c>
      <c r="R14" t="s">
        <v>160</v>
      </c>
      <c r="S14" t="s">
        <v>156</v>
      </c>
      <c r="T14">
        <v>3003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30</v>
      </c>
      <c r="D15" t="s">
        <v>156</v>
      </c>
      <c r="E15">
        <v>39726</v>
      </c>
      <c r="F15">
        <v>3.9725999999999997E-4</v>
      </c>
      <c r="H15" t="s">
        <v>157</v>
      </c>
      <c r="I15" t="s">
        <v>156</v>
      </c>
      <c r="J15">
        <v>6001733900</v>
      </c>
      <c r="L15">
        <f t="shared" si="0"/>
        <v>30.215646679756333</v>
      </c>
      <c r="O15" t="s">
        <v>158</v>
      </c>
      <c r="P15" t="s">
        <v>156</v>
      </c>
      <c r="Q15">
        <v>38461</v>
      </c>
      <c r="R15" t="s">
        <v>160</v>
      </c>
      <c r="S15" t="s">
        <v>156</v>
      </c>
      <c r="T15">
        <v>1133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35</v>
      </c>
      <c r="D16" t="s">
        <v>156</v>
      </c>
      <c r="E16">
        <v>44721</v>
      </c>
      <c r="F16">
        <v>4.4721000000000002E-4</v>
      </c>
      <c r="H16" t="s">
        <v>157</v>
      </c>
      <c r="I16" t="s">
        <v>156</v>
      </c>
      <c r="J16">
        <v>8944200000</v>
      </c>
      <c r="L16">
        <f t="shared" si="0"/>
        <v>40</v>
      </c>
      <c r="O16" t="s">
        <v>158</v>
      </c>
      <c r="P16" t="s">
        <v>156</v>
      </c>
      <c r="Q16">
        <v>905</v>
      </c>
      <c r="R16" t="s">
        <v>160</v>
      </c>
      <c r="S16" t="s">
        <v>156</v>
      </c>
      <c r="T16">
        <v>153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40</v>
      </c>
      <c r="D17" t="s">
        <v>156</v>
      </c>
      <c r="E17">
        <v>14059</v>
      </c>
      <c r="F17">
        <v>1.4059000000000001E-4</v>
      </c>
      <c r="H17" t="s">
        <v>157</v>
      </c>
      <c r="I17" t="s">
        <v>156</v>
      </c>
      <c r="J17">
        <v>2849184200</v>
      </c>
      <c r="L17">
        <f t="shared" si="0"/>
        <v>40.53181876378121</v>
      </c>
      <c r="O17" t="s">
        <v>158</v>
      </c>
      <c r="P17" t="s">
        <v>156</v>
      </c>
      <c r="Q17">
        <v>222</v>
      </c>
      <c r="R17" t="s">
        <v>160</v>
      </c>
      <c r="S17" t="s">
        <v>156</v>
      </c>
      <c r="T17">
        <v>90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45</v>
      </c>
      <c r="D18" t="s">
        <v>156</v>
      </c>
      <c r="E18">
        <v>110588</v>
      </c>
      <c r="F18">
        <v>1.1058800000000001E-3</v>
      </c>
      <c r="H18" t="s">
        <v>157</v>
      </c>
      <c r="I18" t="s">
        <v>156</v>
      </c>
      <c r="J18">
        <v>27647000000</v>
      </c>
      <c r="L18">
        <f t="shared" si="0"/>
        <v>50</v>
      </c>
      <c r="O18" t="s">
        <v>158</v>
      </c>
      <c r="P18" t="s">
        <v>156</v>
      </c>
      <c r="Q18">
        <v>72235</v>
      </c>
      <c r="R18" t="s">
        <v>160</v>
      </c>
      <c r="S18" t="s">
        <v>156</v>
      </c>
      <c r="T18" t="s">
        <v>159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50</v>
      </c>
      <c r="D19" t="s">
        <v>156</v>
      </c>
      <c r="E19">
        <v>22944</v>
      </c>
      <c r="F19">
        <v>2.2944E-4</v>
      </c>
      <c r="H19" t="s">
        <v>157</v>
      </c>
      <c r="I19" t="s">
        <v>156</v>
      </c>
      <c r="J19">
        <v>5802923300</v>
      </c>
      <c r="L19">
        <f t="shared" si="0"/>
        <v>50.583362099023709</v>
      </c>
      <c r="O19" t="s">
        <v>158</v>
      </c>
      <c r="P19" t="s">
        <v>156</v>
      </c>
      <c r="Q19">
        <v>15273</v>
      </c>
      <c r="R19" t="s">
        <v>160</v>
      </c>
      <c r="S19" t="s">
        <v>156</v>
      </c>
      <c r="T19" t="s">
        <v>159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60</v>
      </c>
      <c r="D20" t="s">
        <v>156</v>
      </c>
      <c r="E20">
        <v>73</v>
      </c>
      <c r="F20">
        <v>7.3E-7</v>
      </c>
      <c r="H20" t="s">
        <v>157</v>
      </c>
      <c r="I20" t="s">
        <v>156</v>
      </c>
      <c r="J20">
        <v>23057300</v>
      </c>
      <c r="L20">
        <f t="shared" si="0"/>
        <v>63.170684931506848</v>
      </c>
      <c r="O20" t="s">
        <v>158</v>
      </c>
      <c r="P20" t="s">
        <v>156</v>
      </c>
      <c r="Q20">
        <v>73</v>
      </c>
      <c r="R20" t="s">
        <v>160</v>
      </c>
      <c r="S20" t="s">
        <v>156</v>
      </c>
      <c r="T20" t="s">
        <v>159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70</v>
      </c>
      <c r="D21" t="s">
        <v>156</v>
      </c>
      <c r="E21">
        <v>8</v>
      </c>
      <c r="F21">
        <v>8.0000000000000002E-8</v>
      </c>
      <c r="H21" t="s">
        <v>157</v>
      </c>
      <c r="I21" t="s">
        <v>156</v>
      </c>
      <c r="J21">
        <v>2823700</v>
      </c>
      <c r="L21">
        <f t="shared" si="0"/>
        <v>70.592500000000001</v>
      </c>
      <c r="O21" t="s">
        <v>158</v>
      </c>
      <c r="P21" t="s">
        <v>156</v>
      </c>
      <c r="Q21">
        <v>8</v>
      </c>
      <c r="R21" t="s">
        <v>160</v>
      </c>
      <c r="S21" t="s">
        <v>156</v>
      </c>
      <c r="T21" t="s">
        <v>159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90</v>
      </c>
      <c r="D22" t="s">
        <v>156</v>
      </c>
      <c r="E22">
        <v>48048</v>
      </c>
      <c r="F22">
        <v>4.8047999999999998E-4</v>
      </c>
      <c r="H22" t="s">
        <v>157</v>
      </c>
      <c r="I22" t="s">
        <v>156</v>
      </c>
      <c r="J22">
        <v>24024000000</v>
      </c>
      <c r="L22">
        <f t="shared" si="0"/>
        <v>100</v>
      </c>
      <c r="O22" t="s">
        <v>158</v>
      </c>
      <c r="P22" t="s">
        <v>156</v>
      </c>
      <c r="Q22">
        <v>14566</v>
      </c>
      <c r="R22" t="s">
        <v>160</v>
      </c>
      <c r="S22" t="s">
        <v>156</v>
      </c>
      <c r="T22">
        <v>753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100</v>
      </c>
      <c r="D23" t="s">
        <v>156</v>
      </c>
      <c r="E23">
        <v>12207</v>
      </c>
      <c r="F23">
        <v>1.2207E-4</v>
      </c>
      <c r="H23" t="s">
        <v>157</v>
      </c>
      <c r="I23" t="s">
        <v>156</v>
      </c>
      <c r="J23">
        <v>6197324900</v>
      </c>
      <c r="L23">
        <f t="shared" si="0"/>
        <v>101.5372310969116</v>
      </c>
      <c r="O23" t="s">
        <v>158</v>
      </c>
      <c r="P23" t="s">
        <v>156</v>
      </c>
      <c r="Q23">
        <v>2939</v>
      </c>
      <c r="R23" t="s">
        <v>160</v>
      </c>
      <c r="S23" t="s">
        <v>156</v>
      </c>
      <c r="T23">
        <v>2398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120</v>
      </c>
      <c r="D24" t="s">
        <v>156</v>
      </c>
      <c r="E24">
        <v>2</v>
      </c>
      <c r="F24">
        <v>2E-8</v>
      </c>
      <c r="H24" t="s">
        <v>157</v>
      </c>
      <c r="I24" t="s">
        <v>156</v>
      </c>
      <c r="J24">
        <v>1210500</v>
      </c>
      <c r="L24">
        <f t="shared" si="0"/>
        <v>121.05</v>
      </c>
      <c r="O24" t="s">
        <v>158</v>
      </c>
      <c r="P24" t="s">
        <v>156</v>
      </c>
      <c r="Q24">
        <v>2</v>
      </c>
      <c r="R24" t="s">
        <v>160</v>
      </c>
      <c r="S24" t="s">
        <v>156</v>
      </c>
      <c r="T24" t="s">
        <v>159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180</v>
      </c>
      <c r="D25" t="s">
        <v>156</v>
      </c>
      <c r="E25">
        <v>10801</v>
      </c>
      <c r="F25">
        <v>1.0801E-4</v>
      </c>
      <c r="H25" t="s">
        <v>157</v>
      </c>
      <c r="I25" t="s">
        <v>156</v>
      </c>
      <c r="J25">
        <v>10801000000</v>
      </c>
      <c r="L25">
        <f t="shared" si="0"/>
        <v>200</v>
      </c>
      <c r="O25" t="s">
        <v>158</v>
      </c>
      <c r="P25" t="s">
        <v>156</v>
      </c>
      <c r="Q25">
        <v>7244</v>
      </c>
      <c r="R25" t="s">
        <v>160</v>
      </c>
      <c r="S25" t="s">
        <v>156</v>
      </c>
      <c r="T25">
        <v>134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200</v>
      </c>
      <c r="D26" t="s">
        <v>156</v>
      </c>
      <c r="E26">
        <v>4060</v>
      </c>
      <c r="F26">
        <v>4.0599999999999998E-5</v>
      </c>
      <c r="H26" t="s">
        <v>157</v>
      </c>
      <c r="I26" t="s">
        <v>156</v>
      </c>
      <c r="J26">
        <v>4098080400</v>
      </c>
      <c r="L26">
        <f t="shared" si="0"/>
        <v>201.87588177339902</v>
      </c>
      <c r="O26" t="s">
        <v>158</v>
      </c>
      <c r="P26" t="s">
        <v>156</v>
      </c>
      <c r="Q26">
        <v>1535</v>
      </c>
      <c r="R26" t="s">
        <v>160</v>
      </c>
      <c r="S26" t="s">
        <v>156</v>
      </c>
      <c r="T26">
        <v>396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350</v>
      </c>
      <c r="D27" t="s">
        <v>156</v>
      </c>
      <c r="E27">
        <v>142</v>
      </c>
      <c r="F27">
        <v>1.42E-6</v>
      </c>
      <c r="H27" t="s">
        <v>157</v>
      </c>
      <c r="I27" t="s">
        <v>156</v>
      </c>
      <c r="J27">
        <v>284000000</v>
      </c>
      <c r="L27">
        <f t="shared" si="0"/>
        <v>400</v>
      </c>
      <c r="O27" t="s">
        <v>158</v>
      </c>
      <c r="P27" t="s">
        <v>156</v>
      </c>
      <c r="Q27" t="s">
        <v>159</v>
      </c>
      <c r="R27" t="s">
        <v>160</v>
      </c>
      <c r="S27" t="s">
        <v>156</v>
      </c>
      <c r="T27" t="s">
        <v>159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400</v>
      </c>
      <c r="D28" t="s">
        <v>156</v>
      </c>
      <c r="E28">
        <v>191</v>
      </c>
      <c r="F28">
        <v>1.9099999999999999E-6</v>
      </c>
      <c r="H28" t="s">
        <v>157</v>
      </c>
      <c r="I28" t="s">
        <v>156</v>
      </c>
      <c r="J28">
        <v>385070600</v>
      </c>
      <c r="L28">
        <f t="shared" si="0"/>
        <v>403.2152879581152</v>
      </c>
      <c r="O28" t="s">
        <v>158</v>
      </c>
      <c r="P28" t="s">
        <v>156</v>
      </c>
      <c r="Q28" t="s">
        <v>159</v>
      </c>
      <c r="R28" t="s">
        <v>160</v>
      </c>
      <c r="S28" t="s">
        <v>156</v>
      </c>
      <c r="T28" t="s">
        <v>159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31" spans="1:29">
      <c r="A31" t="s">
        <v>93</v>
      </c>
      <c r="B31" t="s">
        <v>155</v>
      </c>
      <c r="C31">
        <v>-1</v>
      </c>
      <c r="D31" t="s">
        <v>156</v>
      </c>
      <c r="E31">
        <v>13995719</v>
      </c>
      <c r="F31" cm="1">
        <f t="array" ref="F31:F69">E31:E69/SUM(E31:E69)</f>
        <v>0.13995719000000001</v>
      </c>
    </row>
    <row r="32" spans="1:29">
      <c r="A32" t="s">
        <v>93</v>
      </c>
      <c r="B32" t="s">
        <v>155</v>
      </c>
      <c r="C32">
        <v>0</v>
      </c>
      <c r="D32" t="s">
        <v>156</v>
      </c>
      <c r="E32">
        <v>20506682</v>
      </c>
      <c r="F32">
        <v>0.20506682000000001</v>
      </c>
      <c r="H32" t="s">
        <v>157</v>
      </c>
      <c r="I32" t="s">
        <v>156</v>
      </c>
      <c r="J32">
        <v>221260160000</v>
      </c>
      <c r="L32">
        <f>J32/E32/$L$1/500</f>
        <v>0.43158646532871581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>
        <v>392030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93</v>
      </c>
      <c r="B33" t="s">
        <v>155</v>
      </c>
      <c r="C33">
        <v>1</v>
      </c>
      <c r="D33" t="s">
        <v>156</v>
      </c>
      <c r="E33">
        <v>8219492</v>
      </c>
      <c r="F33">
        <v>8.2194920000000005E-2</v>
      </c>
      <c r="H33" t="s">
        <v>157</v>
      </c>
      <c r="I33" t="s">
        <v>156</v>
      </c>
      <c r="J33">
        <v>307548305000</v>
      </c>
      <c r="L33">
        <f t="shared" ref="L33:L69" si="1">J33/E33/$L$1/500</f>
        <v>1.496677921214596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>
        <v>4441325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93</v>
      </c>
      <c r="B34" t="s">
        <v>155</v>
      </c>
      <c r="C34">
        <v>2</v>
      </c>
      <c r="D34" t="s">
        <v>156</v>
      </c>
      <c r="E34">
        <v>8060753</v>
      </c>
      <c r="F34">
        <v>8.0607529999999997E-2</v>
      </c>
      <c r="H34" t="s">
        <v>157</v>
      </c>
      <c r="I34" t="s">
        <v>156</v>
      </c>
      <c r="J34">
        <v>449951443000</v>
      </c>
      <c r="L34">
        <f t="shared" si="1"/>
        <v>2.2328010447659166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>
        <v>5615039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5" spans="1:29">
      <c r="A35" t="s">
        <v>93</v>
      </c>
      <c r="B35" t="s">
        <v>155</v>
      </c>
      <c r="C35">
        <v>3</v>
      </c>
      <c r="D35" t="s">
        <v>156</v>
      </c>
      <c r="E35">
        <v>1761624</v>
      </c>
      <c r="F35">
        <v>1.7616239999999998E-2</v>
      </c>
      <c r="H35" t="s">
        <v>157</v>
      </c>
      <c r="I35" t="s">
        <v>156</v>
      </c>
      <c r="J35">
        <v>156933807500</v>
      </c>
      <c r="L35">
        <f t="shared" si="1"/>
        <v>3.5633894065930072</v>
      </c>
      <c r="O35" t="s">
        <v>158</v>
      </c>
      <c r="P35" t="s">
        <v>156</v>
      </c>
      <c r="Q35" t="s">
        <v>159</v>
      </c>
      <c r="R35" t="s">
        <v>160</v>
      </c>
      <c r="S35" t="s">
        <v>156</v>
      </c>
      <c r="T35">
        <v>929104</v>
      </c>
      <c r="U35" t="s">
        <v>161</v>
      </c>
      <c r="V35" t="s">
        <v>156</v>
      </c>
      <c r="W35" t="s">
        <v>159</v>
      </c>
      <c r="X35" t="s">
        <v>162</v>
      </c>
      <c r="Y35" t="s">
        <v>156</v>
      </c>
      <c r="Z35" t="s">
        <v>159</v>
      </c>
      <c r="AA35" t="s">
        <v>163</v>
      </c>
      <c r="AB35" t="s">
        <v>156</v>
      </c>
      <c r="AC35" t="s">
        <v>159</v>
      </c>
    </row>
    <row r="36" spans="1:29">
      <c r="A36" t="s">
        <v>93</v>
      </c>
      <c r="B36" t="s">
        <v>155</v>
      </c>
      <c r="C36">
        <v>4</v>
      </c>
      <c r="D36" t="s">
        <v>156</v>
      </c>
      <c r="E36">
        <v>2680421</v>
      </c>
      <c r="F36">
        <v>2.6804209999999998E-2</v>
      </c>
      <c r="H36" t="s">
        <v>157</v>
      </c>
      <c r="I36" t="s">
        <v>156</v>
      </c>
      <c r="J36">
        <v>292474540500</v>
      </c>
      <c r="L36">
        <f t="shared" si="1"/>
        <v>4.3646060152490973</v>
      </c>
      <c r="O36" t="s">
        <v>158</v>
      </c>
      <c r="P36" t="s">
        <v>156</v>
      </c>
      <c r="Q36" t="s">
        <v>159</v>
      </c>
      <c r="R36" t="s">
        <v>160</v>
      </c>
      <c r="S36" t="s">
        <v>156</v>
      </c>
      <c r="T36">
        <v>403439</v>
      </c>
      <c r="U36" t="s">
        <v>161</v>
      </c>
      <c r="V36" t="s">
        <v>156</v>
      </c>
      <c r="W36" t="s">
        <v>159</v>
      </c>
      <c r="X36" t="s">
        <v>162</v>
      </c>
      <c r="Y36" t="s">
        <v>156</v>
      </c>
      <c r="Z36" t="s">
        <v>159</v>
      </c>
      <c r="AA36" t="s">
        <v>163</v>
      </c>
      <c r="AB36" t="s">
        <v>156</v>
      </c>
      <c r="AC36" t="s">
        <v>159</v>
      </c>
    </row>
    <row r="37" spans="1:29">
      <c r="A37" t="s">
        <v>93</v>
      </c>
      <c r="B37" t="s">
        <v>155</v>
      </c>
      <c r="C37">
        <v>5</v>
      </c>
      <c r="D37" t="s">
        <v>156</v>
      </c>
      <c r="E37">
        <v>1327226</v>
      </c>
      <c r="F37">
        <v>1.3272259999999999E-2</v>
      </c>
      <c r="H37" t="s">
        <v>157</v>
      </c>
      <c r="I37" t="s">
        <v>156</v>
      </c>
      <c r="J37">
        <v>176605834000</v>
      </c>
      <c r="L37">
        <f t="shared" si="1"/>
        <v>5.3225549831000896</v>
      </c>
      <c r="O37" t="s">
        <v>158</v>
      </c>
      <c r="P37" t="s">
        <v>156</v>
      </c>
      <c r="Q37" t="s">
        <v>159</v>
      </c>
      <c r="R37" t="s">
        <v>160</v>
      </c>
      <c r="S37" t="s">
        <v>156</v>
      </c>
      <c r="T37">
        <v>48715</v>
      </c>
      <c r="U37" t="s">
        <v>161</v>
      </c>
      <c r="V37" t="s">
        <v>156</v>
      </c>
      <c r="W37" t="s">
        <v>159</v>
      </c>
      <c r="X37" t="s">
        <v>162</v>
      </c>
      <c r="Y37" t="s">
        <v>156</v>
      </c>
      <c r="Z37" t="s">
        <v>159</v>
      </c>
      <c r="AA37" t="s">
        <v>163</v>
      </c>
      <c r="AB37" t="s">
        <v>156</v>
      </c>
      <c r="AC37" t="s">
        <v>159</v>
      </c>
    </row>
    <row r="38" spans="1:29">
      <c r="A38" t="s">
        <v>93</v>
      </c>
      <c r="B38" t="s">
        <v>155</v>
      </c>
      <c r="C38">
        <v>6</v>
      </c>
      <c r="D38" t="s">
        <v>156</v>
      </c>
      <c r="E38">
        <v>112790</v>
      </c>
      <c r="F38">
        <v>1.1279E-3</v>
      </c>
      <c r="H38" t="s">
        <v>157</v>
      </c>
      <c r="I38" t="s">
        <v>156</v>
      </c>
      <c r="J38">
        <v>17255739500</v>
      </c>
      <c r="L38">
        <f t="shared" si="1"/>
        <v>6.119599077932441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1637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9</v>
      </c>
      <c r="D39" t="s">
        <v>156</v>
      </c>
      <c r="E39">
        <v>2169989</v>
      </c>
      <c r="F39">
        <v>2.1699889999999999E-2</v>
      </c>
      <c r="H39" t="s">
        <v>157</v>
      </c>
      <c r="I39" t="s">
        <v>156</v>
      </c>
      <c r="J39">
        <v>542497250000</v>
      </c>
      <c r="L39">
        <f t="shared" si="1"/>
        <v>10</v>
      </c>
      <c r="O39" t="s">
        <v>158</v>
      </c>
      <c r="P39" t="s">
        <v>156</v>
      </c>
      <c r="Q39">
        <v>583513</v>
      </c>
      <c r="R39" t="s">
        <v>160</v>
      </c>
      <c r="S39" t="s">
        <v>156</v>
      </c>
      <c r="T39">
        <v>142898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10</v>
      </c>
      <c r="D40" t="s">
        <v>156</v>
      </c>
      <c r="E40">
        <v>6795139</v>
      </c>
      <c r="F40">
        <v>6.795139E-2</v>
      </c>
      <c r="H40" t="s">
        <v>157</v>
      </c>
      <c r="I40" t="s">
        <v>156</v>
      </c>
      <c r="J40">
        <v>1813194937000</v>
      </c>
      <c r="L40">
        <f t="shared" si="1"/>
        <v>10.673482540975249</v>
      </c>
      <c r="O40" t="s">
        <v>158</v>
      </c>
      <c r="P40" t="s">
        <v>156</v>
      </c>
      <c r="Q40">
        <v>1583299</v>
      </c>
      <c r="R40" t="s">
        <v>160</v>
      </c>
      <c r="S40" t="s">
        <v>156</v>
      </c>
      <c r="T40">
        <v>2266123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15</v>
      </c>
      <c r="D41" t="s">
        <v>156</v>
      </c>
      <c r="E41">
        <v>1959592</v>
      </c>
      <c r="F41">
        <v>1.9595919999999999E-2</v>
      </c>
      <c r="H41" t="s">
        <v>157</v>
      </c>
      <c r="I41" t="s">
        <v>156</v>
      </c>
      <c r="J41">
        <v>966744330000</v>
      </c>
      <c r="L41">
        <f t="shared" si="1"/>
        <v>19.73358392971598</v>
      </c>
      <c r="O41" t="s">
        <v>158</v>
      </c>
      <c r="P41" t="s">
        <v>156</v>
      </c>
      <c r="Q41">
        <v>610779</v>
      </c>
      <c r="R41" t="s">
        <v>160</v>
      </c>
      <c r="S41" t="s">
        <v>156</v>
      </c>
      <c r="T41">
        <v>182390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20</v>
      </c>
      <c r="D42" t="s">
        <v>156</v>
      </c>
      <c r="E42">
        <v>7166889</v>
      </c>
      <c r="F42">
        <v>7.1668889999999999E-2</v>
      </c>
      <c r="H42" t="s">
        <v>157</v>
      </c>
      <c r="I42" t="s">
        <v>156</v>
      </c>
      <c r="J42">
        <v>3740386818500</v>
      </c>
      <c r="L42">
        <f t="shared" si="1"/>
        <v>20.875929952312642</v>
      </c>
      <c r="O42" t="s">
        <v>158</v>
      </c>
      <c r="P42" t="s">
        <v>156</v>
      </c>
      <c r="Q42">
        <v>1659327</v>
      </c>
      <c r="R42" t="s">
        <v>160</v>
      </c>
      <c r="S42" t="s">
        <v>156</v>
      </c>
      <c r="T42">
        <v>3232236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25</v>
      </c>
      <c r="D43" t="s">
        <v>156</v>
      </c>
      <c r="E43">
        <v>714095</v>
      </c>
      <c r="F43">
        <v>7.1409500000000001E-3</v>
      </c>
      <c r="H43" t="s">
        <v>157</v>
      </c>
      <c r="I43" t="s">
        <v>156</v>
      </c>
      <c r="J43">
        <v>535180871500</v>
      </c>
      <c r="L43">
        <f t="shared" si="1"/>
        <v>29.978132965501789</v>
      </c>
      <c r="O43" t="s">
        <v>158</v>
      </c>
      <c r="P43" t="s">
        <v>156</v>
      </c>
      <c r="Q43">
        <v>647260</v>
      </c>
      <c r="R43" t="s">
        <v>160</v>
      </c>
      <c r="S43" t="s">
        <v>156</v>
      </c>
      <c r="T43">
        <v>11382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30</v>
      </c>
      <c r="D44" t="s">
        <v>156</v>
      </c>
      <c r="E44">
        <v>2000168</v>
      </c>
      <c r="F44">
        <v>2.0001680000000001E-2</v>
      </c>
      <c r="H44" t="s">
        <v>157</v>
      </c>
      <c r="I44" t="s">
        <v>156</v>
      </c>
      <c r="J44">
        <v>1533832702000</v>
      </c>
      <c r="L44">
        <f t="shared" si="1"/>
        <v>30.674077417496932</v>
      </c>
      <c r="O44" t="s">
        <v>158</v>
      </c>
      <c r="P44" t="s">
        <v>156</v>
      </c>
      <c r="Q44">
        <v>1769924</v>
      </c>
      <c r="R44" t="s">
        <v>160</v>
      </c>
      <c r="S44" t="s">
        <v>156</v>
      </c>
      <c r="T44">
        <v>118814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35</v>
      </c>
      <c r="D45" t="s">
        <v>156</v>
      </c>
      <c r="E45">
        <v>346117</v>
      </c>
      <c r="F45">
        <v>3.46117E-3</v>
      </c>
      <c r="H45" t="s">
        <v>157</v>
      </c>
      <c r="I45" t="s">
        <v>156</v>
      </c>
      <c r="J45">
        <v>346117000000</v>
      </c>
      <c r="L45">
        <f t="shared" si="1"/>
        <v>40</v>
      </c>
      <c r="O45" t="s">
        <v>158</v>
      </c>
      <c r="P45" t="s">
        <v>156</v>
      </c>
      <c r="Q45">
        <v>62604</v>
      </c>
      <c r="R45" t="s">
        <v>160</v>
      </c>
      <c r="S45" t="s">
        <v>156</v>
      </c>
      <c r="T45">
        <v>5107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40</v>
      </c>
      <c r="D46" t="s">
        <v>156</v>
      </c>
      <c r="E46">
        <v>1160050</v>
      </c>
      <c r="F46">
        <v>1.16005E-2</v>
      </c>
      <c r="H46" t="s">
        <v>157</v>
      </c>
      <c r="I46" t="s">
        <v>156</v>
      </c>
      <c r="J46">
        <v>1195000501500</v>
      </c>
      <c r="L46">
        <f t="shared" si="1"/>
        <v>41.205137761303391</v>
      </c>
      <c r="O46" t="s">
        <v>158</v>
      </c>
      <c r="P46" t="s">
        <v>156</v>
      </c>
      <c r="Q46">
        <v>188043</v>
      </c>
      <c r="R46" t="s">
        <v>160</v>
      </c>
      <c r="S46" t="s">
        <v>156</v>
      </c>
      <c r="T46">
        <v>83328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45</v>
      </c>
      <c r="D47" t="s">
        <v>156</v>
      </c>
      <c r="E47">
        <v>839840</v>
      </c>
      <c r="F47">
        <v>8.3984000000000003E-3</v>
      </c>
      <c r="H47" t="s">
        <v>157</v>
      </c>
      <c r="I47" t="s">
        <v>156</v>
      </c>
      <c r="J47">
        <v>1049800000000</v>
      </c>
      <c r="L47">
        <f t="shared" si="1"/>
        <v>50</v>
      </c>
      <c r="O47" t="s">
        <v>158</v>
      </c>
      <c r="P47" t="s">
        <v>156</v>
      </c>
      <c r="Q47">
        <v>618365</v>
      </c>
      <c r="R47" t="s">
        <v>160</v>
      </c>
      <c r="S47" t="s">
        <v>156</v>
      </c>
      <c r="T47" t="s">
        <v>159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50</v>
      </c>
      <c r="D48" t="s">
        <v>156</v>
      </c>
      <c r="E48">
        <v>2333283</v>
      </c>
      <c r="F48">
        <v>2.3332829999999999E-2</v>
      </c>
      <c r="H48" t="s">
        <v>157</v>
      </c>
      <c r="I48" t="s">
        <v>156</v>
      </c>
      <c r="J48">
        <v>2983880779000</v>
      </c>
      <c r="L48">
        <f t="shared" si="1"/>
        <v>51.153345376450261</v>
      </c>
      <c r="O48" t="s">
        <v>158</v>
      </c>
      <c r="P48" t="s">
        <v>156</v>
      </c>
      <c r="Q48">
        <v>1722194</v>
      </c>
      <c r="R48" t="s">
        <v>160</v>
      </c>
      <c r="S48" t="s">
        <v>156</v>
      </c>
      <c r="T48" t="s">
        <v>159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60</v>
      </c>
      <c r="D49" t="s">
        <v>156</v>
      </c>
      <c r="E49">
        <v>111167</v>
      </c>
      <c r="F49">
        <v>1.1116699999999999E-3</v>
      </c>
      <c r="H49" t="s">
        <v>157</v>
      </c>
      <c r="I49" t="s">
        <v>156</v>
      </c>
      <c r="J49">
        <v>176233239500</v>
      </c>
      <c r="L49">
        <f t="shared" si="1"/>
        <v>63.412069948815748</v>
      </c>
      <c r="O49" t="s">
        <v>158</v>
      </c>
      <c r="P49" t="s">
        <v>156</v>
      </c>
      <c r="Q49">
        <v>111167</v>
      </c>
      <c r="R49" t="s">
        <v>160</v>
      </c>
      <c r="S49" t="s">
        <v>156</v>
      </c>
      <c r="T49" t="s">
        <v>159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70</v>
      </c>
      <c r="D50" t="s">
        <v>156</v>
      </c>
      <c r="E50">
        <v>111036</v>
      </c>
      <c r="F50">
        <v>1.1103599999999999E-3</v>
      </c>
      <c r="H50" t="s">
        <v>157</v>
      </c>
      <c r="I50" t="s">
        <v>156</v>
      </c>
      <c r="J50">
        <v>196176746000</v>
      </c>
      <c r="L50">
        <f t="shared" si="1"/>
        <v>70.671402428041361</v>
      </c>
      <c r="O50" t="s">
        <v>158</v>
      </c>
      <c r="P50" t="s">
        <v>156</v>
      </c>
      <c r="Q50">
        <v>111036</v>
      </c>
      <c r="R50" t="s">
        <v>160</v>
      </c>
      <c r="S50" t="s">
        <v>156</v>
      </c>
      <c r="T50" t="s">
        <v>159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90</v>
      </c>
      <c r="D51" t="s">
        <v>156</v>
      </c>
      <c r="E51">
        <v>1117260</v>
      </c>
      <c r="F51">
        <v>1.11726E-2</v>
      </c>
      <c r="H51" t="s">
        <v>157</v>
      </c>
      <c r="I51" t="s">
        <v>156</v>
      </c>
      <c r="J51">
        <v>2793150000000</v>
      </c>
      <c r="L51">
        <f t="shared" si="1"/>
        <v>100</v>
      </c>
      <c r="O51" t="s">
        <v>158</v>
      </c>
      <c r="P51" t="s">
        <v>156</v>
      </c>
      <c r="Q51">
        <v>581756</v>
      </c>
      <c r="R51" t="s">
        <v>160</v>
      </c>
      <c r="S51" t="s">
        <v>156</v>
      </c>
      <c r="T51">
        <v>35889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100</v>
      </c>
      <c r="D52" t="s">
        <v>156</v>
      </c>
      <c r="E52">
        <v>4236694</v>
      </c>
      <c r="F52">
        <v>4.2366939999999999E-2</v>
      </c>
      <c r="H52" t="s">
        <v>157</v>
      </c>
      <c r="I52" t="s">
        <v>156</v>
      </c>
      <c r="J52">
        <v>10862196889000</v>
      </c>
      <c r="L52">
        <f t="shared" si="1"/>
        <v>102.55351827627861</v>
      </c>
      <c r="O52" t="s">
        <v>158</v>
      </c>
      <c r="P52" t="s">
        <v>156</v>
      </c>
      <c r="Q52">
        <v>1773230</v>
      </c>
      <c r="R52" t="s">
        <v>160</v>
      </c>
      <c r="S52" t="s">
        <v>156</v>
      </c>
      <c r="T52">
        <v>965444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120</v>
      </c>
      <c r="D53" t="s">
        <v>156</v>
      </c>
      <c r="E53">
        <v>236142</v>
      </c>
      <c r="F53">
        <v>2.3614199999999999E-3</v>
      </c>
      <c r="H53" t="s">
        <v>157</v>
      </c>
      <c r="I53" t="s">
        <v>156</v>
      </c>
      <c r="J53">
        <v>724872399000</v>
      </c>
      <c r="L53">
        <f t="shared" si="1"/>
        <v>122.78584902304544</v>
      </c>
      <c r="O53" t="s">
        <v>158</v>
      </c>
      <c r="P53" t="s">
        <v>156</v>
      </c>
      <c r="Q53">
        <v>187571</v>
      </c>
      <c r="R53" t="s">
        <v>160</v>
      </c>
      <c r="S53" t="s">
        <v>156</v>
      </c>
      <c r="T53">
        <v>48571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140</v>
      </c>
      <c r="D54" t="s">
        <v>156</v>
      </c>
      <c r="E54">
        <v>41817</v>
      </c>
      <c r="F54">
        <v>4.1816999999999999E-4</v>
      </c>
      <c r="H54" t="s">
        <v>157</v>
      </c>
      <c r="I54" t="s">
        <v>156</v>
      </c>
      <c r="J54">
        <v>157900482000</v>
      </c>
      <c r="L54">
        <f t="shared" si="1"/>
        <v>151.03951216012626</v>
      </c>
      <c r="O54" t="s">
        <v>158</v>
      </c>
      <c r="P54" t="s">
        <v>156</v>
      </c>
      <c r="Q54">
        <v>41817</v>
      </c>
      <c r="R54" t="s">
        <v>160</v>
      </c>
      <c r="S54" t="s">
        <v>156</v>
      </c>
      <c r="T54" t="s">
        <v>159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180</v>
      </c>
      <c r="D55" t="s">
        <v>156</v>
      </c>
      <c r="E55">
        <v>958904</v>
      </c>
      <c r="F55">
        <v>9.5890400000000001E-3</v>
      </c>
      <c r="H55" t="s">
        <v>157</v>
      </c>
      <c r="I55" t="s">
        <v>156</v>
      </c>
      <c r="J55">
        <v>4794520000000</v>
      </c>
      <c r="L55">
        <f t="shared" si="1"/>
        <v>200</v>
      </c>
      <c r="O55" t="s">
        <v>158</v>
      </c>
      <c r="P55" t="s">
        <v>156</v>
      </c>
      <c r="Q55">
        <v>589373</v>
      </c>
      <c r="R55" t="s">
        <v>160</v>
      </c>
      <c r="S55" t="s">
        <v>156</v>
      </c>
      <c r="T55">
        <v>36278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200</v>
      </c>
      <c r="D56" t="s">
        <v>156</v>
      </c>
      <c r="E56">
        <v>4188225</v>
      </c>
      <c r="F56">
        <v>4.1882250000000003E-2</v>
      </c>
      <c r="H56" t="s">
        <v>157</v>
      </c>
      <c r="I56" t="s">
        <v>156</v>
      </c>
      <c r="J56">
        <v>21385170126000</v>
      </c>
      <c r="L56">
        <f t="shared" si="1"/>
        <v>204.24089084039181</v>
      </c>
      <c r="O56" t="s">
        <v>158</v>
      </c>
      <c r="P56" t="s">
        <v>156</v>
      </c>
      <c r="Q56">
        <v>2001146</v>
      </c>
      <c r="R56" t="s">
        <v>160</v>
      </c>
      <c r="S56" t="s">
        <v>156</v>
      </c>
      <c r="T56">
        <v>1021396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250</v>
      </c>
      <c r="D57" t="s">
        <v>156</v>
      </c>
      <c r="E57">
        <v>49264</v>
      </c>
      <c r="F57">
        <v>4.9264000000000003E-4</v>
      </c>
      <c r="H57" t="s">
        <v>157</v>
      </c>
      <c r="I57" t="s">
        <v>156</v>
      </c>
      <c r="J57">
        <v>326813434500</v>
      </c>
      <c r="L57">
        <f t="shared" si="1"/>
        <v>265.35679969145826</v>
      </c>
      <c r="O57" t="s">
        <v>158</v>
      </c>
      <c r="P57" t="s">
        <v>156</v>
      </c>
      <c r="Q57">
        <v>48850</v>
      </c>
      <c r="R57" t="s">
        <v>160</v>
      </c>
      <c r="S57" t="s">
        <v>156</v>
      </c>
      <c r="T57">
        <v>414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300</v>
      </c>
      <c r="D58" t="s">
        <v>156</v>
      </c>
      <c r="E58">
        <v>83295</v>
      </c>
      <c r="F58">
        <v>8.3295000000000005E-4</v>
      </c>
      <c r="H58" t="s">
        <v>157</v>
      </c>
      <c r="I58" t="s">
        <v>156</v>
      </c>
      <c r="J58">
        <v>627624623500</v>
      </c>
      <c r="L58">
        <f t="shared" si="1"/>
        <v>301.39846257278344</v>
      </c>
      <c r="O58" t="s">
        <v>158</v>
      </c>
      <c r="P58" t="s">
        <v>156</v>
      </c>
      <c r="Q58">
        <v>69215</v>
      </c>
      <c r="R58" t="s">
        <v>160</v>
      </c>
      <c r="S58" t="s">
        <v>156</v>
      </c>
      <c r="T58">
        <v>14080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350</v>
      </c>
      <c r="D59" t="s">
        <v>156</v>
      </c>
      <c r="E59">
        <v>62778</v>
      </c>
      <c r="F59">
        <v>6.2777999999999998E-4</v>
      </c>
      <c r="H59" t="s">
        <v>157</v>
      </c>
      <c r="I59" t="s">
        <v>156</v>
      </c>
      <c r="J59">
        <v>627780000000</v>
      </c>
      <c r="L59">
        <f t="shared" si="1"/>
        <v>400</v>
      </c>
      <c r="O59" t="s">
        <v>158</v>
      </c>
      <c r="P59" t="s">
        <v>156</v>
      </c>
      <c r="Q59">
        <v>6978</v>
      </c>
      <c r="R59" t="s">
        <v>160</v>
      </c>
      <c r="S59" t="s">
        <v>156</v>
      </c>
      <c r="T59">
        <v>167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400</v>
      </c>
      <c r="D60" t="s">
        <v>156</v>
      </c>
      <c r="E60">
        <v>319776</v>
      </c>
      <c r="F60">
        <v>3.19776E-3</v>
      </c>
      <c r="H60" t="s">
        <v>157</v>
      </c>
      <c r="I60" t="s">
        <v>156</v>
      </c>
      <c r="J60">
        <v>3216547789500</v>
      </c>
      <c r="L60">
        <f t="shared" si="1"/>
        <v>402.35011877063948</v>
      </c>
      <c r="O60" t="s">
        <v>158</v>
      </c>
      <c r="P60" t="s">
        <v>156</v>
      </c>
      <c r="Q60">
        <v>34655</v>
      </c>
      <c r="R60" t="s">
        <v>160</v>
      </c>
      <c r="S60" t="s">
        <v>156</v>
      </c>
      <c r="T60">
        <v>7072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450</v>
      </c>
      <c r="D61" t="s">
        <v>156</v>
      </c>
      <c r="E61">
        <v>638947</v>
      </c>
      <c r="F61">
        <v>6.3894700000000004E-3</v>
      </c>
      <c r="H61" t="s">
        <v>157</v>
      </c>
      <c r="I61" t="s">
        <v>156</v>
      </c>
      <c r="J61">
        <v>7986837500000</v>
      </c>
      <c r="L61">
        <f t="shared" si="1"/>
        <v>500</v>
      </c>
      <c r="O61" t="s">
        <v>158</v>
      </c>
      <c r="P61" t="s">
        <v>156</v>
      </c>
      <c r="Q61">
        <v>583092</v>
      </c>
      <c r="R61" t="s">
        <v>160</v>
      </c>
      <c r="S61" t="s">
        <v>156</v>
      </c>
      <c r="T61" t="s">
        <v>159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500</v>
      </c>
      <c r="D62" t="s">
        <v>156</v>
      </c>
      <c r="E62">
        <v>2113394</v>
      </c>
      <c r="F62">
        <v>2.113394E-2</v>
      </c>
      <c r="H62" t="s">
        <v>157</v>
      </c>
      <c r="I62" t="s">
        <v>156</v>
      </c>
      <c r="J62">
        <v>26589369985500</v>
      </c>
      <c r="L62">
        <f t="shared" si="1"/>
        <v>503.25438579838874</v>
      </c>
      <c r="O62" t="s">
        <v>158</v>
      </c>
      <c r="P62" t="s">
        <v>156</v>
      </c>
      <c r="Q62">
        <v>1835343</v>
      </c>
      <c r="R62" t="s">
        <v>160</v>
      </c>
      <c r="S62" t="s">
        <v>156</v>
      </c>
      <c r="T62" t="s">
        <v>159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550</v>
      </c>
      <c r="D63" t="s">
        <v>156</v>
      </c>
      <c r="E63">
        <v>6961</v>
      </c>
      <c r="F63">
        <v>6.9610000000000006E-5</v>
      </c>
      <c r="H63" t="s">
        <v>157</v>
      </c>
      <c r="I63" t="s">
        <v>156</v>
      </c>
      <c r="J63">
        <v>104415000000</v>
      </c>
      <c r="L63">
        <f t="shared" si="1"/>
        <v>600</v>
      </c>
      <c r="O63" t="s">
        <v>158</v>
      </c>
      <c r="P63" t="s">
        <v>156</v>
      </c>
      <c r="Q63">
        <v>6961</v>
      </c>
      <c r="R63" t="s">
        <v>160</v>
      </c>
      <c r="S63" t="s">
        <v>156</v>
      </c>
      <c r="T63" t="s">
        <v>159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600</v>
      </c>
      <c r="D64" t="s">
        <v>156</v>
      </c>
      <c r="E64">
        <v>34646</v>
      </c>
      <c r="F64">
        <v>3.4645999999999999E-4</v>
      </c>
      <c r="H64" t="s">
        <v>157</v>
      </c>
      <c r="I64" t="s">
        <v>156</v>
      </c>
      <c r="J64">
        <v>520767427000</v>
      </c>
      <c r="L64">
        <f t="shared" si="1"/>
        <v>601.2439265716099</v>
      </c>
      <c r="O64" t="s">
        <v>158</v>
      </c>
      <c r="P64" t="s">
        <v>156</v>
      </c>
      <c r="Q64">
        <v>34646</v>
      </c>
      <c r="R64" t="s">
        <v>160</v>
      </c>
      <c r="S64" t="s">
        <v>156</v>
      </c>
      <c r="T64" t="s">
        <v>159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650</v>
      </c>
      <c r="D65" t="s">
        <v>156</v>
      </c>
      <c r="E65">
        <v>7065</v>
      </c>
      <c r="F65">
        <v>7.0649999999999996E-5</v>
      </c>
      <c r="H65" t="s">
        <v>157</v>
      </c>
      <c r="I65" t="s">
        <v>156</v>
      </c>
      <c r="J65">
        <v>123637500000</v>
      </c>
      <c r="L65">
        <f t="shared" si="1"/>
        <v>700</v>
      </c>
      <c r="O65" t="s">
        <v>158</v>
      </c>
      <c r="P65" t="s">
        <v>156</v>
      </c>
      <c r="Q65">
        <v>7065</v>
      </c>
      <c r="R65" t="s">
        <v>160</v>
      </c>
      <c r="S65" t="s">
        <v>156</v>
      </c>
      <c r="T65" t="s">
        <v>159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700</v>
      </c>
      <c r="D66" t="s">
        <v>156</v>
      </c>
      <c r="E66">
        <v>34760</v>
      </c>
      <c r="F66">
        <v>3.4759999999999999E-4</v>
      </c>
      <c r="H66" t="s">
        <v>157</v>
      </c>
      <c r="I66" t="s">
        <v>156</v>
      </c>
      <c r="J66">
        <v>609379077500</v>
      </c>
      <c r="L66">
        <f t="shared" si="1"/>
        <v>701.24174626006891</v>
      </c>
      <c r="O66" t="s">
        <v>158</v>
      </c>
      <c r="P66" t="s">
        <v>156</v>
      </c>
      <c r="Q66">
        <v>34760</v>
      </c>
      <c r="R66" t="s">
        <v>160</v>
      </c>
      <c r="S66" t="s">
        <v>156</v>
      </c>
      <c r="T66" t="s">
        <v>159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950</v>
      </c>
      <c r="D67" t="s">
        <v>156</v>
      </c>
      <c r="E67">
        <v>693243</v>
      </c>
      <c r="F67">
        <v>6.9324299999999998E-3</v>
      </c>
      <c r="H67" t="s">
        <v>157</v>
      </c>
      <c r="I67" t="s">
        <v>156</v>
      </c>
      <c r="J67">
        <v>17331075000000</v>
      </c>
      <c r="L67">
        <f t="shared" si="1"/>
        <v>1000</v>
      </c>
      <c r="O67" t="s">
        <v>158</v>
      </c>
      <c r="P67" t="s">
        <v>156</v>
      </c>
      <c r="Q67">
        <v>582329</v>
      </c>
      <c r="R67" t="s">
        <v>160</v>
      </c>
      <c r="S67" t="s">
        <v>156</v>
      </c>
      <c r="T67" t="s">
        <v>159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1000</v>
      </c>
      <c r="D68" t="s">
        <v>156</v>
      </c>
      <c r="E68">
        <v>2526987</v>
      </c>
      <c r="F68">
        <v>2.526987E-2</v>
      </c>
      <c r="H68" t="s">
        <v>157</v>
      </c>
      <c r="I68" t="s">
        <v>156</v>
      </c>
      <c r="J68">
        <v>65130226073000</v>
      </c>
      <c r="L68">
        <f t="shared" si="1"/>
        <v>1030.9546677208866</v>
      </c>
      <c r="O68" t="s">
        <v>158</v>
      </c>
      <c r="P68" t="s">
        <v>156</v>
      </c>
      <c r="Q68">
        <v>1916300</v>
      </c>
      <c r="R68" t="s">
        <v>160</v>
      </c>
      <c r="S68" t="s">
        <v>156</v>
      </c>
      <c r="T68" t="s">
        <v>159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  <row r="69" spans="1:29">
      <c r="A69" t="s">
        <v>93</v>
      </c>
      <c r="B69" t="s">
        <v>155</v>
      </c>
      <c r="C69">
        <v>2000</v>
      </c>
      <c r="D69" t="s">
        <v>156</v>
      </c>
      <c r="E69">
        <v>277770</v>
      </c>
      <c r="F69">
        <v>2.7777000000000001E-3</v>
      </c>
      <c r="H69" t="s">
        <v>157</v>
      </c>
      <c r="I69" t="s">
        <v>156</v>
      </c>
      <c r="J69">
        <v>13975103145000</v>
      </c>
      <c r="L69">
        <f t="shared" si="1"/>
        <v>2012.4712020736581</v>
      </c>
      <c r="O69" t="s">
        <v>158</v>
      </c>
      <c r="P69" t="s">
        <v>156</v>
      </c>
      <c r="Q69" t="s">
        <v>159</v>
      </c>
      <c r="R69" t="s">
        <v>160</v>
      </c>
      <c r="S69" t="s">
        <v>156</v>
      </c>
      <c r="T69" t="s">
        <v>159</v>
      </c>
      <c r="U69" t="s">
        <v>161</v>
      </c>
      <c r="V69" t="s">
        <v>156</v>
      </c>
      <c r="W69" t="s">
        <v>159</v>
      </c>
      <c r="X69" t="s">
        <v>162</v>
      </c>
      <c r="Y69" t="s">
        <v>156</v>
      </c>
      <c r="Z69" t="s">
        <v>159</v>
      </c>
      <c r="AA69" t="s">
        <v>163</v>
      </c>
      <c r="AB69" t="s">
        <v>156</v>
      </c>
      <c r="AC69" t="s">
        <v>159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570F-FBCE-4CE4-8A9B-427540D97D39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1.3791222598845687</v>
      </c>
      <c r="V1" s="178">
        <f>SUM(V3:V54)</f>
        <v>0.91999322253390292</v>
      </c>
      <c r="AB1" s="272">
        <f>SUM(AB3:AB54)</f>
        <v>1.3876002227853883</v>
      </c>
      <c r="AF1" s="273">
        <f>SUM(AF3:AF54)</f>
        <v>0.92506681519025902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Sim_Mul_Bet100!$F$2:$F$100,
      (Sim_Mul_Bet100!$A$2:$A$100=C$2) * (Sim_Mul_Bet100!$C$2:$C$100=$B3),0
   ),
   0
)</f>
        <v>0.80413129000000005</v>
      </c>
      <c r="D3" s="166" cm="1">
        <f t="array" ref="D3">_xlfn.IFNA(
   _xlfn._xlws.FILTER(
      Sim_Mul_Bet100!$F$2:$F$100,
      (Sim_Mul_Bet100!$A$2:$A$100=D$2) * (Sim_Mul_Bet100!$C$2:$C$100=$B3),0
   ),
   0
)</f>
        <v>0.14898754</v>
      </c>
      <c r="E3" s="156" cm="1">
        <f t="array" ref="E3">_xlfn.IFNA(
   _xlfn._xlws.FILTER(
      Sim_Mul_Bet100!$F$2:$F$100,
      (Sim_Mul_Bet100!$A$2:$A$100=E$2) * (Sim_Mul_Bet100!$C$2:$C$100=$B3),0
   ),
   0
)</f>
        <v>0</v>
      </c>
      <c r="F3" s="167" cm="1">
        <f t="array" ref="F3">_xlfn.IFNA(
   _xlfn._xlws.FILTER(
      Sim_Mul_Bet100!$L$2:$L$100,
      (Sim_Mul_Bet100!$A$2:$A$100=F$2) * (Sim_Mul_Bet100!$C$2:$C$100=$B3),0
   ),
   0
)</f>
        <v>0</v>
      </c>
      <c r="G3" s="167" cm="1">
        <f t="array" ref="G3">_xlfn.IFNA(
   _xlfn._xlws.FILTER(
      Sim_Mul_Bet100!$L$2:$L$100,
      (Sim_Mul_Bet100!$A$2:$A$100=G$2) * (Sim_Mul_Bet100!$C$2:$C$100=$B3),0
   ),
   0
)</f>
        <v>0</v>
      </c>
      <c r="H3" s="159" cm="1">
        <f t="array" ref="H3">_xlfn.IFNA(
   _xlfn._xlws.FILTER(
      Sim_Mul_Bet100!$L$2:$L$100,
      (Sim_Mul_Bet100!$A$2:$A$100=H$2) * (Sim_Mul_Bet100!$C$2:$C$100=$B3),0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0.80413129000000005</v>
      </c>
      <c r="N3" s="171">
        <f>HLOOKUP(L3,$F$2:$H$54,J3+2,FALSE)</f>
        <v>0</v>
      </c>
      <c r="O3" s="172">
        <f>1-SUM(O4:O53)</f>
        <v>0.82256107446808513</v>
      </c>
      <c r="P3" s="172">
        <f>1-SUM(P4:P53)</f>
        <v>0.88170738297872342</v>
      </c>
      <c r="Q3" s="172">
        <f>1-SUM(Q4:Q54)</f>
        <v>0.89123621813394938</v>
      </c>
      <c r="R3" s="173">
        <f t="shared" ref="R3:R54" si="0">N3*O3</f>
        <v>0</v>
      </c>
      <c r="T3" s="174">
        <f>1000000-SUM(T4:T54)</f>
        <v>822557</v>
      </c>
      <c r="U3" s="175" cm="1">
        <f t="array" ref="U3:U54">T3:T54/SUM($T$3:$T$54)</f>
        <v>0.82255699999999998</v>
      </c>
      <c r="V3" s="178">
        <f>U3*N3/1.5</f>
        <v>0</v>
      </c>
      <c r="X3" s="102"/>
      <c r="Y3" s="172">
        <f>1-SUM(Y4:Y53)</f>
        <v>0.90576999999999996</v>
      </c>
      <c r="Z3" s="172">
        <f>1-SUM(Z4:Z53)</f>
        <v>0.93718000000000001</v>
      </c>
      <c r="AA3" s="172">
        <f>1-SUM(AA4:AA54)</f>
        <v>0.89123621813394938</v>
      </c>
      <c r="AB3" s="276">
        <f>N3*Y3</f>
        <v>0</v>
      </c>
      <c r="AD3" s="174">
        <f>1000000-SUM(AD4:AD54)</f>
        <v>905770</v>
      </c>
      <c r="AE3" s="175" cm="1">
        <f t="array" ref="AE3:AE54">AD3:AD54/SUM($T$3:$T$54)</f>
        <v>0.90576999999999996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Sim_Mul_Bet100!$F$2:$F$100,
      (Sim_Mul_Bet100!$A$2:$A$100=C$2) * (Sim_Mul_Bet100!$C$2:$C$100=$B4),0
   ),
   0
)</f>
        <v>4.7652189999999997E-2</v>
      </c>
      <c r="D4" s="181" cm="1">
        <f t="array" ref="D4">_xlfn.IFNA(
   _xlfn._xlws.FILTER(
      Sim_Mul_Bet100!$F$2:$F$100,
      (Sim_Mul_Bet100!$A$2:$A$100=D$2) * (Sim_Mul_Bet100!$C$2:$C$100=$B4),0
   ),
   0
)</f>
        <v>0.22791892999999999</v>
      </c>
      <c r="E4" s="182" cm="1">
        <f t="array" ref="E4">_xlfn.IFNA(
   _xlfn._xlws.FILTER(
      Sim_Mul_Bet100!$F$2:$F$100,
      (Sim_Mul_Bet100!$A$2:$A$100=E$2) * (Sim_Mul_Bet100!$C$2:$C$100=$B4),0
   ),
   0
)</f>
        <v>0</v>
      </c>
      <c r="F4" s="183" cm="1">
        <f t="array" ref="F4">_xlfn.IFNA(
   _xlfn._xlws.FILTER(
      Sim_Mul_Bet100!$L$2:$L$100,
      (Sim_Mul_Bet100!$A$2:$A$100=F$2) * (Sim_Mul_Bet100!$C$2:$C$100=$B4),0
   ),
   0
)</f>
        <v>1</v>
      </c>
      <c r="G4" s="184" cm="1">
        <f t="array" ref="G4">_xlfn.IFNA(
   _xlfn._xlws.FILTER(
      Sim_Mul_Bet100!$L$2:$L$100,
      (Sim_Mul_Bet100!$A$2:$A$100=G$2) * (Sim_Mul_Bet100!$C$2:$C$100=$B4),0
   ),
   0
)</f>
        <v>0.36530077207715922</v>
      </c>
      <c r="H4" s="185" cm="1">
        <f t="array" ref="H4">_xlfn.IFNA(
   _xlfn._xlws.FILTER(
      Sim_Mul_Bet100!$L$2:$L$100,
      (Sim_Mul_Bet100!$A$2:$A$100=H$2) * (Sim_Mul_Bet100!$C$2:$C$100=$B4),0
   ),
   0
)</f>
        <v>0</v>
      </c>
      <c r="J4">
        <v>1</v>
      </c>
      <c r="K4" s="186">
        <v>0</v>
      </c>
      <c r="L4" s="187" t="s">
        <v>92</v>
      </c>
      <c r="M4" s="215">
        <f t="shared" ref="M4:M54" si="1">HLOOKUP(L4,$C$2:$E$54,J4+2,FALSE)</f>
        <v>4.7652189999999997E-2</v>
      </c>
      <c r="N4" s="189">
        <f>HLOOKUP(L4,$F$2:$H$54,J4+2,FALSE)</f>
        <v>1</v>
      </c>
      <c r="O4" s="190">
        <f>P4*1.5</f>
        <v>1.12118408880666E-2</v>
      </c>
      <c r="P4" s="190">
        <v>7.4745605920444004E-3</v>
      </c>
      <c r="Q4" s="190">
        <v>7.4745605920444004E-3</v>
      </c>
      <c r="R4" s="191">
        <f t="shared" si="0"/>
        <v>1.12118408880666E-2</v>
      </c>
      <c r="T4" s="192">
        <f t="shared" ref="T4:T54" si="2">ROUND(O4*1000000,0)</f>
        <v>11212</v>
      </c>
      <c r="U4">
        <v>1.1212E-2</v>
      </c>
      <c r="V4" s="193">
        <f t="shared" ref="V4:V54" si="3">U4*N4/1.5</f>
        <v>7.4746666666666668E-3</v>
      </c>
      <c r="W4" s="194"/>
      <c r="X4" s="102"/>
      <c r="Y4" s="190">
        <f>Z4*1.5</f>
        <v>2.2949999999999998E-2</v>
      </c>
      <c r="Z4" s="190">
        <v>1.5299999999999999E-2</v>
      </c>
      <c r="AA4" s="190">
        <v>7.4745605920444004E-3</v>
      </c>
      <c r="AB4" s="276">
        <f t="shared" ref="AB4:AB54" si="4">N4*Y4</f>
        <v>2.2949999999999998E-2</v>
      </c>
      <c r="AD4" s="192">
        <f t="shared" ref="AD4:AD54" si="5">ROUND(Y4*1000000,0)</f>
        <v>22950</v>
      </c>
      <c r="AE4">
        <v>2.2950000000000002E-2</v>
      </c>
      <c r="AF4" s="278">
        <f>AE4*N4/1.5</f>
        <v>1.5300000000000001E-2</v>
      </c>
    </row>
    <row r="5" spans="2:32">
      <c r="B5" s="179">
        <v>1</v>
      </c>
      <c r="C5" s="180" cm="1">
        <f t="array" ref="C5">_xlfn.IFNA(
   _xlfn._xlws.FILTER(
      Sim_Mul_Bet100!$F$2:$F$100,
      (Sim_Mul_Bet100!$A$2:$A$100=C$2) * (Sim_Mul_Bet100!$C$2:$C$100=$B5),0
   ),
   0
)</f>
        <v>5.5089730000000003E-2</v>
      </c>
      <c r="D5" s="181" cm="1">
        <f t="array" ref="D5">_xlfn.IFNA(
   _xlfn._xlws.FILTER(
      Sim_Mul_Bet100!$F$2:$F$100,
      (Sim_Mul_Bet100!$A$2:$A$100=D$2) * (Sim_Mul_Bet100!$C$2:$C$100=$B5),0
   ),
   0
)</f>
        <v>8.9802290000000007E-2</v>
      </c>
      <c r="E5" s="182" cm="1">
        <f t="array" ref="E5">_xlfn.IFNA(
   _xlfn._xlws.FILTER(
      Sim_Mul_Bet100!$F$2:$F$100,
      (Sim_Mul_Bet100!$A$2:$A$100=E$2) * (Sim_Mul_Bet100!$C$2:$C$100=$B5),0
   ),
   0
)</f>
        <v>0</v>
      </c>
      <c r="F5" s="183" cm="1">
        <f t="array" ref="F5">_xlfn.IFNA(
   _xlfn._xlws.FILTER(
      Sim_Mul_Bet100!$L$2:$L$100,
      (Sim_Mul_Bet100!$A$2:$A$100=F$2) * (Sim_Mul_Bet100!$C$2:$C$100=$B5),0
   ),
   0
)</f>
        <v>1.2583932613211211</v>
      </c>
      <c r="G5" s="184" cm="1">
        <f t="array" ref="G5">_xlfn.IFNA(
   _xlfn._xlws.FILTER(
      Sim_Mul_Bet100!$L$2:$L$100,
      (Sim_Mul_Bet100!$A$2:$A$100=G$2) * (Sim_Mul_Bet100!$C$2:$C$100=$B5),0
   ),
   0
)</f>
        <v>1.2507895656112999</v>
      </c>
      <c r="H5" s="185" cm="1">
        <f t="array" ref="H5">_xlfn.IFNA(
   _xlfn._xlws.FILTER(
      Sim_Mul_Bet100!$L$2:$L$100,
      (Sim_Mul_Bet100!$A$2:$A$100=H$2) * (Sim_Mul_Bet100!$C$2:$C$100=$B5),0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8.9802290000000007E-2</v>
      </c>
      <c r="N5" s="189">
        <f t="shared" ref="N5:N54" si="6">HLOOKUP(L5,$F$2:$H$54,J5+2,FALSE)</f>
        <v>1.2507895656112999</v>
      </c>
      <c r="O5" s="190">
        <f t="shared" ref="O5:O54" si="7">P5*1.5</f>
        <v>3.9740980573543055E-2</v>
      </c>
      <c r="P5" s="190">
        <v>2.6493987049028701E-2</v>
      </c>
      <c r="Q5" s="190">
        <v>2.6493987049028701E-2</v>
      </c>
      <c r="R5" s="191">
        <f t="shared" si="0"/>
        <v>4.9707603828549031E-2</v>
      </c>
      <c r="T5" s="192">
        <f t="shared" si="2"/>
        <v>39741</v>
      </c>
      <c r="U5" s="176">
        <v>3.9740999999999999E-2</v>
      </c>
      <c r="V5" s="195">
        <f t="shared" si="3"/>
        <v>3.3138418751305777E-2</v>
      </c>
      <c r="W5" s="194"/>
      <c r="X5" s="102"/>
      <c r="Y5" s="190">
        <f t="shared" ref="Y5:Y54" si="8">Z5*1.5</f>
        <v>1.5000000000000001E-4</v>
      </c>
      <c r="Z5" s="190">
        <v>1E-4</v>
      </c>
      <c r="AA5" s="190">
        <v>2.6493987049028701E-2</v>
      </c>
      <c r="AB5" s="276">
        <f t="shared" si="4"/>
        <v>1.8761843484169501E-4</v>
      </c>
      <c r="AD5" s="192">
        <f t="shared" si="5"/>
        <v>150</v>
      </c>
      <c r="AE5" s="176">
        <v>1.4999999999999999E-4</v>
      </c>
      <c r="AF5" s="278">
        <f t="shared" ref="AF5:AF54" si="9">AE5*N5/1.5</f>
        <v>1.2507895656112999E-4</v>
      </c>
    </row>
    <row r="6" spans="2:32">
      <c r="B6" s="179">
        <v>2</v>
      </c>
      <c r="C6" s="180" cm="1">
        <f t="array" ref="C6">_xlfn.IFNA(
   _xlfn._xlws.FILTER(
      Sim_Mul_Bet100!$F$2:$F$100,
      (Sim_Mul_Bet100!$A$2:$A$100=C$2) * (Sim_Mul_Bet100!$C$2:$C$100=$B6),0
   ),
   0
)</f>
        <v>5.68222E-3</v>
      </c>
      <c r="D6" s="181" cm="1">
        <f t="array" ref="D6">_xlfn.IFNA(
   _xlfn._xlws.FILTER(
      Sim_Mul_Bet100!$F$2:$F$100,
      (Sim_Mul_Bet100!$A$2:$A$100=D$2) * (Sim_Mul_Bet100!$C$2:$C$100=$B6),0
   ),
   0
)</f>
        <v>3.2207840000000001E-2</v>
      </c>
      <c r="E6" s="182" cm="1">
        <f t="array" ref="E6">_xlfn.IFNA(
   _xlfn._xlws.FILTER(
      Sim_Mul_Bet100!$F$2:$F$100,
      (Sim_Mul_Bet100!$A$2:$A$100=E$2) * (Sim_Mul_Bet100!$C$2:$C$100=$B6),0
   ),
   0
)</f>
        <v>0</v>
      </c>
      <c r="F6" s="183" cm="1">
        <f t="array" ref="F6">_xlfn.IFNA(
   _xlfn._xlws.FILTER(
      Sim_Mul_Bet100!$L$2:$L$100,
      (Sim_Mul_Bet100!$A$2:$A$100=F$2) * (Sim_Mul_Bet100!$C$2:$C$100=$B6),0
   ),
   0
)</f>
        <v>2.4905395426435444</v>
      </c>
      <c r="G6" s="184" cm="1">
        <f t="array" ref="G6">_xlfn.IFNA(
   _xlfn._xlws.FILTER(
      Sim_Mul_Bet100!$L$2:$L$100,
      (Sim_Mul_Bet100!$A$2:$A$100=G$2) * (Sim_Mul_Bet100!$C$2:$C$100=$B6),0
   ),
   0
)</f>
        <v>2.3226637116925573</v>
      </c>
      <c r="H6" s="185" cm="1">
        <f t="array" ref="H6">_xlfn.IFNA(
   _xlfn._xlws.FILTER(
      Sim_Mul_Bet100!$L$2:$L$100,
      (Sim_Mul_Bet100!$A$2:$A$100=H$2) * (Sim_Mul_Bet100!$C$2:$C$100=$B6),0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3.2207840000000001E-2</v>
      </c>
      <c r="N6" s="189">
        <f t="shared" si="6"/>
        <v>2.3226637116925573</v>
      </c>
      <c r="O6" s="190">
        <f t="shared" si="7"/>
        <v>9.4500000000000009E-4</v>
      </c>
      <c r="P6" s="190">
        <v>6.3000000000000003E-4</v>
      </c>
      <c r="Q6" s="190">
        <v>6.2904717853839E-4</v>
      </c>
      <c r="R6" s="191">
        <f t="shared" si="0"/>
        <v>2.194917207549467E-3</v>
      </c>
      <c r="T6" s="192">
        <f t="shared" si="2"/>
        <v>945</v>
      </c>
      <c r="U6" s="176">
        <v>9.4499999999999998E-4</v>
      </c>
      <c r="V6" s="195">
        <f t="shared" si="3"/>
        <v>1.463278138366311E-3</v>
      </c>
      <c r="W6" s="194"/>
      <c r="X6" s="102"/>
      <c r="Y6" s="190">
        <f t="shared" si="8"/>
        <v>4.4999999999999999E-4</v>
      </c>
      <c r="Z6" s="190">
        <v>2.9999999999999997E-4</v>
      </c>
      <c r="AA6" s="190">
        <v>6.2904717853839E-4</v>
      </c>
      <c r="AB6" s="276">
        <f t="shared" si="4"/>
        <v>1.0451986702616507E-3</v>
      </c>
      <c r="AD6" s="192">
        <f t="shared" si="5"/>
        <v>450</v>
      </c>
      <c r="AE6" s="176">
        <v>4.4999999999999999E-4</v>
      </c>
      <c r="AF6" s="278">
        <f t="shared" si="9"/>
        <v>6.967991135077671E-4</v>
      </c>
    </row>
    <row r="7" spans="2:32">
      <c r="B7" s="179">
        <v>3</v>
      </c>
      <c r="C7" s="180" cm="1">
        <f t="array" ref="C7">_xlfn.IFNA(
   _xlfn._xlws.FILTER(
      Sim_Mul_Bet100!$F$2:$F$100,
      (Sim_Mul_Bet100!$A$2:$A$100=C$2) * (Sim_Mul_Bet100!$C$2:$C$100=$B7),0
   ),
   0
)</f>
        <v>1.64E-6</v>
      </c>
      <c r="D7" s="181" cm="1">
        <f t="array" ref="D7">_xlfn.IFNA(
   _xlfn._xlws.FILTER(
      Sim_Mul_Bet100!$F$2:$F$100,
      (Sim_Mul_Bet100!$A$2:$A$100=D$2) * (Sim_Mul_Bet100!$C$2:$C$100=$B7),0
   ),
   0
)</f>
        <v>6.8070000000000001E-4</v>
      </c>
      <c r="E7" s="182" cm="1">
        <f t="array" ref="E7">_xlfn.IFNA(
   _xlfn._xlws.FILTER(
      Sim_Mul_Bet100!$F$2:$F$100,
      (Sim_Mul_Bet100!$A$2:$A$100=E$2) * (Sim_Mul_Bet100!$C$2:$C$100=$B7),0
   ),
   0
)</f>
        <v>0</v>
      </c>
      <c r="F7" s="183" cm="1">
        <f t="array" ref="F7">_xlfn.IFNA(
   _xlfn._xlws.FILTER(
      Sim_Mul_Bet100!$L$2:$L$100,
      (Sim_Mul_Bet100!$A$2:$A$100=F$2) * (Sim_Mul_Bet100!$C$2:$C$100=$B7),0
   ),
   0
)</f>
        <v>3.0614634146341468</v>
      </c>
      <c r="G7" s="184" cm="1">
        <f t="array" ref="G7">_xlfn.IFNA(
   _xlfn._xlws.FILTER(
      Sim_Mul_Bet100!$L$2:$L$100,
      (Sim_Mul_Bet100!$A$2:$A$100=G$2) * (Sim_Mul_Bet100!$C$2:$C$100=$B7),0
   ),
   0
)</f>
        <v>3.059782282944028</v>
      </c>
      <c r="H7" s="185" cm="1">
        <f t="array" ref="H7">_xlfn.IFNA(
   _xlfn._xlws.FILTER(
      Sim_Mul_Bet100!$L$2:$L$100,
      (Sim_Mul_Bet100!$A$2:$A$100=H$2) * (Sim_Mul_Bet100!$C$2:$C$100=$B7),0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6.8070000000000001E-4</v>
      </c>
      <c r="N7" s="189">
        <f t="shared" si="6"/>
        <v>3.059782282944028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X7" s="102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Sim_Mul_Bet100!$F$2:$F$100,
      (Sim_Mul_Bet100!$A$2:$A$100=C$2) * (Sim_Mul_Bet100!$C$2:$C$100=$B8),0
   ),
   0
)</f>
        <v>2.064365E-2</v>
      </c>
      <c r="D8" s="181" cm="1">
        <f t="array" ref="D8">_xlfn.IFNA(
   _xlfn._xlws.FILTER(
      Sim_Mul_Bet100!$F$2:$F$100,
      (Sim_Mul_Bet100!$A$2:$A$100=D$2) * (Sim_Mul_Bet100!$C$2:$C$100=$B8),0
   ),
   0
)</f>
        <v>1.8477009999999999E-2</v>
      </c>
      <c r="E8" s="182" cm="1">
        <f t="array" ref="E8">_xlfn.IFNA(
   _xlfn._xlws.FILTER(
      Sim_Mul_Bet100!$F$2:$F$100,
      (Sim_Mul_Bet100!$A$2:$A$100=E$2) * (Sim_Mul_Bet100!$C$2:$C$100=$B8),0
   ),
   0
)</f>
        <v>0</v>
      </c>
      <c r="F8" s="183" cm="1">
        <f t="array" ref="F8">_xlfn.IFNA(
   _xlfn._xlws.FILTER(
      Sim_Mul_Bet100!$L$2:$L$100,
      (Sim_Mul_Bet100!$A$2:$A$100=F$2) * (Sim_Mul_Bet100!$C$2:$C$100=$B8),0
   ),
   0
)</f>
        <v>5</v>
      </c>
      <c r="G8" s="184" cm="1">
        <f t="array" ref="G8">_xlfn.IFNA(
   _xlfn._xlws.FILTER(
      Sim_Mul_Bet100!$L$2:$L$100,
      (Sim_Mul_Bet100!$A$2:$A$100=G$2) * (Sim_Mul_Bet100!$C$2:$C$100=$B8),0
   ),
   0
)</f>
        <v>5</v>
      </c>
      <c r="H8" s="185" cm="1">
        <f t="array" ref="H8">_xlfn.IFNA(
   _xlfn._xlws.FILTER(
      Sim_Mul_Bet100!$L$2:$L$100,
      (Sim_Mul_Bet100!$A$2:$A$100=H$2) * (Sim_Mul_Bet100!$C$2:$C$100=$B8),0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1.8477009999999999E-2</v>
      </c>
      <c r="N8" s="189">
        <f t="shared" si="6"/>
        <v>5</v>
      </c>
      <c r="O8" s="190">
        <f t="shared" si="7"/>
        <v>0.03</v>
      </c>
      <c r="P8" s="190">
        <v>0.02</v>
      </c>
      <c r="Q8" s="190">
        <v>1.24699352451434E-2</v>
      </c>
      <c r="R8" s="191">
        <f t="shared" si="0"/>
        <v>0.15</v>
      </c>
      <c r="T8" s="192">
        <f t="shared" si="2"/>
        <v>30000</v>
      </c>
      <c r="U8" s="176">
        <v>0.03</v>
      </c>
      <c r="V8" s="195">
        <f t="shared" si="3"/>
        <v>9.9999999999999992E-2</v>
      </c>
      <c r="W8" s="194"/>
      <c r="X8" s="102"/>
      <c r="Y8" s="190">
        <f t="shared" si="8"/>
        <v>2.2499999999999999E-2</v>
      </c>
      <c r="Z8" s="190">
        <v>1.4999999999999999E-2</v>
      </c>
      <c r="AA8" s="190">
        <v>1.24699352451434E-2</v>
      </c>
      <c r="AB8" s="276">
        <f t="shared" si="4"/>
        <v>0.11249999999999999</v>
      </c>
      <c r="AD8" s="192">
        <f t="shared" si="5"/>
        <v>22500</v>
      </c>
      <c r="AE8" s="176">
        <v>2.2499999999999999E-2</v>
      </c>
      <c r="AF8" s="278">
        <f t="shared" si="9"/>
        <v>7.4999999999999997E-2</v>
      </c>
    </row>
    <row r="9" spans="2:32">
      <c r="B9" s="179">
        <v>5</v>
      </c>
      <c r="C9" s="180" cm="1">
        <f t="array" ref="C9">_xlfn.IFNA(
   _xlfn._xlws.FILTER(
      Sim_Mul_Bet100!$F$2:$F$100,
      (Sim_Mul_Bet100!$A$2:$A$100=C$2) * (Sim_Mul_Bet100!$C$2:$C$100=$B9),0
   ),
   0
)</f>
        <v>2.1856069999999998E-2</v>
      </c>
      <c r="D9" s="181" cm="1">
        <f t="array" ref="D9">_xlfn.IFNA(
   _xlfn._xlws.FILTER(
      Sim_Mul_Bet100!$F$2:$F$100,
      (Sim_Mul_Bet100!$A$2:$A$100=D$2) * (Sim_Mul_Bet100!$C$2:$C$100=$B9),0
   ),
   0
)</f>
        <v>5.4462860000000002E-2</v>
      </c>
      <c r="E9" s="182" cm="1">
        <f t="array" ref="E9">_xlfn.IFNA(
   _xlfn._xlws.FILTER(
      Sim_Mul_Bet100!$F$2:$F$100,
      (Sim_Mul_Bet100!$A$2:$A$100=E$2) * (Sim_Mul_Bet100!$C$2:$C$100=$B9),0
   ),
   0
)</f>
        <v>0</v>
      </c>
      <c r="F9" s="183" cm="1">
        <f t="array" ref="F9">_xlfn.IFNA(
   _xlfn._xlws.FILTER(
      Sim_Mul_Bet100!$L$2:$L$100,
      (Sim_Mul_Bet100!$A$2:$A$100=F$2) * (Sim_Mul_Bet100!$C$2:$C$100=$B9),0
   ),
   0
)</f>
        <v>5.0941132326168432</v>
      </c>
      <c r="G9" s="184" cm="1">
        <f t="array" ref="G9">_xlfn.IFNA(
   _xlfn._xlws.FILTER(
      Sim_Mul_Bet100!$L$2:$L$100,
      (Sim_Mul_Bet100!$A$2:$A$100=G$2) * (Sim_Mul_Bet100!$C$2:$C$100=$B9),0
   ),
   0
)</f>
        <v>5.2439488855341052</v>
      </c>
      <c r="H9" s="185" cm="1">
        <f t="array" ref="H9">_xlfn.IFNA(
   _xlfn._xlws.FILTER(
      Sim_Mul_Bet100!$L$2:$L$100,
      (Sim_Mul_Bet100!$A$2:$A$100=H$2) * (Sim_Mul_Bet100!$C$2:$C$100=$B9),0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5.4462860000000002E-2</v>
      </c>
      <c r="N9" s="189">
        <f t="shared" si="6"/>
        <v>5.2439488855341052</v>
      </c>
      <c r="O9" s="190">
        <f t="shared" si="7"/>
        <v>5.0250000000000003E-2</v>
      </c>
      <c r="P9" s="190">
        <v>3.3500000000000002E-2</v>
      </c>
      <c r="Q9" s="190">
        <v>3.3376503237742799E-2</v>
      </c>
      <c r="R9" s="191">
        <f t="shared" si="0"/>
        <v>0.26350843149808878</v>
      </c>
      <c r="T9" s="192">
        <f t="shared" si="2"/>
        <v>50250</v>
      </c>
      <c r="U9" s="176">
        <v>5.0250000000000003E-2</v>
      </c>
      <c r="V9" s="195">
        <f t="shared" si="3"/>
        <v>0.17567228766539253</v>
      </c>
      <c r="W9" s="194"/>
      <c r="X9" s="102"/>
      <c r="Y9" s="190">
        <f t="shared" si="8"/>
        <v>7.4999999999999997E-3</v>
      </c>
      <c r="Z9" s="190">
        <v>5.0000000000000001E-3</v>
      </c>
      <c r="AA9" s="190">
        <v>3.3376503237742799E-2</v>
      </c>
      <c r="AB9" s="276">
        <f t="shared" si="4"/>
        <v>3.9329616641505791E-2</v>
      </c>
      <c r="AD9" s="192">
        <f t="shared" si="5"/>
        <v>7500</v>
      </c>
      <c r="AE9" s="176">
        <v>7.4999999999999997E-3</v>
      </c>
      <c r="AF9" s="278">
        <f t="shared" si="9"/>
        <v>2.6219744427670527E-2</v>
      </c>
    </row>
    <row r="10" spans="2:32">
      <c r="B10" s="179">
        <v>6</v>
      </c>
      <c r="C10" s="180" cm="1">
        <f t="array" ref="C10">_xlfn.IFNA(
   _xlfn._xlws.FILTER(
      Sim_Mul_Bet100!$F$2:$F$100,
      (Sim_Mul_Bet100!$A$2:$A$100=C$2) * (Sim_Mul_Bet100!$C$2:$C$100=$B10),0
   ),
   0
)</f>
        <v>3.392E-5</v>
      </c>
      <c r="D10" s="181" cm="1">
        <f t="array" ref="D10">_xlfn.IFNA(
   _xlfn._xlws.FILTER(
      Sim_Mul_Bet100!$F$2:$F$100,
      (Sim_Mul_Bet100!$A$2:$A$100=D$2) * (Sim_Mul_Bet100!$C$2:$C$100=$B10),0
   ),
   0
)</f>
        <v>3.5794199999999998E-3</v>
      </c>
      <c r="E10" s="182" cm="1">
        <f t="array" ref="E10">_xlfn.IFNA(
   _xlfn._xlws.FILTER(
      Sim_Mul_Bet100!$F$2:$F$100,
      (Sim_Mul_Bet100!$A$2:$A$100=E$2) * (Sim_Mul_Bet100!$C$2:$C$100=$B10),0
   ),
   0
)</f>
        <v>0</v>
      </c>
      <c r="F10" s="183" cm="1">
        <f t="array" ref="F10">_xlfn.IFNA(
   _xlfn._xlws.FILTER(
      Sim_Mul_Bet100!$L$2:$L$100,
      (Sim_Mul_Bet100!$A$2:$A$100=F$2) * (Sim_Mul_Bet100!$C$2:$C$100=$B10),0
   ),
   0
)</f>
        <v>6.115881485849056</v>
      </c>
      <c r="G10" s="184" cm="1">
        <f t="array" ref="G10">_xlfn.IFNA(
   _xlfn._xlws.FILTER(
      Sim_Mul_Bet100!$L$2:$L$100,
      (Sim_Mul_Bet100!$A$2:$A$100=G$2) * (Sim_Mul_Bet100!$C$2:$C$100=$B10),0
   ),
   0
)</f>
        <v>6.1630218582898895</v>
      </c>
      <c r="H10" s="185" cm="1">
        <f t="array" ref="H10">_xlfn.IFNA(
   _xlfn._xlws.FILTER(
      Sim_Mul_Bet100!$L$2:$L$100,
      (Sim_Mul_Bet100!$A$2:$A$100=H$2) * (Sim_Mul_Bet100!$C$2:$C$100=$B10),0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3.5794199999999998E-3</v>
      </c>
      <c r="N10" s="189">
        <f t="shared" si="6"/>
        <v>6.1630218582898895</v>
      </c>
      <c r="O10" s="190">
        <f t="shared" si="7"/>
        <v>5.55041628122109E-5</v>
      </c>
      <c r="P10" s="190">
        <v>3.7002775208140602E-5</v>
      </c>
      <c r="Q10" s="190">
        <v>3.7002775208140602E-5</v>
      </c>
      <c r="R10" s="191">
        <f t="shared" si="0"/>
        <v>3.4207336863773658E-4</v>
      </c>
      <c r="T10" s="192">
        <f t="shared" si="2"/>
        <v>56</v>
      </c>
      <c r="U10" s="176">
        <v>5.5999999999999999E-5</v>
      </c>
      <c r="V10" s="195">
        <f t="shared" si="3"/>
        <v>2.3008614937615587E-4</v>
      </c>
      <c r="W10" s="194"/>
      <c r="X10" s="102"/>
      <c r="Y10" s="190">
        <f t="shared" si="8"/>
        <v>4.5000000000000003E-5</v>
      </c>
      <c r="Z10" s="190">
        <v>3.0000000000000001E-5</v>
      </c>
      <c r="AA10" s="190">
        <v>3.7002775208140602E-5</v>
      </c>
      <c r="AB10" s="276">
        <f t="shared" si="4"/>
        <v>2.7733598362304502E-4</v>
      </c>
      <c r="AD10" s="192">
        <f t="shared" si="5"/>
        <v>45</v>
      </c>
      <c r="AE10" s="176">
        <v>4.5000000000000003E-5</v>
      </c>
      <c r="AF10" s="278">
        <f t="shared" si="9"/>
        <v>1.8489065574869669E-4</v>
      </c>
    </row>
    <row r="11" spans="2:32">
      <c r="B11" s="179">
        <v>7</v>
      </c>
      <c r="C11" s="180" cm="1">
        <f t="array" ref="C11">_xlfn.IFNA(
   _xlfn._xlws.FILTER(
      Sim_Mul_Bet100!$F$2:$F$100,
      (Sim_Mul_Bet100!$A$2:$A$100=C$2) * (Sim_Mul_Bet100!$C$2:$C$100=$B11),0
   ),
   0
)</f>
        <v>6.3919999999999998E-5</v>
      </c>
      <c r="D11" s="181" cm="1">
        <f t="array" ref="D11">_xlfn.IFNA(
   _xlfn._xlws.FILTER(
      Sim_Mul_Bet100!$F$2:$F$100,
      (Sim_Mul_Bet100!$A$2:$A$100=D$2) * (Sim_Mul_Bet100!$C$2:$C$100=$B11),0
   ),
   0
)</f>
        <v>1.02822E-3</v>
      </c>
      <c r="E11" s="182" cm="1">
        <f t="array" ref="E11">_xlfn.IFNA(
   _xlfn._xlws.FILTER(
      Sim_Mul_Bet100!$F$2:$F$100,
      (Sim_Mul_Bet100!$A$2:$A$100=E$2) * (Sim_Mul_Bet100!$C$2:$C$100=$B11),0
   ),
   0
)</f>
        <v>0</v>
      </c>
      <c r="F11" s="183" cm="1">
        <f t="array" ref="F11">_xlfn.IFNA(
   _xlfn._xlws.FILTER(
      Sim_Mul_Bet100!$L$2:$L$100,
      (Sim_Mul_Bet100!$A$2:$A$100=F$2) * (Sim_Mul_Bet100!$C$2:$C$100=$B11),0
   ),
   0
)</f>
        <v>7.5028942428035057</v>
      </c>
      <c r="G11" s="184" cm="1">
        <f t="array" ref="G11">_xlfn.IFNA(
   _xlfn._xlws.FILTER(
      Sim_Mul_Bet100!$L$2:$L$100,
      (Sim_Mul_Bet100!$A$2:$A$100=G$2) * (Sim_Mul_Bet100!$C$2:$C$100=$B11),0
   ),
   0
)</f>
        <v>7.5933023088444109</v>
      </c>
      <c r="H11" s="185" cm="1">
        <f t="array" ref="H11">_xlfn.IFNA(
   _xlfn._xlws.FILTER(
      Sim_Mul_Bet100!$L$2:$L$100,
      (Sim_Mul_Bet100!$A$2:$A$100=H$2) * (Sim_Mul_Bet100!$C$2:$C$100=$B11),0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1.02822E-3</v>
      </c>
      <c r="N11" s="189">
        <f t="shared" si="6"/>
        <v>7.5933023088444109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X11" s="102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Sim_Mul_Bet100!$F$2:$F$100,
      (Sim_Mul_Bet100!$A$2:$A$100=C$2) * (Sim_Mul_Bet100!$C$2:$C$100=$B12),0
   ),
   0
)</f>
        <v>0</v>
      </c>
      <c r="D12" s="181" cm="1">
        <f t="array" ref="D12">_xlfn.IFNA(
   _xlfn._xlws.FILTER(
      Sim_Mul_Bet100!$F$2:$F$100,
      (Sim_Mul_Bet100!$A$2:$A$100=D$2) * (Sim_Mul_Bet100!$C$2:$C$100=$B12),0
   ),
   0
)</f>
        <v>0</v>
      </c>
      <c r="E12" s="182" cm="1">
        <f t="array" ref="E12">_xlfn.IFNA(
   _xlfn._xlws.FILTER(
      Sim_Mul_Bet100!$F$2:$F$100,
      (Sim_Mul_Bet100!$A$2:$A$100=E$2) * (Sim_Mul_Bet100!$C$2:$C$100=$B12),0
   ),
   0
)</f>
        <v>0</v>
      </c>
      <c r="F12" s="183" cm="1">
        <f t="array" ref="F12">_xlfn.IFNA(
   _xlfn._xlws.FILTER(
      Sim_Mul_Bet100!$L$2:$L$100,
      (Sim_Mul_Bet100!$A$2:$A$100=F$2) * (Sim_Mul_Bet100!$C$2:$C$100=$B12),0
   ),
   0
)</f>
        <v>0</v>
      </c>
      <c r="G12" s="184" cm="1">
        <f t="array" ref="G12">_xlfn.IFNA(
   _xlfn._xlws.FILTER(
      Sim_Mul_Bet100!$L$2:$L$100,
      (Sim_Mul_Bet100!$A$2:$A$100=G$2) * (Sim_Mul_Bet100!$C$2:$C$100=$B12),0
   ),
   0
)</f>
        <v>0</v>
      </c>
      <c r="H12" s="185" cm="1">
        <f t="array" ref="H12">_xlfn.IFNA(
   _xlfn._xlws.FILTER(
      Sim_Mul_Bet100!$L$2:$L$100,
      (Sim_Mul_Bet100!$A$2:$A$100=H$2) * (Sim_Mul_Bet100!$C$2:$C$100=$B12),0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102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Sim_Mul_Bet100!$F$2:$F$100,
      (Sim_Mul_Bet100!$A$2:$A$100=C$2) * (Sim_Mul_Bet100!$C$2:$C$100=$B13),0
   ),
   0
)</f>
        <v>1.0493890000000001E-2</v>
      </c>
      <c r="D13" s="181" cm="1">
        <f t="array" ref="D13">_xlfn.IFNA(
   _xlfn._xlws.FILTER(
      Sim_Mul_Bet100!$F$2:$F$100,
      (Sim_Mul_Bet100!$A$2:$A$100=D$2) * (Sim_Mul_Bet100!$C$2:$C$100=$B13),0
   ),
   0
)</f>
        <v>2.44038E-2</v>
      </c>
      <c r="E13" s="182" cm="1">
        <f t="array" ref="E13">_xlfn.IFNA(
   _xlfn._xlws.FILTER(
      Sim_Mul_Bet100!$F$2:$F$100,
      (Sim_Mul_Bet100!$A$2:$A$100=E$2) * (Sim_Mul_Bet100!$C$2:$C$100=$B13),0
   ),
   0
)</f>
        <v>0</v>
      </c>
      <c r="F13" s="183" cm="1">
        <f t="array" ref="F13">_xlfn.IFNA(
   _xlfn._xlws.FILTER(
      Sim_Mul_Bet100!$L$2:$L$100,
      (Sim_Mul_Bet100!$A$2:$A$100=F$2) * (Sim_Mul_Bet100!$C$2:$C$100=$B13),0
   ),
   0
)</f>
        <v>10</v>
      </c>
      <c r="G13" s="184" cm="1">
        <f t="array" ref="G13">_xlfn.IFNA(
   _xlfn._xlws.FILTER(
      Sim_Mul_Bet100!$L$2:$L$100,
      (Sim_Mul_Bet100!$A$2:$A$100=G$2) * (Sim_Mul_Bet100!$C$2:$C$100=$B13),0
   ),
   0
)</f>
        <v>10</v>
      </c>
      <c r="H13" s="185" cm="1">
        <f t="array" ref="H13">_xlfn.IFNA(
   _xlfn._xlws.FILTER(
      Sim_Mul_Bet100!$L$2:$L$100,
      (Sim_Mul_Bet100!$A$2:$A$100=H$2) * (Sim_Mul_Bet100!$C$2:$C$100=$B13),0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2.44038E-2</v>
      </c>
      <c r="N13" s="189">
        <f t="shared" si="6"/>
        <v>10</v>
      </c>
      <c r="O13" s="190">
        <f t="shared" si="7"/>
        <v>8.6265000000000005E-3</v>
      </c>
      <c r="P13" s="190">
        <v>5.751E-3</v>
      </c>
      <c r="Q13" s="190">
        <v>4.4773358001850101E-3</v>
      </c>
      <c r="R13" s="191">
        <f t="shared" si="0"/>
        <v>8.6265000000000008E-2</v>
      </c>
      <c r="T13" s="192">
        <f t="shared" si="2"/>
        <v>8627</v>
      </c>
      <c r="U13" s="176">
        <v>8.6269999999999993E-3</v>
      </c>
      <c r="V13" s="195">
        <f t="shared" si="3"/>
        <v>5.7513333333333326E-2</v>
      </c>
      <c r="W13" s="194"/>
      <c r="X13" s="102"/>
      <c r="Y13" s="190">
        <f t="shared" si="8"/>
        <v>1.4999999999999999E-2</v>
      </c>
      <c r="Z13" s="190">
        <v>0.01</v>
      </c>
      <c r="AA13" s="190">
        <v>4.4773358001850101E-3</v>
      </c>
      <c r="AB13" s="276">
        <f t="shared" si="4"/>
        <v>0.15</v>
      </c>
      <c r="AD13" s="192">
        <f t="shared" si="5"/>
        <v>15000</v>
      </c>
      <c r="AE13" s="176">
        <v>1.4999999999999999E-2</v>
      </c>
      <c r="AF13" s="278">
        <f t="shared" si="9"/>
        <v>9.9999999999999992E-2</v>
      </c>
    </row>
    <row r="14" spans="2:32">
      <c r="B14" s="179">
        <v>10</v>
      </c>
      <c r="C14" s="180" cm="1">
        <f t="array" ref="C14">_xlfn.IFNA(
   _xlfn._xlws.FILTER(
      Sim_Mul_Bet100!$F$2:$F$100,
      (Sim_Mul_Bet100!$A$2:$A$100=C$2) * (Sim_Mul_Bet100!$C$2:$C$100=$B14),0
   ),
   0
)</f>
        <v>8.9700400000000003E-3</v>
      </c>
      <c r="D14" s="181" cm="1">
        <f t="array" ref="D14">_xlfn.IFNA(
   _xlfn._xlws.FILTER(
      Sim_Mul_Bet100!$F$2:$F$100,
      (Sim_Mul_Bet100!$A$2:$A$100=D$2) * (Sim_Mul_Bet100!$C$2:$C$100=$B14),0
   ),
   0
)</f>
        <v>8.0555749999999995E-2</v>
      </c>
      <c r="E14" s="182" cm="1">
        <f t="array" ref="E14">_xlfn.IFNA(
   _xlfn._xlws.FILTER(
      Sim_Mul_Bet100!$F$2:$F$100,
      (Sim_Mul_Bet100!$A$2:$A$100=E$2) * (Sim_Mul_Bet100!$C$2:$C$100=$B14),0
   ),
   0
)</f>
        <v>0</v>
      </c>
      <c r="F14" s="183" cm="1">
        <f t="array" ref="F14">_xlfn.IFNA(
   _xlfn._xlws.FILTER(
      Sim_Mul_Bet100!$L$2:$L$100,
      (Sim_Mul_Bet100!$A$2:$A$100=F$2) * (Sim_Mul_Bet100!$C$2:$C$100=$B14),0
   ),
   0
)</f>
        <v>11.155747833900406</v>
      </c>
      <c r="G14" s="184" cm="1">
        <f t="array" ref="G14">_xlfn.IFNA(
   _xlfn._xlws.FILTER(
      Sim_Mul_Bet100!$L$2:$L$100,
      (Sim_Mul_Bet100!$A$2:$A$100=G$2) * (Sim_Mul_Bet100!$C$2:$C$100=$B14),0
   ),
   0
)</f>
        <v>10.510928898309555</v>
      </c>
      <c r="H14" s="185" cm="1">
        <f t="array" ref="H14">_xlfn.IFNA(
   _xlfn._xlws.FILTER(
      Sim_Mul_Bet100!$L$2:$L$100,
      (Sim_Mul_Bet100!$A$2:$A$100=H$2) * (Sim_Mul_Bet100!$C$2:$C$100=$B14),0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8.0555749999999995E-2</v>
      </c>
      <c r="N14" s="189">
        <f t="shared" si="6"/>
        <v>10.510928898309555</v>
      </c>
      <c r="O14" s="190">
        <f t="shared" si="7"/>
        <v>1.4999999999999999E-2</v>
      </c>
      <c r="P14" s="190">
        <v>0.01</v>
      </c>
      <c r="Q14" s="190">
        <v>8.4736355226642003E-3</v>
      </c>
      <c r="R14" s="191">
        <f t="shared" si="0"/>
        <v>0.1576639334746433</v>
      </c>
      <c r="T14" s="192">
        <f t="shared" si="2"/>
        <v>15000</v>
      </c>
      <c r="U14" s="176">
        <v>1.4999999999999999E-2</v>
      </c>
      <c r="V14" s="195">
        <f t="shared" si="3"/>
        <v>0.10510928898309553</v>
      </c>
      <c r="W14" s="194"/>
      <c r="X14" s="102"/>
      <c r="Y14" s="190">
        <f t="shared" si="8"/>
        <v>1.5000000000000001E-4</v>
      </c>
      <c r="Z14" s="190">
        <v>1E-4</v>
      </c>
      <c r="AA14" s="190">
        <v>8.4736355226642003E-3</v>
      </c>
      <c r="AB14" s="276">
        <f t="shared" si="4"/>
        <v>1.5766393347464334E-3</v>
      </c>
      <c r="AD14" s="192">
        <f t="shared" si="5"/>
        <v>150</v>
      </c>
      <c r="AE14" s="176">
        <v>1.4999999999999999E-4</v>
      </c>
      <c r="AF14" s="278">
        <f t="shared" si="9"/>
        <v>1.0510928898309552E-3</v>
      </c>
    </row>
    <row r="15" spans="2:32">
      <c r="B15" s="179">
        <v>15</v>
      </c>
      <c r="C15" s="180" cm="1">
        <f t="array" ref="C15">_xlfn.IFNA(
   _xlfn._xlws.FILTER(
      Sim_Mul_Bet100!$F$2:$F$100,
      (Sim_Mul_Bet100!$A$2:$A$100=C$2) * (Sim_Mul_Bet100!$C$2:$C$100=$B15),0
   ),
   0
)</f>
        <v>1.0327889999999999E-2</v>
      </c>
      <c r="D15" s="181" cm="1">
        <f t="array" ref="D15">_xlfn.IFNA(
   _xlfn._xlws.FILTER(
      Sim_Mul_Bet100!$F$2:$F$100,
      (Sim_Mul_Bet100!$A$2:$A$100=D$2) * (Sim_Mul_Bet100!$C$2:$C$100=$B15),0
   ),
   0
)</f>
        <v>1.7923870000000001E-2</v>
      </c>
      <c r="E15" s="182" cm="1">
        <f t="array" ref="E15">_xlfn.IFNA(
   _xlfn._xlws.FILTER(
      Sim_Mul_Bet100!$F$2:$F$100,
      (Sim_Mul_Bet100!$A$2:$A$100=E$2) * (Sim_Mul_Bet100!$C$2:$C$100=$B15),0
   ),
   0
)</f>
        <v>0</v>
      </c>
      <c r="F15" s="183" cm="1">
        <f t="array" ref="F15">_xlfn.IFNA(
   _xlfn._xlws.FILTER(
      Sim_Mul_Bet100!$L$2:$L$100,
      (Sim_Mul_Bet100!$A$2:$A$100=F$2) * (Sim_Mul_Bet100!$C$2:$C$100=$B15),0
   ),
   0
)</f>
        <v>18.634429084740447</v>
      </c>
      <c r="G15" s="184" cm="1">
        <f t="array" ref="G15">_xlfn.IFNA(
   _xlfn._xlws.FILTER(
      Sim_Mul_Bet100!$L$2:$L$100,
      (Sim_Mul_Bet100!$A$2:$A$100=G$2) * (Sim_Mul_Bet100!$C$2:$C$100=$B15),0
   ),
   0
)</f>
        <v>18.57694056026963</v>
      </c>
      <c r="H15" s="185" cm="1">
        <f t="array" ref="H15">_xlfn.IFNA(
   _xlfn._xlws.FILTER(
      Sim_Mul_Bet100!$L$2:$L$100,
      (Sim_Mul_Bet100!$A$2:$A$100=H$2) * (Sim_Mul_Bet100!$C$2:$C$100=$B15),0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1.7923870000000001E-2</v>
      </c>
      <c r="N15" s="189">
        <f t="shared" si="6"/>
        <v>18.57694056026963</v>
      </c>
      <c r="O15" s="190">
        <f t="shared" si="7"/>
        <v>1.0500000000000001E-2</v>
      </c>
      <c r="P15" s="190">
        <v>7.0000000000000001E-3</v>
      </c>
      <c r="Q15" s="190">
        <v>7.9555966697502298E-3</v>
      </c>
      <c r="R15" s="191">
        <f t="shared" si="0"/>
        <v>0.19505787588283113</v>
      </c>
      <c r="T15" s="192">
        <f t="shared" si="2"/>
        <v>10500</v>
      </c>
      <c r="U15" s="176">
        <v>1.0500000000000001E-2</v>
      </c>
      <c r="V15" s="195">
        <f t="shared" si="3"/>
        <v>0.13003858392188741</v>
      </c>
      <c r="W15" s="194"/>
      <c r="X15" s="102"/>
      <c r="Y15" s="190">
        <f t="shared" si="8"/>
        <v>6.0000000000000001E-3</v>
      </c>
      <c r="Z15" s="190">
        <v>4.0000000000000001E-3</v>
      </c>
      <c r="AA15" s="190">
        <v>7.9555966697502298E-3</v>
      </c>
      <c r="AB15" s="276">
        <f t="shared" si="4"/>
        <v>0.11146164336161779</v>
      </c>
      <c r="AD15" s="192">
        <f t="shared" si="5"/>
        <v>6000</v>
      </c>
      <c r="AE15" s="176">
        <v>6.0000000000000001E-3</v>
      </c>
      <c r="AF15" s="278">
        <f t="shared" si="9"/>
        <v>7.4307762241078532E-2</v>
      </c>
    </row>
    <row r="16" spans="2:32">
      <c r="B16" s="179">
        <v>20</v>
      </c>
      <c r="C16" s="180" cm="1">
        <f t="array" ref="C16">_xlfn.IFNA(
   _xlfn._xlws.FILTER(
      Sim_Mul_Bet100!$F$2:$F$100,
      (Sim_Mul_Bet100!$A$2:$A$100=C$2) * (Sim_Mul_Bet100!$C$2:$C$100=$B16),0
   ),
   0
)</f>
        <v>2.8900699999999998E-3</v>
      </c>
      <c r="D16" s="181" cm="1">
        <f t="array" ref="D16">_xlfn.IFNA(
   _xlfn._xlws.FILTER(
      Sim_Mul_Bet100!$F$2:$F$100,
      (Sim_Mul_Bet100!$A$2:$A$100=D$2) * (Sim_Mul_Bet100!$C$2:$C$100=$B16),0
   ),
   0
)</f>
        <v>3.1988219999999998E-2</v>
      </c>
      <c r="E16" s="182" cm="1">
        <f t="array" ref="E16">_xlfn.IFNA(
   _xlfn._xlws.FILTER(
      Sim_Mul_Bet100!$F$2:$F$100,
      (Sim_Mul_Bet100!$A$2:$A$100=E$2) * (Sim_Mul_Bet100!$C$2:$C$100=$B16),0
   ),
   0
)</f>
        <v>0</v>
      </c>
      <c r="F16" s="183" cm="1">
        <f t="array" ref="F16">_xlfn.IFNA(
   _xlfn._xlws.FILTER(
      Sim_Mul_Bet100!$L$2:$L$100,
      (Sim_Mul_Bet100!$A$2:$A$100=F$2) * (Sim_Mul_Bet100!$C$2:$C$100=$B16),0
   ),
   0
)</f>
        <v>23.671859608936806</v>
      </c>
      <c r="G16" s="184" cm="1">
        <f t="array" ref="G16">_xlfn.IFNA(
   _xlfn._xlws.FILTER(
      Sim_Mul_Bet100!$L$2:$L$100,
      (Sim_Mul_Bet100!$A$2:$A$100=G$2) * (Sim_Mul_Bet100!$C$2:$C$100=$B16),0
   ),
   0
)</f>
        <v>21.201223659834778</v>
      </c>
      <c r="H16" s="185" cm="1">
        <f t="array" ref="H16">_xlfn.IFNA(
   _xlfn._xlws.FILTER(
      Sim_Mul_Bet100!$L$2:$L$100,
      (Sim_Mul_Bet100!$A$2:$A$100=H$2) * (Sim_Mul_Bet100!$C$2:$C$100=$B16),0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3.1988219999999998E-2</v>
      </c>
      <c r="N16" s="189">
        <f t="shared" si="6"/>
        <v>21.201223659834778</v>
      </c>
      <c r="O16" s="190">
        <f t="shared" si="7"/>
        <v>2.9399999999999999E-3</v>
      </c>
      <c r="P16" s="190">
        <v>1.9599999999999999E-3</v>
      </c>
      <c r="Q16" s="190">
        <v>1.7391304347826101E-3</v>
      </c>
      <c r="R16" s="191">
        <f t="shared" si="0"/>
        <v>6.2331597559914242E-2</v>
      </c>
      <c r="T16" s="192">
        <f t="shared" si="2"/>
        <v>2940</v>
      </c>
      <c r="U16" s="176">
        <v>2.9399999999999999E-3</v>
      </c>
      <c r="V16" s="195">
        <f t="shared" si="3"/>
        <v>4.1554398373276159E-2</v>
      </c>
      <c r="W16" s="194"/>
      <c r="X16" s="102"/>
      <c r="Y16" s="190">
        <f t="shared" si="8"/>
        <v>5.2350000000000001E-3</v>
      </c>
      <c r="Z16" s="190">
        <v>3.49E-3</v>
      </c>
      <c r="AA16" s="190">
        <v>1.7391304347826101E-3</v>
      </c>
      <c r="AB16" s="276">
        <f t="shared" si="4"/>
        <v>0.11098840585923506</v>
      </c>
      <c r="AD16" s="192">
        <f t="shared" si="5"/>
        <v>5235</v>
      </c>
      <c r="AE16" s="176">
        <v>5.2350000000000001E-3</v>
      </c>
      <c r="AF16" s="278">
        <f t="shared" si="9"/>
        <v>7.3992270572823371E-2</v>
      </c>
    </row>
    <row r="17" spans="2:32">
      <c r="B17" s="179">
        <v>25</v>
      </c>
      <c r="C17" s="180" cm="1">
        <f t="array" ref="C17">_xlfn.IFNA(
   _xlfn._xlws.FILTER(
      Sim_Mul_Bet100!$F$2:$F$100,
      (Sim_Mul_Bet100!$A$2:$A$100=C$2) * (Sim_Mul_Bet100!$C$2:$C$100=$B17),0
   ),
   0
)</f>
        <v>4.0475299999999997E-3</v>
      </c>
      <c r="D17" s="181" cm="1">
        <f t="array" ref="D17">_xlfn.IFNA(
   _xlfn._xlws.FILTER(
      Sim_Mul_Bet100!$F$2:$F$100,
      (Sim_Mul_Bet100!$A$2:$A$100=D$2) * (Sim_Mul_Bet100!$C$2:$C$100=$B17),0
   ),
   0
)</f>
        <v>1.534309E-2</v>
      </c>
      <c r="E17" s="182" cm="1">
        <f t="array" ref="E17">_xlfn.IFNA(
   _xlfn._xlws.FILTER(
      Sim_Mul_Bet100!$F$2:$F$100,
      (Sim_Mul_Bet100!$A$2:$A$100=E$2) * (Sim_Mul_Bet100!$C$2:$C$100=$B17),0
   ),
   0
)</f>
        <v>0</v>
      </c>
      <c r="F17" s="183" cm="1">
        <f t="array" ref="F17">_xlfn.IFNA(
   _xlfn._xlws.FILTER(
      Sim_Mul_Bet100!$L$2:$L$100,
      (Sim_Mul_Bet100!$A$2:$A$100=F$2) * (Sim_Mul_Bet100!$C$2:$C$100=$B17),0
   ),
   0
)</f>
        <v>29.848303212082431</v>
      </c>
      <c r="G17" s="184" cm="1">
        <f t="array" ref="G17">_xlfn.IFNA(
   _xlfn._xlws.FILTER(
      Sim_Mul_Bet100!$L$2:$L$100,
      (Sim_Mul_Bet100!$A$2:$A$100=G$2) * (Sim_Mul_Bet100!$C$2:$C$100=$B17),0
   ),
   0
)</f>
        <v>27.724806450330412</v>
      </c>
      <c r="H17" s="185" cm="1">
        <f t="array" ref="H17">_xlfn.IFNA(
   _xlfn._xlws.FILTER(
      Sim_Mul_Bet100!$L$2:$L$100,
      (Sim_Mul_Bet100!$A$2:$A$100=H$2) * (Sim_Mul_Bet100!$C$2:$C$100=$B17),0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1.534309E-2</v>
      </c>
      <c r="N17" s="189">
        <f t="shared" si="6"/>
        <v>27.724806450330412</v>
      </c>
      <c r="O17" s="190">
        <f t="shared" si="7"/>
        <v>7.6500000000000005E-4</v>
      </c>
      <c r="P17" s="190">
        <v>5.1000000000000004E-4</v>
      </c>
      <c r="Q17" s="190">
        <v>5.1803885291396901E-4</v>
      </c>
      <c r="R17" s="191">
        <f t="shared" si="0"/>
        <v>2.1209476934502768E-2</v>
      </c>
      <c r="T17" s="192">
        <f t="shared" si="2"/>
        <v>765</v>
      </c>
      <c r="U17" s="176">
        <v>7.6499999999999995E-4</v>
      </c>
      <c r="V17" s="195">
        <f t="shared" si="3"/>
        <v>1.4139651289668509E-2</v>
      </c>
      <c r="W17" s="194"/>
      <c r="X17" s="102"/>
      <c r="Y17" s="190">
        <f t="shared" si="8"/>
        <v>1.5000000000000001E-4</v>
      </c>
      <c r="Z17" s="190">
        <v>1E-4</v>
      </c>
      <c r="AA17" s="190">
        <v>5.1803885291396901E-4</v>
      </c>
      <c r="AB17" s="276">
        <f t="shared" si="4"/>
        <v>4.1587209675495625E-3</v>
      </c>
      <c r="AD17" s="192">
        <f t="shared" si="5"/>
        <v>150</v>
      </c>
      <c r="AE17" s="176">
        <v>1.4999999999999999E-4</v>
      </c>
      <c r="AF17" s="278">
        <f t="shared" si="9"/>
        <v>2.7724806450330412E-3</v>
      </c>
    </row>
    <row r="18" spans="2:32">
      <c r="B18" s="179">
        <v>30</v>
      </c>
      <c r="C18" s="180" cm="1">
        <f t="array" ref="C18">_xlfn.IFNA(
   _xlfn._xlws.FILTER(
      Sim_Mul_Bet100!$F$2:$F$100,
      (Sim_Mul_Bet100!$A$2:$A$100=C$2) * (Sim_Mul_Bet100!$C$2:$C$100=$B18),0
   ),
   0
)</f>
        <v>4.1995999999999998E-4</v>
      </c>
      <c r="D18" s="181" cm="1">
        <f t="array" ref="D18">_xlfn.IFNA(
   _xlfn._xlws.FILTER(
      Sim_Mul_Bet100!$F$2:$F$100,
      (Sim_Mul_Bet100!$A$2:$A$100=D$2) * (Sim_Mul_Bet100!$C$2:$C$100=$B18),0
   ),
   0
)</f>
        <v>1.6329819999999998E-2</v>
      </c>
      <c r="E18" s="182" cm="1">
        <f t="array" ref="E18">_xlfn.IFNA(
   _xlfn._xlws.FILTER(
      Sim_Mul_Bet100!$F$2:$F$100,
      (Sim_Mul_Bet100!$A$2:$A$100=E$2) * (Sim_Mul_Bet100!$C$2:$C$100=$B18),0
   ),
   0
)</f>
        <v>0</v>
      </c>
      <c r="F18" s="183" cm="1">
        <f t="array" ref="F18">_xlfn.IFNA(
   _xlfn._xlws.FILTER(
      Sim_Mul_Bet100!$L$2:$L$100,
      (Sim_Mul_Bet100!$A$2:$A$100=F$2) * (Sim_Mul_Bet100!$C$2:$C$100=$B18),0
   ),
   0
)</f>
        <v>30.361285836746355</v>
      </c>
      <c r="G18" s="184" cm="1">
        <f t="array" ref="G18">_xlfn.IFNA(
   _xlfn._xlws.FILTER(
      Sim_Mul_Bet100!$L$2:$L$100,
      (Sim_Mul_Bet100!$A$2:$A$100=G$2) * (Sim_Mul_Bet100!$C$2:$C$100=$B18),0
   ),
   0
)</f>
        <v>30.511248378732894</v>
      </c>
      <c r="H18" s="185" cm="1">
        <f t="array" ref="H18">_xlfn.IFNA(
   _xlfn._xlws.FILTER(
      Sim_Mul_Bet100!$L$2:$L$100,
      (Sim_Mul_Bet100!$A$2:$A$100=H$2) * (Sim_Mul_Bet100!$C$2:$C$100=$B18),0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1.6329819999999998E-2</v>
      </c>
      <c r="N18" s="189">
        <f t="shared" si="6"/>
        <v>30.511248378732894</v>
      </c>
      <c r="O18" s="190">
        <f t="shared" si="7"/>
        <v>3.8852913968547606E-4</v>
      </c>
      <c r="P18" s="190">
        <v>2.5901942645698402E-4</v>
      </c>
      <c r="Q18" s="190">
        <v>2.5901942645698402E-4</v>
      </c>
      <c r="R18" s="191">
        <f t="shared" si="0"/>
        <v>1.1854509083318967E-2</v>
      </c>
      <c r="T18" s="192">
        <f t="shared" si="2"/>
        <v>389</v>
      </c>
      <c r="U18" s="176">
        <v>3.8900000000000002E-4</v>
      </c>
      <c r="V18" s="195">
        <f t="shared" si="3"/>
        <v>7.9125837462180638E-3</v>
      </c>
      <c r="W18" s="194"/>
      <c r="X18" s="102"/>
      <c r="Y18" s="190">
        <f t="shared" si="8"/>
        <v>1.5000000000000001E-4</v>
      </c>
      <c r="Z18" s="190">
        <v>1E-4</v>
      </c>
      <c r="AA18" s="190">
        <v>2.5901942645698402E-4</v>
      </c>
      <c r="AB18" s="276">
        <f t="shared" si="4"/>
        <v>4.5766872568099347E-3</v>
      </c>
      <c r="AD18" s="192">
        <f t="shared" si="5"/>
        <v>150</v>
      </c>
      <c r="AE18" s="176">
        <v>1.4999999999999999E-4</v>
      </c>
      <c r="AF18" s="278">
        <f t="shared" si="9"/>
        <v>3.0511248378732891E-3</v>
      </c>
    </row>
    <row r="19" spans="2:32">
      <c r="B19" s="179">
        <v>35</v>
      </c>
      <c r="C19" s="180" cm="1">
        <f t="array" ref="C19">_xlfn.IFNA(
   _xlfn._xlws.FILTER(
      Sim_Mul_Bet100!$F$2:$F$100,
      (Sim_Mul_Bet100!$A$2:$A$100=C$2) * (Sim_Mul_Bet100!$C$2:$C$100=$B19),0
   ),
   0
)</f>
        <v>8.6300000000000004E-6</v>
      </c>
      <c r="D19" s="181" cm="1">
        <f t="array" ref="D19">_xlfn.IFNA(
   _xlfn._xlws.FILTER(
      Sim_Mul_Bet100!$F$2:$F$100,
      (Sim_Mul_Bet100!$A$2:$A$100=D$2) * (Sim_Mul_Bet100!$C$2:$C$100=$B19),0
   ),
   0
)</f>
        <v>1.6071E-3</v>
      </c>
      <c r="E19" s="182" cm="1">
        <f t="array" ref="E19">_xlfn.IFNA(
   _xlfn._xlws.FILTER(
      Sim_Mul_Bet100!$F$2:$F$100,
      (Sim_Mul_Bet100!$A$2:$A$100=E$2) * (Sim_Mul_Bet100!$C$2:$C$100=$B19),0
   ),
   0
)</f>
        <v>0</v>
      </c>
      <c r="F19" s="183" cm="1">
        <f t="array" ref="F19">_xlfn.IFNA(
   _xlfn._xlws.FILTER(
      Sim_Mul_Bet100!$L$2:$L$100,
      (Sim_Mul_Bet100!$A$2:$A$100=F$2) * (Sim_Mul_Bet100!$C$2:$C$100=$B19),0
   ),
   0
)</f>
        <v>39.425457705677864</v>
      </c>
      <c r="G19" s="184" cm="1">
        <f t="array" ref="G19">_xlfn.IFNA(
   _xlfn._xlws.FILTER(
      Sim_Mul_Bet100!$L$2:$L$100,
      (Sim_Mul_Bet100!$A$2:$A$100=G$2) * (Sim_Mul_Bet100!$C$2:$C$100=$B19),0
   ),
   0
)</f>
        <v>37.200868272042811</v>
      </c>
      <c r="H19" s="185" cm="1">
        <f t="array" ref="H19">_xlfn.IFNA(
   _xlfn._xlws.FILTER(
      Sim_Mul_Bet100!$L$2:$L$100,
      (Sim_Mul_Bet100!$A$2:$A$100=H$2) * (Sim_Mul_Bet100!$C$2:$C$100=$B19),0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1.6071E-3</v>
      </c>
      <c r="N19" s="189">
        <f t="shared" si="6"/>
        <v>37.200868272042811</v>
      </c>
      <c r="O19" s="190">
        <f t="shared" si="7"/>
        <v>2.7749999999999997E-4</v>
      </c>
      <c r="P19" s="190">
        <v>1.85E-4</v>
      </c>
      <c r="Q19" s="190">
        <v>1.8501387604070299E-4</v>
      </c>
      <c r="R19" s="191">
        <f t="shared" si="0"/>
        <v>1.0323240945491878E-2</v>
      </c>
      <c r="T19" s="192">
        <f t="shared" si="2"/>
        <v>278</v>
      </c>
      <c r="U19" s="176">
        <v>2.7799999999999998E-4</v>
      </c>
      <c r="V19" s="195">
        <f t="shared" si="3"/>
        <v>6.8945609197519344E-3</v>
      </c>
      <c r="W19" s="194"/>
      <c r="X19" s="102"/>
      <c r="Y19" s="190">
        <f t="shared" si="8"/>
        <v>3.0000000000000003E-4</v>
      </c>
      <c r="Z19" s="190">
        <v>2.0000000000000001E-4</v>
      </c>
      <c r="AA19" s="190">
        <v>1.8501387604070299E-4</v>
      </c>
      <c r="AB19" s="276">
        <f t="shared" si="4"/>
        <v>1.1160260481612845E-2</v>
      </c>
      <c r="AD19" s="192">
        <f t="shared" si="5"/>
        <v>300</v>
      </c>
      <c r="AE19" s="176">
        <v>2.9999999999999997E-4</v>
      </c>
      <c r="AF19" s="278">
        <f t="shared" si="9"/>
        <v>7.4401736544085608E-3</v>
      </c>
    </row>
    <row r="20" spans="2:32">
      <c r="B20" s="179">
        <v>40</v>
      </c>
      <c r="C20" s="180" cm="1">
        <f t="array" ref="C20">_xlfn.IFNA(
   _xlfn._xlws.FILTER(
      Sim_Mul_Bet100!$F$2:$F$100,
      (Sim_Mul_Bet100!$A$2:$A$100=C$2) * (Sim_Mul_Bet100!$C$2:$C$100=$B20),0
   ),
   0
)</f>
        <v>1.15E-6</v>
      </c>
      <c r="D20" s="181" cm="1">
        <f t="array" ref="D20">_xlfn.IFNA(
   _xlfn._xlws.FILTER(
      Sim_Mul_Bet100!$F$2:$F$100,
      (Sim_Mul_Bet100!$A$2:$A$100=D$2) * (Sim_Mul_Bet100!$C$2:$C$100=$B20),0
   ),
   0
)</f>
        <v>1.2618E-3</v>
      </c>
      <c r="E20" s="182" cm="1">
        <f t="array" ref="E20">_xlfn.IFNA(
   _xlfn._xlws.FILTER(
      Sim_Mul_Bet100!$F$2:$F$100,
      (Sim_Mul_Bet100!$A$2:$A$100=E$2) * (Sim_Mul_Bet100!$C$2:$C$100=$B20),0
   ),
   0
)</f>
        <v>0</v>
      </c>
      <c r="F20" s="183" cm="1">
        <f t="array" ref="F20">_xlfn.IFNA(
   _xlfn._xlws.FILTER(
      Sim_Mul_Bet100!$L$2:$L$100,
      (Sim_Mul_Bet100!$A$2:$A$100=F$2) * (Sim_Mul_Bet100!$C$2:$C$100=$B20),0
   ),
   0
)</f>
        <v>40.751043478260868</v>
      </c>
      <c r="G20" s="184" cm="1">
        <f t="array" ref="G20">_xlfn.IFNA(
   _xlfn._xlws.FILTER(
      Sim_Mul_Bet100!$L$2:$L$100,
      (Sim_Mul_Bet100!$A$2:$A$100=G$2) * (Sim_Mul_Bet100!$C$2:$C$100=$B20),0
   ),
   0
)</f>
        <v>40.450116420985893</v>
      </c>
      <c r="H20" s="185" cm="1">
        <f t="array" ref="H20">_xlfn.IFNA(
   _xlfn._xlws.FILTER(
      Sim_Mul_Bet100!$L$2:$L$100,
      (Sim_Mul_Bet100!$A$2:$A$100=H$2) * (Sim_Mul_Bet100!$C$2:$C$100=$B20),0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1.2618E-3</v>
      </c>
      <c r="N20" s="189">
        <f t="shared" si="6"/>
        <v>40.450116420985893</v>
      </c>
      <c r="O20" s="190">
        <f t="shared" si="7"/>
        <v>7.7705827937095352E-4</v>
      </c>
      <c r="P20" s="190">
        <v>5.1803885291396901E-4</v>
      </c>
      <c r="Q20" s="190">
        <v>5.1803885291396901E-4</v>
      </c>
      <c r="R20" s="191">
        <f t="shared" si="0"/>
        <v>3.1432097866446053E-2</v>
      </c>
      <c r="T20" s="192">
        <f t="shared" si="2"/>
        <v>777</v>
      </c>
      <c r="U20" s="176">
        <v>7.7700000000000002E-4</v>
      </c>
      <c r="V20" s="195">
        <f t="shared" si="3"/>
        <v>2.0953160306070695E-2</v>
      </c>
      <c r="W20" s="194"/>
      <c r="X20" s="102"/>
      <c r="Y20" s="190">
        <f t="shared" si="8"/>
        <v>1.5000000000000001E-4</v>
      </c>
      <c r="Z20" s="190">
        <v>1E-4</v>
      </c>
      <c r="AA20" s="190">
        <v>5.1803885291396901E-4</v>
      </c>
      <c r="AB20" s="276">
        <f t="shared" si="4"/>
        <v>6.0675174631478843E-3</v>
      </c>
      <c r="AD20" s="192">
        <f t="shared" si="5"/>
        <v>150</v>
      </c>
      <c r="AE20" s="176">
        <v>1.4999999999999999E-4</v>
      </c>
      <c r="AF20" s="278">
        <f t="shared" si="9"/>
        <v>4.045011642098589E-3</v>
      </c>
    </row>
    <row r="21" spans="2:32">
      <c r="B21" s="179">
        <v>45</v>
      </c>
      <c r="C21" s="180" cm="1">
        <f t="array" ref="C21">_xlfn.IFNA(
   _xlfn._xlws.FILTER(
      Sim_Mul_Bet100!$F$2:$F$100,
      (Sim_Mul_Bet100!$A$2:$A$100=C$2) * (Sim_Mul_Bet100!$C$2:$C$100=$B21),0
   ),
   0
)</f>
        <v>2.4622699999999999E-3</v>
      </c>
      <c r="D21" s="181" cm="1">
        <f t="array" ref="D21">_xlfn.IFNA(
   _xlfn._xlws.FILTER(
      Sim_Mul_Bet100!$F$2:$F$100,
      (Sim_Mul_Bet100!$A$2:$A$100=D$2) * (Sim_Mul_Bet100!$C$2:$C$100=$B21),0
   ),
   0
)</f>
        <v>1.6905900000000001E-2</v>
      </c>
      <c r="E21" s="182" cm="1">
        <f t="array" ref="E21">_xlfn.IFNA(
   _xlfn._xlws.FILTER(
      Sim_Mul_Bet100!$F$2:$F$100,
      (Sim_Mul_Bet100!$A$2:$A$100=E$2) * (Sim_Mul_Bet100!$C$2:$C$100=$B21),0
   ),
   0
)</f>
        <v>0</v>
      </c>
      <c r="F21" s="183" cm="1">
        <f t="array" ref="F21">_xlfn.IFNA(
   _xlfn._xlws.FILTER(
      Sim_Mul_Bet100!$L$2:$L$100,
      (Sim_Mul_Bet100!$A$2:$A$100=F$2) * (Sim_Mul_Bet100!$C$2:$C$100=$B21),0
   ),
   0
)</f>
        <v>50</v>
      </c>
      <c r="G21" s="184" cm="1">
        <f t="array" ref="G21">_xlfn.IFNA(
   _xlfn._xlws.FILTER(
      Sim_Mul_Bet100!$L$2:$L$100,
      (Sim_Mul_Bet100!$A$2:$A$100=G$2) * (Sim_Mul_Bet100!$C$2:$C$100=$B21),0
   ),
   0
)</f>
        <v>49.988107879497683</v>
      </c>
      <c r="H21" s="185" cm="1">
        <f t="array" ref="H21">_xlfn.IFNA(
   _xlfn._xlws.FILTER(
      Sim_Mul_Bet100!$L$2:$L$100,
      (Sim_Mul_Bet100!$A$2:$A$100=H$2) * (Sim_Mul_Bet100!$C$2:$C$100=$B21),0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1.6905900000000001E-2</v>
      </c>
      <c r="N21" s="189">
        <f t="shared" si="6"/>
        <v>49.988107879497683</v>
      </c>
      <c r="O21" s="190">
        <f t="shared" si="7"/>
        <v>1.3875000000000001E-3</v>
      </c>
      <c r="P21" s="190">
        <v>9.2500000000000004E-4</v>
      </c>
      <c r="Q21" s="190">
        <v>9.2506938020351498E-4</v>
      </c>
      <c r="R21" s="191">
        <f t="shared" si="0"/>
        <v>6.935849968280304E-2</v>
      </c>
      <c r="T21" s="192">
        <f t="shared" si="2"/>
        <v>1388</v>
      </c>
      <c r="U21" s="176">
        <v>1.3879999999999999E-3</v>
      </c>
      <c r="V21" s="195">
        <f t="shared" si="3"/>
        <v>4.6255662491161857E-2</v>
      </c>
      <c r="W21" s="194"/>
      <c r="X21" s="102"/>
      <c r="Y21" s="190">
        <f t="shared" si="8"/>
        <v>1.5E-3</v>
      </c>
      <c r="Z21" s="190">
        <v>1E-3</v>
      </c>
      <c r="AA21" s="190">
        <v>9.2506938020351498E-4</v>
      </c>
      <c r="AB21" s="276">
        <f t="shared" si="4"/>
        <v>7.4982161819246523E-2</v>
      </c>
      <c r="AD21" s="192">
        <f t="shared" si="5"/>
        <v>1500</v>
      </c>
      <c r="AE21" s="176">
        <v>1.5E-3</v>
      </c>
      <c r="AF21" s="278">
        <f t="shared" si="9"/>
        <v>4.998810787949768E-2</v>
      </c>
    </row>
    <row r="22" spans="2:32">
      <c r="B22" s="179">
        <v>50</v>
      </c>
      <c r="C22" s="180" cm="1">
        <f t="array" ref="C22">_xlfn.IFNA(
   _xlfn._xlws.FILTER(
      Sim_Mul_Bet100!$F$2:$F$100,
      (Sim_Mul_Bet100!$A$2:$A$100=C$2) * (Sim_Mul_Bet100!$C$2:$C$100=$B22),0
   ),
   0
)</f>
        <v>4.5860600000000003E-3</v>
      </c>
      <c r="D22" s="181" cm="1">
        <f t="array" ref="D22">_xlfn.IFNA(
   _xlfn._xlws.FILTER(
      Sim_Mul_Bet100!$F$2:$F$100,
      (Sim_Mul_Bet100!$A$2:$A$100=D$2) * (Sim_Mul_Bet100!$C$2:$C$100=$B22),0
   ),
   0
)</f>
        <v>4.5717279999999999E-2</v>
      </c>
      <c r="E22" s="182" cm="1">
        <f t="array" ref="E22">_xlfn.IFNA(
   _xlfn._xlws.FILTER(
      Sim_Mul_Bet100!$F$2:$F$100,
      (Sim_Mul_Bet100!$A$2:$A$100=E$2) * (Sim_Mul_Bet100!$C$2:$C$100=$B22),0
   ),
   0
)</f>
        <v>0</v>
      </c>
      <c r="F22" s="183" cm="1">
        <f t="array" ref="F22">_xlfn.IFNA(
   _xlfn._xlws.FILTER(
      Sim_Mul_Bet100!$L$2:$L$100,
      (Sim_Mul_Bet100!$A$2:$A$100=F$2) * (Sim_Mul_Bet100!$C$2:$C$100=$B22),0
   ),
   0
)</f>
        <v>52.294594292268314</v>
      </c>
      <c r="G22" s="184" cm="1">
        <f t="array" ref="G22">_xlfn.IFNA(
   _xlfn._xlws.FILTER(
      Sim_Mul_Bet100!$L$2:$L$100,
      (Sim_Mul_Bet100!$A$2:$A$100=G$2) * (Sim_Mul_Bet100!$C$2:$C$100=$B22),0
   ),
   0
)</f>
        <v>51.474716247335799</v>
      </c>
      <c r="H22" s="185" cm="1">
        <f t="array" ref="H22">_xlfn.IFNA(
   _xlfn._xlws.FILTER(
      Sim_Mul_Bet100!$L$2:$L$100,
      (Sim_Mul_Bet100!$A$2:$A$100=H$2) * (Sim_Mul_Bet100!$C$2:$C$100=$B22),0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4.5717279999999999E-2</v>
      </c>
      <c r="N22" s="189">
        <f t="shared" si="6"/>
        <v>51.474716247335799</v>
      </c>
      <c r="O22" s="190">
        <f t="shared" si="7"/>
        <v>4.3499999999999997E-3</v>
      </c>
      <c r="P22" s="190">
        <v>2.8999999999999998E-3</v>
      </c>
      <c r="Q22" s="190">
        <v>3.0712303422756699E-3</v>
      </c>
      <c r="R22" s="191">
        <f t="shared" si="0"/>
        <v>0.22391501567591071</v>
      </c>
      <c r="T22" s="192">
        <f t="shared" si="2"/>
        <v>4350</v>
      </c>
      <c r="U22" s="176">
        <v>4.3499999999999997E-3</v>
      </c>
      <c r="V22" s="195">
        <f t="shared" si="3"/>
        <v>0.1492766771172738</v>
      </c>
      <c r="W22" s="194"/>
      <c r="X22" s="102"/>
      <c r="Y22" s="190">
        <f t="shared" si="8"/>
        <v>1.0500000000000001E-2</v>
      </c>
      <c r="Z22" s="190">
        <v>7.0000000000000001E-3</v>
      </c>
      <c r="AA22" s="190">
        <v>3.0712303422756699E-3</v>
      </c>
      <c r="AB22" s="276">
        <f t="shared" si="4"/>
        <v>0.5404845205970259</v>
      </c>
      <c r="AD22" s="192">
        <f t="shared" si="5"/>
        <v>10500</v>
      </c>
      <c r="AE22" s="176">
        <v>1.0500000000000001E-2</v>
      </c>
      <c r="AF22" s="278">
        <f t="shared" si="9"/>
        <v>0.36032301373135062</v>
      </c>
    </row>
    <row r="23" spans="2:32">
      <c r="B23" s="179">
        <v>60</v>
      </c>
      <c r="C23" s="180" cm="1">
        <f t="array" ref="C23">_xlfn.IFNA(
   _xlfn._xlws.FILTER(
      Sim_Mul_Bet100!$F$2:$F$100,
      (Sim_Mul_Bet100!$A$2:$A$100=C$2) * (Sim_Mul_Bet100!$C$2:$C$100=$B23),0
   ),
   0
)</f>
        <v>1.64E-6</v>
      </c>
      <c r="D23" s="181" cm="1">
        <f t="array" ref="D23">_xlfn.IFNA(
   _xlfn._xlws.FILTER(
      Sim_Mul_Bet100!$F$2:$F$100,
      (Sim_Mul_Bet100!$A$2:$A$100=D$2) * (Sim_Mul_Bet100!$C$2:$C$100=$B23),0
   ),
   0
)</f>
        <v>2.7023099999999999E-3</v>
      </c>
      <c r="E23" s="182" cm="1">
        <f t="array" ref="E23">_xlfn.IFNA(
   _xlfn._xlws.FILTER(
      Sim_Mul_Bet100!$F$2:$F$100,
      (Sim_Mul_Bet100!$A$2:$A$100=E$2) * (Sim_Mul_Bet100!$C$2:$C$100=$B23),0
   ),
   0
)</f>
        <v>0</v>
      </c>
      <c r="F23" s="183" cm="1">
        <f t="array" ref="F23">_xlfn.IFNA(
   _xlfn._xlws.FILTER(
      Sim_Mul_Bet100!$L$2:$L$100,
      (Sim_Mul_Bet100!$A$2:$A$100=F$2) * (Sim_Mul_Bet100!$C$2:$C$100=$B23),0
   ),
   0
)</f>
        <v>61.785548780487808</v>
      </c>
      <c r="G23" s="184" cm="1">
        <f t="array" ref="G23">_xlfn.IFNA(
   _xlfn._xlws.FILTER(
      Sim_Mul_Bet100!$L$2:$L$100,
      (Sim_Mul_Bet100!$A$2:$A$100=G$2) * (Sim_Mul_Bet100!$C$2:$C$100=$B23),0
   ),
   0
)</f>
        <v>61.371514889113385</v>
      </c>
      <c r="H23" s="185" cm="1">
        <f t="array" ref="H23">_xlfn.IFNA(
   _xlfn._xlws.FILTER(
      Sim_Mul_Bet100!$L$2:$L$100,
      (Sim_Mul_Bet100!$A$2:$A$100=H$2) * (Sim_Mul_Bet100!$C$2:$C$100=$B23),0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2.7023099999999999E-3</v>
      </c>
      <c r="N23" s="189">
        <f t="shared" si="6"/>
        <v>61.371514889113385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X23" s="102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Sim_Mul_Bet100!$F$2:$F$100,
      (Sim_Mul_Bet100!$A$2:$A$100=C$2) * (Sim_Mul_Bet100!$C$2:$C$100=$B24),0
   ),
   0
)</f>
        <v>3.7E-7</v>
      </c>
      <c r="D24" s="181" cm="1">
        <f t="array" ref="D24">_xlfn.IFNA(
   _xlfn._xlws.FILTER(
      Sim_Mul_Bet100!$F$2:$F$100,
      (Sim_Mul_Bet100!$A$2:$A$100=D$2) * (Sim_Mul_Bet100!$C$2:$C$100=$B24),0
   ),
   0
)</f>
        <v>1.1881800000000001E-3</v>
      </c>
      <c r="E24" s="182" cm="1">
        <f t="array" ref="E24">_xlfn.IFNA(
   _xlfn._xlws.FILTER(
      Sim_Mul_Bet100!$F$2:$F$100,
      (Sim_Mul_Bet100!$A$2:$A$100=E$2) * (Sim_Mul_Bet100!$C$2:$C$100=$B24),0
   ),
   0
)</f>
        <v>0</v>
      </c>
      <c r="F24" s="183" cm="1">
        <f t="array" ref="F24">_xlfn.IFNA(
   _xlfn._xlws.FILTER(
      Sim_Mul_Bet100!$L$2:$L$100,
      (Sim_Mul_Bet100!$A$2:$A$100=F$2) * (Sim_Mul_Bet100!$C$2:$C$100=$B24),0
   ),
   0
)</f>
        <v>74.683783783783781</v>
      </c>
      <c r="G24" s="184" cm="1">
        <f t="array" ref="G24">_xlfn.IFNA(
   _xlfn._xlws.FILTER(
      Sim_Mul_Bet100!$L$2:$L$100,
      (Sim_Mul_Bet100!$A$2:$A$100=G$2) * (Sim_Mul_Bet100!$C$2:$C$100=$B24),0
   ),
   0
)</f>
        <v>74.248182851083172</v>
      </c>
      <c r="H24" s="185" cm="1">
        <f t="array" ref="H24">_xlfn.IFNA(
   _xlfn._xlws.FILTER(
      Sim_Mul_Bet100!$L$2:$L$100,
      (Sim_Mul_Bet100!$A$2:$A$100=H$2) * (Sim_Mul_Bet100!$C$2:$C$100=$B24),0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1.1881800000000001E-3</v>
      </c>
      <c r="N24" s="189">
        <f t="shared" si="6"/>
        <v>74.248182851083172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X24" s="102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Sim_Mul_Bet100!$F$2:$F$100,
      (Sim_Mul_Bet100!$A$2:$A$100=C$2) * (Sim_Mul_Bet100!$C$2:$C$100=$B25),0
   ),
   0
)</f>
        <v>2.9999999999999997E-8</v>
      </c>
      <c r="D25" s="181" cm="1">
        <f t="array" ref="D25">_xlfn.IFNA(
   _xlfn._xlws.FILTER(
      Sim_Mul_Bet100!$F$2:$F$100,
      (Sim_Mul_Bet100!$A$2:$A$100=D$2) * (Sim_Mul_Bet100!$C$2:$C$100=$B25),0
   ),
   0
)</f>
        <v>4.2412E-4</v>
      </c>
      <c r="E25" s="182" cm="1">
        <f t="array" ref="E25">_xlfn.IFNA(
   _xlfn._xlws.FILTER(
      Sim_Mul_Bet100!$F$2:$F$100,
      (Sim_Mul_Bet100!$A$2:$A$100=E$2) * (Sim_Mul_Bet100!$C$2:$C$100=$B25),0
   ),
   0
)</f>
        <v>0</v>
      </c>
      <c r="F25" s="183" cm="1">
        <f t="array" ref="F25">_xlfn.IFNA(
   _xlfn._xlws.FILTER(
      Sim_Mul_Bet100!$L$2:$L$100,
      (Sim_Mul_Bet100!$A$2:$A$100=F$2) * (Sim_Mul_Bet100!$C$2:$C$100=$B25),0
   ),
   0
)</f>
        <v>81</v>
      </c>
      <c r="G25" s="184" cm="1">
        <f t="array" ref="G25">_xlfn.IFNA(
   _xlfn._xlws.FILTER(
      Sim_Mul_Bet100!$L$2:$L$100,
      (Sim_Mul_Bet100!$A$2:$A$100=G$2) * (Sim_Mul_Bet100!$C$2:$C$100=$B25),0
   ),
   0
)</f>
        <v>81.527720692256921</v>
      </c>
      <c r="H25" s="185" cm="1">
        <f t="array" ref="H25">_xlfn.IFNA(
   _xlfn._xlws.FILTER(
      Sim_Mul_Bet100!$L$2:$L$100,
      (Sim_Mul_Bet100!$A$2:$A$100=H$2) * (Sim_Mul_Bet100!$C$2:$C$100=$B25),0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4.2412E-4</v>
      </c>
      <c r="N25" s="189">
        <f t="shared" si="6"/>
        <v>81.527720692256921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102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Sim_Mul_Bet100!$F$2:$F$100,
      (Sim_Mul_Bet100!$A$2:$A$100=C$2) * (Sim_Mul_Bet100!$C$2:$C$100=$B26),0
   ),
   0
)</f>
        <v>3.5062E-4</v>
      </c>
      <c r="D26" s="181" cm="1">
        <f t="array" ref="D26">_xlfn.IFNA(
   _xlfn._xlws.FILTER(
      Sim_Mul_Bet100!$F$2:$F$100,
      (Sim_Mul_Bet100!$A$2:$A$100=D$2) * (Sim_Mul_Bet100!$C$2:$C$100=$B26),0
   ),
   0
)</f>
        <v>1.314766E-2</v>
      </c>
      <c r="E26" s="182" cm="1">
        <f t="array" ref="E26">_xlfn.IFNA(
   _xlfn._xlws.FILTER(
      Sim_Mul_Bet100!$F$2:$F$100,
      (Sim_Mul_Bet100!$A$2:$A$100=E$2) * (Sim_Mul_Bet100!$C$2:$C$100=$B26),0
   ),
   0
)</f>
        <v>0</v>
      </c>
      <c r="F26" s="183" cm="1">
        <f t="array" ref="F26">_xlfn.IFNA(
   _xlfn._xlws.FILTER(
      Sim_Mul_Bet100!$L$2:$L$100,
      (Sim_Mul_Bet100!$A$2:$A$100=F$2) * (Sim_Mul_Bet100!$C$2:$C$100=$B26),0
   ),
   0
)</f>
        <v>100</v>
      </c>
      <c r="G26" s="184" cm="1">
        <f t="array" ref="G26">_xlfn.IFNA(
   _xlfn._xlws.FILTER(
      Sim_Mul_Bet100!$L$2:$L$100,
      (Sim_Mul_Bet100!$A$2:$A$100=G$2) * (Sim_Mul_Bet100!$C$2:$C$100=$B26),0
   ),
   0
)</f>
        <v>100</v>
      </c>
      <c r="H26" s="185" cm="1">
        <f t="array" ref="H26">_xlfn.IFNA(
   _xlfn._xlws.FILTER(
      Sim_Mul_Bet100!$L$2:$L$100,
      (Sim_Mul_Bet100!$A$2:$A$100=H$2) * (Sim_Mul_Bet100!$C$2:$C$100=$B26),0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1.314766E-2</v>
      </c>
      <c r="N26" s="189">
        <f t="shared" si="6"/>
        <v>100</v>
      </c>
      <c r="O26" s="190">
        <f t="shared" si="7"/>
        <v>5.55041628122109E-5</v>
      </c>
      <c r="P26" s="190">
        <v>3.7002775208140602E-5</v>
      </c>
      <c r="Q26" s="190">
        <v>3.7002775208140602E-5</v>
      </c>
      <c r="R26" s="191">
        <f t="shared" si="0"/>
        <v>5.5504162812210897E-3</v>
      </c>
      <c r="T26" s="192">
        <f t="shared" si="2"/>
        <v>56</v>
      </c>
      <c r="U26" s="176">
        <v>5.5999999999999999E-5</v>
      </c>
      <c r="V26" s="195">
        <f t="shared" si="3"/>
        <v>3.7333333333333333E-3</v>
      </c>
      <c r="W26" s="194"/>
      <c r="X26" s="102"/>
      <c r="Y26" s="190">
        <f t="shared" si="8"/>
        <v>7.5000000000000002E-4</v>
      </c>
      <c r="Z26" s="190">
        <v>5.0000000000000001E-4</v>
      </c>
      <c r="AA26" s="190">
        <v>3.7002775208140602E-5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Sim_Mul_Bet100!$F$2:$F$100,
      (Sim_Mul_Bet100!$A$2:$A$100=C$2) * (Sim_Mul_Bet100!$C$2:$C$100=$B27),0
   ),
   0
)</f>
        <v>1.6904999999999999E-4</v>
      </c>
      <c r="D27" s="181" cm="1">
        <f t="array" ref="D27">_xlfn.IFNA(
   _xlfn._xlws.FILTER(
      Sim_Mul_Bet100!$F$2:$F$100,
      (Sim_Mul_Bet100!$A$2:$A$100=D$2) * (Sim_Mul_Bet100!$C$2:$C$100=$B27),0
   ),
   0
)</f>
        <v>4.9638069999999999E-2</v>
      </c>
      <c r="E27" s="182" cm="1">
        <f t="array" ref="E27">_xlfn.IFNA(
   _xlfn._xlws.FILTER(
      Sim_Mul_Bet100!$F$2:$F$100,
      (Sim_Mul_Bet100!$A$2:$A$100=E$2) * (Sim_Mul_Bet100!$C$2:$C$100=$B27),0
   ),
   0
)</f>
        <v>0</v>
      </c>
      <c r="F27" s="183" cm="1">
        <f t="array" ref="F27">_xlfn.IFNA(
   _xlfn._xlws.FILTER(
      Sim_Mul_Bet100!$L$2:$L$100,
      (Sim_Mul_Bet100!$A$2:$A$100=F$2) * (Sim_Mul_Bet100!$C$2:$C$100=$B27),0
   ),
   0
)</f>
        <v>102.87000118308192</v>
      </c>
      <c r="G27" s="184" cm="1">
        <f t="array" ref="G27">_xlfn.IFNA(
   _xlfn._xlws.FILTER(
      Sim_Mul_Bet100!$L$2:$L$100,
      (Sim_Mul_Bet100!$A$2:$A$100=G$2) * (Sim_Mul_Bet100!$C$2:$C$100=$B27),0
   ),
   0
)</f>
        <v>102.84631971388092</v>
      </c>
      <c r="H27" s="185" cm="1">
        <f t="array" ref="H27">_xlfn.IFNA(
   _xlfn._xlws.FILTER(
      Sim_Mul_Bet100!$L$2:$L$100,
      (Sim_Mul_Bet100!$A$2:$A$100=H$2) * (Sim_Mul_Bet100!$C$2:$C$100=$B27),0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4.9638069999999999E-2</v>
      </c>
      <c r="N27" s="189">
        <f t="shared" si="6"/>
        <v>102.84631971388092</v>
      </c>
      <c r="O27" s="190">
        <f t="shared" si="7"/>
        <v>1.110083256244218E-4</v>
      </c>
      <c r="P27" s="190">
        <v>7.4005550416281205E-5</v>
      </c>
      <c r="Q27" s="190">
        <v>7.4005550416281205E-5</v>
      </c>
      <c r="R27" s="191">
        <f t="shared" si="0"/>
        <v>1.1416797748071883E-2</v>
      </c>
      <c r="T27" s="192">
        <f t="shared" si="2"/>
        <v>111</v>
      </c>
      <c r="U27" s="176">
        <v>1.11E-4</v>
      </c>
      <c r="V27" s="195">
        <f t="shared" si="3"/>
        <v>7.6106276588271881E-3</v>
      </c>
      <c r="W27" s="194"/>
      <c r="X27" s="102"/>
      <c r="Y27" s="190">
        <f t="shared" si="8"/>
        <v>3.0000000000000003E-4</v>
      </c>
      <c r="Z27" s="190">
        <v>2.0000000000000001E-4</v>
      </c>
      <c r="AA27" s="190">
        <v>7.4005550416281205E-5</v>
      </c>
      <c r="AB27" s="276">
        <f t="shared" si="4"/>
        <v>3.0853895914164278E-2</v>
      </c>
      <c r="AD27" s="192">
        <f t="shared" si="5"/>
        <v>300</v>
      </c>
      <c r="AE27" s="176">
        <v>2.9999999999999997E-4</v>
      </c>
      <c r="AF27" s="278">
        <f t="shared" si="9"/>
        <v>2.0569263942776181E-2</v>
      </c>
    </row>
    <row r="28" spans="2:32">
      <c r="B28" s="179">
        <v>120</v>
      </c>
      <c r="C28" s="180" cm="1">
        <f t="array" ref="C28">_xlfn.IFNA(
   _xlfn._xlws.FILTER(
      Sim_Mul_Bet100!$F$2:$F$100,
      (Sim_Mul_Bet100!$A$2:$A$100=C$2) * (Sim_Mul_Bet100!$C$2:$C$100=$B28),0
   ),
   0
)</f>
        <v>4.3000000000000001E-7</v>
      </c>
      <c r="D28" s="181" cm="1">
        <f t="array" ref="D28">_xlfn.IFNA(
   _xlfn._xlws.FILTER(
      Sim_Mul_Bet100!$F$2:$F$100,
      (Sim_Mul_Bet100!$A$2:$A$100=D$2) * (Sim_Mul_Bet100!$C$2:$C$100=$B28),0
   ),
   0
)</f>
        <v>1.3531699999999999E-3</v>
      </c>
      <c r="E28" s="182" cm="1">
        <f t="array" ref="E28">_xlfn.IFNA(
   _xlfn._xlws.FILTER(
      Sim_Mul_Bet100!$F$2:$F$100,
      (Sim_Mul_Bet100!$A$2:$A$100=E$2) * (Sim_Mul_Bet100!$C$2:$C$100=$B28),0
   ),
   0
)</f>
        <v>0</v>
      </c>
      <c r="F28" s="183" cm="1">
        <f t="array" ref="F28">_xlfn.IFNA(
   _xlfn._xlws.FILTER(
      Sim_Mul_Bet100!$L$2:$L$100,
      (Sim_Mul_Bet100!$A$2:$A$100=F$2) * (Sim_Mul_Bet100!$C$2:$C$100=$B28),0
   ),
   0
)</f>
        <v>124.32558139534883</v>
      </c>
      <c r="G28" s="184" cm="1">
        <f t="array" ref="G28">_xlfn.IFNA(
   _xlfn._xlws.FILTER(
      Sim_Mul_Bet100!$L$2:$L$100,
      (Sim_Mul_Bet100!$A$2:$A$100=G$2) * (Sim_Mul_Bet100!$C$2:$C$100=$B28),0
   ),
   0
)</f>
        <v>126.63374993533702</v>
      </c>
      <c r="H28" s="185" cm="1">
        <f t="array" ref="H28">_xlfn.IFNA(
   _xlfn._xlws.FILTER(
      Sim_Mul_Bet100!$L$2:$L$100,
      (Sim_Mul_Bet100!$A$2:$A$100=H$2) * (Sim_Mul_Bet100!$C$2:$C$100=$B28),0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1.3531699999999999E-3</v>
      </c>
      <c r="N28" s="189">
        <f t="shared" si="6"/>
        <v>126.63374993533702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X28" s="102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Sim_Mul_Bet100!$F$2:$F$100,
      (Sim_Mul_Bet100!$A$2:$A$100=C$2) * (Sim_Mul_Bet100!$C$2:$C$100=$B29),0
   ),
   0
)</f>
        <v>7.0000000000000005E-8</v>
      </c>
      <c r="D29" s="181" cm="1">
        <f t="array" ref="D29">_xlfn.IFNA(
   _xlfn._xlws.FILTER(
      Sim_Mul_Bet100!$F$2:$F$100,
      (Sim_Mul_Bet100!$A$2:$A$100=D$2) * (Sim_Mul_Bet100!$C$2:$C$100=$B29),0
   ),
   0
)</f>
        <v>2.1105899999999999E-3</v>
      </c>
      <c r="E29" s="182" cm="1">
        <f t="array" ref="E29">_xlfn.IFNA(
   _xlfn._xlws.FILTER(
      Sim_Mul_Bet100!$F$2:$F$100,
      (Sim_Mul_Bet100!$A$2:$A$100=E$2) * (Sim_Mul_Bet100!$C$2:$C$100=$B29),0
   ),
   0
)</f>
        <v>0</v>
      </c>
      <c r="F29" s="183" cm="1">
        <f t="array" ref="F29">_xlfn.IFNA(
   _xlfn._xlws.FILTER(
      Sim_Mul_Bet100!$L$2:$L$100,
      (Sim_Mul_Bet100!$A$2:$A$100=F$2) * (Sim_Mul_Bet100!$C$2:$C$100=$B29),0
   ),
   0
)</f>
        <v>150.42857142857144</v>
      </c>
      <c r="G29" s="184" cm="1">
        <f t="array" ref="G29">_xlfn.IFNA(
   _xlfn._xlws.FILTER(
      Sim_Mul_Bet100!$L$2:$L$100,
      (Sim_Mul_Bet100!$A$2:$A$100=G$2) * (Sim_Mul_Bet100!$C$2:$C$100=$B29),0
   ),
   0
)</f>
        <v>151.06308207657574</v>
      </c>
      <c r="H29" s="185" cm="1">
        <f t="array" ref="H29">_xlfn.IFNA(
   _xlfn._xlws.FILTER(
      Sim_Mul_Bet100!$L$2:$L$100,
      (Sim_Mul_Bet100!$A$2:$A$100=H$2) * (Sim_Mul_Bet100!$C$2:$C$100=$B29),0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2.1105899999999999E-3</v>
      </c>
      <c r="N29" s="189">
        <f t="shared" si="6"/>
        <v>151.06308207657574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X29" s="102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Sim_Mul_Bet100!$F$2:$F$100,
      (Sim_Mul_Bet100!$A$2:$A$100=C$2) * (Sim_Mul_Bet100!$C$2:$C$100=$B30),0
   ),
   0
)</f>
        <v>0</v>
      </c>
      <c r="D30" s="181" cm="1">
        <f t="array" ref="D30">_xlfn.IFNA(
   _xlfn._xlws.FILTER(
      Sim_Mul_Bet100!$F$2:$F$100,
      (Sim_Mul_Bet100!$A$2:$A$100=D$2) * (Sim_Mul_Bet100!$C$2:$C$100=$B30),0
   ),
   0
)</f>
        <v>8.0550000000000006E-5</v>
      </c>
      <c r="E30" s="182" cm="1">
        <f t="array" ref="E30">_xlfn.IFNA(
   _xlfn._xlws.FILTER(
      Sim_Mul_Bet100!$F$2:$F$100,
      (Sim_Mul_Bet100!$A$2:$A$100=E$2) * (Sim_Mul_Bet100!$C$2:$C$100=$B30),0
   ),
   0
)</f>
        <v>0</v>
      </c>
      <c r="F30" s="183" cm="1">
        <f t="array" ref="F30">_xlfn.IFNA(
   _xlfn._xlws.FILTER(
      Sim_Mul_Bet100!$L$2:$L$100,
      (Sim_Mul_Bet100!$A$2:$A$100=F$2) * (Sim_Mul_Bet100!$C$2:$C$100=$B30),0
   ),
   0
)</f>
        <v>0</v>
      </c>
      <c r="G30" s="184" cm="1">
        <f t="array" ref="G30">_xlfn.IFNA(
   _xlfn._xlws.FILTER(
      Sim_Mul_Bet100!$L$2:$L$100,
      (Sim_Mul_Bet100!$A$2:$A$100=G$2) * (Sim_Mul_Bet100!$C$2:$C$100=$B30),0
   ),
   0
)</f>
        <v>160.68138423339539</v>
      </c>
      <c r="H30" s="185" cm="1">
        <f t="array" ref="H30">_xlfn.IFNA(
   _xlfn._xlws.FILTER(
      Sim_Mul_Bet100!$L$2:$L$100,
      (Sim_Mul_Bet100!$A$2:$A$100=H$2) * (Sim_Mul_Bet100!$C$2:$C$100=$B30),0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8.0550000000000006E-5</v>
      </c>
      <c r="N30" s="189">
        <f t="shared" si="6"/>
        <v>160.68138423339539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102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Sim_Mul_Bet100!$F$2:$F$100,
      (Sim_Mul_Bet100!$A$2:$A$100=C$2) * (Sim_Mul_Bet100!$C$2:$C$100=$B31),0
   ),
   0
)</f>
        <v>5.0859999999999998E-5</v>
      </c>
      <c r="D31" s="181" cm="1">
        <f t="array" ref="D31">_xlfn.IFNA(
   _xlfn._xlws.FILTER(
      Sim_Mul_Bet100!$F$2:$F$100,
      (Sim_Mul_Bet100!$A$2:$A$100=D$2) * (Sim_Mul_Bet100!$C$2:$C$100=$B31),0
   ),
   0
)</f>
        <v>7.35493E-3</v>
      </c>
      <c r="E31" s="182" cm="1">
        <f t="array" ref="E31">_xlfn.IFNA(
   _xlfn._xlws.FILTER(
      Sim_Mul_Bet100!$F$2:$F$100,
      (Sim_Mul_Bet100!$A$2:$A$100=E$2) * (Sim_Mul_Bet100!$C$2:$C$100=$B31),0
   ),
   0
)</f>
        <v>0</v>
      </c>
      <c r="F31" s="183" cm="1">
        <f t="array" ref="F31">_xlfn.IFNA(
   _xlfn._xlws.FILTER(
      Sim_Mul_Bet100!$L$2:$L$100,
      (Sim_Mul_Bet100!$A$2:$A$100=F$2) * (Sim_Mul_Bet100!$C$2:$C$100=$B31),0
   ),
   0
)</f>
        <v>200</v>
      </c>
      <c r="G31" s="184" cm="1">
        <f t="array" ref="G31">_xlfn.IFNA(
   _xlfn._xlws.FILTER(
      Sim_Mul_Bet100!$L$2:$L$100,
      (Sim_Mul_Bet100!$A$2:$A$100=G$2) * (Sim_Mul_Bet100!$C$2:$C$100=$B31),0
   ),
   0
)</f>
        <v>200</v>
      </c>
      <c r="H31" s="185" cm="1">
        <f t="array" ref="H31">_xlfn.IFNA(
   _xlfn._xlws.FILTER(
      Sim_Mul_Bet100!$L$2:$L$100,
      (Sim_Mul_Bet100!$A$2:$A$100=H$2) * (Sim_Mul_Bet100!$C$2:$C$100=$B31),0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7.35493E-3</v>
      </c>
      <c r="N31" s="189">
        <f t="shared" si="6"/>
        <v>200</v>
      </c>
      <c r="O31" s="190">
        <f t="shared" si="7"/>
        <v>4.5000000000000003E-5</v>
      </c>
      <c r="P31" s="190">
        <v>3.0000000000000001E-5</v>
      </c>
      <c r="Q31" s="190">
        <v>3.7002775208140602E-5</v>
      </c>
      <c r="R31" s="191">
        <f t="shared" si="0"/>
        <v>9.0000000000000011E-3</v>
      </c>
      <c r="T31" s="192">
        <f t="shared" si="2"/>
        <v>45</v>
      </c>
      <c r="U31" s="176">
        <v>4.5000000000000003E-5</v>
      </c>
      <c r="V31" s="195">
        <f t="shared" si="3"/>
        <v>6.000000000000001E-3</v>
      </c>
      <c r="W31" s="194"/>
      <c r="X31" s="102"/>
      <c r="Y31" s="190">
        <f t="shared" si="8"/>
        <v>4.4999999999999999E-4</v>
      </c>
      <c r="Z31" s="190">
        <v>2.9999999999999997E-4</v>
      </c>
      <c r="AA31" s="190">
        <v>3.7002775208140602E-5</v>
      </c>
      <c r="AB31" s="276">
        <f t="shared" si="4"/>
        <v>0.09</v>
      </c>
      <c r="AD31" s="192">
        <f t="shared" si="5"/>
        <v>450</v>
      </c>
      <c r="AE31" s="176">
        <v>4.4999999999999999E-4</v>
      </c>
      <c r="AF31" s="278">
        <f t="shared" si="9"/>
        <v>0.06</v>
      </c>
    </row>
    <row r="32" spans="2:32">
      <c r="B32" s="179">
        <v>200</v>
      </c>
      <c r="C32" s="180" cm="1">
        <f t="array" ref="C32">_xlfn.IFNA(
   _xlfn._xlws.FILTER(
      Sim_Mul_Bet100!$F$2:$F$100,
      (Sim_Mul_Bet100!$A$2:$A$100=C$2) * (Sim_Mul_Bet100!$C$2:$C$100=$B32),0
   ),
   0
)</f>
        <v>6.4809999999999998E-5</v>
      </c>
      <c r="D32" s="181" cm="1">
        <f t="array" ref="D32">_xlfn.IFNA(
   _xlfn._xlws.FILTER(
      Sim_Mul_Bet100!$F$2:$F$100,
      (Sim_Mul_Bet100!$A$2:$A$100=D$2) * (Sim_Mul_Bet100!$C$2:$C$100=$B32),0
   ),
   0
)</f>
        <v>2.3520490000000002E-2</v>
      </c>
      <c r="E32" s="182" cm="1">
        <f t="array" ref="E32">_xlfn.IFNA(
   _xlfn._xlws.FILTER(
      Sim_Mul_Bet100!$F$2:$F$100,
      (Sim_Mul_Bet100!$A$2:$A$100=E$2) * (Sim_Mul_Bet100!$C$2:$C$100=$B32),0
   ),
   0
)</f>
        <v>0</v>
      </c>
      <c r="F32" s="183" cm="1">
        <f t="array" ref="F32">_xlfn.IFNA(
   _xlfn._xlws.FILTER(
      Sim_Mul_Bet100!$L$2:$L$100,
      (Sim_Mul_Bet100!$A$2:$A$100=F$2) * (Sim_Mul_Bet100!$C$2:$C$100=$B32),0
   ),
   0
)</f>
        <v>201.96146119426015</v>
      </c>
      <c r="G32" s="184" cm="1">
        <f t="array" ref="G32">_xlfn.IFNA(
   _xlfn._xlws.FILTER(
      Sim_Mul_Bet100!$L$2:$L$100,
      (Sim_Mul_Bet100!$A$2:$A$100=G$2) * (Sim_Mul_Bet100!$C$2:$C$100=$B32),0
   ),
   0
)</f>
        <v>204.14676435312361</v>
      </c>
      <c r="H32" s="185" cm="1">
        <f t="array" ref="H32">_xlfn.IFNA(
   _xlfn._xlws.FILTER(
      Sim_Mul_Bet100!$L$2:$L$100,
      (Sim_Mul_Bet100!$A$2:$A$100=H$2) * (Sim_Mul_Bet100!$C$2:$C$100=$B32),0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2.3520490000000002E-2</v>
      </c>
      <c r="N32" s="189">
        <f t="shared" si="6"/>
        <v>204.14676435312361</v>
      </c>
      <c r="O32" s="190">
        <f t="shared" si="7"/>
        <v>0</v>
      </c>
      <c r="P32" s="190">
        <v>0</v>
      </c>
      <c r="Q32" s="190">
        <v>0</v>
      </c>
      <c r="R32" s="191">
        <f t="shared" si="0"/>
        <v>0</v>
      </c>
      <c r="T32" s="192">
        <f t="shared" si="2"/>
        <v>0</v>
      </c>
      <c r="U32" s="176">
        <v>0</v>
      </c>
      <c r="V32" s="195">
        <f t="shared" si="3"/>
        <v>0</v>
      </c>
      <c r="W32" s="194"/>
      <c r="X32" s="102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Sim_Mul_Bet100!$F$2:$F$100,
      (Sim_Mul_Bet100!$A$2:$A$100=C$2) * (Sim_Mul_Bet100!$C$2:$C$100=$B33),0
   ),
   0
)</f>
        <v>0</v>
      </c>
      <c r="D33" s="181" cm="1">
        <f t="array" ref="D33">_xlfn.IFNA(
   _xlfn._xlws.FILTER(
      Sim_Mul_Bet100!$F$2:$F$100,
      (Sim_Mul_Bet100!$A$2:$A$100=D$2) * (Sim_Mul_Bet100!$C$2:$C$100=$B33),0
   ),
   0
)</f>
        <v>3.9208200000000002E-3</v>
      </c>
      <c r="E33" s="182" cm="1">
        <f t="array" ref="E33">_xlfn.IFNA(
   _xlfn._xlws.FILTER(
      Sim_Mul_Bet100!$F$2:$F$100,
      (Sim_Mul_Bet100!$A$2:$A$100=E$2) * (Sim_Mul_Bet100!$C$2:$C$100=$B33),0
   ),
   0
)</f>
        <v>0</v>
      </c>
      <c r="F33" s="183" cm="1">
        <f t="array" ref="F33">_xlfn.IFNA(
   _xlfn._xlws.FILTER(
      Sim_Mul_Bet100!$L$2:$L$100,
      (Sim_Mul_Bet100!$A$2:$A$100=F$2) * (Sim_Mul_Bet100!$C$2:$C$100=$B33),0
   ),
   0
)</f>
        <v>0</v>
      </c>
      <c r="G33" s="184" cm="1">
        <f t="array" ref="G33">_xlfn.IFNA(
   _xlfn._xlws.FILTER(
      Sim_Mul_Bet100!$L$2:$L$100,
      (Sim_Mul_Bet100!$A$2:$A$100=G$2) * (Sim_Mul_Bet100!$C$2:$C$100=$B33),0
   ),
   0
)</f>
        <v>258.42038591417099</v>
      </c>
      <c r="H33" s="185" cm="1">
        <f t="array" ref="H33">_xlfn.IFNA(
   _xlfn._xlws.FILTER(
      Sim_Mul_Bet100!$L$2:$L$100,
      (Sim_Mul_Bet100!$A$2:$A$100=H$2) * (Sim_Mul_Bet100!$C$2:$C$100=$B33),0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3.9208200000000002E-3</v>
      </c>
      <c r="N33" s="189">
        <f t="shared" si="6"/>
        <v>258.42038591417099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X33" s="102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Sim_Mul_Bet100!$F$2:$F$100,
      (Sim_Mul_Bet100!$A$2:$A$100=C$2) * (Sim_Mul_Bet100!$C$2:$C$100=$B34),0
   ),
   0
)</f>
        <v>0</v>
      </c>
      <c r="D34" s="181" cm="1">
        <f t="array" ref="D34">_xlfn.IFNA(
   _xlfn._xlws.FILTER(
      Sim_Mul_Bet100!$F$2:$F$100,
      (Sim_Mul_Bet100!$A$2:$A$100=D$2) * (Sim_Mul_Bet100!$C$2:$C$100=$B34),0
   ),
   0
)</f>
        <v>5.4724000000000005E-4</v>
      </c>
      <c r="E34" s="182" cm="1">
        <f t="array" ref="E34">_xlfn.IFNA(
   _xlfn._xlws.FILTER(
      Sim_Mul_Bet100!$F$2:$F$100,
      (Sim_Mul_Bet100!$A$2:$A$100=E$2) * (Sim_Mul_Bet100!$C$2:$C$100=$B34),0
   ),
   0
)</f>
        <v>0</v>
      </c>
      <c r="F34" s="183" cm="1">
        <f t="array" ref="F34">_xlfn.IFNA(
   _xlfn._xlws.FILTER(
      Sim_Mul_Bet100!$L$2:$L$100,
      (Sim_Mul_Bet100!$A$2:$A$100=F$2) * (Sim_Mul_Bet100!$C$2:$C$100=$B34),0
   ),
   0
)</f>
        <v>0</v>
      </c>
      <c r="G34" s="184" cm="1">
        <f t="array" ref="G34">_xlfn.IFNA(
   _xlfn._xlws.FILTER(
      Sim_Mul_Bet100!$L$2:$L$100,
      (Sim_Mul_Bet100!$A$2:$A$100=G$2) * (Sim_Mul_Bet100!$C$2:$C$100=$B34),0
   ),
   0
)</f>
        <v>302.72896791170234</v>
      </c>
      <c r="H34" s="185" cm="1">
        <f t="array" ref="H34">_xlfn.IFNA(
   _xlfn._xlws.FILTER(
      Sim_Mul_Bet100!$L$2:$L$100,
      (Sim_Mul_Bet100!$A$2:$A$100=H$2) * (Sim_Mul_Bet100!$C$2:$C$100=$B34),0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5.4724000000000005E-4</v>
      </c>
      <c r="N34" s="189">
        <f t="shared" si="6"/>
        <v>302.72896791170234</v>
      </c>
      <c r="O34" s="190">
        <f t="shared" si="7"/>
        <v>0</v>
      </c>
      <c r="P34" s="190">
        <v>0</v>
      </c>
      <c r="Q34" s="190">
        <v>0</v>
      </c>
      <c r="R34" s="191">
        <f t="shared" si="0"/>
        <v>0</v>
      </c>
      <c r="T34" s="192">
        <f t="shared" si="2"/>
        <v>0</v>
      </c>
      <c r="U34" s="176">
        <v>0</v>
      </c>
      <c r="V34" s="195">
        <f t="shared" si="3"/>
        <v>0</v>
      </c>
      <c r="W34" s="194"/>
      <c r="X34" s="102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Sim_Mul_Bet100!$F$2:$F$100,
      (Sim_Mul_Bet100!$A$2:$A$100=C$2) * (Sim_Mul_Bet100!$C$2:$C$100=$B35),0
   ),
   0
)</f>
        <v>0</v>
      </c>
      <c r="D35" s="181" cm="1">
        <f t="array" ref="D35">_xlfn.IFNA(
   _xlfn._xlws.FILTER(
      Sim_Mul_Bet100!$F$2:$F$100,
      (Sim_Mul_Bet100!$A$2:$A$100=D$2) * (Sim_Mul_Bet100!$C$2:$C$100=$B35),0
   ),
   0
)</f>
        <v>0</v>
      </c>
      <c r="E35" s="182" cm="1">
        <f t="array" ref="E35">_xlfn.IFNA(
   _xlfn._xlws.FILTER(
      Sim_Mul_Bet100!$F$2:$F$100,
      (Sim_Mul_Bet100!$A$2:$A$100=E$2) * (Sim_Mul_Bet100!$C$2:$C$100=$B35),0
   ),
   0
)</f>
        <v>0</v>
      </c>
      <c r="F35" s="183" cm="1">
        <f t="array" ref="F35">_xlfn.IFNA(
   _xlfn._xlws.FILTER(
      Sim_Mul_Bet100!$L$2:$L$100,
      (Sim_Mul_Bet100!$A$2:$A$100=F$2) * (Sim_Mul_Bet100!$C$2:$C$100=$B35),0
   ),
   0
)</f>
        <v>0</v>
      </c>
      <c r="G35" s="184" cm="1">
        <f t="array" ref="G35">_xlfn.IFNA(
   _xlfn._xlws.FILTER(
      Sim_Mul_Bet100!$L$2:$L$100,
      (Sim_Mul_Bet100!$A$2:$A$100=G$2) * (Sim_Mul_Bet100!$C$2:$C$100=$B35),0
   ),
   0
)</f>
        <v>0</v>
      </c>
      <c r="H35" s="185" cm="1">
        <f t="array" ref="H35">_xlfn.IFNA(
   _xlfn._xlws.FILTER(
      Sim_Mul_Bet100!$L$2:$L$100,
      (Sim_Mul_Bet100!$A$2:$A$100=H$2) * (Sim_Mul_Bet100!$C$2:$C$100=$B35),0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X35" s="102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Sim_Mul_Bet100!$F$2:$F$100,
      (Sim_Mul_Bet100!$A$2:$A$100=C$2) * (Sim_Mul_Bet100!$C$2:$C$100=$B36),0
   ),
   0
)</f>
        <v>0</v>
      </c>
      <c r="D36" s="181" cm="1">
        <f t="array" ref="D36">_xlfn.IFNA(
   _xlfn._xlws.FILTER(
      Sim_Mul_Bet100!$F$2:$F$100,
      (Sim_Mul_Bet100!$A$2:$A$100=D$2) * (Sim_Mul_Bet100!$C$2:$C$100=$B36),0
   ),
   0
)</f>
        <v>0</v>
      </c>
      <c r="E36" s="182" cm="1">
        <f t="array" ref="E36">_xlfn.IFNA(
   _xlfn._xlws.FILTER(
      Sim_Mul_Bet100!$F$2:$F$100,
      (Sim_Mul_Bet100!$A$2:$A$100=E$2) * (Sim_Mul_Bet100!$C$2:$C$100=$B36),0
   ),
   0
)</f>
        <v>0</v>
      </c>
      <c r="F36" s="183" cm="1">
        <f t="array" ref="F36">_xlfn.IFNA(
   _xlfn._xlws.FILTER(
      Sim_Mul_Bet100!$L$2:$L$100,
      (Sim_Mul_Bet100!$A$2:$A$100=F$2) * (Sim_Mul_Bet100!$C$2:$C$100=$B36),0
   ),
   0
)</f>
        <v>0</v>
      </c>
      <c r="G36" s="184" cm="1">
        <f t="array" ref="G36">_xlfn.IFNA(
   _xlfn._xlws.FILTER(
      Sim_Mul_Bet100!$L$2:$L$100,
      (Sim_Mul_Bet100!$A$2:$A$100=G$2) * (Sim_Mul_Bet100!$C$2:$C$100=$B36),0
   ),
   0
)</f>
        <v>0</v>
      </c>
      <c r="H36" s="185" cm="1">
        <f t="array" ref="H36">_xlfn.IFNA(
   _xlfn._xlws.FILTER(
      Sim_Mul_Bet100!$L$2:$L$100,
      (Sim_Mul_Bet100!$A$2:$A$100=H$2) * (Sim_Mul_Bet100!$C$2:$C$100=$B36),0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X36" s="102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Sim_Mul_Bet100!$F$2:$F$100,
      (Sim_Mul_Bet100!$A$2:$A$100=C$2) * (Sim_Mul_Bet100!$C$2:$C$100=$B37),0
   ),
   0
)</f>
        <v>0</v>
      </c>
      <c r="D37" s="181" cm="1">
        <f t="array" ref="D37">_xlfn.IFNA(
   _xlfn._xlws.FILTER(
      Sim_Mul_Bet100!$F$2:$F$100,
      (Sim_Mul_Bet100!$A$2:$A$100=D$2) * (Sim_Mul_Bet100!$C$2:$C$100=$B37),0
   ),
   0
)</f>
        <v>7.8941199999999993E-3</v>
      </c>
      <c r="E37" s="182" cm="1">
        <f t="array" ref="E37">_xlfn.IFNA(
   _xlfn._xlws.FILTER(
      Sim_Mul_Bet100!$F$2:$F$100,
      (Sim_Mul_Bet100!$A$2:$A$100=E$2) * (Sim_Mul_Bet100!$C$2:$C$100=$B37),0
   ),
   0
)</f>
        <v>0</v>
      </c>
      <c r="F37" s="183" cm="1">
        <f t="array" ref="F37">_xlfn.IFNA(
   _xlfn._xlws.FILTER(
      Sim_Mul_Bet100!$L$2:$L$100,
      (Sim_Mul_Bet100!$A$2:$A$100=F$2) * (Sim_Mul_Bet100!$C$2:$C$100=$B37),0
   ),
   0
)</f>
        <v>0</v>
      </c>
      <c r="G37" s="184" cm="1">
        <f t="array" ref="G37">_xlfn.IFNA(
   _xlfn._xlws.FILTER(
      Sim_Mul_Bet100!$L$2:$L$100,
      (Sim_Mul_Bet100!$A$2:$A$100=G$2) * (Sim_Mul_Bet100!$C$2:$C$100=$B37),0
   ),
   0
)</f>
        <v>500</v>
      </c>
      <c r="H37" s="185" cm="1">
        <f t="array" ref="H37">_xlfn.IFNA(
   _xlfn._xlws.FILTER(
      Sim_Mul_Bet100!$L$2:$L$100,
      (Sim_Mul_Bet100!$A$2:$A$100=H$2) * (Sim_Mul_Bet100!$C$2:$C$100=$B37),0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7.8941199999999993E-3</v>
      </c>
      <c r="N37" s="189">
        <f t="shared" si="6"/>
        <v>500</v>
      </c>
      <c r="O37" s="190">
        <f t="shared" si="7"/>
        <v>6.0000000000000002E-6</v>
      </c>
      <c r="P37" s="190">
        <v>3.9999999999999998E-6</v>
      </c>
      <c r="Q37" s="190">
        <v>5.8919136851479198E-6</v>
      </c>
      <c r="R37" s="191">
        <f t="shared" si="0"/>
        <v>3.0000000000000001E-3</v>
      </c>
      <c r="T37" s="192">
        <f t="shared" si="2"/>
        <v>6</v>
      </c>
      <c r="U37" s="176">
        <v>6.0000000000000002E-6</v>
      </c>
      <c r="V37" s="195">
        <f t="shared" si="3"/>
        <v>2E-3</v>
      </c>
      <c r="W37" s="194"/>
      <c r="X37" s="102"/>
      <c r="Y37" s="190">
        <f t="shared" si="8"/>
        <v>0</v>
      </c>
      <c r="Z37" s="190">
        <v>0</v>
      </c>
      <c r="AA37" s="190">
        <v>5.8919136851479198E-6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Sim_Mul_Bet100!$F$2:$F$100,
      (Sim_Mul_Bet100!$A$2:$A$100=C$2) * (Sim_Mul_Bet100!$C$2:$C$100=$B38),0
   ),
   0
)</f>
        <v>0</v>
      </c>
      <c r="D38" s="181" cm="1">
        <f t="array" ref="D38">_xlfn.IFNA(
   _xlfn._xlws.FILTER(
      Sim_Mul_Bet100!$F$2:$F$100,
      (Sim_Mul_Bet100!$A$2:$A$100=D$2) * (Sim_Mul_Bet100!$C$2:$C$100=$B38),0
   ),
   0
)</f>
        <v>2.4766509999999999E-2</v>
      </c>
      <c r="E38" s="182" cm="1">
        <f t="array" ref="E38">_xlfn.IFNA(
   _xlfn._xlws.FILTER(
      Sim_Mul_Bet100!$F$2:$F$100,
      (Sim_Mul_Bet100!$A$2:$A$100=E$2) * (Sim_Mul_Bet100!$C$2:$C$100=$B38),0
   ),
   0
)</f>
        <v>0</v>
      </c>
      <c r="F38" s="183" cm="1">
        <f t="array" ref="F38">_xlfn.IFNA(
   _xlfn._xlws.FILTER(
      Sim_Mul_Bet100!$L$2:$L$100,
      (Sim_Mul_Bet100!$A$2:$A$100=F$2) * (Sim_Mul_Bet100!$C$2:$C$100=$B38),0
   ),
   0
)</f>
        <v>0</v>
      </c>
      <c r="G38" s="184" cm="1">
        <f t="array" ref="G38">_xlfn.IFNA(
   _xlfn._xlws.FILTER(
      Sim_Mul_Bet100!$L$2:$L$100,
      (Sim_Mul_Bet100!$A$2:$A$100=G$2) * (Sim_Mul_Bet100!$C$2:$C$100=$B38),0
   ),
   0
)</f>
        <v>504.64041134984296</v>
      </c>
      <c r="H38" s="185" cm="1">
        <f t="array" ref="H38">_xlfn.IFNA(
   _xlfn._xlws.FILTER(
      Sim_Mul_Bet100!$L$2:$L$100,
      (Sim_Mul_Bet100!$A$2:$A$100=H$2) * (Sim_Mul_Bet100!$C$2:$C$100=$B38),0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2.4766509999999999E-2</v>
      </c>
      <c r="N38" s="189">
        <f t="shared" si="6"/>
        <v>504.64041134984296</v>
      </c>
      <c r="O38" s="190">
        <f t="shared" si="7"/>
        <v>4.5000000000000001E-6</v>
      </c>
      <c r="P38" s="190">
        <v>3.0000000000000001E-6</v>
      </c>
      <c r="Q38" s="190">
        <v>6.7336156401690502E-6</v>
      </c>
      <c r="R38" s="191">
        <f t="shared" si="0"/>
        <v>2.2708818510742933E-3</v>
      </c>
      <c r="T38" s="192">
        <f t="shared" si="2"/>
        <v>5</v>
      </c>
      <c r="U38" s="176">
        <v>5.0000000000000004E-6</v>
      </c>
      <c r="V38" s="195">
        <f t="shared" si="3"/>
        <v>1.6821347044994768E-3</v>
      </c>
      <c r="W38" s="194"/>
      <c r="X38" s="102"/>
      <c r="Y38" s="190">
        <f t="shared" si="8"/>
        <v>0</v>
      </c>
      <c r="Z38" s="190">
        <v>0</v>
      </c>
      <c r="AA38" s="190">
        <v>6.7336156401690502E-6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Sim_Mul_Bet100!$F$2:$F$100,
      (Sim_Mul_Bet100!$A$2:$A$100=C$2) * (Sim_Mul_Bet100!$C$2:$C$100=$B39),0
   ),
   0
)</f>
        <v>0</v>
      </c>
      <c r="D39" s="181" cm="1">
        <f t="array" ref="D39">_xlfn.IFNA(
   _xlfn._xlws.FILTER(
      Sim_Mul_Bet100!$F$2:$F$100,
      (Sim_Mul_Bet100!$A$2:$A$100=D$2) * (Sim_Mul_Bet100!$C$2:$C$100=$B39),0
   ),
   0
)</f>
        <v>1.22697E-3</v>
      </c>
      <c r="E39" s="182" cm="1">
        <f t="array" ref="E39">_xlfn.IFNA(
   _xlfn._xlws.FILTER(
      Sim_Mul_Bet100!$F$2:$F$100,
      (Sim_Mul_Bet100!$A$2:$A$100=E$2) * (Sim_Mul_Bet100!$C$2:$C$100=$B39),0
   ),
   0
)</f>
        <v>0</v>
      </c>
      <c r="F39" s="183" cm="1">
        <f t="array" ref="F39">_xlfn.IFNA(
   _xlfn._xlws.FILTER(
      Sim_Mul_Bet100!$L$2:$L$100,
      (Sim_Mul_Bet100!$A$2:$A$100=F$2) * (Sim_Mul_Bet100!$C$2:$C$100=$B39),0
   ),
   0
)</f>
        <v>0</v>
      </c>
      <c r="G39" s="184" cm="1">
        <f t="array" ref="G39">_xlfn.IFNA(
   _xlfn._xlws.FILTER(
      Sim_Mul_Bet100!$L$2:$L$100,
      (Sim_Mul_Bet100!$A$2:$A$100=G$2) * (Sim_Mul_Bet100!$C$2:$C$100=$B39),0
   ),
   0
)</f>
        <v>556.17292069080736</v>
      </c>
      <c r="H39" s="185" cm="1">
        <f t="array" ref="H39">_xlfn.IFNA(
   _xlfn._xlws.FILTER(
      Sim_Mul_Bet100!$L$2:$L$100,
      (Sim_Mul_Bet100!$A$2:$A$100=H$2) * (Sim_Mul_Bet100!$C$2:$C$100=$B39),0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1.22697E-3</v>
      </c>
      <c r="N39" s="189">
        <f t="shared" si="6"/>
        <v>556.17292069080736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X39" s="102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Sim_Mul_Bet100!$F$2:$F$100,
      (Sim_Mul_Bet100!$A$2:$A$100=C$2) * (Sim_Mul_Bet100!$C$2:$C$100=$B40),0
   ),
   0
)</f>
        <v>0</v>
      </c>
      <c r="D40" s="181" cm="1">
        <f t="array" ref="D40">_xlfn.IFNA(
   _xlfn._xlws.FILTER(
      Sim_Mul_Bet100!$F$2:$F$100,
      (Sim_Mul_Bet100!$A$2:$A$100=D$2) * (Sim_Mul_Bet100!$C$2:$C$100=$B40),0
   ),
   0
)</f>
        <v>5.4759000000000003E-4</v>
      </c>
      <c r="E40" s="182" cm="1">
        <f t="array" ref="E40">_xlfn.IFNA(
   _xlfn._xlws.FILTER(
      Sim_Mul_Bet100!$F$2:$F$100,
      (Sim_Mul_Bet100!$A$2:$A$100=E$2) * (Sim_Mul_Bet100!$C$2:$C$100=$B40),0
   ),
   0
)</f>
        <v>0</v>
      </c>
      <c r="F40" s="183" cm="1">
        <f t="array" ref="F40">_xlfn.IFNA(
   _xlfn._xlws.FILTER(
      Sim_Mul_Bet100!$L$2:$L$100,
      (Sim_Mul_Bet100!$A$2:$A$100=F$2) * (Sim_Mul_Bet100!$C$2:$C$100=$B40),0
   ),
   0
)</f>
        <v>0</v>
      </c>
      <c r="G40" s="184" cm="1">
        <f t="array" ref="G40">_xlfn.IFNA(
   _xlfn._xlws.FILTER(
      Sim_Mul_Bet100!$L$2:$L$100,
      (Sim_Mul_Bet100!$A$2:$A$100=G$2) * (Sim_Mul_Bet100!$C$2:$C$100=$B40),0
   ),
   0
)</f>
        <v>602.75512536751955</v>
      </c>
      <c r="H40" s="185" cm="1">
        <f t="array" ref="H40">_xlfn.IFNA(
   _xlfn._xlws.FILTER(
      Sim_Mul_Bet100!$L$2:$L$100,
      (Sim_Mul_Bet100!$A$2:$A$100=H$2) * (Sim_Mul_Bet100!$C$2:$C$100=$B40),0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5.4759000000000003E-4</v>
      </c>
      <c r="N40" s="189">
        <f t="shared" si="6"/>
        <v>602.75512536751955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X40" s="102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Sim_Mul_Bet100!$F$2:$F$100,
      (Sim_Mul_Bet100!$A$2:$A$100=C$2) * (Sim_Mul_Bet100!$C$2:$C$100=$B41),0
   ),
   0
)</f>
        <v>0</v>
      </c>
      <c r="D41" s="181" cm="1">
        <f t="array" ref="D41">_xlfn.IFNA(
   _xlfn._xlws.FILTER(
      Sim_Mul_Bet100!$F$2:$F$100,
      (Sim_Mul_Bet100!$A$2:$A$100=D$2) * (Sim_Mul_Bet100!$C$2:$C$100=$B41),0
   ),
   0
)</f>
        <v>0</v>
      </c>
      <c r="E41" s="182" cm="1">
        <f t="array" ref="E41">_xlfn.IFNA(
   _xlfn._xlws.FILTER(
      Sim_Mul_Bet100!$F$2:$F$100,
      (Sim_Mul_Bet100!$A$2:$A$100=E$2) * (Sim_Mul_Bet100!$C$2:$C$100=$B41),0
   ),
   0
)</f>
        <v>0</v>
      </c>
      <c r="F41" s="183" cm="1">
        <f t="array" ref="F41">_xlfn.IFNA(
   _xlfn._xlws.FILTER(
      Sim_Mul_Bet100!$L$2:$L$100,
      (Sim_Mul_Bet100!$A$2:$A$100=F$2) * (Sim_Mul_Bet100!$C$2:$C$100=$B41),0
   ),
   0
)</f>
        <v>0</v>
      </c>
      <c r="G41" s="184" cm="1">
        <f t="array" ref="G41">_xlfn.IFNA(
   _xlfn._xlws.FILTER(
      Sim_Mul_Bet100!$L$2:$L$100,
      (Sim_Mul_Bet100!$A$2:$A$100=G$2) * (Sim_Mul_Bet100!$C$2:$C$100=$B41),0
   ),
   0
)</f>
        <v>0</v>
      </c>
      <c r="H41" s="185" cm="1">
        <f t="array" ref="H41">_xlfn.IFNA(
   _xlfn._xlws.FILTER(
      Sim_Mul_Bet100!$L$2:$L$100,
      (Sim_Mul_Bet100!$A$2:$A$100=H$2) * (Sim_Mul_Bet100!$C$2:$C$100=$B41),0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102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Sim_Mul_Bet100!$F$2:$F$100,
      (Sim_Mul_Bet100!$A$2:$A$100=C$2) * (Sim_Mul_Bet100!$C$2:$C$100=$B42),0
   ),
   0
)</f>
        <v>0</v>
      </c>
      <c r="D42" s="181" cm="1">
        <f t="array" ref="D42">_xlfn.IFNA(
   _xlfn._xlws.FILTER(
      Sim_Mul_Bet100!$F$2:$F$100,
      (Sim_Mul_Bet100!$A$2:$A$100=D$2) * (Sim_Mul_Bet100!$C$2:$C$100=$B42),0
   ),
   0
)</f>
        <v>0</v>
      </c>
      <c r="E42" s="182" cm="1">
        <f t="array" ref="E42">_xlfn.IFNA(
   _xlfn._xlws.FILTER(
      Sim_Mul_Bet100!$F$2:$F$100,
      (Sim_Mul_Bet100!$A$2:$A$100=E$2) * (Sim_Mul_Bet100!$C$2:$C$100=$B42),0
   ),
   0
)</f>
        <v>0</v>
      </c>
      <c r="F42" s="183" cm="1">
        <f t="array" ref="F42">_xlfn.IFNA(
   _xlfn._xlws.FILTER(
      Sim_Mul_Bet100!$L$2:$L$100,
      (Sim_Mul_Bet100!$A$2:$A$100=F$2) * (Sim_Mul_Bet100!$C$2:$C$100=$B42),0
   ),
   0
)</f>
        <v>0</v>
      </c>
      <c r="G42" s="184" cm="1">
        <f t="array" ref="G42">_xlfn.IFNA(
   _xlfn._xlws.FILTER(
      Sim_Mul_Bet100!$L$2:$L$100,
      (Sim_Mul_Bet100!$A$2:$A$100=G$2) * (Sim_Mul_Bet100!$C$2:$C$100=$B42),0
   ),
   0
)</f>
        <v>0</v>
      </c>
      <c r="H42" s="185" cm="1">
        <f t="array" ref="H42">_xlfn.IFNA(
   _xlfn._xlws.FILTER(
      Sim_Mul_Bet100!$L$2:$L$100,
      (Sim_Mul_Bet100!$A$2:$A$100=H$2) * (Sim_Mul_Bet100!$C$2:$C$100=$B42),0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Sim_Mul_Bet100!$F$2:$F$100,
      (Sim_Mul_Bet100!$A$2:$A$100=C$2) * (Sim_Mul_Bet100!$C$2:$C$100=$B43),0
   ),
   0
)</f>
        <v>0</v>
      </c>
      <c r="D43" s="181" cm="1">
        <f t="array" ref="D43">_xlfn.IFNA(
   _xlfn._xlws.FILTER(
      Sim_Mul_Bet100!$F$2:$F$100,
      (Sim_Mul_Bet100!$A$2:$A$100=D$2) * (Sim_Mul_Bet100!$C$2:$C$100=$B43),0
   ),
   0
)</f>
        <v>0</v>
      </c>
      <c r="E43" s="182" cm="1">
        <f t="array" ref="E43">_xlfn.IFNA(
   _xlfn._xlws.FILTER(
      Sim_Mul_Bet100!$F$2:$F$100,
      (Sim_Mul_Bet100!$A$2:$A$100=E$2) * (Sim_Mul_Bet100!$C$2:$C$100=$B43),0
   ),
   0
)</f>
        <v>0</v>
      </c>
      <c r="F43" s="183" cm="1">
        <f t="array" ref="F43">_xlfn.IFNA(
   _xlfn._xlws.FILTER(
      Sim_Mul_Bet100!$L$2:$L$100,
      (Sim_Mul_Bet100!$A$2:$A$100=F$2) * (Sim_Mul_Bet100!$C$2:$C$100=$B43),0
   ),
   0
)</f>
        <v>0</v>
      </c>
      <c r="G43" s="184" cm="1">
        <f t="array" ref="G43">_xlfn.IFNA(
   _xlfn._xlws.FILTER(
      Sim_Mul_Bet100!$L$2:$L$100,
      (Sim_Mul_Bet100!$A$2:$A$100=G$2) * (Sim_Mul_Bet100!$C$2:$C$100=$B43),0
   ),
   0
)</f>
        <v>0</v>
      </c>
      <c r="H43" s="185" cm="1">
        <f t="array" ref="H43">_xlfn.IFNA(
   _xlfn._xlws.FILTER(
      Sim_Mul_Bet100!$L$2:$L$100,
      (Sim_Mul_Bet100!$A$2:$A$100=H$2) * (Sim_Mul_Bet100!$C$2:$C$100=$B43),0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Sim_Mul_Bet100!$F$2:$F$100,
      (Sim_Mul_Bet100!$A$2:$A$100=C$2) * (Sim_Mul_Bet100!$C$2:$C$100=$B44),0
   ),
   0
)</f>
        <v>0</v>
      </c>
      <c r="D44" s="181" cm="1">
        <f t="array" ref="D44">_xlfn.IFNA(
   _xlfn._xlws.FILTER(
      Sim_Mul_Bet100!$F$2:$F$100,
      (Sim_Mul_Bet100!$A$2:$A$100=D$2) * (Sim_Mul_Bet100!$C$2:$C$100=$B44),0
   ),
   0
)</f>
        <v>0</v>
      </c>
      <c r="E44" s="182" cm="1">
        <f t="array" ref="E44">_xlfn.IFNA(
   _xlfn._xlws.FILTER(
      Sim_Mul_Bet100!$F$2:$F$100,
      (Sim_Mul_Bet100!$A$2:$A$100=E$2) * (Sim_Mul_Bet100!$C$2:$C$100=$B44),0
   ),
   0
)</f>
        <v>0</v>
      </c>
      <c r="F44" s="183" cm="1">
        <f t="array" ref="F44">_xlfn.IFNA(
   _xlfn._xlws.FILTER(
      Sim_Mul_Bet100!$L$2:$L$100,
      (Sim_Mul_Bet100!$A$2:$A$100=F$2) * (Sim_Mul_Bet100!$C$2:$C$100=$B44),0
   ),
   0
)</f>
        <v>0</v>
      </c>
      <c r="G44" s="184" cm="1">
        <f t="array" ref="G44">_xlfn.IFNA(
   _xlfn._xlws.FILTER(
      Sim_Mul_Bet100!$L$2:$L$100,
      (Sim_Mul_Bet100!$A$2:$A$100=G$2) * (Sim_Mul_Bet100!$C$2:$C$100=$B44),0
   ),
   0
)</f>
        <v>0</v>
      </c>
      <c r="H44" s="185" cm="1">
        <f t="array" ref="H44">_xlfn.IFNA(
   _xlfn._xlws.FILTER(
      Sim_Mul_Bet100!$L$2:$L$100,
      (Sim_Mul_Bet100!$A$2:$A$100=H$2) * (Sim_Mul_Bet100!$C$2:$C$100=$B44),0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Sim_Mul_Bet100!$F$2:$F$100,
      (Sim_Mul_Bet100!$A$2:$A$100=C$2) * (Sim_Mul_Bet100!$C$2:$C$100=$B45),0
   ),
   0
)</f>
        <v>0</v>
      </c>
      <c r="D45" s="181" cm="1">
        <f t="array" ref="D45">_xlfn.IFNA(
   _xlfn._xlws.FILTER(
      Sim_Mul_Bet100!$F$2:$F$100,
      (Sim_Mul_Bet100!$A$2:$A$100=D$2) * (Sim_Mul_Bet100!$C$2:$C$100=$B45),0
   ),
   0
)</f>
        <v>0</v>
      </c>
      <c r="E45" s="182" cm="1">
        <f t="array" ref="E45">_xlfn.IFNA(
   _xlfn._xlws.FILTER(
      Sim_Mul_Bet100!$F$2:$F$100,
      (Sim_Mul_Bet100!$A$2:$A$100=E$2) * (Sim_Mul_Bet100!$C$2:$C$100=$B45),0
   ),
   0
)</f>
        <v>0</v>
      </c>
      <c r="F45" s="183" cm="1">
        <f t="array" ref="F45">_xlfn.IFNA(
   _xlfn._xlws.FILTER(
      Sim_Mul_Bet100!$L$2:$L$100,
      (Sim_Mul_Bet100!$A$2:$A$100=F$2) * (Sim_Mul_Bet100!$C$2:$C$100=$B45),0
   ),
   0
)</f>
        <v>0</v>
      </c>
      <c r="G45" s="184" cm="1">
        <f t="array" ref="G45">_xlfn.IFNA(
   _xlfn._xlws.FILTER(
      Sim_Mul_Bet100!$L$2:$L$100,
      (Sim_Mul_Bet100!$A$2:$A$100=G$2) * (Sim_Mul_Bet100!$C$2:$C$100=$B45),0
   ),
   0
)</f>
        <v>0</v>
      </c>
      <c r="H45" s="185" cm="1">
        <f t="array" ref="H45">_xlfn.IFNA(
   _xlfn._xlws.FILTER(
      Sim_Mul_Bet100!$L$2:$L$100,
      (Sim_Mul_Bet100!$A$2:$A$100=H$2) * (Sim_Mul_Bet100!$C$2:$C$100=$B45),0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Sim_Mul_Bet100!$F$2:$F$100,
      (Sim_Mul_Bet100!$A$2:$A$100=C$2) * (Sim_Mul_Bet100!$C$2:$C$100=$B46),0
   ),
   0
)</f>
        <v>0</v>
      </c>
      <c r="D46" s="181" cm="1">
        <f t="array" ref="D46">_xlfn.IFNA(
   _xlfn._xlws.FILTER(
      Sim_Mul_Bet100!$F$2:$F$100,
      (Sim_Mul_Bet100!$A$2:$A$100=D$2) * (Sim_Mul_Bet100!$C$2:$C$100=$B46),0
   ),
   0
)</f>
        <v>0</v>
      </c>
      <c r="E46" s="182" cm="1">
        <f t="array" ref="E46">_xlfn.IFNA(
   _xlfn._xlws.FILTER(
      Sim_Mul_Bet100!$F$2:$F$100,
      (Sim_Mul_Bet100!$A$2:$A$100=E$2) * (Sim_Mul_Bet100!$C$2:$C$100=$B46),0
   ),
   0
)</f>
        <v>0</v>
      </c>
      <c r="F46" s="183" cm="1">
        <f t="array" ref="F46">_xlfn.IFNA(
   _xlfn._xlws.FILTER(
      Sim_Mul_Bet100!$L$2:$L$100,
      (Sim_Mul_Bet100!$A$2:$A$100=F$2) * (Sim_Mul_Bet100!$C$2:$C$100=$B46),0
   ),
   0
)</f>
        <v>0</v>
      </c>
      <c r="G46" s="184" cm="1">
        <f t="array" ref="G46">_xlfn.IFNA(
   _xlfn._xlws.FILTER(
      Sim_Mul_Bet100!$L$2:$L$100,
      (Sim_Mul_Bet100!$A$2:$A$100=G$2) * (Sim_Mul_Bet100!$C$2:$C$100=$B46),0
   ),
   0
)</f>
        <v>0</v>
      </c>
      <c r="H46" s="185" cm="1">
        <f t="array" ref="H46">_xlfn.IFNA(
   _xlfn._xlws.FILTER(
      Sim_Mul_Bet100!$L$2:$L$100,
      (Sim_Mul_Bet100!$A$2:$A$100=H$2) * (Sim_Mul_Bet100!$C$2:$C$100=$B46),0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Sim_Mul_Bet100!$F$2:$F$100,
      (Sim_Mul_Bet100!$A$2:$A$100=C$2) * (Sim_Mul_Bet100!$C$2:$C$100=$B47),0
   ),
   0
)</f>
        <v>0</v>
      </c>
      <c r="D47" s="181" cm="1">
        <f t="array" ref="D47">_xlfn.IFNA(
   _xlfn._xlws.FILTER(
      Sim_Mul_Bet100!$F$2:$F$100,
      (Sim_Mul_Bet100!$A$2:$A$100=D$2) * (Sim_Mul_Bet100!$C$2:$C$100=$B47),0
   ),
   0
)</f>
        <v>7.2228700000000002E-3</v>
      </c>
      <c r="E47" s="182" cm="1">
        <f t="array" ref="E47">_xlfn.IFNA(
   _xlfn._xlws.FILTER(
      Sim_Mul_Bet100!$F$2:$F$100,
      (Sim_Mul_Bet100!$A$2:$A$100=E$2) * (Sim_Mul_Bet100!$C$2:$C$100=$B47),0
   ),
   0
)</f>
        <v>0</v>
      </c>
      <c r="F47" s="183" cm="1">
        <f t="array" ref="F47">_xlfn.IFNA(
   _xlfn._xlws.FILTER(
      Sim_Mul_Bet100!$L$2:$L$100,
      (Sim_Mul_Bet100!$A$2:$A$100=F$2) * (Sim_Mul_Bet100!$C$2:$C$100=$B47),0
   ),
   0
)</f>
        <v>0</v>
      </c>
      <c r="G47" s="184" cm="1">
        <f t="array" ref="G47">_xlfn.IFNA(
   _xlfn._xlws.FILTER(
      Sim_Mul_Bet100!$L$2:$L$100,
      (Sim_Mul_Bet100!$A$2:$A$100=G$2) * (Sim_Mul_Bet100!$C$2:$C$100=$B47),0
   ),
   0
)</f>
        <v>1000</v>
      </c>
      <c r="H47" s="185" cm="1">
        <f t="array" ref="H47">_xlfn.IFNA(
   _xlfn._xlws.FILTER(
      Sim_Mul_Bet100!$L$2:$L$100,
      (Sim_Mul_Bet100!$A$2:$A$100=H$2) * (Sim_Mul_Bet100!$C$2:$C$100=$B47),0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7.2228700000000002E-3</v>
      </c>
      <c r="N47" s="189">
        <f t="shared" si="6"/>
        <v>1000</v>
      </c>
      <c r="O47" s="190">
        <f t="shared" si="7"/>
        <v>7.5000000000000002E-7</v>
      </c>
      <c r="P47" s="190">
        <v>4.9999999999999998E-7</v>
      </c>
      <c r="Q47" s="190">
        <v>0</v>
      </c>
      <c r="R47" s="191">
        <f t="shared" si="0"/>
        <v>7.5000000000000002E-4</v>
      </c>
      <c r="T47" s="192">
        <f t="shared" si="2"/>
        <v>1</v>
      </c>
      <c r="U47" s="176">
        <v>9.9999999999999995E-7</v>
      </c>
      <c r="V47" s="195">
        <f t="shared" si="3"/>
        <v>6.6666666666666664E-4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Sim_Mul_Bet100!$F$2:$F$100,
      (Sim_Mul_Bet100!$A$2:$A$100=C$2) * (Sim_Mul_Bet100!$C$2:$C$100=$B48),0
   ),
   0
)</f>
        <v>0</v>
      </c>
      <c r="D48" s="181" cm="1">
        <f t="array" ref="D48">_xlfn.IFNA(
   _xlfn._xlws.FILTER(
      Sim_Mul_Bet100!$F$2:$F$100,
      (Sim_Mul_Bet100!$A$2:$A$100=D$2) * (Sim_Mul_Bet100!$C$2:$C$100=$B48),0
   ),
   0
)</f>
        <v>2.3172370000000001E-2</v>
      </c>
      <c r="E48" s="182" cm="1">
        <f t="array" ref="E48">_xlfn.IFNA(
   _xlfn._xlws.FILTER(
      Sim_Mul_Bet100!$F$2:$F$100,
      (Sim_Mul_Bet100!$A$2:$A$100=E$2) * (Sim_Mul_Bet100!$C$2:$C$100=$B48),0
   ),
   0
)</f>
        <v>0</v>
      </c>
      <c r="F48" s="183" cm="1">
        <f t="array" ref="F48">_xlfn.IFNA(
   _xlfn._xlws.FILTER(
      Sim_Mul_Bet100!$L$2:$L$100,
      (Sim_Mul_Bet100!$A$2:$A$100=F$2) * (Sim_Mul_Bet100!$C$2:$C$100=$B48),0
   ),
   0
)</f>
        <v>0</v>
      </c>
      <c r="G48" s="184" cm="1">
        <f t="array" ref="G48">_xlfn.IFNA(
   _xlfn._xlws.FILTER(
      Sim_Mul_Bet100!$L$2:$L$100,
      (Sim_Mul_Bet100!$A$2:$A$100=G$2) * (Sim_Mul_Bet100!$C$2:$C$100=$B48),0
   ),
   0
)</f>
        <v>1010.7334765973442</v>
      </c>
      <c r="H48" s="185" cm="1">
        <f t="array" ref="H48">_xlfn.IFNA(
   _xlfn._xlws.FILTER(
      Sim_Mul_Bet100!$L$2:$L$100,
      (Sim_Mul_Bet100!$A$2:$A$100=H$2) * (Sim_Mul_Bet100!$C$2:$C$100=$B48),0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2.3172370000000001E-2</v>
      </c>
      <c r="N48" s="189">
        <f t="shared" si="6"/>
        <v>1010.7334765973442</v>
      </c>
      <c r="O48" s="190">
        <f t="shared" si="7"/>
        <v>7.5000000000000002E-7</v>
      </c>
      <c r="P48" s="190">
        <v>4.9999999999999998E-7</v>
      </c>
      <c r="Q48" s="190">
        <v>0</v>
      </c>
      <c r="R48" s="191">
        <f t="shared" si="0"/>
        <v>7.5805010744800819E-4</v>
      </c>
      <c r="T48" s="192">
        <f t="shared" si="2"/>
        <v>1</v>
      </c>
      <c r="U48" s="176">
        <v>9.9999999999999995E-7</v>
      </c>
      <c r="V48" s="195">
        <f t="shared" si="3"/>
        <v>6.7382231773156266E-4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Sim_Mul_Bet100!$F$2:$F$100,
      (Sim_Mul_Bet100!$A$2:$A$100=C$2) * (Sim_Mul_Bet100!$C$2:$C$100=$B49),0
   ),
   0
)</f>
        <v>0</v>
      </c>
      <c r="D49" s="181" cm="1">
        <f t="array" ref="D49">_xlfn.IFNA(
   _xlfn._xlws.FILTER(
      Sim_Mul_Bet100!$F$2:$F$100,
      (Sim_Mul_Bet100!$A$2:$A$100=D$2) * (Sim_Mul_Bet100!$C$2:$C$100=$B49),0
   ),
   0
)</f>
        <v>0</v>
      </c>
      <c r="E49" s="182" cm="1">
        <f t="array" ref="E49">_xlfn.IFNA(
   _xlfn._xlws.FILTER(
      Sim_Mul_Bet100!$F$2:$F$100,
      (Sim_Mul_Bet100!$A$2:$A$100=E$2) * (Sim_Mul_Bet100!$C$2:$C$100=$B49),0
   ),
   0
)</f>
        <v>0</v>
      </c>
      <c r="F49" s="183" cm="1">
        <f t="array" ref="F49">_xlfn.IFNA(
   _xlfn._xlws.FILTER(
      Sim_Mul_Bet100!$L$2:$L$100,
      (Sim_Mul_Bet100!$A$2:$A$100=F$2) * (Sim_Mul_Bet100!$C$2:$C$100=$B49),0
   ),
   0
)</f>
        <v>0</v>
      </c>
      <c r="G49" s="184" cm="1">
        <f t="array" ref="G49">_xlfn.IFNA(
   _xlfn._xlws.FILTER(
      Sim_Mul_Bet100!$L$2:$L$100,
      (Sim_Mul_Bet100!$A$2:$A$100=G$2) * (Sim_Mul_Bet100!$C$2:$C$100=$B49),0
   ),
   0
)</f>
        <v>0</v>
      </c>
      <c r="H49" s="185" cm="1">
        <f t="array" ref="H49">_xlfn.IFNA(
   _xlfn._xlws.FILTER(
      Sim_Mul_Bet100!$L$2:$L$100,
      (Sim_Mul_Bet100!$A$2:$A$100=H$2) * (Sim_Mul_Bet100!$C$2:$C$100=$B49),0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Sim_Mul_Bet100!$F$2:$F$100,
      (Sim_Mul_Bet100!$A$2:$A$100=C$2) * (Sim_Mul_Bet100!$C$2:$C$100=$B50),0
   ),
   0
)</f>
        <v>0</v>
      </c>
      <c r="D50" s="181" cm="1">
        <f t="array" ref="D50">_xlfn.IFNA(
   _xlfn._xlws.FILTER(
      Sim_Mul_Bet100!$F$2:$F$100,
      (Sim_Mul_Bet100!$A$2:$A$100=D$2) * (Sim_Mul_Bet100!$C$2:$C$100=$B50),0
   ),
   0
)</f>
        <v>0</v>
      </c>
      <c r="E50" s="182" cm="1">
        <f t="array" ref="E50">_xlfn.IFNA(
   _xlfn._xlws.FILTER(
      Sim_Mul_Bet100!$F$2:$F$100,
      (Sim_Mul_Bet100!$A$2:$A$100=E$2) * (Sim_Mul_Bet100!$C$2:$C$100=$B50),0
   ),
   0
)</f>
        <v>0</v>
      </c>
      <c r="F50" s="183" cm="1">
        <f t="array" ref="F50">_xlfn.IFNA(
   _xlfn._xlws.FILTER(
      Sim_Mul_Bet100!$L$2:$L$100,
      (Sim_Mul_Bet100!$A$2:$A$100=F$2) * (Sim_Mul_Bet100!$C$2:$C$100=$B50),0
   ),
   0
)</f>
        <v>0</v>
      </c>
      <c r="G50" s="184" cm="1">
        <f t="array" ref="G50">_xlfn.IFNA(
   _xlfn._xlws.FILTER(
      Sim_Mul_Bet100!$L$2:$L$100,
      (Sim_Mul_Bet100!$A$2:$A$100=G$2) * (Sim_Mul_Bet100!$C$2:$C$100=$B50),0
   ),
   0
)</f>
        <v>0</v>
      </c>
      <c r="H50" s="185" cm="1">
        <f t="array" ref="H50">_xlfn.IFNA(
   _xlfn._xlws.FILTER(
      Sim_Mul_Bet100!$L$2:$L$100,
      (Sim_Mul_Bet100!$A$2:$A$100=H$2) * (Sim_Mul_Bet100!$C$2:$C$100=$B50),0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Sim_Mul_Bet100!$F$2:$F$100,
      (Sim_Mul_Bet100!$A$2:$A$100=C$2) * (Sim_Mul_Bet100!$C$2:$C$100=$B51),0
   ),
   0
)</f>
        <v>0</v>
      </c>
      <c r="D51" s="181" cm="1">
        <f t="array" ref="D51">_xlfn.IFNA(
   _xlfn._xlws.FILTER(
      Sim_Mul_Bet100!$F$2:$F$100,
      (Sim_Mul_Bet100!$A$2:$A$100=D$2) * (Sim_Mul_Bet100!$C$2:$C$100=$B51),0
   ),
   0
)</f>
        <v>0</v>
      </c>
      <c r="E51" s="182" cm="1">
        <f t="array" ref="E51">_xlfn.IFNA(
   _xlfn._xlws.FILTER(
      Sim_Mul_Bet100!$F$2:$F$100,
      (Sim_Mul_Bet100!$A$2:$A$100=E$2) * (Sim_Mul_Bet100!$C$2:$C$100=$B51),0
   ),
   0
)</f>
        <v>0</v>
      </c>
      <c r="F51" s="183" cm="1">
        <f t="array" ref="F51">_xlfn.IFNA(
   _xlfn._xlws.FILTER(
      Sim_Mul_Bet100!$L$2:$L$100,
      (Sim_Mul_Bet100!$A$2:$A$100=F$2) * (Sim_Mul_Bet100!$C$2:$C$100=$B51),0
   ),
   0
)</f>
        <v>0</v>
      </c>
      <c r="G51" s="184" cm="1">
        <f t="array" ref="G51">_xlfn.IFNA(
   _xlfn._xlws.FILTER(
      Sim_Mul_Bet100!$L$2:$L$100,
      (Sim_Mul_Bet100!$A$2:$A$100=G$2) * (Sim_Mul_Bet100!$C$2:$C$100=$B51),0
   ),
   0
)</f>
        <v>0</v>
      </c>
      <c r="H51" s="185" cm="1">
        <f t="array" ref="H51">_xlfn.IFNA(
   _xlfn._xlws.FILTER(
      Sim_Mul_Bet100!$L$2:$L$100,
      (Sim_Mul_Bet100!$A$2:$A$100=H$2) * (Sim_Mul_Bet100!$C$2:$C$100=$B51),0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Sim_Mul_Bet100!$F$2:$F$100,
      (Sim_Mul_Bet100!$A$2:$A$100=C$2) * (Sim_Mul_Bet100!$C$2:$C$100=$B52),0
   ),
   0
)</f>
        <v>0</v>
      </c>
      <c r="D52" s="181" cm="1">
        <f t="array" ref="D52">_xlfn.IFNA(
   _xlfn._xlws.FILTER(
      Sim_Mul_Bet100!$F$2:$F$100,
      (Sim_Mul_Bet100!$A$2:$A$100=D$2) * (Sim_Mul_Bet100!$C$2:$C$100=$B52),0
   ),
   0
)</f>
        <v>0</v>
      </c>
      <c r="E52" s="182" cm="1">
        <f t="array" ref="E52">_xlfn.IFNA(
   _xlfn._xlws.FILTER(
      Sim_Mul_Bet100!$F$2:$F$100,
      (Sim_Mul_Bet100!$A$2:$A$100=E$2) * (Sim_Mul_Bet100!$C$2:$C$100=$B52),0
   ),
   0
)</f>
        <v>0</v>
      </c>
      <c r="F52" s="183" cm="1">
        <f t="array" ref="F52">_xlfn.IFNA(
   _xlfn._xlws.FILTER(
      Sim_Mul_Bet100!$L$2:$L$100,
      (Sim_Mul_Bet100!$A$2:$A$100=F$2) * (Sim_Mul_Bet100!$C$2:$C$100=$B52),0
   ),
   0
)</f>
        <v>0</v>
      </c>
      <c r="G52" s="184" cm="1">
        <f t="array" ref="G52">_xlfn.IFNA(
   _xlfn._xlws.FILTER(
      Sim_Mul_Bet100!$L$2:$L$100,
      (Sim_Mul_Bet100!$A$2:$A$100=G$2) * (Sim_Mul_Bet100!$C$2:$C$100=$B52),0
   ),
   0
)</f>
        <v>0</v>
      </c>
      <c r="H52" s="185" cm="1">
        <f t="array" ref="H52">_xlfn.IFNA(
   _xlfn._xlws.FILTER(
      Sim_Mul_Bet100!$L$2:$L$100,
      (Sim_Mul_Bet100!$A$2:$A$100=H$2) * (Sim_Mul_Bet100!$C$2:$C$100=$B52),0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Sim_Mul_Bet100!$F$2:$F$100,
      (Sim_Mul_Bet100!$A$2:$A$100=C$2) * (Sim_Mul_Bet100!$C$2:$C$100=$B53),0
   ),
   0
)</f>
        <v>0</v>
      </c>
      <c r="D53" s="181" cm="1">
        <f t="array" ref="D53">_xlfn.IFNA(
   _xlfn._xlws.FILTER(
      Sim_Mul_Bet100!$F$2:$F$100,
      (Sim_Mul_Bet100!$A$2:$A$100=D$2) * (Sim_Mul_Bet100!$C$2:$C$100=$B53),0
   ),
   0
)</f>
        <v>0</v>
      </c>
      <c r="E53" s="182" cm="1">
        <f t="array" ref="E53">_xlfn.IFNA(
   _xlfn._xlws.FILTER(
      Sim_Mul_Bet100!$F$2:$F$100,
      (Sim_Mul_Bet100!$A$2:$A$100=E$2) * (Sim_Mul_Bet100!$C$2:$C$100=$B53),0
   ),
   0
)</f>
        <v>0</v>
      </c>
      <c r="F53" s="183" cm="1">
        <f t="array" ref="F53">_xlfn.IFNA(
   _xlfn._xlws.FILTER(
      Sim_Mul_Bet100!$L$2:$L$100,
      (Sim_Mul_Bet100!$A$2:$A$100=F$2) * (Sim_Mul_Bet100!$C$2:$C$100=$B53),0
   ),
   0
)</f>
        <v>0</v>
      </c>
      <c r="G53" s="184" cm="1">
        <f t="array" ref="G53">_xlfn.IFNA(
   _xlfn._xlws.FILTER(
      Sim_Mul_Bet100!$L$2:$L$100,
      (Sim_Mul_Bet100!$A$2:$A$100=G$2) * (Sim_Mul_Bet100!$C$2:$C$100=$B53),0
   ),
   0
)</f>
        <v>0</v>
      </c>
      <c r="H53" s="185" cm="1">
        <f t="array" ref="H53">_xlfn.IFNA(
   _xlfn._xlws.FILTER(
      Sim_Mul_Bet100!$L$2:$L$100,
      (Sim_Mul_Bet100!$A$2:$A$100=H$2) * (Sim_Mul_Bet100!$C$2:$C$100=$B53),0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Sim_Mul_Bet100!$F$2:$F$100,
      (Sim_Mul_Bet100!$A$2:$A$100=C$2) * (Sim_Mul_Bet100!$C$2:$C$100=$B54),0
   ),
   0
)</f>
        <v>0</v>
      </c>
      <c r="D54" s="198" cm="1">
        <f t="array" ref="D54">_xlfn.IFNA(
   _xlfn._xlws.FILTER(
      Sim_Mul_Bet100!$F$2:$F$100,
      (Sim_Mul_Bet100!$A$2:$A$100=D$2) * (Sim_Mul_Bet100!$C$2:$C$100=$B54),0
   ),
   0
)</f>
        <v>0</v>
      </c>
      <c r="E54" s="199" cm="1">
        <f t="array" ref="E54">_xlfn.IFNA(
   _xlfn._xlws.FILTER(
      Sim_Mul_Bet100!$F$2:$F$100,
      (Sim_Mul_Bet100!$A$2:$A$100=E$2) * (Sim_Mul_Bet100!$C$2:$C$100=$B54),0
   ),
   0
)</f>
        <v>0</v>
      </c>
      <c r="F54" s="200" cm="1">
        <f t="array" ref="F54">_xlfn.IFNA(
   _xlfn._xlws.FILTER(
      Sim_Mul_Bet100!$L$2:$L$100,
      (Sim_Mul_Bet100!$A$2:$A$100=F$2) * (Sim_Mul_Bet100!$C$2:$C$100=$B54),0
   ),
   0
)</f>
        <v>0</v>
      </c>
      <c r="G54" s="201" cm="1">
        <f t="array" ref="G54">_xlfn.IFNA(
   _xlfn._xlws.FILTER(
      Sim_Mul_Bet100!$L$2:$L$100,
      (Sim_Mul_Bet100!$A$2:$A$100=G$2) * (Sim_Mul_Bet100!$C$2:$C$100=$B54),0
   ),
   0
)</f>
        <v>0</v>
      </c>
      <c r="H54" s="202" cm="1">
        <f t="array" ref="H54">_xlfn.IFNA(
   _xlfn._xlws.FILTER(
      Sim_Mul_Bet100!$L$2:$L$100,
      (Sim_Mul_Bet100!$A$2:$A$100=H$2) * (Sim_Mul_Bet100!$C$2:$C$100=$B54),0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T1:T1048576 O55:Q1048576 O1:Q2">
    <cfRule type="cellIs" dxfId="1468" priority="26" operator="equal">
      <formula>0</formula>
    </cfRule>
  </conditionalFormatting>
  <conditionalFormatting sqref="N1:N1048576">
    <cfRule type="cellIs" dxfId="1467" priority="25" operator="equal">
      <formula>0</formula>
    </cfRule>
  </conditionalFormatting>
  <conditionalFormatting sqref="O3:P3">
    <cfRule type="cellIs" dxfId="1466" priority="22" operator="equal">
      <formula>0</formula>
    </cfRule>
  </conditionalFormatting>
  <conditionalFormatting sqref="Q3:Q54">
    <cfRule type="cellIs" dxfId="1465" priority="21" operator="equal">
      <formula>0</formula>
    </cfRule>
  </conditionalFormatting>
  <conditionalFormatting sqref="M1:M1048576">
    <cfRule type="cellIs" dxfId="1464" priority="23" operator="lessThan">
      <formula>0.001</formula>
    </cfRule>
  </conditionalFormatting>
  <conditionalFormatting sqref="O4:O54">
    <cfRule type="cellIs" dxfId="1463" priority="18" operator="equal">
      <formula>0</formula>
    </cfRule>
  </conditionalFormatting>
  <conditionalFormatting sqref="C4:E54 C3:D3">
    <cfRule type="cellIs" dxfId="1462" priority="17" operator="equal">
      <formula>0</formula>
    </cfRule>
  </conditionalFormatting>
  <conditionalFormatting sqref="F4:H54 F3:G3">
    <cfRule type="cellIs" dxfId="1461" priority="16" operator="equal">
      <formula>0</formula>
    </cfRule>
  </conditionalFormatting>
  <conditionalFormatting sqref="P37:P54">
    <cfRule type="cellIs" dxfId="1460" priority="13" operator="equal">
      <formula>0</formula>
    </cfRule>
  </conditionalFormatting>
  <conditionalFormatting sqref="P4:P36">
    <cfRule type="cellIs" dxfId="1459" priority="12" operator="equal">
      <formula>0</formula>
    </cfRule>
  </conditionalFormatting>
  <conditionalFormatting sqref="X3:X38 X40:X41">
    <cfRule type="colorScale" priority="11">
      <colorScale>
        <cfvo type="min"/>
        <cfvo type="max"/>
        <color rgb="FFFCFCFF"/>
        <color rgb="FFF8696B"/>
      </colorScale>
    </cfRule>
  </conditionalFormatting>
  <conditionalFormatting sqref="AD1:AD1048576 Y1:Y2 Y55:Y1048576 AA55:AA1048576 AA1:AA2">
    <cfRule type="cellIs" dxfId="1458" priority="10" operator="equal">
      <formula>0</formula>
    </cfRule>
  </conditionalFormatting>
  <conditionalFormatting sqref="Y3:Y54">
    <cfRule type="cellIs" dxfId="1457" priority="9" operator="equal">
      <formula>0</formula>
    </cfRule>
  </conditionalFormatting>
  <conditionalFormatting sqref="AA3">
    <cfRule type="cellIs" dxfId="1456" priority="8" operator="equal">
      <formula>0</formula>
    </cfRule>
  </conditionalFormatting>
  <conditionalFormatting sqref="Z1:Z2 Z55:Z1048576">
    <cfRule type="cellIs" dxfId="1455" priority="7" operator="equal">
      <formula>0</formula>
    </cfRule>
  </conditionalFormatting>
  <conditionalFormatting sqref="Z3">
    <cfRule type="cellIs" dxfId="1454" priority="6" operator="equal">
      <formula>0</formula>
    </cfRule>
  </conditionalFormatting>
  <conditionalFormatting sqref="AA4:AA54">
    <cfRule type="cellIs" dxfId="1453" priority="3" operator="equal">
      <formula>0</formula>
    </cfRule>
  </conditionalFormatting>
  <conditionalFormatting sqref="Z37:Z54">
    <cfRule type="cellIs" dxfId="1452" priority="2" operator="equal">
      <formula>0</formula>
    </cfRule>
  </conditionalFormatting>
  <conditionalFormatting sqref="Z4:Z36">
    <cfRule type="cellIs" dxfId="1451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23C-FC11-458F-A9EC-B93E8FF8DB5D}">
  <dimension ref="A1:AC68"/>
  <sheetViews>
    <sheetView topLeftCell="A52" workbookViewId="0"/>
  </sheetViews>
  <sheetFormatPr defaultRowHeight="16.2"/>
  <sheetData>
    <row r="1" spans="1:29">
      <c r="L1">
        <v>100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80413129</v>
      </c>
      <c r="F2" cm="1">
        <f t="array" ref="F2:F29">E2:E29/SUM(E2:E29)</f>
        <v>0.80413129000000005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4765219</v>
      </c>
      <c r="F3">
        <v>4.7652189999999997E-2</v>
      </c>
      <c r="H3" t="s">
        <v>157</v>
      </c>
      <c r="I3" t="s">
        <v>156</v>
      </c>
      <c r="J3">
        <v>47652190000</v>
      </c>
      <c r="L3">
        <f>J3/E3/100/$L$1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1640113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5508973</v>
      </c>
      <c r="F4">
        <v>5.5089730000000003E-2</v>
      </c>
      <c r="H4" t="s">
        <v>157</v>
      </c>
      <c r="I4" t="s">
        <v>156</v>
      </c>
      <c r="J4">
        <v>69324545000</v>
      </c>
      <c r="L4">
        <f t="shared" ref="L4:L29" si="0">J4/E4/100/$L$1</f>
        <v>1.2583932613211211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4461921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568222</v>
      </c>
      <c r="F5">
        <v>5.68222E-3</v>
      </c>
      <c r="H5" t="s">
        <v>157</v>
      </c>
      <c r="I5" t="s">
        <v>156</v>
      </c>
      <c r="J5">
        <v>14151793600</v>
      </c>
      <c r="L5">
        <f t="shared" si="0"/>
        <v>2.4905395426435444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4907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3</v>
      </c>
      <c r="D6" t="s">
        <v>156</v>
      </c>
      <c r="E6">
        <v>164</v>
      </c>
      <c r="F6">
        <v>1.64E-6</v>
      </c>
      <c r="H6" t="s">
        <v>157</v>
      </c>
      <c r="I6" t="s">
        <v>156</v>
      </c>
      <c r="J6">
        <v>5020800</v>
      </c>
      <c r="L6">
        <f t="shared" si="0"/>
        <v>3.0614634146341468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 t="s">
        <v>159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4</v>
      </c>
      <c r="D7" t="s">
        <v>156</v>
      </c>
      <c r="E7">
        <v>2064365</v>
      </c>
      <c r="F7">
        <v>2.064365E-2</v>
      </c>
      <c r="H7" t="s">
        <v>157</v>
      </c>
      <c r="I7" t="s">
        <v>156</v>
      </c>
      <c r="J7">
        <v>103218250000</v>
      </c>
      <c r="L7">
        <f t="shared" si="0"/>
        <v>5</v>
      </c>
      <c r="O7" t="s">
        <v>158</v>
      </c>
      <c r="P7" t="s">
        <v>156</v>
      </c>
      <c r="Q7" t="s">
        <v>159</v>
      </c>
      <c r="R7" t="s">
        <v>160</v>
      </c>
      <c r="S7" t="s">
        <v>156</v>
      </c>
      <c r="T7">
        <v>1125853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5</v>
      </c>
      <c r="D8" t="s">
        <v>156</v>
      </c>
      <c r="E8">
        <v>2185607</v>
      </c>
      <c r="F8">
        <v>2.1856069999999998E-2</v>
      </c>
      <c r="H8" t="s">
        <v>157</v>
      </c>
      <c r="I8" t="s">
        <v>156</v>
      </c>
      <c r="J8">
        <v>111337295400</v>
      </c>
      <c r="L8">
        <f t="shared" si="0"/>
        <v>5.0941132326168432</v>
      </c>
      <c r="O8" t="s">
        <v>158</v>
      </c>
      <c r="P8" t="s">
        <v>156</v>
      </c>
      <c r="Q8" t="s">
        <v>159</v>
      </c>
      <c r="R8" t="s">
        <v>160</v>
      </c>
      <c r="S8" t="s">
        <v>156</v>
      </c>
      <c r="T8">
        <v>2158257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6</v>
      </c>
      <c r="D9" t="s">
        <v>156</v>
      </c>
      <c r="E9">
        <v>3392</v>
      </c>
      <c r="F9">
        <v>3.392E-5</v>
      </c>
      <c r="H9" t="s">
        <v>157</v>
      </c>
      <c r="I9" t="s">
        <v>156</v>
      </c>
      <c r="J9">
        <v>207450700</v>
      </c>
      <c r="L9">
        <f t="shared" si="0"/>
        <v>6.115881485849056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>
        <v>3392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7</v>
      </c>
      <c r="D10" t="s">
        <v>156</v>
      </c>
      <c r="E10">
        <v>6392</v>
      </c>
      <c r="F10">
        <v>6.3919999999999998E-5</v>
      </c>
      <c r="H10" t="s">
        <v>157</v>
      </c>
      <c r="I10" t="s">
        <v>156</v>
      </c>
      <c r="J10">
        <v>479585000</v>
      </c>
      <c r="L10">
        <f t="shared" si="0"/>
        <v>7.5028942428035057</v>
      </c>
      <c r="O10" t="s">
        <v>158</v>
      </c>
      <c r="P10" t="s">
        <v>156</v>
      </c>
      <c r="Q10" t="s">
        <v>159</v>
      </c>
      <c r="R10" t="s">
        <v>160</v>
      </c>
      <c r="S10" t="s">
        <v>156</v>
      </c>
      <c r="T10">
        <v>1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9</v>
      </c>
      <c r="D11" t="s">
        <v>156</v>
      </c>
      <c r="E11">
        <v>1049389</v>
      </c>
      <c r="F11">
        <v>1.0493890000000001E-2</v>
      </c>
      <c r="H11" t="s">
        <v>157</v>
      </c>
      <c r="I11" t="s">
        <v>156</v>
      </c>
      <c r="J11">
        <v>104938900000</v>
      </c>
      <c r="L11">
        <f t="shared" si="0"/>
        <v>10</v>
      </c>
      <c r="O11" t="s">
        <v>158</v>
      </c>
      <c r="P11" t="s">
        <v>156</v>
      </c>
      <c r="Q11">
        <v>529717</v>
      </c>
      <c r="R11" t="s">
        <v>160</v>
      </c>
      <c r="S11" t="s">
        <v>156</v>
      </c>
      <c r="T11">
        <v>115182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10</v>
      </c>
      <c r="D12" t="s">
        <v>156</v>
      </c>
      <c r="E12">
        <v>897004</v>
      </c>
      <c r="F12">
        <v>8.9700400000000003E-3</v>
      </c>
      <c r="H12" t="s">
        <v>157</v>
      </c>
      <c r="I12" t="s">
        <v>156</v>
      </c>
      <c r="J12">
        <v>100067504300</v>
      </c>
      <c r="L12">
        <f t="shared" si="0"/>
        <v>11.155747833900406</v>
      </c>
      <c r="O12" t="s">
        <v>158</v>
      </c>
      <c r="P12" t="s">
        <v>156</v>
      </c>
      <c r="Q12">
        <v>57151</v>
      </c>
      <c r="R12" t="s">
        <v>160</v>
      </c>
      <c r="S12" t="s">
        <v>156</v>
      </c>
      <c r="T12">
        <v>816052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15</v>
      </c>
      <c r="D13" t="s">
        <v>156</v>
      </c>
      <c r="E13">
        <v>1032789</v>
      </c>
      <c r="F13">
        <v>1.0327889999999999E-2</v>
      </c>
      <c r="H13" t="s">
        <v>157</v>
      </c>
      <c r="I13" t="s">
        <v>156</v>
      </c>
      <c r="J13">
        <v>192454333800</v>
      </c>
      <c r="L13">
        <f t="shared" si="0"/>
        <v>18.634429084740447</v>
      </c>
      <c r="O13" t="s">
        <v>158</v>
      </c>
      <c r="P13" t="s">
        <v>156</v>
      </c>
      <c r="Q13">
        <v>618496</v>
      </c>
      <c r="R13" t="s">
        <v>160</v>
      </c>
      <c r="S13" t="s">
        <v>156</v>
      </c>
      <c r="T13">
        <v>287581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20</v>
      </c>
      <c r="D14" t="s">
        <v>156</v>
      </c>
      <c r="E14">
        <v>289007</v>
      </c>
      <c r="F14">
        <v>2.8900699999999998E-3</v>
      </c>
      <c r="H14" t="s">
        <v>157</v>
      </c>
      <c r="I14" t="s">
        <v>156</v>
      </c>
      <c r="J14">
        <v>68413331300</v>
      </c>
      <c r="L14">
        <f t="shared" si="0"/>
        <v>23.671859608936806</v>
      </c>
      <c r="O14" t="s">
        <v>158</v>
      </c>
      <c r="P14" t="s">
        <v>156</v>
      </c>
      <c r="Q14">
        <v>66693</v>
      </c>
      <c r="R14" t="s">
        <v>160</v>
      </c>
      <c r="S14" t="s">
        <v>156</v>
      </c>
      <c r="T14">
        <v>267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25</v>
      </c>
      <c r="D15" t="s">
        <v>156</v>
      </c>
      <c r="E15">
        <v>404753</v>
      </c>
      <c r="F15">
        <v>4.0475299999999997E-3</v>
      </c>
      <c r="H15" t="s">
        <v>157</v>
      </c>
      <c r="I15" t="s">
        <v>156</v>
      </c>
      <c r="J15">
        <v>120811902700</v>
      </c>
      <c r="L15">
        <f t="shared" si="0"/>
        <v>29.848303212082431</v>
      </c>
      <c r="O15" t="s">
        <v>158</v>
      </c>
      <c r="P15" t="s">
        <v>156</v>
      </c>
      <c r="Q15">
        <v>390146</v>
      </c>
      <c r="R15" t="s">
        <v>160</v>
      </c>
      <c r="S15" t="s">
        <v>156</v>
      </c>
      <c r="T15">
        <v>49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30</v>
      </c>
      <c r="D16" t="s">
        <v>156</v>
      </c>
      <c r="E16">
        <v>41996</v>
      </c>
      <c r="F16">
        <v>4.1995999999999998E-4</v>
      </c>
      <c r="H16" t="s">
        <v>157</v>
      </c>
      <c r="I16" t="s">
        <v>156</v>
      </c>
      <c r="J16">
        <v>12750525600</v>
      </c>
      <c r="L16">
        <f t="shared" si="0"/>
        <v>30.361285836746355</v>
      </c>
      <c r="O16" t="s">
        <v>158</v>
      </c>
      <c r="P16" t="s">
        <v>156</v>
      </c>
      <c r="Q16">
        <v>41978</v>
      </c>
      <c r="R16" t="s">
        <v>160</v>
      </c>
      <c r="S16" t="s">
        <v>156</v>
      </c>
      <c r="T16" t="s">
        <v>159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35</v>
      </c>
      <c r="D17" t="s">
        <v>156</v>
      </c>
      <c r="E17">
        <v>863</v>
      </c>
      <c r="F17">
        <v>8.6300000000000004E-6</v>
      </c>
      <c r="H17" t="s">
        <v>157</v>
      </c>
      <c r="I17" t="s">
        <v>156</v>
      </c>
      <c r="J17">
        <v>340241700</v>
      </c>
      <c r="L17">
        <f t="shared" si="0"/>
        <v>39.425457705677864</v>
      </c>
      <c r="O17" t="s">
        <v>158</v>
      </c>
      <c r="P17" t="s">
        <v>156</v>
      </c>
      <c r="Q17">
        <v>863</v>
      </c>
      <c r="R17" t="s">
        <v>160</v>
      </c>
      <c r="S17" t="s">
        <v>156</v>
      </c>
      <c r="T17" t="s">
        <v>159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40</v>
      </c>
      <c r="D18" t="s">
        <v>156</v>
      </c>
      <c r="E18">
        <v>115</v>
      </c>
      <c r="F18">
        <v>1.15E-6</v>
      </c>
      <c r="H18" t="s">
        <v>157</v>
      </c>
      <c r="I18" t="s">
        <v>156</v>
      </c>
      <c r="J18">
        <v>46863700</v>
      </c>
      <c r="L18">
        <f t="shared" si="0"/>
        <v>40.751043478260868</v>
      </c>
      <c r="O18" t="s">
        <v>158</v>
      </c>
      <c r="P18" t="s">
        <v>156</v>
      </c>
      <c r="Q18">
        <v>115</v>
      </c>
      <c r="R18" t="s">
        <v>160</v>
      </c>
      <c r="S18" t="s">
        <v>156</v>
      </c>
      <c r="T18" t="s">
        <v>159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45</v>
      </c>
      <c r="D19" t="s">
        <v>156</v>
      </c>
      <c r="E19">
        <v>246227</v>
      </c>
      <c r="F19">
        <v>2.4622699999999999E-3</v>
      </c>
      <c r="H19" t="s">
        <v>157</v>
      </c>
      <c r="I19" t="s">
        <v>156</v>
      </c>
      <c r="J19">
        <v>123113500000</v>
      </c>
      <c r="L19">
        <f t="shared" si="0"/>
        <v>50</v>
      </c>
      <c r="O19" t="s">
        <v>158</v>
      </c>
      <c r="P19" t="s">
        <v>156</v>
      </c>
      <c r="Q19">
        <v>61602</v>
      </c>
      <c r="R19" t="s">
        <v>160</v>
      </c>
      <c r="S19" t="s">
        <v>156</v>
      </c>
      <c r="T19">
        <v>43779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50</v>
      </c>
      <c r="D20" t="s">
        <v>156</v>
      </c>
      <c r="E20">
        <v>458606</v>
      </c>
      <c r="F20">
        <v>4.5860600000000003E-3</v>
      </c>
      <c r="H20" t="s">
        <v>157</v>
      </c>
      <c r="I20" t="s">
        <v>156</v>
      </c>
      <c r="J20">
        <v>239826147100</v>
      </c>
      <c r="L20">
        <f t="shared" si="0"/>
        <v>52.294594292268314</v>
      </c>
      <c r="O20" t="s">
        <v>158</v>
      </c>
      <c r="P20" t="s">
        <v>156</v>
      </c>
      <c r="Q20">
        <v>6859</v>
      </c>
      <c r="R20" t="s">
        <v>160</v>
      </c>
      <c r="S20" t="s">
        <v>156</v>
      </c>
      <c r="T20">
        <v>432480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60</v>
      </c>
      <c r="D21" t="s">
        <v>156</v>
      </c>
      <c r="E21">
        <v>164</v>
      </c>
      <c r="F21">
        <v>1.64E-6</v>
      </c>
      <c r="H21" t="s">
        <v>157</v>
      </c>
      <c r="I21" t="s">
        <v>156</v>
      </c>
      <c r="J21">
        <v>101328300</v>
      </c>
      <c r="L21">
        <f t="shared" si="0"/>
        <v>61.785548780487808</v>
      </c>
      <c r="O21" t="s">
        <v>158</v>
      </c>
      <c r="P21" t="s">
        <v>156</v>
      </c>
      <c r="Q21">
        <v>32</v>
      </c>
      <c r="R21" t="s">
        <v>160</v>
      </c>
      <c r="S21" t="s">
        <v>156</v>
      </c>
      <c r="T21">
        <v>132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70</v>
      </c>
      <c r="D22" t="s">
        <v>156</v>
      </c>
      <c r="E22">
        <v>37</v>
      </c>
      <c r="F22">
        <v>3.7E-7</v>
      </c>
      <c r="H22" t="s">
        <v>157</v>
      </c>
      <c r="I22" t="s">
        <v>156</v>
      </c>
      <c r="J22">
        <v>27633000</v>
      </c>
      <c r="L22">
        <f t="shared" si="0"/>
        <v>74.683783783783781</v>
      </c>
      <c r="O22" t="s">
        <v>158</v>
      </c>
      <c r="P22" t="s">
        <v>156</v>
      </c>
      <c r="Q22">
        <v>9</v>
      </c>
      <c r="R22" t="s">
        <v>160</v>
      </c>
      <c r="S22" t="s">
        <v>156</v>
      </c>
      <c r="T22" t="s">
        <v>159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80</v>
      </c>
      <c r="D23" t="s">
        <v>156</v>
      </c>
      <c r="E23">
        <v>3</v>
      </c>
      <c r="F23">
        <v>2.9999999999999997E-8</v>
      </c>
      <c r="H23" t="s">
        <v>157</v>
      </c>
      <c r="I23" t="s">
        <v>156</v>
      </c>
      <c r="J23">
        <v>2430000</v>
      </c>
      <c r="L23">
        <f t="shared" si="0"/>
        <v>81</v>
      </c>
      <c r="O23" t="s">
        <v>158</v>
      </c>
      <c r="P23" t="s">
        <v>156</v>
      </c>
      <c r="Q23">
        <v>3</v>
      </c>
      <c r="R23" t="s">
        <v>160</v>
      </c>
      <c r="S23" t="s">
        <v>156</v>
      </c>
      <c r="T23" t="s">
        <v>159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90</v>
      </c>
      <c r="D24" t="s">
        <v>156</v>
      </c>
      <c r="E24">
        <v>35062</v>
      </c>
      <c r="F24">
        <v>3.5062E-4</v>
      </c>
      <c r="H24" t="s">
        <v>157</v>
      </c>
      <c r="I24" t="s">
        <v>156</v>
      </c>
      <c r="J24">
        <v>35062000000</v>
      </c>
      <c r="L24">
        <f t="shared" si="0"/>
        <v>100</v>
      </c>
      <c r="O24" t="s">
        <v>158</v>
      </c>
      <c r="P24" t="s">
        <v>156</v>
      </c>
      <c r="Q24">
        <v>8754</v>
      </c>
      <c r="R24" t="s">
        <v>160</v>
      </c>
      <c r="S24" t="s">
        <v>156</v>
      </c>
      <c r="T24">
        <v>477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100</v>
      </c>
      <c r="D25" t="s">
        <v>156</v>
      </c>
      <c r="E25">
        <v>16905</v>
      </c>
      <c r="F25">
        <v>1.6904999999999999E-4</v>
      </c>
      <c r="H25" t="s">
        <v>157</v>
      </c>
      <c r="I25" t="s">
        <v>156</v>
      </c>
      <c r="J25">
        <v>17390173700</v>
      </c>
      <c r="L25">
        <f t="shared" si="0"/>
        <v>102.87000118308192</v>
      </c>
      <c r="O25" t="s">
        <v>158</v>
      </c>
      <c r="P25" t="s">
        <v>156</v>
      </c>
      <c r="Q25">
        <v>974</v>
      </c>
      <c r="R25" t="s">
        <v>160</v>
      </c>
      <c r="S25" t="s">
        <v>156</v>
      </c>
      <c r="T25">
        <v>4221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120</v>
      </c>
      <c r="D26" t="s">
        <v>156</v>
      </c>
      <c r="E26">
        <v>43</v>
      </c>
      <c r="F26">
        <v>4.3000000000000001E-7</v>
      </c>
      <c r="H26" t="s">
        <v>157</v>
      </c>
      <c r="I26" t="s">
        <v>156</v>
      </c>
      <c r="J26">
        <v>53460000</v>
      </c>
      <c r="L26">
        <f t="shared" si="0"/>
        <v>124.32558139534883</v>
      </c>
      <c r="O26" t="s">
        <v>158</v>
      </c>
      <c r="P26" t="s">
        <v>156</v>
      </c>
      <c r="Q26">
        <v>43</v>
      </c>
      <c r="R26" t="s">
        <v>160</v>
      </c>
      <c r="S26" t="s">
        <v>156</v>
      </c>
      <c r="T26" t="s">
        <v>159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140</v>
      </c>
      <c r="D27" t="s">
        <v>156</v>
      </c>
      <c r="E27">
        <v>7</v>
      </c>
      <c r="F27">
        <v>7.0000000000000005E-8</v>
      </c>
      <c r="H27" t="s">
        <v>157</v>
      </c>
      <c r="I27" t="s">
        <v>156</v>
      </c>
      <c r="J27">
        <v>10530000</v>
      </c>
      <c r="L27">
        <f t="shared" si="0"/>
        <v>150.42857142857144</v>
      </c>
      <c r="O27" t="s">
        <v>158</v>
      </c>
      <c r="P27" t="s">
        <v>156</v>
      </c>
      <c r="Q27">
        <v>1</v>
      </c>
      <c r="R27" t="s">
        <v>160</v>
      </c>
      <c r="S27" t="s">
        <v>156</v>
      </c>
      <c r="T27" t="s">
        <v>159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180</v>
      </c>
      <c r="D28" t="s">
        <v>156</v>
      </c>
      <c r="E28">
        <v>5086</v>
      </c>
      <c r="F28">
        <v>5.0859999999999998E-5</v>
      </c>
      <c r="H28" t="s">
        <v>157</v>
      </c>
      <c r="I28" t="s">
        <v>156</v>
      </c>
      <c r="J28">
        <v>10172000000</v>
      </c>
      <c r="L28">
        <f t="shared" si="0"/>
        <v>200</v>
      </c>
      <c r="O28" t="s">
        <v>158</v>
      </c>
      <c r="P28" t="s">
        <v>156</v>
      </c>
      <c r="Q28">
        <v>1756</v>
      </c>
      <c r="R28" t="s">
        <v>160</v>
      </c>
      <c r="S28" t="s">
        <v>156</v>
      </c>
      <c r="T28" t="s">
        <v>159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92</v>
      </c>
      <c r="B29" t="s">
        <v>155</v>
      </c>
      <c r="C29">
        <v>200</v>
      </c>
      <c r="D29" t="s">
        <v>156</v>
      </c>
      <c r="E29">
        <v>6481</v>
      </c>
      <c r="F29">
        <v>6.4809999999999998E-5</v>
      </c>
      <c r="H29" t="s">
        <v>157</v>
      </c>
      <c r="I29" t="s">
        <v>156</v>
      </c>
      <c r="J29">
        <v>13089122300</v>
      </c>
      <c r="L29">
        <f t="shared" si="0"/>
        <v>201.96146119426015</v>
      </c>
      <c r="O29" t="s">
        <v>158</v>
      </c>
      <c r="P29" t="s">
        <v>156</v>
      </c>
      <c r="Q29">
        <v>194</v>
      </c>
      <c r="R29" t="s">
        <v>160</v>
      </c>
      <c r="S29" t="s">
        <v>156</v>
      </c>
      <c r="T29" t="s">
        <v>159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2" spans="1:29">
      <c r="A32" t="s">
        <v>93</v>
      </c>
      <c r="B32" t="s">
        <v>155</v>
      </c>
      <c r="C32">
        <v>-1</v>
      </c>
      <c r="D32" t="s">
        <v>156</v>
      </c>
      <c r="E32">
        <v>14898754</v>
      </c>
      <c r="F32" cm="1">
        <f t="array" ref="F32:F68">E32:E68/SUM(E32:E68)</f>
        <v>0.14898754</v>
      </c>
    </row>
    <row r="33" spans="1:29">
      <c r="A33" t="s">
        <v>93</v>
      </c>
      <c r="B33" t="s">
        <v>155</v>
      </c>
      <c r="C33">
        <v>0</v>
      </c>
      <c r="D33" t="s">
        <v>156</v>
      </c>
      <c r="E33">
        <v>22791893</v>
      </c>
      <c r="F33">
        <v>0.22791892999999999</v>
      </c>
      <c r="H33" t="s">
        <v>157</v>
      </c>
      <c r="I33" t="s">
        <v>156</v>
      </c>
      <c r="J33">
        <v>416294805500</v>
      </c>
      <c r="L33">
        <f>J33/E33/500/$L$1</f>
        <v>0.36530077207715922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>
        <v>735453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93</v>
      </c>
      <c r="B34" t="s">
        <v>155</v>
      </c>
      <c r="C34">
        <v>1</v>
      </c>
      <c r="D34" t="s">
        <v>156</v>
      </c>
      <c r="E34">
        <v>8980229</v>
      </c>
      <c r="F34">
        <v>8.9802290000000007E-2</v>
      </c>
      <c r="H34" t="s">
        <v>157</v>
      </c>
      <c r="I34" t="s">
        <v>156</v>
      </c>
      <c r="J34">
        <v>561618836500</v>
      </c>
      <c r="L34">
        <f t="shared" ref="L34:L68" si="1">J34/E34/500/$L$1</f>
        <v>1.2507895656112999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>
        <v>6310311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5" spans="1:29">
      <c r="A35" t="s">
        <v>93</v>
      </c>
      <c r="B35" t="s">
        <v>155</v>
      </c>
      <c r="C35">
        <v>2</v>
      </c>
      <c r="D35" t="s">
        <v>156</v>
      </c>
      <c r="E35">
        <v>3220784</v>
      </c>
      <c r="F35">
        <v>3.2207840000000001E-2</v>
      </c>
      <c r="H35" t="s">
        <v>157</v>
      </c>
      <c r="I35" t="s">
        <v>156</v>
      </c>
      <c r="J35">
        <v>374039906000</v>
      </c>
      <c r="L35">
        <f t="shared" si="1"/>
        <v>2.3226637116925573</v>
      </c>
      <c r="O35" t="s">
        <v>158</v>
      </c>
      <c r="P35" t="s">
        <v>156</v>
      </c>
      <c r="Q35" t="s">
        <v>159</v>
      </c>
      <c r="R35" t="s">
        <v>160</v>
      </c>
      <c r="S35" t="s">
        <v>156</v>
      </c>
      <c r="T35">
        <v>382670</v>
      </c>
      <c r="U35" t="s">
        <v>161</v>
      </c>
      <c r="V35" t="s">
        <v>156</v>
      </c>
      <c r="W35" t="s">
        <v>159</v>
      </c>
      <c r="X35" t="s">
        <v>162</v>
      </c>
      <c r="Y35" t="s">
        <v>156</v>
      </c>
      <c r="Z35" t="s">
        <v>159</v>
      </c>
      <c r="AA35" t="s">
        <v>163</v>
      </c>
      <c r="AB35" t="s">
        <v>156</v>
      </c>
      <c r="AC35" t="s">
        <v>159</v>
      </c>
    </row>
    <row r="36" spans="1:29">
      <c r="A36" t="s">
        <v>93</v>
      </c>
      <c r="B36" t="s">
        <v>155</v>
      </c>
      <c r="C36">
        <v>3</v>
      </c>
      <c r="D36" t="s">
        <v>156</v>
      </c>
      <c r="E36">
        <v>68070</v>
      </c>
      <c r="F36">
        <v>6.8070000000000001E-4</v>
      </c>
      <c r="H36" t="s">
        <v>157</v>
      </c>
      <c r="I36" t="s">
        <v>156</v>
      </c>
      <c r="J36">
        <v>10413969000</v>
      </c>
      <c r="L36">
        <f t="shared" si="1"/>
        <v>3.059782282944028</v>
      </c>
      <c r="O36" t="s">
        <v>158</v>
      </c>
      <c r="P36" t="s">
        <v>156</v>
      </c>
      <c r="Q36" t="s">
        <v>159</v>
      </c>
      <c r="R36" t="s">
        <v>160</v>
      </c>
      <c r="S36" t="s">
        <v>156</v>
      </c>
      <c r="T36">
        <v>631</v>
      </c>
      <c r="U36" t="s">
        <v>161</v>
      </c>
      <c r="V36" t="s">
        <v>156</v>
      </c>
      <c r="W36" t="s">
        <v>159</v>
      </c>
      <c r="X36" t="s">
        <v>162</v>
      </c>
      <c r="Y36" t="s">
        <v>156</v>
      </c>
      <c r="Z36" t="s">
        <v>159</v>
      </c>
      <c r="AA36" t="s">
        <v>163</v>
      </c>
      <c r="AB36" t="s">
        <v>156</v>
      </c>
      <c r="AC36" t="s">
        <v>159</v>
      </c>
    </row>
    <row r="37" spans="1:29">
      <c r="A37" t="s">
        <v>93</v>
      </c>
      <c r="B37" t="s">
        <v>155</v>
      </c>
      <c r="C37">
        <v>4</v>
      </c>
      <c r="D37" t="s">
        <v>156</v>
      </c>
      <c r="E37">
        <v>1847701</v>
      </c>
      <c r="F37">
        <v>1.8477009999999999E-2</v>
      </c>
      <c r="H37" t="s">
        <v>157</v>
      </c>
      <c r="I37" t="s">
        <v>156</v>
      </c>
      <c r="J37">
        <v>461925250000</v>
      </c>
      <c r="L37">
        <f t="shared" si="1"/>
        <v>5</v>
      </c>
      <c r="O37" t="s">
        <v>158</v>
      </c>
      <c r="P37" t="s">
        <v>156</v>
      </c>
      <c r="Q37" t="s">
        <v>159</v>
      </c>
      <c r="R37" t="s">
        <v>160</v>
      </c>
      <c r="S37" t="s">
        <v>156</v>
      </c>
      <c r="T37">
        <v>497026</v>
      </c>
      <c r="U37" t="s">
        <v>161</v>
      </c>
      <c r="V37" t="s">
        <v>156</v>
      </c>
      <c r="W37" t="s">
        <v>159</v>
      </c>
      <c r="X37" t="s">
        <v>162</v>
      </c>
      <c r="Y37" t="s">
        <v>156</v>
      </c>
      <c r="Z37" t="s">
        <v>159</v>
      </c>
      <c r="AA37" t="s">
        <v>163</v>
      </c>
      <c r="AB37" t="s">
        <v>156</v>
      </c>
      <c r="AC37" t="s">
        <v>159</v>
      </c>
    </row>
    <row r="38" spans="1:29">
      <c r="A38" t="s">
        <v>93</v>
      </c>
      <c r="B38" t="s">
        <v>155</v>
      </c>
      <c r="C38">
        <v>5</v>
      </c>
      <c r="D38" t="s">
        <v>156</v>
      </c>
      <c r="E38">
        <v>5446286</v>
      </c>
      <c r="F38">
        <v>5.4462860000000002E-2</v>
      </c>
      <c r="H38" t="s">
        <v>157</v>
      </c>
      <c r="I38" t="s">
        <v>156</v>
      </c>
      <c r="J38">
        <v>1428002270000</v>
      </c>
      <c r="L38">
        <f t="shared" si="1"/>
        <v>5.2439488855341052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3078686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6</v>
      </c>
      <c r="D39" t="s">
        <v>156</v>
      </c>
      <c r="E39">
        <v>357942</v>
      </c>
      <c r="F39">
        <v>3.5794199999999998E-3</v>
      </c>
      <c r="H39" t="s">
        <v>157</v>
      </c>
      <c r="I39" t="s">
        <v>156</v>
      </c>
      <c r="J39">
        <v>110300218500</v>
      </c>
      <c r="L39">
        <f t="shared" si="1"/>
        <v>6.1630218582898895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357942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7</v>
      </c>
      <c r="D40" t="s">
        <v>156</v>
      </c>
      <c r="E40">
        <v>102822</v>
      </c>
      <c r="F40">
        <v>1.02822E-3</v>
      </c>
      <c r="H40" t="s">
        <v>157</v>
      </c>
      <c r="I40" t="s">
        <v>156</v>
      </c>
      <c r="J40">
        <v>39037926500</v>
      </c>
      <c r="L40">
        <f t="shared" si="1"/>
        <v>7.5933023088444109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>
        <v>1185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9</v>
      </c>
      <c r="D41" t="s">
        <v>156</v>
      </c>
      <c r="E41">
        <v>2440380</v>
      </c>
      <c r="F41">
        <v>2.44038E-2</v>
      </c>
      <c r="H41" t="s">
        <v>157</v>
      </c>
      <c r="I41" t="s">
        <v>156</v>
      </c>
      <c r="J41">
        <v>1220190000000</v>
      </c>
      <c r="L41">
        <f t="shared" si="1"/>
        <v>10</v>
      </c>
      <c r="O41" t="s">
        <v>158</v>
      </c>
      <c r="P41" t="s">
        <v>156</v>
      </c>
      <c r="Q41">
        <v>621531</v>
      </c>
      <c r="R41" t="s">
        <v>160</v>
      </c>
      <c r="S41" t="s">
        <v>156</v>
      </c>
      <c r="T41">
        <v>435400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10</v>
      </c>
      <c r="D42" t="s">
        <v>156</v>
      </c>
      <c r="E42">
        <v>8055575</v>
      </c>
      <c r="F42">
        <v>8.0555749999999995E-2</v>
      </c>
      <c r="H42" t="s">
        <v>157</v>
      </c>
      <c r="I42" t="s">
        <v>156</v>
      </c>
      <c r="J42">
        <v>4233578803000</v>
      </c>
      <c r="L42">
        <f t="shared" si="1"/>
        <v>10.510928898309555</v>
      </c>
      <c r="O42" t="s">
        <v>158</v>
      </c>
      <c r="P42" t="s">
        <v>156</v>
      </c>
      <c r="Q42">
        <v>1472817</v>
      </c>
      <c r="R42" t="s">
        <v>160</v>
      </c>
      <c r="S42" t="s">
        <v>156</v>
      </c>
      <c r="T42">
        <v>4352230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15</v>
      </c>
      <c r="D43" t="s">
        <v>156</v>
      </c>
      <c r="E43">
        <v>1792387</v>
      </c>
      <c r="F43">
        <v>1.7923870000000001E-2</v>
      </c>
      <c r="H43" t="s">
        <v>157</v>
      </c>
      <c r="I43" t="s">
        <v>156</v>
      </c>
      <c r="J43">
        <v>1664853338000</v>
      </c>
      <c r="L43">
        <f t="shared" si="1"/>
        <v>18.57694056026963</v>
      </c>
      <c r="O43" t="s">
        <v>158</v>
      </c>
      <c r="P43" t="s">
        <v>156</v>
      </c>
      <c r="Q43">
        <v>778060</v>
      </c>
      <c r="R43" t="s">
        <v>160</v>
      </c>
      <c r="S43" t="s">
        <v>156</v>
      </c>
      <c r="T43">
        <v>406087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20</v>
      </c>
      <c r="D44" t="s">
        <v>156</v>
      </c>
      <c r="E44">
        <v>3198822</v>
      </c>
      <c r="F44">
        <v>3.1988219999999998E-2</v>
      </c>
      <c r="H44" t="s">
        <v>157</v>
      </c>
      <c r="I44" t="s">
        <v>156</v>
      </c>
      <c r="J44">
        <v>3390947033500</v>
      </c>
      <c r="L44">
        <f t="shared" si="1"/>
        <v>21.201223659834778</v>
      </c>
      <c r="O44" t="s">
        <v>158</v>
      </c>
      <c r="P44" t="s">
        <v>156</v>
      </c>
      <c r="Q44">
        <v>1602039</v>
      </c>
      <c r="R44" t="s">
        <v>160</v>
      </c>
      <c r="S44" t="s">
        <v>156</v>
      </c>
      <c r="T44">
        <v>145690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25</v>
      </c>
      <c r="D45" t="s">
        <v>156</v>
      </c>
      <c r="E45">
        <v>1534309</v>
      </c>
      <c r="F45">
        <v>1.534309E-2</v>
      </c>
      <c r="H45" t="s">
        <v>157</v>
      </c>
      <c r="I45" t="s">
        <v>156</v>
      </c>
      <c r="J45">
        <v>2126921003000</v>
      </c>
      <c r="L45">
        <f t="shared" si="1"/>
        <v>27.724806450330412</v>
      </c>
      <c r="O45" t="s">
        <v>158</v>
      </c>
      <c r="P45" t="s">
        <v>156</v>
      </c>
      <c r="Q45">
        <v>781146</v>
      </c>
      <c r="R45" t="s">
        <v>160</v>
      </c>
      <c r="S45" t="s">
        <v>156</v>
      </c>
      <c r="T45">
        <v>11442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30</v>
      </c>
      <c r="D46" t="s">
        <v>156</v>
      </c>
      <c r="E46">
        <v>1632982</v>
      </c>
      <c r="F46">
        <v>1.6329819999999998E-2</v>
      </c>
      <c r="H46" t="s">
        <v>157</v>
      </c>
      <c r="I46" t="s">
        <v>156</v>
      </c>
      <c r="J46">
        <v>2491215970000</v>
      </c>
      <c r="L46">
        <f t="shared" si="1"/>
        <v>30.511248378732894</v>
      </c>
      <c r="O46" t="s">
        <v>158</v>
      </c>
      <c r="P46" t="s">
        <v>156</v>
      </c>
      <c r="Q46">
        <v>1598740</v>
      </c>
      <c r="R46" t="s">
        <v>160</v>
      </c>
      <c r="S46" t="s">
        <v>156</v>
      </c>
      <c r="T46">
        <v>214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35</v>
      </c>
      <c r="D47" t="s">
        <v>156</v>
      </c>
      <c r="E47">
        <v>160710</v>
      </c>
      <c r="F47">
        <v>1.6071E-3</v>
      </c>
      <c r="H47" t="s">
        <v>157</v>
      </c>
      <c r="I47" t="s">
        <v>156</v>
      </c>
      <c r="J47">
        <v>298927577000</v>
      </c>
      <c r="L47">
        <f t="shared" si="1"/>
        <v>37.200868272042811</v>
      </c>
      <c r="O47" t="s">
        <v>158</v>
      </c>
      <c r="P47" t="s">
        <v>156</v>
      </c>
      <c r="Q47">
        <v>160710</v>
      </c>
      <c r="R47" t="s">
        <v>160</v>
      </c>
      <c r="S47" t="s">
        <v>156</v>
      </c>
      <c r="T47" t="s">
        <v>159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40</v>
      </c>
      <c r="D48" t="s">
        <v>156</v>
      </c>
      <c r="E48">
        <v>126180</v>
      </c>
      <c r="F48">
        <v>1.2618E-3</v>
      </c>
      <c r="H48" t="s">
        <v>157</v>
      </c>
      <c r="I48" t="s">
        <v>156</v>
      </c>
      <c r="J48">
        <v>255199784500</v>
      </c>
      <c r="L48">
        <f t="shared" si="1"/>
        <v>40.450116420985893</v>
      </c>
      <c r="O48" t="s">
        <v>158</v>
      </c>
      <c r="P48" t="s">
        <v>156</v>
      </c>
      <c r="Q48">
        <v>126180</v>
      </c>
      <c r="R48" t="s">
        <v>160</v>
      </c>
      <c r="S48" t="s">
        <v>156</v>
      </c>
      <c r="T48" t="s">
        <v>159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45</v>
      </c>
      <c r="D49" t="s">
        <v>156</v>
      </c>
      <c r="E49">
        <v>1690590</v>
      </c>
      <c r="F49">
        <v>1.6905900000000001E-2</v>
      </c>
      <c r="H49" t="s">
        <v>157</v>
      </c>
      <c r="I49" t="s">
        <v>156</v>
      </c>
      <c r="J49">
        <v>4225469765000</v>
      </c>
      <c r="L49">
        <f t="shared" si="1"/>
        <v>49.988107879497683</v>
      </c>
      <c r="O49" t="s">
        <v>158</v>
      </c>
      <c r="P49" t="s">
        <v>156</v>
      </c>
      <c r="Q49">
        <v>624671</v>
      </c>
      <c r="R49" t="s">
        <v>160</v>
      </c>
      <c r="S49" t="s">
        <v>156</v>
      </c>
      <c r="T49">
        <v>52629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50</v>
      </c>
      <c r="D50" t="s">
        <v>156</v>
      </c>
      <c r="E50">
        <v>4571728</v>
      </c>
      <c r="F50">
        <v>4.5717279999999999E-2</v>
      </c>
      <c r="H50" t="s">
        <v>157</v>
      </c>
      <c r="I50" t="s">
        <v>156</v>
      </c>
      <c r="J50">
        <v>11766420078000</v>
      </c>
      <c r="L50">
        <f t="shared" si="1"/>
        <v>51.474716247335799</v>
      </c>
      <c r="O50" t="s">
        <v>158</v>
      </c>
      <c r="P50" t="s">
        <v>156</v>
      </c>
      <c r="Q50">
        <v>1639963</v>
      </c>
      <c r="R50" t="s">
        <v>160</v>
      </c>
      <c r="S50" t="s">
        <v>156</v>
      </c>
      <c r="T50">
        <v>1243627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60</v>
      </c>
      <c r="D51" t="s">
        <v>156</v>
      </c>
      <c r="E51">
        <v>270231</v>
      </c>
      <c r="F51">
        <v>2.7023099999999999E-3</v>
      </c>
      <c r="H51" t="s">
        <v>157</v>
      </c>
      <c r="I51" t="s">
        <v>156</v>
      </c>
      <c r="J51">
        <v>829224292000</v>
      </c>
      <c r="L51">
        <f t="shared" si="1"/>
        <v>61.371514889113385</v>
      </c>
      <c r="O51" t="s">
        <v>158</v>
      </c>
      <c r="P51" t="s">
        <v>156</v>
      </c>
      <c r="Q51">
        <v>181495</v>
      </c>
      <c r="R51" t="s">
        <v>160</v>
      </c>
      <c r="S51" t="s">
        <v>156</v>
      </c>
      <c r="T51">
        <v>88736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70</v>
      </c>
      <c r="D52" t="s">
        <v>156</v>
      </c>
      <c r="E52">
        <v>118818</v>
      </c>
      <c r="F52">
        <v>1.1881800000000001E-3</v>
      </c>
      <c r="H52" t="s">
        <v>157</v>
      </c>
      <c r="I52" t="s">
        <v>156</v>
      </c>
      <c r="J52">
        <v>441101029500</v>
      </c>
      <c r="L52">
        <f t="shared" si="1"/>
        <v>74.248182851083172</v>
      </c>
      <c r="O52" t="s">
        <v>158</v>
      </c>
      <c r="P52" t="s">
        <v>156</v>
      </c>
      <c r="Q52">
        <v>50824</v>
      </c>
      <c r="R52" t="s">
        <v>160</v>
      </c>
      <c r="S52" t="s">
        <v>156</v>
      </c>
      <c r="T52">
        <v>447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80</v>
      </c>
      <c r="D53" t="s">
        <v>156</v>
      </c>
      <c r="E53">
        <v>42412</v>
      </c>
      <c r="F53">
        <v>4.2412E-4</v>
      </c>
      <c r="H53" t="s">
        <v>157</v>
      </c>
      <c r="I53" t="s">
        <v>156</v>
      </c>
      <c r="J53">
        <v>172887684500</v>
      </c>
      <c r="L53">
        <f t="shared" si="1"/>
        <v>81.527720692256921</v>
      </c>
      <c r="O53" t="s">
        <v>158</v>
      </c>
      <c r="P53" t="s">
        <v>156</v>
      </c>
      <c r="Q53">
        <v>42412</v>
      </c>
      <c r="R53" t="s">
        <v>160</v>
      </c>
      <c r="S53" t="s">
        <v>156</v>
      </c>
      <c r="T53" t="s">
        <v>159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90</v>
      </c>
      <c r="D54" t="s">
        <v>156</v>
      </c>
      <c r="E54">
        <v>1314766</v>
      </c>
      <c r="F54">
        <v>1.314766E-2</v>
      </c>
      <c r="H54" t="s">
        <v>157</v>
      </c>
      <c r="I54" t="s">
        <v>156</v>
      </c>
      <c r="J54">
        <v>6573830000000</v>
      </c>
      <c r="L54">
        <f t="shared" si="1"/>
        <v>100</v>
      </c>
      <c r="O54" t="s">
        <v>158</v>
      </c>
      <c r="P54" t="s">
        <v>156</v>
      </c>
      <c r="Q54">
        <v>629499</v>
      </c>
      <c r="R54" t="s">
        <v>160</v>
      </c>
      <c r="S54" t="s">
        <v>156</v>
      </c>
      <c r="T54">
        <v>78688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100</v>
      </c>
      <c r="D55" t="s">
        <v>156</v>
      </c>
      <c r="E55">
        <v>4963807</v>
      </c>
      <c r="F55">
        <v>4.9638069999999999E-2</v>
      </c>
      <c r="H55" t="s">
        <v>157</v>
      </c>
      <c r="I55" t="s">
        <v>156</v>
      </c>
      <c r="J55">
        <v>25525464086000</v>
      </c>
      <c r="L55">
        <f t="shared" si="1"/>
        <v>102.84631971388092</v>
      </c>
      <c r="O55" t="s">
        <v>158</v>
      </c>
      <c r="P55" t="s">
        <v>156</v>
      </c>
      <c r="Q55">
        <v>1878946</v>
      </c>
      <c r="R55" t="s">
        <v>160</v>
      </c>
      <c r="S55" t="s">
        <v>156</v>
      </c>
      <c r="T55">
        <v>1766221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120</v>
      </c>
      <c r="D56" t="s">
        <v>156</v>
      </c>
      <c r="E56">
        <v>135317</v>
      </c>
      <c r="F56">
        <v>1.3531699999999999E-3</v>
      </c>
      <c r="H56" t="s">
        <v>157</v>
      </c>
      <c r="I56" t="s">
        <v>156</v>
      </c>
      <c r="J56">
        <v>856784957000</v>
      </c>
      <c r="L56">
        <f t="shared" si="1"/>
        <v>126.63374993533702</v>
      </c>
      <c r="O56" t="s">
        <v>158</v>
      </c>
      <c r="P56" t="s">
        <v>156</v>
      </c>
      <c r="Q56">
        <v>122917</v>
      </c>
      <c r="R56" t="s">
        <v>160</v>
      </c>
      <c r="S56" t="s">
        <v>156</v>
      </c>
      <c r="T56">
        <v>12400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140</v>
      </c>
      <c r="D57" t="s">
        <v>156</v>
      </c>
      <c r="E57">
        <v>211059</v>
      </c>
      <c r="F57">
        <v>2.1105899999999999E-3</v>
      </c>
      <c r="H57" t="s">
        <v>157</v>
      </c>
      <c r="I57" t="s">
        <v>156</v>
      </c>
      <c r="J57">
        <v>1594161152000</v>
      </c>
      <c r="L57">
        <f t="shared" si="1"/>
        <v>151.06308207657574</v>
      </c>
      <c r="O57" t="s">
        <v>158</v>
      </c>
      <c r="P57" t="s">
        <v>156</v>
      </c>
      <c r="Q57">
        <v>117853</v>
      </c>
      <c r="R57" t="s">
        <v>160</v>
      </c>
      <c r="S57" t="s">
        <v>156</v>
      </c>
      <c r="T57">
        <v>25331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160</v>
      </c>
      <c r="D58" t="s">
        <v>156</v>
      </c>
      <c r="E58">
        <v>8055</v>
      </c>
      <c r="F58">
        <v>8.0550000000000006E-5</v>
      </c>
      <c r="H58" t="s">
        <v>157</v>
      </c>
      <c r="I58" t="s">
        <v>156</v>
      </c>
      <c r="J58">
        <v>64714427500</v>
      </c>
      <c r="L58">
        <f t="shared" si="1"/>
        <v>160.68138423339539</v>
      </c>
      <c r="O58" t="s">
        <v>158</v>
      </c>
      <c r="P58" t="s">
        <v>156</v>
      </c>
      <c r="Q58">
        <v>4241</v>
      </c>
      <c r="R58" t="s">
        <v>160</v>
      </c>
      <c r="S58" t="s">
        <v>156</v>
      </c>
      <c r="T58">
        <v>3814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180</v>
      </c>
      <c r="D59" t="s">
        <v>156</v>
      </c>
      <c r="E59">
        <v>735493</v>
      </c>
      <c r="F59">
        <v>7.35493E-3</v>
      </c>
      <c r="H59" t="s">
        <v>157</v>
      </c>
      <c r="I59" t="s">
        <v>156</v>
      </c>
      <c r="J59">
        <v>7354930000000</v>
      </c>
      <c r="L59">
        <f t="shared" si="1"/>
        <v>200</v>
      </c>
      <c r="O59" t="s">
        <v>158</v>
      </c>
      <c r="P59" t="s">
        <v>156</v>
      </c>
      <c r="Q59">
        <v>633458</v>
      </c>
      <c r="R59" t="s">
        <v>160</v>
      </c>
      <c r="S59" t="s">
        <v>156</v>
      </c>
      <c r="T59">
        <v>684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200</v>
      </c>
      <c r="D60" t="s">
        <v>156</v>
      </c>
      <c r="E60">
        <v>2352049</v>
      </c>
      <c r="F60">
        <v>2.3520490000000002E-2</v>
      </c>
      <c r="H60" t="s">
        <v>157</v>
      </c>
      <c r="I60" t="s">
        <v>156</v>
      </c>
      <c r="J60">
        <v>24008159647500</v>
      </c>
      <c r="L60">
        <f t="shared" si="1"/>
        <v>204.14676435312361</v>
      </c>
      <c r="O60" t="s">
        <v>158</v>
      </c>
      <c r="P60" t="s">
        <v>156</v>
      </c>
      <c r="Q60">
        <v>1826533</v>
      </c>
      <c r="R60" t="s">
        <v>160</v>
      </c>
      <c r="S60" t="s">
        <v>156</v>
      </c>
      <c r="T60">
        <v>18658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250</v>
      </c>
      <c r="D61" t="s">
        <v>156</v>
      </c>
      <c r="E61">
        <v>392082</v>
      </c>
      <c r="F61">
        <v>3.9208200000000002E-3</v>
      </c>
      <c r="H61" t="s">
        <v>157</v>
      </c>
      <c r="I61" t="s">
        <v>156</v>
      </c>
      <c r="J61">
        <v>5066099087500</v>
      </c>
      <c r="L61">
        <f t="shared" si="1"/>
        <v>258.42038591417099</v>
      </c>
      <c r="O61" t="s">
        <v>158</v>
      </c>
      <c r="P61" t="s">
        <v>156</v>
      </c>
      <c r="Q61">
        <v>54890</v>
      </c>
      <c r="R61" t="s">
        <v>160</v>
      </c>
      <c r="S61" t="s">
        <v>156</v>
      </c>
      <c r="T61" t="s">
        <v>159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300</v>
      </c>
      <c r="D62" t="s">
        <v>156</v>
      </c>
      <c r="E62">
        <v>54724</v>
      </c>
      <c r="F62">
        <v>5.4724000000000005E-4</v>
      </c>
      <c r="H62" t="s">
        <v>157</v>
      </c>
      <c r="I62" t="s">
        <v>156</v>
      </c>
      <c r="J62">
        <v>828327002000</v>
      </c>
      <c r="L62">
        <f t="shared" si="1"/>
        <v>302.72896791170234</v>
      </c>
      <c r="O62" t="s">
        <v>158</v>
      </c>
      <c r="P62" t="s">
        <v>156</v>
      </c>
      <c r="Q62">
        <v>54724</v>
      </c>
      <c r="R62" t="s">
        <v>160</v>
      </c>
      <c r="S62" t="s">
        <v>156</v>
      </c>
      <c r="T62" t="s">
        <v>159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450</v>
      </c>
      <c r="D63" t="s">
        <v>156</v>
      </c>
      <c r="E63">
        <v>789412</v>
      </c>
      <c r="F63">
        <v>7.8941199999999993E-3</v>
      </c>
      <c r="H63" t="s">
        <v>157</v>
      </c>
      <c r="I63" t="s">
        <v>156</v>
      </c>
      <c r="J63">
        <v>19735300000000</v>
      </c>
      <c r="L63">
        <f t="shared" si="1"/>
        <v>500</v>
      </c>
      <c r="O63" t="s">
        <v>158</v>
      </c>
      <c r="P63" t="s">
        <v>156</v>
      </c>
      <c r="Q63">
        <v>620906</v>
      </c>
      <c r="R63" t="s">
        <v>160</v>
      </c>
      <c r="S63" t="s">
        <v>156</v>
      </c>
      <c r="T63" t="s">
        <v>159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500</v>
      </c>
      <c r="D64" t="s">
        <v>156</v>
      </c>
      <c r="E64">
        <v>2476651</v>
      </c>
      <c r="F64">
        <v>2.4766509999999999E-2</v>
      </c>
      <c r="H64" t="s">
        <v>157</v>
      </c>
      <c r="I64" t="s">
        <v>156</v>
      </c>
      <c r="J64">
        <v>62490908970500</v>
      </c>
      <c r="L64">
        <f t="shared" si="1"/>
        <v>504.64041134984296</v>
      </c>
      <c r="O64" t="s">
        <v>158</v>
      </c>
      <c r="P64" t="s">
        <v>156</v>
      </c>
      <c r="Q64">
        <v>1767495</v>
      </c>
      <c r="R64" t="s">
        <v>160</v>
      </c>
      <c r="S64" t="s">
        <v>156</v>
      </c>
      <c r="T64" t="s">
        <v>159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550</v>
      </c>
      <c r="D65" t="s">
        <v>156</v>
      </c>
      <c r="E65">
        <v>122697</v>
      </c>
      <c r="F65">
        <v>1.22697E-3</v>
      </c>
      <c r="H65" t="s">
        <v>157</v>
      </c>
      <c r="I65" t="s">
        <v>156</v>
      </c>
      <c r="J65">
        <v>3412037442500</v>
      </c>
      <c r="L65">
        <f t="shared" si="1"/>
        <v>556.17292069080736</v>
      </c>
      <c r="O65" t="s">
        <v>158</v>
      </c>
      <c r="P65" t="s">
        <v>156</v>
      </c>
      <c r="Q65">
        <v>54990</v>
      </c>
      <c r="R65" t="s">
        <v>160</v>
      </c>
      <c r="S65" t="s">
        <v>156</v>
      </c>
      <c r="T65" t="s">
        <v>159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600</v>
      </c>
      <c r="D66" t="s">
        <v>156</v>
      </c>
      <c r="E66">
        <v>54759</v>
      </c>
      <c r="F66">
        <v>5.4759000000000003E-4</v>
      </c>
      <c r="H66" t="s">
        <v>157</v>
      </c>
      <c r="I66" t="s">
        <v>156</v>
      </c>
      <c r="J66">
        <v>1650313395500</v>
      </c>
      <c r="L66">
        <f t="shared" si="1"/>
        <v>602.75512536751955</v>
      </c>
      <c r="O66" t="s">
        <v>158</v>
      </c>
      <c r="P66" t="s">
        <v>156</v>
      </c>
      <c r="Q66">
        <v>54759</v>
      </c>
      <c r="R66" t="s">
        <v>160</v>
      </c>
      <c r="S66" t="s">
        <v>156</v>
      </c>
      <c r="T66" t="s">
        <v>159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950</v>
      </c>
      <c r="D67" t="s">
        <v>156</v>
      </c>
      <c r="E67">
        <v>722287</v>
      </c>
      <c r="F67">
        <v>7.2228700000000002E-3</v>
      </c>
      <c r="H67" t="s">
        <v>157</v>
      </c>
      <c r="I67" t="s">
        <v>156</v>
      </c>
      <c r="J67">
        <v>36114350000000</v>
      </c>
      <c r="L67">
        <f t="shared" si="1"/>
        <v>1000</v>
      </c>
      <c r="O67" t="s">
        <v>158</v>
      </c>
      <c r="P67" t="s">
        <v>156</v>
      </c>
      <c r="Q67">
        <v>621447</v>
      </c>
      <c r="R67" t="s">
        <v>160</v>
      </c>
      <c r="S67" t="s">
        <v>156</v>
      </c>
      <c r="T67" t="s">
        <v>159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1000</v>
      </c>
      <c r="D68" t="s">
        <v>156</v>
      </c>
      <c r="E68">
        <v>2317237</v>
      </c>
      <c r="F68">
        <v>2.3172370000000001E-2</v>
      </c>
      <c r="H68" t="s">
        <v>157</v>
      </c>
      <c r="I68" t="s">
        <v>156</v>
      </c>
      <c r="J68">
        <v>117105450455500</v>
      </c>
      <c r="L68">
        <f t="shared" si="1"/>
        <v>1010.7334765973442</v>
      </c>
      <c r="O68" t="s">
        <v>158</v>
      </c>
      <c r="P68" t="s">
        <v>156</v>
      </c>
      <c r="Q68">
        <v>1877926</v>
      </c>
      <c r="R68" t="s">
        <v>160</v>
      </c>
      <c r="S68" t="s">
        <v>156</v>
      </c>
      <c r="T68" t="s">
        <v>159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117</v>
      </c>
      <c r="R1" s="10" t="s">
        <v>41</v>
      </c>
      <c r="S1" s="11"/>
      <c r="T1" s="11"/>
      <c r="U1" s="11"/>
      <c r="W1" s="19" t="s">
        <v>30</v>
      </c>
      <c r="AB1" s="11" t="s">
        <v>149</v>
      </c>
      <c r="AD1" s="11"/>
      <c r="AE1" s="11"/>
      <c r="AG1" s="11" t="s">
        <v>150</v>
      </c>
      <c r="AH1" s="17"/>
      <c r="AI1" s="11"/>
      <c r="AJ1" s="11"/>
      <c r="AL1" s="11" t="s">
        <v>151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11" t="s">
        <v>95</v>
      </c>
      <c r="BW1" s="11"/>
      <c r="BX1" s="11"/>
    </row>
    <row r="2" spans="1:76" ht="18" customHeight="1">
      <c r="A2" s="31" t="s">
        <v>46</v>
      </c>
      <c r="B2" s="2" t="s">
        <v>88</v>
      </c>
      <c r="C2" s="3" t="s">
        <v>116</v>
      </c>
      <c r="D2" s="4" t="s">
        <v>0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2414</v>
      </c>
      <c r="E3" s="110">
        <f t="shared" ref="E3:F14" si="0">SUMIF(T$3:T$38,$A3,AD$3:AD$38)</f>
        <v>3150</v>
      </c>
      <c r="F3" s="5">
        <f t="shared" si="0"/>
        <v>6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27</v>
      </c>
      <c r="AD3" s="13">
        <v>200</v>
      </c>
      <c r="AE3" s="70">
        <v>0</v>
      </c>
      <c r="AG3" s="12">
        <v>0</v>
      </c>
      <c r="AH3" s="13">
        <v>1</v>
      </c>
      <c r="AI3" s="70">
        <v>0</v>
      </c>
      <c r="AJ3" s="70">
        <v>0</v>
      </c>
      <c r="AL3" s="12">
        <v>0</v>
      </c>
      <c r="AM3" s="13">
        <v>0</v>
      </c>
      <c r="AN3" s="13">
        <v>150</v>
      </c>
      <c r="AO3" s="70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10</v>
      </c>
      <c r="AY3" s="13">
        <v>4</v>
      </c>
      <c r="AZ3" s="13">
        <v>41</v>
      </c>
      <c r="BA3" s="13">
        <v>55</v>
      </c>
      <c r="BB3" s="13">
        <v>55</v>
      </c>
      <c r="BC3" s="13">
        <v>103</v>
      </c>
      <c r="BD3" s="13">
        <v>103</v>
      </c>
      <c r="BE3" s="13">
        <v>103</v>
      </c>
      <c r="BF3" s="13">
        <v>103</v>
      </c>
      <c r="BG3" s="13">
        <v>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27</v>
      </c>
      <c r="BW3" s="13">
        <v>100</v>
      </c>
      <c r="BX3" s="70">
        <v>0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225</v>
      </c>
      <c r="F4" s="8">
        <f t="shared" si="0"/>
        <v>0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136</v>
      </c>
      <c r="AD4" s="13">
        <v>50</v>
      </c>
      <c r="AE4" s="70">
        <v>0</v>
      </c>
      <c r="AG4" s="12">
        <v>1</v>
      </c>
      <c r="AH4" s="13">
        <v>50</v>
      </c>
      <c r="AI4" s="70">
        <v>0</v>
      </c>
      <c r="AJ4" s="70">
        <v>0</v>
      </c>
      <c r="AL4" s="12">
        <v>1</v>
      </c>
      <c r="AM4" s="13">
        <v>100</v>
      </c>
      <c r="AN4" s="13">
        <v>0</v>
      </c>
      <c r="AO4" s="70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136</v>
      </c>
      <c r="BW4" s="13">
        <v>50</v>
      </c>
      <c r="BX4" s="70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153</v>
      </c>
      <c r="E5" s="109">
        <f t="shared" si="0"/>
        <v>48</v>
      </c>
      <c r="F5" s="8">
        <f t="shared" si="0"/>
        <v>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13">
        <v>200</v>
      </c>
      <c r="AE5" s="70">
        <v>0</v>
      </c>
      <c r="AG5" s="12">
        <v>2</v>
      </c>
      <c r="AH5" s="13">
        <v>1</v>
      </c>
      <c r="AI5" s="70">
        <v>0</v>
      </c>
      <c r="AJ5" s="70">
        <v>0</v>
      </c>
      <c r="AL5" s="12">
        <v>2</v>
      </c>
      <c r="AM5" s="13">
        <v>0</v>
      </c>
      <c r="AN5" s="13">
        <v>150</v>
      </c>
      <c r="AO5" s="70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3</v>
      </c>
      <c r="AY5" s="13">
        <v>3</v>
      </c>
      <c r="AZ5" s="13">
        <v>3</v>
      </c>
      <c r="BA5" s="13">
        <v>3</v>
      </c>
      <c r="BB5" s="13">
        <v>3</v>
      </c>
      <c r="BC5" s="13">
        <v>3</v>
      </c>
      <c r="BD5" s="13">
        <v>3</v>
      </c>
      <c r="BE5" s="13">
        <v>3</v>
      </c>
      <c r="BF5" s="13">
        <v>3</v>
      </c>
      <c r="BG5" s="13">
        <v>0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100</v>
      </c>
      <c r="BX5" s="70">
        <v>0</v>
      </c>
    </row>
    <row r="6" spans="1:76">
      <c r="A6" s="22">
        <v>5</v>
      </c>
      <c r="B6" s="22">
        <v>3</v>
      </c>
      <c r="C6" s="24">
        <v>5</v>
      </c>
      <c r="D6" s="7">
        <f t="shared" si="1"/>
        <v>26</v>
      </c>
      <c r="E6" s="109">
        <f t="shared" si="0"/>
        <v>18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150</v>
      </c>
      <c r="AD6" s="13">
        <v>8</v>
      </c>
      <c r="AE6" s="70">
        <v>0</v>
      </c>
      <c r="AG6" s="12">
        <v>3</v>
      </c>
      <c r="AH6" s="13">
        <v>50</v>
      </c>
      <c r="AI6" s="70">
        <v>0</v>
      </c>
      <c r="AJ6" s="70">
        <v>0</v>
      </c>
      <c r="AL6" s="12">
        <v>3</v>
      </c>
      <c r="AM6" s="13">
        <v>100</v>
      </c>
      <c r="AN6" s="13">
        <v>45</v>
      </c>
      <c r="AO6" s="70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136</v>
      </c>
      <c r="BW6" s="13">
        <v>12</v>
      </c>
      <c r="BX6" s="70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200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0</v>
      </c>
      <c r="AN7" s="13">
        <v>150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10</v>
      </c>
      <c r="AY7" s="13">
        <v>61</v>
      </c>
      <c r="AZ7" s="13">
        <v>14</v>
      </c>
      <c r="BA7" s="13">
        <v>10</v>
      </c>
      <c r="BB7" s="13">
        <v>10</v>
      </c>
      <c r="BC7" s="13">
        <v>0</v>
      </c>
      <c r="BD7" s="13">
        <v>0</v>
      </c>
      <c r="BE7" s="13">
        <v>0</v>
      </c>
      <c r="BF7" s="13">
        <v>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100</v>
      </c>
      <c r="BX7" s="70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133</v>
      </c>
      <c r="AD8" s="13">
        <v>3</v>
      </c>
      <c r="AE8" s="70">
        <v>0</v>
      </c>
      <c r="AG8" s="12">
        <v>5</v>
      </c>
      <c r="AH8" s="13">
        <v>50</v>
      </c>
      <c r="AI8" s="70">
        <v>0</v>
      </c>
      <c r="AJ8" s="70">
        <v>0</v>
      </c>
      <c r="AL8" s="12">
        <v>5</v>
      </c>
      <c r="AM8" s="13">
        <v>100</v>
      </c>
      <c r="AN8" s="13">
        <v>5</v>
      </c>
      <c r="AO8" s="70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133</v>
      </c>
      <c r="BW8" s="13">
        <v>6</v>
      </c>
      <c r="BX8" s="70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20</v>
      </c>
      <c r="AD9" s="13">
        <v>200</v>
      </c>
      <c r="AE9" s="70">
        <v>0</v>
      </c>
      <c r="AG9" s="12">
        <v>6</v>
      </c>
      <c r="AH9" s="13">
        <v>1</v>
      </c>
      <c r="AI9" s="70">
        <v>0</v>
      </c>
      <c r="AJ9" s="70">
        <v>0</v>
      </c>
      <c r="AL9" s="12">
        <v>6</v>
      </c>
      <c r="AM9" s="13">
        <v>0</v>
      </c>
      <c r="AN9" s="13">
        <v>150</v>
      </c>
      <c r="AO9" s="70">
        <v>0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">
        <v>10</v>
      </c>
      <c r="AY9" s="13">
        <v>4</v>
      </c>
      <c r="AZ9" s="13">
        <v>41</v>
      </c>
      <c r="BA9" s="13">
        <v>55</v>
      </c>
      <c r="BB9" s="13">
        <v>55</v>
      </c>
      <c r="BC9" s="13">
        <v>100</v>
      </c>
      <c r="BD9" s="13">
        <v>100</v>
      </c>
      <c r="BE9" s="13">
        <v>100</v>
      </c>
      <c r="BF9" s="13">
        <v>100</v>
      </c>
      <c r="BG9" s="13">
        <v>0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27</v>
      </c>
      <c r="BW9" s="13">
        <v>100</v>
      </c>
      <c r="BX9" s="70">
        <v>0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133</v>
      </c>
      <c r="AD10" s="13">
        <v>50</v>
      </c>
      <c r="AE10" s="70">
        <v>0</v>
      </c>
      <c r="AG10" s="12">
        <v>7</v>
      </c>
      <c r="AH10" s="13">
        <v>50</v>
      </c>
      <c r="AI10" s="70">
        <v>0</v>
      </c>
      <c r="AJ10" s="70">
        <v>0</v>
      </c>
      <c r="AL10" s="12">
        <v>7</v>
      </c>
      <c r="AM10" s="13">
        <v>100</v>
      </c>
      <c r="AN10" s="13">
        <v>0</v>
      </c>
      <c r="AO10" s="70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133</v>
      </c>
      <c r="BW10" s="13">
        <v>50</v>
      </c>
      <c r="BX10" s="70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200</v>
      </c>
      <c r="AE11" s="70">
        <v>0</v>
      </c>
      <c r="AG11" s="12">
        <v>8</v>
      </c>
      <c r="AH11" s="13">
        <v>5</v>
      </c>
      <c r="AI11" s="70">
        <v>0</v>
      </c>
      <c r="AJ11" s="70">
        <v>0</v>
      </c>
      <c r="AL11" s="12">
        <v>8</v>
      </c>
      <c r="AM11" s="13">
        <v>0</v>
      </c>
      <c r="AN11" s="13">
        <v>150</v>
      </c>
      <c r="AO11" s="70">
        <v>0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">
        <v>3</v>
      </c>
      <c r="AY11" s="13">
        <v>3</v>
      </c>
      <c r="AZ11" s="13">
        <v>3</v>
      </c>
      <c r="BA11" s="13">
        <v>3</v>
      </c>
      <c r="BB11" s="13">
        <v>3</v>
      </c>
      <c r="BC11" s="13">
        <v>3</v>
      </c>
      <c r="BD11" s="13">
        <v>3</v>
      </c>
      <c r="BE11" s="13">
        <v>3</v>
      </c>
      <c r="BF11" s="13">
        <v>3</v>
      </c>
      <c r="BG11" s="13">
        <v>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100</v>
      </c>
      <c r="BX11" s="70">
        <v>0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133</v>
      </c>
      <c r="AD12" s="13">
        <v>8</v>
      </c>
      <c r="AE12" s="70">
        <v>0</v>
      </c>
      <c r="AG12" s="12">
        <v>9</v>
      </c>
      <c r="AH12" s="13">
        <v>50</v>
      </c>
      <c r="AI12" s="70">
        <v>0</v>
      </c>
      <c r="AJ12" s="70">
        <v>0</v>
      </c>
      <c r="AL12" s="12">
        <v>9</v>
      </c>
      <c r="AM12" s="13">
        <v>100</v>
      </c>
      <c r="AN12" s="13">
        <v>45</v>
      </c>
      <c r="AO12" s="70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133</v>
      </c>
      <c r="BW12" s="13">
        <v>12</v>
      </c>
      <c r="BX12" s="70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200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0</v>
      </c>
      <c r="AN13" s="13">
        <v>150</v>
      </c>
      <c r="AO13" s="70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">
        <v>10</v>
      </c>
      <c r="AY13" s="13">
        <v>61</v>
      </c>
      <c r="AZ13" s="13">
        <v>14</v>
      </c>
      <c r="BA13" s="13">
        <v>10</v>
      </c>
      <c r="BB13" s="13">
        <v>10</v>
      </c>
      <c r="BC13" s="13">
        <v>0</v>
      </c>
      <c r="BD13" s="13">
        <v>0</v>
      </c>
      <c r="BE13" s="13">
        <v>0</v>
      </c>
      <c r="BF13" s="13">
        <v>0</v>
      </c>
      <c r="BG13" s="13">
        <v>1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100</v>
      </c>
      <c r="BX13" s="70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98</v>
      </c>
      <c r="K14" s="65">
        <v>5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133</v>
      </c>
      <c r="AD14" s="13">
        <v>3</v>
      </c>
      <c r="AE14" s="70">
        <v>0</v>
      </c>
      <c r="AG14" s="12">
        <v>11</v>
      </c>
      <c r="AH14" s="13">
        <v>50</v>
      </c>
      <c r="AI14" s="70">
        <v>0</v>
      </c>
      <c r="AJ14" s="70">
        <v>0</v>
      </c>
      <c r="AL14" s="12">
        <v>11</v>
      </c>
      <c r="AM14" s="13">
        <v>100</v>
      </c>
      <c r="AN14" s="13">
        <v>20</v>
      </c>
      <c r="AO14" s="70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133</v>
      </c>
      <c r="BW14" s="13">
        <v>6</v>
      </c>
      <c r="BX14" s="70">
        <v>0</v>
      </c>
    </row>
    <row r="15" spans="1:76">
      <c r="D15" s="109">
        <v>2591</v>
      </c>
      <c r="E15" s="109">
        <v>2200</v>
      </c>
      <c r="F15" s="109">
        <v>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27</v>
      </c>
      <c r="AD15" s="13">
        <v>200</v>
      </c>
      <c r="AE15" s="70">
        <v>0</v>
      </c>
      <c r="AG15" s="12">
        <v>12</v>
      </c>
      <c r="AH15" s="13">
        <v>1</v>
      </c>
      <c r="AI15" s="70">
        <v>0</v>
      </c>
      <c r="AJ15" s="70">
        <v>0</v>
      </c>
      <c r="AL15" s="12">
        <v>12</v>
      </c>
      <c r="AM15" s="13">
        <v>0</v>
      </c>
      <c r="AN15" s="13">
        <v>150</v>
      </c>
      <c r="AO15" s="70">
        <v>0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">
        <v>10</v>
      </c>
      <c r="AY15" s="13">
        <v>4</v>
      </c>
      <c r="AZ15" s="13">
        <v>41</v>
      </c>
      <c r="BA15" s="13">
        <v>55</v>
      </c>
      <c r="BB15" s="13">
        <v>55</v>
      </c>
      <c r="BC15" s="13">
        <v>100</v>
      </c>
      <c r="BD15" s="13">
        <v>100</v>
      </c>
      <c r="BE15" s="13">
        <v>100</v>
      </c>
      <c r="BF15" s="13">
        <v>100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27</v>
      </c>
      <c r="BW15" s="13">
        <v>100</v>
      </c>
      <c r="BX15" s="70">
        <v>0</v>
      </c>
    </row>
    <row r="16" spans="1:76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133</v>
      </c>
      <c r="AD16" s="13">
        <v>50</v>
      </c>
      <c r="AE16" s="70">
        <v>0</v>
      </c>
      <c r="AG16" s="12">
        <v>13</v>
      </c>
      <c r="AH16" s="13">
        <v>50</v>
      </c>
      <c r="AI16" s="70">
        <v>0</v>
      </c>
      <c r="AJ16" s="70">
        <v>0</v>
      </c>
      <c r="AL16" s="12">
        <v>13</v>
      </c>
      <c r="AM16" s="13">
        <v>100</v>
      </c>
      <c r="AN16" s="13">
        <v>0</v>
      </c>
      <c r="AO16" s="70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133</v>
      </c>
      <c r="BW16" s="13">
        <v>50</v>
      </c>
      <c r="BX16" s="70">
        <v>0</v>
      </c>
    </row>
    <row r="17" spans="1:76" ht="16.8">
      <c r="A17" s="31" t="s">
        <v>118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200</v>
      </c>
      <c r="AE17" s="70">
        <v>0</v>
      </c>
      <c r="AG17" s="12">
        <v>14</v>
      </c>
      <c r="AH17" s="13">
        <v>2</v>
      </c>
      <c r="AI17" s="70">
        <v>0</v>
      </c>
      <c r="AJ17" s="70">
        <v>0</v>
      </c>
      <c r="AL17" s="12">
        <v>14</v>
      </c>
      <c r="AM17" s="13">
        <v>0</v>
      </c>
      <c r="AN17" s="13">
        <v>150</v>
      </c>
      <c r="AO17" s="70">
        <v>0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">
        <v>3</v>
      </c>
      <c r="AY17" s="13">
        <v>3</v>
      </c>
      <c r="AZ17" s="13">
        <v>3</v>
      </c>
      <c r="BA17" s="13">
        <v>3</v>
      </c>
      <c r="BB17" s="13">
        <v>3</v>
      </c>
      <c r="BC17" s="13">
        <v>3</v>
      </c>
      <c r="BD17" s="13">
        <v>3</v>
      </c>
      <c r="BE17" s="13">
        <v>3</v>
      </c>
      <c r="BF17" s="13">
        <v>3</v>
      </c>
      <c r="BG17" s="13">
        <v>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100</v>
      </c>
      <c r="BX17" s="70">
        <v>0</v>
      </c>
    </row>
    <row r="18" spans="1:76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133</v>
      </c>
      <c r="AD18" s="13">
        <v>8</v>
      </c>
      <c r="AE18" s="70">
        <v>0</v>
      </c>
      <c r="AG18" s="12">
        <v>15</v>
      </c>
      <c r="AH18" s="13">
        <v>50</v>
      </c>
      <c r="AI18" s="70">
        <v>0</v>
      </c>
      <c r="AJ18" s="70">
        <v>0</v>
      </c>
      <c r="AL18" s="12">
        <v>15</v>
      </c>
      <c r="AM18" s="13">
        <v>100</v>
      </c>
      <c r="AN18" s="13">
        <v>45</v>
      </c>
      <c r="AO18" s="70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133</v>
      </c>
      <c r="BW18" s="13">
        <v>11</v>
      </c>
      <c r="BX18" s="70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900</v>
      </c>
      <c r="E19" s="110">
        <f t="shared" ref="E19:F30" si="2">SUMIF(T$3:T$38,$A19,AI$3:AI$38)</f>
        <v>6</v>
      </c>
      <c r="F19" s="5">
        <f t="shared" si="2"/>
        <v>6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200</v>
      </c>
      <c r="AE19" s="70">
        <v>1</v>
      </c>
      <c r="AG19" s="12">
        <v>16</v>
      </c>
      <c r="AH19" s="13">
        <v>3</v>
      </c>
      <c r="AI19" s="70">
        <v>1</v>
      </c>
      <c r="AJ19" s="70">
        <v>1</v>
      </c>
      <c r="AL19" s="12">
        <v>16</v>
      </c>
      <c r="AM19" s="13">
        <v>0</v>
      </c>
      <c r="AN19" s="13">
        <v>150</v>
      </c>
      <c r="AO19" s="70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">
        <v>10</v>
      </c>
      <c r="AY19" s="13">
        <v>61</v>
      </c>
      <c r="AZ19" s="13">
        <v>14</v>
      </c>
      <c r="BA19" s="13">
        <v>10</v>
      </c>
      <c r="BB19" s="13">
        <v>10</v>
      </c>
      <c r="BC19" s="13">
        <v>0</v>
      </c>
      <c r="BD19" s="13">
        <v>0</v>
      </c>
      <c r="BE19" s="13">
        <v>0</v>
      </c>
      <c r="BF19" s="13">
        <v>0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100</v>
      </c>
      <c r="BX19" s="70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0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133</v>
      </c>
      <c r="AD20" s="13">
        <v>3</v>
      </c>
      <c r="AE20" s="70">
        <v>0</v>
      </c>
      <c r="AG20" s="12">
        <v>17</v>
      </c>
      <c r="AH20" s="13">
        <v>50</v>
      </c>
      <c r="AI20" s="70">
        <v>0</v>
      </c>
      <c r="AJ20" s="70">
        <v>0</v>
      </c>
      <c r="AL20" s="12">
        <v>17</v>
      </c>
      <c r="AM20" s="13">
        <v>100</v>
      </c>
      <c r="AN20" s="13">
        <v>2</v>
      </c>
      <c r="AO20" s="70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133</v>
      </c>
      <c r="BW20" s="13">
        <v>5</v>
      </c>
      <c r="BX20" s="70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3"/>
        <v>39</v>
      </c>
      <c r="E21" s="109">
        <f t="shared" si="2"/>
        <v>0</v>
      </c>
      <c r="F21" s="8">
        <f t="shared" si="2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27</v>
      </c>
      <c r="AD21" s="13">
        <v>200</v>
      </c>
      <c r="AE21" s="70">
        <v>0</v>
      </c>
      <c r="AG21" s="12">
        <v>18</v>
      </c>
      <c r="AH21" s="13">
        <v>15</v>
      </c>
      <c r="AI21" s="70">
        <v>0</v>
      </c>
      <c r="AJ21" s="70">
        <v>0</v>
      </c>
      <c r="AL21" s="12">
        <v>18</v>
      </c>
      <c r="AM21" s="13">
        <v>0</v>
      </c>
      <c r="AN21" s="13">
        <v>150</v>
      </c>
      <c r="AO21" s="70">
        <v>0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">
        <v>10</v>
      </c>
      <c r="AY21" s="13">
        <v>4</v>
      </c>
      <c r="AZ21" s="13">
        <v>41</v>
      </c>
      <c r="BA21" s="13">
        <v>55</v>
      </c>
      <c r="BB21" s="13">
        <v>55</v>
      </c>
      <c r="BC21" s="13">
        <v>100</v>
      </c>
      <c r="BD21" s="13">
        <v>100</v>
      </c>
      <c r="BE21" s="13">
        <v>100</v>
      </c>
      <c r="BF21" s="13">
        <v>100</v>
      </c>
      <c r="BG21" s="13">
        <v>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27</v>
      </c>
      <c r="BW21" s="13">
        <v>100</v>
      </c>
      <c r="BX21" s="70">
        <v>0</v>
      </c>
    </row>
    <row r="22" spans="1:76">
      <c r="A22" s="22">
        <v>5</v>
      </c>
      <c r="B22" s="22">
        <v>3</v>
      </c>
      <c r="C22" s="24">
        <v>5</v>
      </c>
      <c r="D22" s="7">
        <f t="shared" si="3"/>
        <v>21</v>
      </c>
      <c r="E22" s="109">
        <f t="shared" si="2"/>
        <v>0</v>
      </c>
      <c r="F22" s="8">
        <f t="shared" si="2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133</v>
      </c>
      <c r="AD22" s="13">
        <v>25</v>
      </c>
      <c r="AE22" s="70">
        <v>0</v>
      </c>
      <c r="AG22" s="12">
        <v>19</v>
      </c>
      <c r="AH22" s="13">
        <v>50</v>
      </c>
      <c r="AI22" s="70">
        <v>0</v>
      </c>
      <c r="AJ22" s="70">
        <v>0</v>
      </c>
      <c r="AL22" s="12">
        <v>19</v>
      </c>
      <c r="AM22" s="13">
        <v>100</v>
      </c>
      <c r="AN22" s="13">
        <v>0</v>
      </c>
      <c r="AO22" s="70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133</v>
      </c>
      <c r="BW22" s="13">
        <v>50</v>
      </c>
      <c r="BX22" s="70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3"/>
        <v>7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200</v>
      </c>
      <c r="AE23" s="70">
        <v>0</v>
      </c>
      <c r="AG23" s="12">
        <v>20</v>
      </c>
      <c r="AH23" s="13">
        <v>2</v>
      </c>
      <c r="AI23" s="70">
        <v>0</v>
      </c>
      <c r="AJ23" s="70">
        <v>0</v>
      </c>
      <c r="AL23" s="12">
        <v>20</v>
      </c>
      <c r="AM23" s="13">
        <v>0</v>
      </c>
      <c r="AN23" s="13">
        <v>150</v>
      </c>
      <c r="AO23" s="70">
        <v>0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">
        <v>3</v>
      </c>
      <c r="AY23" s="13">
        <v>3</v>
      </c>
      <c r="AZ23" s="13">
        <v>3</v>
      </c>
      <c r="BA23" s="13">
        <v>3</v>
      </c>
      <c r="BB23" s="13">
        <v>3</v>
      </c>
      <c r="BC23" s="13">
        <v>3</v>
      </c>
      <c r="BD23" s="13">
        <v>3</v>
      </c>
      <c r="BE23" s="13">
        <v>3</v>
      </c>
      <c r="BF23" s="13">
        <v>3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100</v>
      </c>
      <c r="BX23" s="70">
        <v>0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133</v>
      </c>
      <c r="AD24" s="13">
        <v>8</v>
      </c>
      <c r="AE24" s="70">
        <v>0</v>
      </c>
      <c r="AG24" s="12">
        <v>21</v>
      </c>
      <c r="AH24" s="13">
        <v>50</v>
      </c>
      <c r="AI24" s="70">
        <v>0</v>
      </c>
      <c r="AJ24" s="70">
        <v>0</v>
      </c>
      <c r="AL24" s="12">
        <v>21</v>
      </c>
      <c r="AM24" s="13">
        <v>100</v>
      </c>
      <c r="AN24" s="13">
        <v>45</v>
      </c>
      <c r="AO24" s="70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133</v>
      </c>
      <c r="BW24" s="13">
        <v>11</v>
      </c>
      <c r="BX24" s="70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200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0</v>
      </c>
      <c r="AN25" s="13">
        <v>150</v>
      </c>
      <c r="AO25" s="70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">
        <v>10</v>
      </c>
      <c r="AY25" s="13">
        <v>61</v>
      </c>
      <c r="AZ25" s="13">
        <v>14</v>
      </c>
      <c r="BA25" s="13">
        <v>10</v>
      </c>
      <c r="BB25" s="13">
        <v>10</v>
      </c>
      <c r="BC25" s="13">
        <v>0</v>
      </c>
      <c r="BD25" s="13">
        <v>0</v>
      </c>
      <c r="BE25" s="13">
        <v>0</v>
      </c>
      <c r="BF25" s="13">
        <v>0</v>
      </c>
      <c r="BG25" s="13">
        <v>1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100</v>
      </c>
      <c r="BX25" s="70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133</v>
      </c>
      <c r="AD26" s="13">
        <v>3</v>
      </c>
      <c r="AE26" s="70">
        <v>0</v>
      </c>
      <c r="AG26" s="12">
        <v>23</v>
      </c>
      <c r="AH26" s="13">
        <v>50</v>
      </c>
      <c r="AI26" s="70">
        <v>0</v>
      </c>
      <c r="AJ26" s="70">
        <v>0</v>
      </c>
      <c r="AL26" s="12">
        <v>23</v>
      </c>
      <c r="AM26" s="13">
        <v>100</v>
      </c>
      <c r="AN26" s="13">
        <v>20</v>
      </c>
      <c r="AO26" s="70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133</v>
      </c>
      <c r="BW26" s="13">
        <v>5</v>
      </c>
      <c r="BX26" s="70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26</v>
      </c>
      <c r="AD27" s="13">
        <v>100</v>
      </c>
      <c r="AE27" s="70">
        <v>0</v>
      </c>
      <c r="AG27" s="12">
        <v>24</v>
      </c>
      <c r="AH27" s="13">
        <v>20</v>
      </c>
      <c r="AI27" s="70">
        <v>0</v>
      </c>
      <c r="AJ27" s="70">
        <v>0</v>
      </c>
      <c r="AL27" s="12">
        <v>24</v>
      </c>
      <c r="AM27" s="13">
        <v>0</v>
      </c>
      <c r="AN27" s="13">
        <v>150</v>
      </c>
      <c r="AO27" s="70">
        <v>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10</v>
      </c>
      <c r="AY27" s="13">
        <v>4</v>
      </c>
      <c r="AZ27" s="13">
        <v>41</v>
      </c>
      <c r="BA27" s="13">
        <v>55</v>
      </c>
      <c r="BB27" s="13">
        <v>55</v>
      </c>
      <c r="BC27" s="13">
        <v>100</v>
      </c>
      <c r="BD27" s="13">
        <v>100</v>
      </c>
      <c r="BE27" s="13">
        <v>100</v>
      </c>
      <c r="BF27" s="13">
        <v>100</v>
      </c>
      <c r="BG27" s="13">
        <v>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26</v>
      </c>
      <c r="BW27" s="13">
        <v>100</v>
      </c>
      <c r="BX27" s="70">
        <v>0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133</v>
      </c>
      <c r="AD28" s="13">
        <v>25</v>
      </c>
      <c r="AE28" s="70">
        <v>0</v>
      </c>
      <c r="AG28" s="12">
        <v>25</v>
      </c>
      <c r="AH28" s="13">
        <v>50</v>
      </c>
      <c r="AI28" s="70">
        <v>0</v>
      </c>
      <c r="AJ28" s="70">
        <v>0</v>
      </c>
      <c r="AL28" s="12">
        <v>25</v>
      </c>
      <c r="AM28" s="13">
        <v>100</v>
      </c>
      <c r="AN28" s="13">
        <v>0</v>
      </c>
      <c r="AO28" s="70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133</v>
      </c>
      <c r="BW28" s="13">
        <v>50</v>
      </c>
      <c r="BX28" s="70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200</v>
      </c>
      <c r="AE29" s="70">
        <v>0</v>
      </c>
      <c r="AG29" s="12">
        <v>26</v>
      </c>
      <c r="AH29" s="13">
        <v>10</v>
      </c>
      <c r="AI29" s="70">
        <v>0</v>
      </c>
      <c r="AJ29" s="70">
        <v>0</v>
      </c>
      <c r="AL29" s="12">
        <v>26</v>
      </c>
      <c r="AM29" s="13">
        <v>0</v>
      </c>
      <c r="AN29" s="13">
        <v>150</v>
      </c>
      <c r="AO29" s="70">
        <v>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3</v>
      </c>
      <c r="AY29" s="13">
        <v>3</v>
      </c>
      <c r="AZ29" s="13">
        <v>3</v>
      </c>
      <c r="BA29" s="13">
        <v>3</v>
      </c>
      <c r="BB29" s="13">
        <v>3</v>
      </c>
      <c r="BC29" s="13">
        <v>3</v>
      </c>
      <c r="BD29" s="13">
        <v>3</v>
      </c>
      <c r="BE29" s="13">
        <v>3</v>
      </c>
      <c r="BF29" s="13">
        <v>3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100</v>
      </c>
      <c r="BX29" s="70">
        <v>0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133</v>
      </c>
      <c r="AD30" s="13">
        <v>8</v>
      </c>
      <c r="AE30" s="70">
        <v>0</v>
      </c>
      <c r="AG30" s="12">
        <v>27</v>
      </c>
      <c r="AH30" s="13">
        <v>50</v>
      </c>
      <c r="AI30" s="70">
        <v>0</v>
      </c>
      <c r="AJ30" s="70">
        <v>0</v>
      </c>
      <c r="AL30" s="12">
        <v>27</v>
      </c>
      <c r="AM30" s="13">
        <v>100</v>
      </c>
      <c r="AN30" s="13">
        <v>20</v>
      </c>
      <c r="AO30" s="70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133</v>
      </c>
      <c r="BW30" s="13">
        <v>11</v>
      </c>
      <c r="BX30" s="70">
        <v>0</v>
      </c>
    </row>
    <row r="31" spans="1:76">
      <c r="D31" s="109">
        <v>2400</v>
      </c>
      <c r="E31" s="109">
        <v>2230</v>
      </c>
      <c r="F31" s="109">
        <v>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0</v>
      </c>
      <c r="AN31" s="13">
        <v>150</v>
      </c>
      <c r="AO31" s="70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10</v>
      </c>
      <c r="AY31" s="13">
        <v>61</v>
      </c>
      <c r="AZ31" s="13">
        <v>14</v>
      </c>
      <c r="BA31" s="13">
        <v>10</v>
      </c>
      <c r="BB31" s="13">
        <v>10</v>
      </c>
      <c r="BC31" s="13">
        <v>0</v>
      </c>
      <c r="BD31" s="13">
        <v>0</v>
      </c>
      <c r="BE31" s="13">
        <v>0</v>
      </c>
      <c r="BF31" s="13">
        <v>0</v>
      </c>
      <c r="BG31" s="13">
        <v>1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100</v>
      </c>
      <c r="BX31" s="70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133</v>
      </c>
      <c r="AD32" s="13">
        <v>3</v>
      </c>
      <c r="AE32" s="70">
        <v>0</v>
      </c>
      <c r="AG32" s="12">
        <v>29</v>
      </c>
      <c r="AH32" s="13">
        <v>50</v>
      </c>
      <c r="AI32" s="70">
        <v>0</v>
      </c>
      <c r="AJ32" s="70">
        <v>0</v>
      </c>
      <c r="AL32" s="12">
        <v>29</v>
      </c>
      <c r="AM32" s="13">
        <v>100</v>
      </c>
      <c r="AN32" s="13">
        <v>0</v>
      </c>
      <c r="AO32" s="70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133</v>
      </c>
      <c r="BW32" s="13">
        <v>5</v>
      </c>
      <c r="BX32" s="70">
        <v>0</v>
      </c>
    </row>
    <row r="33" spans="1:76">
      <c r="A33" s="31" t="s">
        <v>119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26</v>
      </c>
      <c r="AD33" s="13">
        <v>100</v>
      </c>
      <c r="AE33" s="70">
        <v>0</v>
      </c>
      <c r="AG33" s="12">
        <v>30</v>
      </c>
      <c r="AH33" s="13">
        <v>1</v>
      </c>
      <c r="AI33" s="70">
        <v>0</v>
      </c>
      <c r="AJ33" s="70">
        <v>0</v>
      </c>
      <c r="AL33" s="12">
        <v>30</v>
      </c>
      <c r="AM33" s="13">
        <v>0</v>
      </c>
      <c r="AN33" s="13">
        <v>150</v>
      </c>
      <c r="AO33" s="70">
        <v>0</v>
      </c>
      <c r="AQ33" s="12">
        <v>30</v>
      </c>
      <c r="AR33" s="15"/>
      <c r="AT33" s="12">
        <v>30</v>
      </c>
      <c r="AU33" s="13"/>
      <c r="AW33" s="12">
        <v>30</v>
      </c>
      <c r="AX33" s="13"/>
      <c r="AY33" s="13"/>
      <c r="AZ33" s="13"/>
      <c r="BA33" s="13"/>
      <c r="BB33" s="13"/>
      <c r="BC33" s="13"/>
      <c r="BD33" s="13"/>
      <c r="BE33" s="13"/>
      <c r="BF33" s="25"/>
      <c r="BG33" s="30"/>
      <c r="BH33" s="13"/>
      <c r="BI33" s="13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26</v>
      </c>
      <c r="BW33" s="13">
        <v>100</v>
      </c>
      <c r="BX33" s="70">
        <v>0</v>
      </c>
    </row>
    <row r="34" spans="1:76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133</v>
      </c>
      <c r="AD34" s="13">
        <v>25</v>
      </c>
      <c r="AE34" s="70">
        <v>0</v>
      </c>
      <c r="AG34" s="12">
        <v>31</v>
      </c>
      <c r="AH34" s="13">
        <v>50</v>
      </c>
      <c r="AI34" s="70">
        <v>0</v>
      </c>
      <c r="AJ34" s="70">
        <v>0</v>
      </c>
      <c r="AL34" s="12">
        <v>31</v>
      </c>
      <c r="AM34" s="13">
        <v>100</v>
      </c>
      <c r="AN34" s="13">
        <v>0</v>
      </c>
      <c r="AO34" s="70">
        <v>0</v>
      </c>
      <c r="AQ34" s="12">
        <v>31</v>
      </c>
      <c r="AR34" s="13"/>
      <c r="AT34" s="12">
        <v>31</v>
      </c>
      <c r="AU34" s="13"/>
      <c r="AW34" s="12">
        <v>31</v>
      </c>
      <c r="AX34" s="13"/>
      <c r="AY34" s="13"/>
      <c r="AZ34" s="13"/>
      <c r="BA34" s="13"/>
      <c r="BB34" s="13"/>
      <c r="BC34" s="13"/>
      <c r="BD34" s="13"/>
      <c r="BE34" s="13"/>
      <c r="BF34" s="25"/>
      <c r="BG34" s="30"/>
      <c r="BH34" s="13"/>
      <c r="BI34" s="13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133</v>
      </c>
      <c r="BW34" s="13">
        <v>50</v>
      </c>
      <c r="BX34" s="70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1800</v>
      </c>
      <c r="E35" s="110">
        <f t="shared" ref="E35:F46" si="4">SUMIF(T$3:T$38,$A35,AN$3:AN$38)</f>
        <v>2700</v>
      </c>
      <c r="F35" s="5">
        <f t="shared" si="4"/>
        <v>6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100</v>
      </c>
      <c r="AE35" s="70">
        <v>0</v>
      </c>
      <c r="AG35" s="12">
        <v>32</v>
      </c>
      <c r="AH35" s="13">
        <v>1</v>
      </c>
      <c r="AI35" s="70">
        <v>0</v>
      </c>
      <c r="AJ35" s="70">
        <v>0</v>
      </c>
      <c r="AL35" s="12">
        <v>32</v>
      </c>
      <c r="AM35" s="13">
        <v>0</v>
      </c>
      <c r="AN35" s="13">
        <v>150</v>
      </c>
      <c r="AO35" s="70">
        <v>0</v>
      </c>
      <c r="AQ35" s="12">
        <v>32</v>
      </c>
      <c r="AR35" s="15"/>
      <c r="AT35" s="12">
        <v>32</v>
      </c>
      <c r="AU35" s="13"/>
      <c r="AW35" s="12">
        <v>32</v>
      </c>
      <c r="AX35" s="13"/>
      <c r="AY35" s="13"/>
      <c r="AZ35" s="13"/>
      <c r="BA35" s="13"/>
      <c r="BB35" s="13"/>
      <c r="BC35" s="13"/>
      <c r="BD35" s="13"/>
      <c r="BE35" s="13"/>
      <c r="BF35" s="25"/>
      <c r="BG35" s="30"/>
      <c r="BH35" s="13"/>
      <c r="BI35" s="13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100</v>
      </c>
      <c r="BX35" s="70">
        <v>0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0</v>
      </c>
      <c r="F36" s="8">
        <f t="shared" si="4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133</v>
      </c>
      <c r="AD36" s="13">
        <v>8</v>
      </c>
      <c r="AE36" s="70">
        <v>0</v>
      </c>
      <c r="AG36" s="12">
        <v>33</v>
      </c>
      <c r="AH36" s="13">
        <v>50</v>
      </c>
      <c r="AI36" s="70">
        <v>0</v>
      </c>
      <c r="AJ36" s="70">
        <v>0</v>
      </c>
      <c r="AL36" s="12">
        <v>33</v>
      </c>
      <c r="AM36" s="13">
        <v>100</v>
      </c>
      <c r="AN36" s="13">
        <v>0</v>
      </c>
      <c r="AO36" s="70">
        <v>0</v>
      </c>
      <c r="AQ36" s="12">
        <v>33</v>
      </c>
      <c r="AR36" s="13"/>
      <c r="AT36" s="12">
        <v>33</v>
      </c>
      <c r="AU36" s="13"/>
      <c r="AW36" s="12">
        <v>33</v>
      </c>
      <c r="AX36" s="13"/>
      <c r="AY36" s="13"/>
      <c r="AZ36" s="13"/>
      <c r="BA36" s="13"/>
      <c r="BB36" s="13"/>
      <c r="BC36" s="13"/>
      <c r="BD36" s="13"/>
      <c r="BE36" s="13"/>
      <c r="BF36" s="25"/>
      <c r="BG36" s="30"/>
      <c r="BH36" s="13"/>
      <c r="BI36" s="13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133</v>
      </c>
      <c r="BW36" s="13">
        <v>11</v>
      </c>
      <c r="BX36" s="70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5"/>
        <v>0</v>
      </c>
      <c r="E37" s="109">
        <f t="shared" si="4"/>
        <v>200</v>
      </c>
      <c r="F37" s="8">
        <f t="shared" si="4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100</v>
      </c>
      <c r="AE37" s="70">
        <v>1</v>
      </c>
      <c r="AG37" s="12">
        <v>34</v>
      </c>
      <c r="AH37" s="13">
        <v>0</v>
      </c>
      <c r="AI37" s="70">
        <v>1</v>
      </c>
      <c r="AJ37" s="70">
        <v>1</v>
      </c>
      <c r="AL37" s="12">
        <v>34</v>
      </c>
      <c r="AM37" s="13">
        <v>0</v>
      </c>
      <c r="AN37" s="13">
        <v>150</v>
      </c>
      <c r="AO37" s="70">
        <v>1</v>
      </c>
      <c r="AQ37" s="12">
        <v>34</v>
      </c>
      <c r="AR37" s="15"/>
      <c r="AT37" s="12">
        <v>34</v>
      </c>
      <c r="AU37" s="13"/>
      <c r="AW37" s="12">
        <v>34</v>
      </c>
      <c r="AX37" s="13"/>
      <c r="AY37" s="13"/>
      <c r="AZ37" s="13"/>
      <c r="BA37" s="13"/>
      <c r="BB37" s="13"/>
      <c r="BC37" s="13"/>
      <c r="BD37" s="13"/>
      <c r="BE37" s="13"/>
      <c r="BF37" s="25"/>
      <c r="BG37" s="30"/>
      <c r="BH37" s="13"/>
      <c r="BI37" s="13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100</v>
      </c>
      <c r="BX37" s="70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5"/>
        <v>0</v>
      </c>
      <c r="E38" s="109">
        <f t="shared" si="4"/>
        <v>57</v>
      </c>
      <c r="F38" s="8">
        <f t="shared" si="4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133</v>
      </c>
      <c r="AD38" s="13">
        <v>3</v>
      </c>
      <c r="AE38" s="70">
        <v>0</v>
      </c>
      <c r="AG38" s="12">
        <v>35</v>
      </c>
      <c r="AH38" s="13">
        <v>50</v>
      </c>
      <c r="AI38" s="70">
        <v>0</v>
      </c>
      <c r="AJ38" s="70">
        <v>0</v>
      </c>
      <c r="AL38" s="12">
        <v>35</v>
      </c>
      <c r="AM38" s="13">
        <v>100</v>
      </c>
      <c r="AN38" s="13">
        <v>10</v>
      </c>
      <c r="AO38" s="70">
        <v>0</v>
      </c>
      <c r="AQ38" s="12">
        <v>35</v>
      </c>
      <c r="AR38" s="13"/>
      <c r="AT38" s="12">
        <v>35</v>
      </c>
      <c r="AU38" s="13"/>
      <c r="AW38" s="12">
        <v>35</v>
      </c>
      <c r="AX38" s="13"/>
      <c r="AY38" s="13"/>
      <c r="AZ38" s="13"/>
      <c r="BA38" s="13"/>
      <c r="BB38" s="13"/>
      <c r="BC38" s="13"/>
      <c r="BD38" s="13"/>
      <c r="BE38" s="13"/>
      <c r="BF38" s="25"/>
      <c r="BG38" s="30"/>
      <c r="BH38" s="13"/>
      <c r="BI38" s="13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133</v>
      </c>
      <c r="BW38" s="13">
        <v>5</v>
      </c>
      <c r="BX38" s="70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/>
      <c r="AS39" s="15"/>
      <c r="AT39" s="12">
        <v>36</v>
      </c>
      <c r="AU39" s="13"/>
      <c r="AW39" s="12">
        <v>36</v>
      </c>
      <c r="AX39" s="13"/>
      <c r="AY39" s="13"/>
      <c r="AZ39" s="13"/>
      <c r="BA39" s="13"/>
      <c r="BB39" s="13"/>
      <c r="BC39" s="13"/>
      <c r="BD39" s="13"/>
      <c r="BE39" s="13"/>
      <c r="BF39" s="25"/>
      <c r="BG39" s="30"/>
      <c r="BH39" s="13"/>
      <c r="BI39" s="13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/>
      <c r="AS40" s="13"/>
      <c r="AT40" s="12">
        <v>37</v>
      </c>
      <c r="AU40" s="13"/>
      <c r="AW40" s="12">
        <v>37</v>
      </c>
      <c r="AX40" s="13"/>
      <c r="AY40" s="13"/>
      <c r="AZ40" s="13"/>
      <c r="BA40" s="13"/>
      <c r="BB40" s="13"/>
      <c r="BC40" s="13"/>
      <c r="BD40" s="13"/>
      <c r="BE40" s="13"/>
      <c r="BF40" s="25"/>
      <c r="BG40" s="30"/>
      <c r="BH40" s="13"/>
      <c r="BI40" s="13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/>
      <c r="AS41" s="15"/>
      <c r="AT41" s="12">
        <v>38</v>
      </c>
      <c r="AU41" s="13"/>
      <c r="AW41" s="12">
        <v>38</v>
      </c>
      <c r="AX41" s="13"/>
      <c r="AY41" s="13"/>
      <c r="AZ41" s="13"/>
      <c r="BA41" s="13"/>
      <c r="BB41" s="13"/>
      <c r="BC41" s="13"/>
      <c r="BD41" s="13"/>
      <c r="BE41" s="13"/>
      <c r="BF41" s="25"/>
      <c r="BG41" s="30"/>
      <c r="BH41" s="13"/>
      <c r="BI41" s="13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/>
      <c r="AS42" s="13"/>
      <c r="AT42" s="12">
        <v>39</v>
      </c>
      <c r="AU42" s="13"/>
      <c r="AW42" s="12">
        <v>39</v>
      </c>
      <c r="AX42" s="13"/>
      <c r="AY42" s="13"/>
      <c r="AZ42" s="13"/>
      <c r="BA42" s="13"/>
      <c r="BB42" s="13"/>
      <c r="BC42" s="13"/>
      <c r="BD42" s="13"/>
      <c r="BE42" s="13"/>
      <c r="BF42" s="25"/>
      <c r="BG42" s="30"/>
      <c r="BH42" s="13"/>
      <c r="BI42" s="13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v>2400</v>
      </c>
      <c r="E47" s="109">
        <v>2700</v>
      </c>
      <c r="F47" s="109">
        <v>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6">SUMIF($AR$3:$AR$42,$A51,AY$3:AY$42)</f>
        <v>0</v>
      </c>
      <c r="F51" s="5">
        <f t="shared" si="6"/>
        <v>0</v>
      </c>
      <c r="G51" s="4">
        <f t="shared" si="6"/>
        <v>0</v>
      </c>
      <c r="H51" s="110">
        <f t="shared" si="6"/>
        <v>0</v>
      </c>
      <c r="I51" s="110">
        <f t="shared" si="6"/>
        <v>0</v>
      </c>
      <c r="J51" s="110">
        <f t="shared" si="6"/>
        <v>0</v>
      </c>
      <c r="K51" s="110">
        <f t="shared" si="6"/>
        <v>0</v>
      </c>
      <c r="L51" s="110">
        <f t="shared" si="6"/>
        <v>0</v>
      </c>
      <c r="M51" s="47">
        <f t="shared" si="6"/>
        <v>0</v>
      </c>
      <c r="N51" s="110">
        <f t="shared" si="6"/>
        <v>0</v>
      </c>
      <c r="O51" s="5">
        <f t="shared" si="6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7">SUMIF($AR$3:$AR$42,$A52,AX$3:AX$42)</f>
        <v>0</v>
      </c>
      <c r="E52" s="60">
        <f t="shared" si="6"/>
        <v>0</v>
      </c>
      <c r="F52" s="39">
        <f t="shared" si="6"/>
        <v>0</v>
      </c>
      <c r="G52" s="38">
        <f t="shared" si="6"/>
        <v>0</v>
      </c>
      <c r="H52" s="60">
        <f t="shared" si="6"/>
        <v>0</v>
      </c>
      <c r="I52" s="60">
        <f t="shared" si="6"/>
        <v>0</v>
      </c>
      <c r="J52" s="60">
        <f t="shared" si="6"/>
        <v>0</v>
      </c>
      <c r="K52" s="60">
        <f t="shared" si="6"/>
        <v>0</v>
      </c>
      <c r="L52" s="60">
        <f t="shared" si="6"/>
        <v>0</v>
      </c>
      <c r="M52" s="48">
        <f t="shared" si="6"/>
        <v>0</v>
      </c>
      <c r="N52" s="60">
        <f t="shared" si="6"/>
        <v>0</v>
      </c>
      <c r="O52" s="39">
        <f t="shared" si="6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6"/>
        <v>0</v>
      </c>
      <c r="F53" s="39">
        <f t="shared" si="6"/>
        <v>0</v>
      </c>
      <c r="G53" s="38">
        <f t="shared" si="6"/>
        <v>0</v>
      </c>
      <c r="H53" s="60">
        <f t="shared" si="6"/>
        <v>0</v>
      </c>
      <c r="I53" s="60">
        <f t="shared" si="6"/>
        <v>0</v>
      </c>
      <c r="J53" s="60">
        <f t="shared" si="6"/>
        <v>0</v>
      </c>
      <c r="K53" s="60">
        <f t="shared" si="6"/>
        <v>0</v>
      </c>
      <c r="L53" s="60">
        <f t="shared" si="6"/>
        <v>0</v>
      </c>
      <c r="M53" s="48">
        <f t="shared" si="6"/>
        <v>0</v>
      </c>
      <c r="N53" s="60">
        <f t="shared" si="6"/>
        <v>0</v>
      </c>
      <c r="O53" s="39">
        <f t="shared" si="6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6"/>
        <v>0</v>
      </c>
      <c r="F54" s="39">
        <f t="shared" si="6"/>
        <v>0</v>
      </c>
      <c r="G54" s="38">
        <f t="shared" si="6"/>
        <v>0</v>
      </c>
      <c r="H54" s="60">
        <f t="shared" si="6"/>
        <v>0</v>
      </c>
      <c r="I54" s="60">
        <f t="shared" si="6"/>
        <v>0</v>
      </c>
      <c r="J54" s="60">
        <f t="shared" si="6"/>
        <v>0</v>
      </c>
      <c r="K54" s="60">
        <f t="shared" si="6"/>
        <v>0</v>
      </c>
      <c r="L54" s="60">
        <f t="shared" si="6"/>
        <v>0</v>
      </c>
      <c r="M54" s="48">
        <f t="shared" si="6"/>
        <v>0</v>
      </c>
      <c r="N54" s="60">
        <f t="shared" si="6"/>
        <v>0</v>
      </c>
      <c r="O54" s="39">
        <f t="shared" si="6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6"/>
        <v>0</v>
      </c>
      <c r="F55" s="39">
        <f t="shared" si="6"/>
        <v>0</v>
      </c>
      <c r="G55" s="38">
        <f t="shared" si="6"/>
        <v>0</v>
      </c>
      <c r="H55" s="60">
        <f t="shared" si="6"/>
        <v>0</v>
      </c>
      <c r="I55" s="60">
        <f t="shared" si="6"/>
        <v>0</v>
      </c>
      <c r="J55" s="60">
        <f t="shared" si="6"/>
        <v>0</v>
      </c>
      <c r="K55" s="60">
        <f t="shared" si="6"/>
        <v>0</v>
      </c>
      <c r="L55" s="60">
        <f t="shared" si="6"/>
        <v>0</v>
      </c>
      <c r="M55" s="48">
        <f t="shared" si="6"/>
        <v>0</v>
      </c>
      <c r="N55" s="60">
        <f t="shared" si="6"/>
        <v>0</v>
      </c>
      <c r="O55" s="39">
        <f t="shared" si="6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6"/>
        <v>0</v>
      </c>
      <c r="F56" s="39">
        <f t="shared" si="6"/>
        <v>0</v>
      </c>
      <c r="G56" s="38">
        <f t="shared" si="6"/>
        <v>0</v>
      </c>
      <c r="H56" s="60">
        <f t="shared" si="6"/>
        <v>0</v>
      </c>
      <c r="I56" s="60">
        <f t="shared" si="6"/>
        <v>0</v>
      </c>
      <c r="J56" s="60">
        <f t="shared" si="6"/>
        <v>0</v>
      </c>
      <c r="K56" s="60">
        <f t="shared" si="6"/>
        <v>0</v>
      </c>
      <c r="L56" s="60">
        <f t="shared" si="6"/>
        <v>0</v>
      </c>
      <c r="M56" s="48">
        <f t="shared" si="6"/>
        <v>0</v>
      </c>
      <c r="N56" s="60">
        <f t="shared" si="6"/>
        <v>0</v>
      </c>
      <c r="O56" s="39">
        <f t="shared" si="6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7"/>
        <v>50</v>
      </c>
      <c r="E57" s="109">
        <f t="shared" si="6"/>
        <v>20</v>
      </c>
      <c r="F57" s="8">
        <f t="shared" si="6"/>
        <v>205</v>
      </c>
      <c r="G57" s="7">
        <f t="shared" si="6"/>
        <v>275</v>
      </c>
      <c r="H57" s="109">
        <f t="shared" si="6"/>
        <v>275</v>
      </c>
      <c r="I57" s="109">
        <f t="shared" si="6"/>
        <v>503</v>
      </c>
      <c r="J57" s="109">
        <f t="shared" si="6"/>
        <v>503</v>
      </c>
      <c r="K57" s="109">
        <f t="shared" si="6"/>
        <v>503</v>
      </c>
      <c r="L57" s="109">
        <f t="shared" si="6"/>
        <v>503</v>
      </c>
      <c r="M57" s="49">
        <f t="shared" si="6"/>
        <v>0</v>
      </c>
      <c r="N57" s="109">
        <f t="shared" si="6"/>
        <v>0</v>
      </c>
      <c r="O57" s="8">
        <f t="shared" si="6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7"/>
        <v>50</v>
      </c>
      <c r="E58" s="109">
        <f t="shared" si="6"/>
        <v>305</v>
      </c>
      <c r="F58" s="8">
        <f t="shared" si="6"/>
        <v>70</v>
      </c>
      <c r="G58" s="7">
        <f t="shared" si="6"/>
        <v>50</v>
      </c>
      <c r="H58" s="109">
        <f t="shared" si="6"/>
        <v>50</v>
      </c>
      <c r="I58" s="109">
        <f t="shared" si="6"/>
        <v>0</v>
      </c>
      <c r="J58" s="109">
        <f t="shared" si="6"/>
        <v>0</v>
      </c>
      <c r="K58" s="109">
        <f t="shared" si="6"/>
        <v>0</v>
      </c>
      <c r="L58" s="109">
        <f t="shared" si="6"/>
        <v>0</v>
      </c>
      <c r="M58" s="49">
        <f t="shared" si="6"/>
        <v>5</v>
      </c>
      <c r="N58" s="109">
        <f t="shared" si="6"/>
        <v>0</v>
      </c>
      <c r="O58" s="8">
        <f t="shared" si="6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6"/>
        <v>0</v>
      </c>
      <c r="F59" s="8">
        <f t="shared" si="6"/>
        <v>0</v>
      </c>
      <c r="G59" s="7">
        <f t="shared" si="6"/>
        <v>0</v>
      </c>
      <c r="H59" s="109">
        <f t="shared" si="6"/>
        <v>0</v>
      </c>
      <c r="I59" s="109">
        <f t="shared" si="6"/>
        <v>0</v>
      </c>
      <c r="J59" s="109">
        <f t="shared" si="6"/>
        <v>0</v>
      </c>
      <c r="K59" s="109">
        <f t="shared" si="6"/>
        <v>0</v>
      </c>
      <c r="L59" s="109">
        <f t="shared" si="6"/>
        <v>0</v>
      </c>
      <c r="M59" s="49">
        <f t="shared" si="6"/>
        <v>0</v>
      </c>
      <c r="N59" s="109">
        <f t="shared" si="6"/>
        <v>0</v>
      </c>
      <c r="O59" s="8">
        <f t="shared" si="6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7"/>
        <v>15</v>
      </c>
      <c r="E60" s="109">
        <f t="shared" si="6"/>
        <v>15</v>
      </c>
      <c r="F60" s="8">
        <f t="shared" si="6"/>
        <v>15</v>
      </c>
      <c r="G60" s="7">
        <f t="shared" si="6"/>
        <v>15</v>
      </c>
      <c r="H60" s="109">
        <f t="shared" si="6"/>
        <v>15</v>
      </c>
      <c r="I60" s="109">
        <f t="shared" si="6"/>
        <v>15</v>
      </c>
      <c r="J60" s="109">
        <f t="shared" si="6"/>
        <v>15</v>
      </c>
      <c r="K60" s="109">
        <f t="shared" si="6"/>
        <v>15</v>
      </c>
      <c r="L60" s="109">
        <f t="shared" si="6"/>
        <v>15</v>
      </c>
      <c r="M60" s="49">
        <f t="shared" si="6"/>
        <v>0</v>
      </c>
      <c r="N60" s="109">
        <f t="shared" si="6"/>
        <v>0</v>
      </c>
      <c r="O60" s="8">
        <f t="shared" si="6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7"/>
        <v>0</v>
      </c>
      <c r="E61" s="109">
        <f t="shared" si="6"/>
        <v>0</v>
      </c>
      <c r="F61" s="8">
        <f t="shared" si="6"/>
        <v>0</v>
      </c>
      <c r="G61" s="7">
        <f t="shared" si="6"/>
        <v>0</v>
      </c>
      <c r="H61" s="109">
        <f t="shared" si="6"/>
        <v>0</v>
      </c>
      <c r="I61" s="109">
        <f t="shared" si="6"/>
        <v>0</v>
      </c>
      <c r="J61" s="109">
        <f t="shared" si="6"/>
        <v>0</v>
      </c>
      <c r="K61" s="109">
        <f t="shared" si="6"/>
        <v>0</v>
      </c>
      <c r="L61" s="109">
        <f t="shared" si="6"/>
        <v>0</v>
      </c>
      <c r="M61" s="49">
        <f t="shared" si="6"/>
        <v>0</v>
      </c>
      <c r="N61" s="109">
        <f t="shared" si="6"/>
        <v>0</v>
      </c>
      <c r="O61" s="8">
        <f t="shared" si="6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6"/>
        <v>0</v>
      </c>
      <c r="F62" s="58">
        <f t="shared" si="6"/>
        <v>0</v>
      </c>
      <c r="G62" s="50">
        <f t="shared" si="6"/>
        <v>0</v>
      </c>
      <c r="H62" s="51">
        <f t="shared" si="6"/>
        <v>0</v>
      </c>
      <c r="I62" s="51">
        <f t="shared" si="6"/>
        <v>0</v>
      </c>
      <c r="J62" s="51">
        <f t="shared" si="6"/>
        <v>0</v>
      </c>
      <c r="K62" s="51">
        <f t="shared" si="6"/>
        <v>0</v>
      </c>
      <c r="L62" s="51">
        <f t="shared" si="6"/>
        <v>0</v>
      </c>
      <c r="M62" s="52">
        <f t="shared" si="6"/>
        <v>0</v>
      </c>
      <c r="N62" s="40">
        <f t="shared" si="6"/>
        <v>0</v>
      </c>
      <c r="O62" s="41">
        <f t="shared" si="6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115</v>
      </c>
      <c r="E63" s="109">
        <f t="shared" ref="E63:O63" si="8">SUM(E51:E62)</f>
        <v>340</v>
      </c>
      <c r="F63" s="109">
        <f t="shared" si="8"/>
        <v>290</v>
      </c>
      <c r="G63" s="109">
        <f t="shared" si="8"/>
        <v>340</v>
      </c>
      <c r="H63" s="109">
        <f t="shared" si="8"/>
        <v>340</v>
      </c>
      <c r="I63" s="109">
        <f t="shared" si="8"/>
        <v>518</v>
      </c>
      <c r="J63" s="109">
        <f t="shared" si="8"/>
        <v>518</v>
      </c>
      <c r="K63" s="109">
        <f t="shared" si="8"/>
        <v>518</v>
      </c>
      <c r="L63" s="109">
        <f t="shared" si="8"/>
        <v>518</v>
      </c>
      <c r="M63" s="109">
        <f t="shared" si="8"/>
        <v>5</v>
      </c>
      <c r="N63" s="109">
        <f t="shared" si="8"/>
        <v>0</v>
      </c>
      <c r="O63" s="109">
        <f t="shared" si="8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88</v>
      </c>
      <c r="C66" s="3" t="s">
        <v>116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2400</v>
      </c>
      <c r="E67" s="110">
        <f t="shared" ref="E67:F78" si="9">SUMIF(BM$3:BM$38,$A67,BW$3:BW$38)</f>
        <v>1800</v>
      </c>
      <c r="F67" s="5">
        <f t="shared" si="9"/>
        <v>6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0">SUMIF(BL$3:BL$38,$A68,BV$3:BV$38)</f>
        <v>0</v>
      </c>
      <c r="E68" s="109">
        <f t="shared" si="9"/>
        <v>300</v>
      </c>
      <c r="F68" s="8">
        <f t="shared" si="9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0"/>
        <v>160</v>
      </c>
      <c r="E69" s="109">
        <f t="shared" si="9"/>
        <v>68</v>
      </c>
      <c r="F69" s="8">
        <f t="shared" si="9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0"/>
        <v>30</v>
      </c>
      <c r="E70" s="109">
        <f t="shared" si="9"/>
        <v>32</v>
      </c>
      <c r="F70" s="8">
        <f t="shared" si="9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0"/>
        <v>1</v>
      </c>
      <c r="E71" s="60">
        <f t="shared" si="9"/>
        <v>0</v>
      </c>
      <c r="F71" s="39">
        <f t="shared" si="9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0"/>
        <v>0</v>
      </c>
      <c r="E72" s="60">
        <f t="shared" si="9"/>
        <v>0</v>
      </c>
      <c r="F72" s="39">
        <f t="shared" si="9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0"/>
        <v>0</v>
      </c>
      <c r="E73" s="60">
        <f t="shared" si="9"/>
        <v>0</v>
      </c>
      <c r="F73" s="39">
        <f t="shared" si="9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0"/>
        <v>0</v>
      </c>
      <c r="E74" s="60">
        <f t="shared" si="9"/>
        <v>0</v>
      </c>
      <c r="F74" s="39">
        <f t="shared" si="9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0"/>
        <v>0</v>
      </c>
      <c r="E75" s="60">
        <f t="shared" si="9"/>
        <v>0</v>
      </c>
      <c r="F75" s="39">
        <f t="shared" si="9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0"/>
        <v>0</v>
      </c>
      <c r="E76" s="60">
        <f t="shared" si="9"/>
        <v>0</v>
      </c>
      <c r="F76" s="39">
        <f t="shared" si="9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0"/>
        <v>0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0"/>
        <v>0</v>
      </c>
      <c r="E78" s="40">
        <f t="shared" si="9"/>
        <v>0</v>
      </c>
      <c r="F78" s="41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/>
      <c r="AD111"/>
      <c r="AE111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BA2">
    <cfRule type="cellIs" dxfId="1450" priority="145" operator="equal">
      <formula>"E"</formula>
    </cfRule>
  </conditionalFormatting>
  <conditionalFormatting sqref="BD43:BD103">
    <cfRule type="cellIs" dxfId="1449" priority="140" operator="equal">
      <formula>"E"</formula>
    </cfRule>
  </conditionalFormatting>
  <conditionalFormatting sqref="BD2">
    <cfRule type="cellIs" dxfId="1448" priority="139" operator="equal">
      <formula>"E"</formula>
    </cfRule>
  </conditionalFormatting>
  <conditionalFormatting sqref="BE43:BE103">
    <cfRule type="cellIs" dxfId="1447" priority="138" operator="equal">
      <formula>"E"</formula>
    </cfRule>
  </conditionalFormatting>
  <conditionalFormatting sqref="BB33:BB42">
    <cfRule type="cellIs" dxfId="1446" priority="134" operator="equal">
      <formula>"E"</formula>
    </cfRule>
  </conditionalFormatting>
  <conditionalFormatting sqref="BF2">
    <cfRule type="cellIs" dxfId="1445" priority="135" operator="equal">
      <formula>"E"</formula>
    </cfRule>
  </conditionalFormatting>
  <conditionalFormatting sqref="BI33:BI42">
    <cfRule type="cellIs" dxfId="1444" priority="100" operator="equal">
      <formula>"E"</formula>
    </cfRule>
  </conditionalFormatting>
  <conditionalFormatting sqref="BC33:BC42">
    <cfRule type="cellIs" dxfId="1443" priority="133" operator="equal">
      <formula>"E"</formula>
    </cfRule>
  </conditionalFormatting>
  <conditionalFormatting sqref="BD33:BD42">
    <cfRule type="cellIs" dxfId="1442" priority="132" operator="equal">
      <formula>"E"</formula>
    </cfRule>
  </conditionalFormatting>
  <conditionalFormatting sqref="BE33:BE42">
    <cfRule type="cellIs" dxfId="1441" priority="131" operator="equal">
      <formula>"E"</formula>
    </cfRule>
  </conditionalFormatting>
  <conditionalFormatting sqref="BF33:BF42">
    <cfRule type="cellIs" dxfId="1440" priority="130" operator="equal">
      <formula>"E"</formula>
    </cfRule>
  </conditionalFormatting>
  <conditionalFormatting sqref="BG43:BG103">
    <cfRule type="cellIs" dxfId="1439" priority="129" operator="equal">
      <formula>"E"</formula>
    </cfRule>
  </conditionalFormatting>
  <conditionalFormatting sqref="BG2">
    <cfRule type="cellIs" dxfId="1438" priority="128" operator="equal">
      <formula>"E"</formula>
    </cfRule>
  </conditionalFormatting>
  <conditionalFormatting sqref="BG33:BG42">
    <cfRule type="cellIs" dxfId="1437" priority="126" operator="equal">
      <formula>"E"</formula>
    </cfRule>
  </conditionalFormatting>
  <conditionalFormatting sqref="BH43:BH103">
    <cfRule type="cellIs" dxfId="1436" priority="125" operator="equal">
      <formula>"E"</formula>
    </cfRule>
  </conditionalFormatting>
  <conditionalFormatting sqref="BH2">
    <cfRule type="cellIs" dxfId="1435" priority="124" operator="equal">
      <formula>"E"</formula>
    </cfRule>
  </conditionalFormatting>
  <conditionalFormatting sqref="BH33:BH42">
    <cfRule type="cellIs" dxfId="1434" priority="122" operator="equal">
      <formula>"E"</formula>
    </cfRule>
  </conditionalFormatting>
  <conditionalFormatting sqref="BI2">
    <cfRule type="cellIs" dxfId="1433" priority="99" operator="equal">
      <formula>"E"</formula>
    </cfRule>
  </conditionalFormatting>
  <conditionalFormatting sqref="AX2">
    <cfRule type="cellIs" dxfId="1432" priority="102" operator="equal">
      <formula>"E"</formula>
    </cfRule>
  </conditionalFormatting>
  <conditionalFormatting sqref="BI43:BI103">
    <cfRule type="cellIs" dxfId="1431" priority="101" operator="equal">
      <formula>"E"</formula>
    </cfRule>
  </conditionalFormatting>
  <conditionalFormatting sqref="AF113">
    <cfRule type="cellIs" dxfId="1430" priority="57" operator="equal">
      <formula>"E"</formula>
    </cfRule>
  </conditionalFormatting>
  <conditionalFormatting sqref="AH3:AH38">
    <cfRule type="cellIs" dxfId="1429" priority="46" operator="equal">
      <formula>"E"</formula>
    </cfRule>
  </conditionalFormatting>
  <conditionalFormatting sqref="AJ3:AJ38">
    <cfRule type="cellIs" dxfId="1428" priority="45" operator="equal">
      <formula>"E"</formula>
    </cfRule>
  </conditionalFormatting>
  <conditionalFormatting sqref="AM3:AN38">
    <cfRule type="cellIs" dxfId="1427" priority="44" operator="equal">
      <formula>"E"</formula>
    </cfRule>
  </conditionalFormatting>
  <conditionalFormatting sqref="R1:R70">
    <cfRule type="cellIs" dxfId="1426" priority="192" stopIfTrue="1" operator="equal">
      <formula>"WW"</formula>
    </cfRule>
    <cfRule type="cellIs" dxfId="1425" priority="193" stopIfTrue="1" operator="equal">
      <formula>"C2"</formula>
    </cfRule>
  </conditionalFormatting>
  <conditionalFormatting sqref="S39:U103 Y3:Z52 AU3:AU42 S3:S38">
    <cfRule type="cellIs" dxfId="1424" priority="188" operator="equal">
      <formula>"M4"</formula>
    </cfRule>
    <cfRule type="cellIs" dxfId="1423" priority="189" operator="equal">
      <formula>"M3"</formula>
    </cfRule>
    <cfRule type="cellIs" dxfId="1422" priority="190" operator="equal">
      <formula>"M2"</formula>
    </cfRule>
    <cfRule type="cellIs" dxfId="1421" priority="191" operator="equal">
      <formula>"M1"</formula>
    </cfRule>
  </conditionalFormatting>
  <conditionalFormatting sqref="AD1:AE1 AB1 AS39:AS103 S1:U2 X2:Z103 AU2:AU42 S114:U1048576 S111:T113 AR1:AR1048576 S39:U110 S3:S38">
    <cfRule type="cellIs" dxfId="1420" priority="186" operator="equal">
      <formula>"E"</formula>
    </cfRule>
  </conditionalFormatting>
  <conditionalFormatting sqref="AS39:AS103 AU3:AU42 AR3:AR103">
    <cfRule type="cellIs" dxfId="1419" priority="175" operator="equal">
      <formula>"RE"</formula>
    </cfRule>
    <cfRule type="cellIs" dxfId="1418" priority="176" operator="equal">
      <formula>"3000"</formula>
    </cfRule>
    <cfRule type="cellIs" dxfId="1417" priority="177" operator="equal">
      <formula>"300"</formula>
    </cfRule>
    <cfRule type="cellIs" dxfId="1416" priority="178" operator="equal">
      <formula>"100"</formula>
    </cfRule>
    <cfRule type="cellIs" dxfId="1415" priority="179" operator="equal">
      <formula>"50"</formula>
    </cfRule>
    <cfRule type="cellIs" dxfId="1414" priority="180" operator="equal">
      <formula>"40"</formula>
    </cfRule>
    <cfRule type="cellIs" dxfId="1413" priority="181" operator="equal">
      <formula>"20"</formula>
    </cfRule>
  </conditionalFormatting>
  <conditionalFormatting sqref="AR1 AR104:AR1048576">
    <cfRule type="cellIs" dxfId="1412" priority="182" operator="equal">
      <formula>"M4"</formula>
    </cfRule>
    <cfRule type="cellIs" dxfId="1411" priority="183" operator="equal">
      <formula>"M3"</formula>
    </cfRule>
    <cfRule type="cellIs" dxfId="1410" priority="184" operator="equal">
      <formula>"M1"</formula>
    </cfRule>
    <cfRule type="cellIs" dxfId="1409" priority="185" operator="equal">
      <formula>"M2"</formula>
    </cfRule>
    <cfRule type="cellIs" dxfId="1408" priority="187" stopIfTrue="1" operator="between">
      <formula>"C1"</formula>
      <formula>"C2"</formula>
    </cfRule>
  </conditionalFormatting>
  <conditionalFormatting sqref="AC39:AE110 AC114:AE1048576 AC3:AD38">
    <cfRule type="cellIs" dxfId="1407" priority="174" operator="equal">
      <formula>"E"</formula>
    </cfRule>
  </conditionalFormatting>
  <conditionalFormatting sqref="AC2:AE2">
    <cfRule type="cellIs" dxfId="1406" priority="173" operator="equal">
      <formula>"E"</formula>
    </cfRule>
  </conditionalFormatting>
  <conditionalFormatting sqref="AB2:AB70">
    <cfRule type="cellIs" dxfId="1405" priority="171" stopIfTrue="1" operator="equal">
      <formula>"WW"</formula>
    </cfRule>
    <cfRule type="cellIs" dxfId="1404" priority="172" stopIfTrue="1" operator="equal">
      <formula>"C2"</formula>
    </cfRule>
  </conditionalFormatting>
  <conditionalFormatting sqref="W2:W70">
    <cfRule type="cellIs" dxfId="1403" priority="169" stopIfTrue="1" operator="equal">
      <formula>"WW"</formula>
    </cfRule>
    <cfRule type="cellIs" dxfId="1402" priority="170" stopIfTrue="1" operator="equal">
      <formula>"C2"</formula>
    </cfRule>
  </conditionalFormatting>
  <conditionalFormatting sqref="X3:Z103">
    <cfRule type="cellIs" dxfId="1401" priority="165" operator="equal">
      <formula>"M4"</formula>
    </cfRule>
    <cfRule type="cellIs" dxfId="1400" priority="166" operator="equal">
      <formula>"M3"</formula>
    </cfRule>
    <cfRule type="cellIs" dxfId="1399" priority="167" operator="equal">
      <formula>"M2"</formula>
    </cfRule>
    <cfRule type="cellIs" dxfId="1398" priority="168" operator="equal">
      <formula>"M1"</formula>
    </cfRule>
  </conditionalFormatting>
  <conditionalFormatting sqref="AQ2:AQ70">
    <cfRule type="cellIs" dxfId="1397" priority="163" stopIfTrue="1" operator="equal">
      <formula>"WW"</formula>
    </cfRule>
    <cfRule type="cellIs" dxfId="1396" priority="164" stopIfTrue="1" operator="equal">
      <formula>"C2"</formula>
    </cfRule>
  </conditionalFormatting>
  <conditionalFormatting sqref="AT2:AT70">
    <cfRule type="cellIs" dxfId="1395" priority="161" stopIfTrue="1" operator="equal">
      <formula>"WW"</formula>
    </cfRule>
    <cfRule type="cellIs" dxfId="1394" priority="162" stopIfTrue="1" operator="equal">
      <formula>"C2"</formula>
    </cfRule>
  </conditionalFormatting>
  <conditionalFormatting sqref="AU43:AU103">
    <cfRule type="cellIs" dxfId="1393" priority="160" operator="equal">
      <formula>"E"</formula>
    </cfRule>
  </conditionalFormatting>
  <conditionalFormatting sqref="AU43:AU103">
    <cfRule type="cellIs" dxfId="1392" priority="156" operator="equal">
      <formula>"M4"</formula>
    </cfRule>
    <cfRule type="cellIs" dxfId="1391" priority="157" operator="equal">
      <formula>"M3"</formula>
    </cfRule>
    <cfRule type="cellIs" dxfId="1390" priority="158" operator="equal">
      <formula>"M2"</formula>
    </cfRule>
    <cfRule type="cellIs" dxfId="1389" priority="159" operator="equal">
      <formula>"M1"</formula>
    </cfRule>
  </conditionalFormatting>
  <conditionalFormatting sqref="AW1">
    <cfRule type="cellIs" dxfId="1388" priority="155" operator="equal">
      <formula>"E"</formula>
    </cfRule>
  </conditionalFormatting>
  <conditionalFormatting sqref="AY33:AY103">
    <cfRule type="cellIs" dxfId="1387" priority="154" operator="equal">
      <formula>"E"</formula>
    </cfRule>
  </conditionalFormatting>
  <conditionalFormatting sqref="AY2">
    <cfRule type="cellIs" dxfId="1386" priority="153" operator="equal">
      <formula>"E"</formula>
    </cfRule>
  </conditionalFormatting>
  <conditionalFormatting sqref="AW2:AW70">
    <cfRule type="cellIs" dxfId="1385" priority="151" stopIfTrue="1" operator="equal">
      <formula>"WW"</formula>
    </cfRule>
    <cfRule type="cellIs" dxfId="1384" priority="152" stopIfTrue="1" operator="equal">
      <formula>"C2"</formula>
    </cfRule>
  </conditionalFormatting>
  <conditionalFormatting sqref="AT1">
    <cfRule type="cellIs" dxfId="1383" priority="149" operator="equal">
      <formula>"E"</formula>
    </cfRule>
  </conditionalFormatting>
  <conditionalFormatting sqref="AQ1">
    <cfRule type="cellIs" dxfId="1382" priority="150" operator="equal">
      <formula>"E"</formula>
    </cfRule>
  </conditionalFormatting>
  <conditionalFormatting sqref="AZ33:AZ103">
    <cfRule type="cellIs" dxfId="1381" priority="148" operator="equal">
      <formula>"E"</formula>
    </cfRule>
  </conditionalFormatting>
  <conditionalFormatting sqref="AZ2">
    <cfRule type="cellIs" dxfId="1380" priority="147" operator="equal">
      <formula>"E"</formula>
    </cfRule>
  </conditionalFormatting>
  <conditionalFormatting sqref="BA33:BA103">
    <cfRule type="cellIs" dxfId="1379" priority="146" operator="equal">
      <formula>"E"</formula>
    </cfRule>
  </conditionalFormatting>
  <conditionalFormatting sqref="BB43:BB103">
    <cfRule type="cellIs" dxfId="1378" priority="144" operator="equal">
      <formula>"E"</formula>
    </cfRule>
  </conditionalFormatting>
  <conditionalFormatting sqref="BB2">
    <cfRule type="cellIs" dxfId="1377" priority="143" operator="equal">
      <formula>"E"</formula>
    </cfRule>
  </conditionalFormatting>
  <conditionalFormatting sqref="BC43:BC103">
    <cfRule type="cellIs" dxfId="1376" priority="142" operator="equal">
      <formula>"E"</formula>
    </cfRule>
  </conditionalFormatting>
  <conditionalFormatting sqref="BC2">
    <cfRule type="cellIs" dxfId="1375" priority="141" operator="equal">
      <formula>"E"</formula>
    </cfRule>
  </conditionalFormatting>
  <conditionalFormatting sqref="BE2">
    <cfRule type="cellIs" dxfId="1374" priority="137" operator="equal">
      <formula>"E"</formula>
    </cfRule>
  </conditionalFormatting>
  <conditionalFormatting sqref="BF43:BF103">
    <cfRule type="cellIs" dxfId="1373" priority="136" operator="equal">
      <formula>"E"</formula>
    </cfRule>
  </conditionalFormatting>
  <conditionalFormatting sqref="BP2:BP70">
    <cfRule type="cellIs" dxfId="1372" priority="109" stopIfTrue="1" operator="equal">
      <formula>"WW"</formula>
    </cfRule>
    <cfRule type="cellIs" dxfId="1371" priority="110" stopIfTrue="1" operator="equal">
      <formula>"C2"</formula>
    </cfRule>
  </conditionalFormatting>
  <conditionalFormatting sqref="AI1:AJ1 AG1">
    <cfRule type="cellIs" dxfId="1370" priority="56" operator="equal">
      <formula>"E"</formula>
    </cfRule>
  </conditionalFormatting>
  <conditionalFormatting sqref="AH39:AJ103">
    <cfRule type="cellIs" dxfId="1369" priority="55" operator="equal">
      <formula>"E"</formula>
    </cfRule>
  </conditionalFormatting>
  <conditionalFormatting sqref="AH2:AJ2">
    <cfRule type="cellIs" dxfId="1368" priority="54" operator="equal">
      <formula>"E"</formula>
    </cfRule>
  </conditionalFormatting>
  <conditionalFormatting sqref="AN1:AO1 AL1">
    <cfRule type="cellIs" dxfId="1367" priority="51" operator="equal">
      <formula>"E"</formula>
    </cfRule>
  </conditionalFormatting>
  <conditionalFormatting sqref="AM39:AO39 AM41:AO103 AN40:AO40">
    <cfRule type="cellIs" dxfId="1366" priority="50" operator="equal">
      <formula>"E"</formula>
    </cfRule>
  </conditionalFormatting>
  <conditionalFormatting sqref="AM2:AO2">
    <cfRule type="cellIs" dxfId="1365" priority="49" operator="equal">
      <formula>"E"</formula>
    </cfRule>
  </conditionalFormatting>
  <conditionalFormatting sqref="AO3:AO38">
    <cfRule type="cellIs" dxfId="1364" priority="43" operator="equal">
      <formula>"E"</formula>
    </cfRule>
  </conditionalFormatting>
  <conditionalFormatting sqref="BK1:BK70">
    <cfRule type="cellIs" dxfId="1363" priority="120" stopIfTrue="1" operator="equal">
      <formula>"WW"</formula>
    </cfRule>
    <cfRule type="cellIs" dxfId="1362" priority="121" stopIfTrue="1" operator="equal">
      <formula>"C2"</formula>
    </cfRule>
  </conditionalFormatting>
  <conditionalFormatting sqref="BL39:BN103 BR3:BS52 BL3:BL38">
    <cfRule type="cellIs" dxfId="1361" priority="116" operator="equal">
      <formula>"M4"</formula>
    </cfRule>
    <cfRule type="cellIs" dxfId="1360" priority="117" operator="equal">
      <formula>"M3"</formula>
    </cfRule>
    <cfRule type="cellIs" dxfId="1359" priority="118" operator="equal">
      <formula>"M2"</formula>
    </cfRule>
    <cfRule type="cellIs" dxfId="1358" priority="119" operator="equal">
      <formula>"M1"</formula>
    </cfRule>
  </conditionalFormatting>
  <conditionalFormatting sqref="BL1:BN2 BQ2:BS103 BL39:BN1048576 BL3:BL38">
    <cfRule type="cellIs" dxfId="1357" priority="115" operator="equal">
      <formula>"E"</formula>
    </cfRule>
  </conditionalFormatting>
  <conditionalFormatting sqref="BQ3:BS103">
    <cfRule type="cellIs" dxfId="1356" priority="105" operator="equal">
      <formula>"M4"</formula>
    </cfRule>
    <cfRule type="cellIs" dxfId="1355" priority="106" operator="equal">
      <formula>"M3"</formula>
    </cfRule>
    <cfRule type="cellIs" dxfId="1354" priority="107" operator="equal">
      <formula>"M2"</formula>
    </cfRule>
    <cfRule type="cellIs" dxfId="1353" priority="108" operator="equal">
      <formula>"M1"</formula>
    </cfRule>
  </conditionalFormatting>
  <conditionalFormatting sqref="U113:AE113 AP113">
    <cfRule type="cellIs" dxfId="1352" priority="104" operator="equal">
      <formula>"E"</formula>
    </cfRule>
  </conditionalFormatting>
  <conditionalFormatting sqref="AX3:AX103 AY3:BI32">
    <cfRule type="cellIs" dxfId="1351" priority="103" operator="equal">
      <formula>"E"</formula>
    </cfRule>
  </conditionalFormatting>
  <conditionalFormatting sqref="T3:T38">
    <cfRule type="cellIs" dxfId="1350" priority="95" operator="equal">
      <formula>"M4"</formula>
    </cfRule>
    <cfRule type="cellIs" dxfId="1349" priority="96" operator="equal">
      <formula>"M3"</formula>
    </cfRule>
    <cfRule type="cellIs" dxfId="1348" priority="97" operator="equal">
      <formula>"M2"</formula>
    </cfRule>
    <cfRule type="cellIs" dxfId="1347" priority="98" operator="equal">
      <formula>"M1"</formula>
    </cfRule>
  </conditionalFormatting>
  <conditionalFormatting sqref="T3:T38">
    <cfRule type="cellIs" dxfId="1346" priority="94" operator="equal">
      <formula>"E"</formula>
    </cfRule>
  </conditionalFormatting>
  <conditionalFormatting sqref="BM3:BM38">
    <cfRule type="cellIs" dxfId="1345" priority="90" operator="equal">
      <formula>"M4"</formula>
    </cfRule>
    <cfRule type="cellIs" dxfId="1344" priority="91" operator="equal">
      <formula>"M3"</formula>
    </cfRule>
    <cfRule type="cellIs" dxfId="1343" priority="92" operator="equal">
      <formula>"M2"</formula>
    </cfRule>
    <cfRule type="cellIs" dxfId="1342" priority="93" operator="equal">
      <formula>"M1"</formula>
    </cfRule>
  </conditionalFormatting>
  <conditionalFormatting sqref="BM3:BM38">
    <cfRule type="cellIs" dxfId="1341" priority="89" operator="equal">
      <formula>"E"</formula>
    </cfRule>
  </conditionalFormatting>
  <conditionalFormatting sqref="U3:U38">
    <cfRule type="cellIs" dxfId="1340" priority="85" operator="equal">
      <formula>"M4"</formula>
    </cfRule>
    <cfRule type="cellIs" dxfId="1339" priority="86" operator="equal">
      <formula>"M3"</formula>
    </cfRule>
    <cfRule type="cellIs" dxfId="1338" priority="87" operator="equal">
      <formula>"M2"</formula>
    </cfRule>
    <cfRule type="cellIs" dxfId="1337" priority="88" operator="equal">
      <formula>"M1"</formula>
    </cfRule>
  </conditionalFormatting>
  <conditionalFormatting sqref="U3:U38">
    <cfRule type="cellIs" dxfId="1336" priority="84" operator="equal">
      <formula>"E"</formula>
    </cfRule>
  </conditionalFormatting>
  <conditionalFormatting sqref="BN3:BN38">
    <cfRule type="cellIs" dxfId="1335" priority="80" operator="equal">
      <formula>"M4"</formula>
    </cfRule>
    <cfRule type="cellIs" dxfId="1334" priority="81" operator="equal">
      <formula>"M3"</formula>
    </cfRule>
    <cfRule type="cellIs" dxfId="1333" priority="82" operator="equal">
      <formula>"M2"</formula>
    </cfRule>
    <cfRule type="cellIs" dxfId="1332" priority="83" operator="equal">
      <formula>"M1"</formula>
    </cfRule>
  </conditionalFormatting>
  <conditionalFormatting sqref="BN3:BN38">
    <cfRule type="cellIs" dxfId="1331" priority="79" operator="equal">
      <formula>"E"</formula>
    </cfRule>
  </conditionalFormatting>
  <conditionalFormatting sqref="AE3:AE38">
    <cfRule type="cellIs" dxfId="1330" priority="78" operator="equal">
      <formula>"E"</formula>
    </cfRule>
  </conditionalFormatting>
  <conditionalFormatting sqref="AG2:AG70">
    <cfRule type="cellIs" dxfId="1329" priority="52" stopIfTrue="1" operator="equal">
      <formula>"WW"</formula>
    </cfRule>
    <cfRule type="cellIs" dxfId="1328" priority="53" stopIfTrue="1" operator="equal">
      <formula>"C2"</formula>
    </cfRule>
  </conditionalFormatting>
  <conditionalFormatting sqref="AL2:AL70">
    <cfRule type="cellIs" dxfId="1327" priority="47" stopIfTrue="1" operator="equal">
      <formula>"WW"</formula>
    </cfRule>
    <cfRule type="cellIs" dxfId="1326" priority="48" stopIfTrue="1" operator="equal">
      <formula>"C2"</formula>
    </cfRule>
  </conditionalFormatting>
  <conditionalFormatting sqref="J1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{C10BAE33-032D-4D0F-8F63-9187F26B3C5E}</x14:id>
        </ext>
      </extLst>
    </cfRule>
  </conditionalFormatting>
  <conditionalFormatting sqref="BW1:BX1 BU1">
    <cfRule type="cellIs" dxfId="1325" priority="9" operator="equal">
      <formula>"E"</formula>
    </cfRule>
  </conditionalFormatting>
  <conditionalFormatting sqref="BV39:BX110 BV114:BX1048576 BV3:BW38">
    <cfRule type="cellIs" dxfId="1324" priority="8" operator="equal">
      <formula>"E"</formula>
    </cfRule>
  </conditionalFormatting>
  <conditionalFormatting sqref="BV2:BX2">
    <cfRule type="cellIs" dxfId="1323" priority="7" operator="equal">
      <formula>"E"</formula>
    </cfRule>
  </conditionalFormatting>
  <conditionalFormatting sqref="BU2:BU70">
    <cfRule type="cellIs" dxfId="1322" priority="5" stopIfTrue="1" operator="equal">
      <formula>"WW"</formula>
    </cfRule>
    <cfRule type="cellIs" dxfId="1321" priority="6" stopIfTrue="1" operator="equal">
      <formula>"C2"</formula>
    </cfRule>
  </conditionalFormatting>
  <conditionalFormatting sqref="BU113:BX113">
    <cfRule type="cellIs" dxfId="1320" priority="4" operator="equal">
      <formula>"E"</formula>
    </cfRule>
  </conditionalFormatting>
  <conditionalFormatting sqref="BX3:BX38">
    <cfRule type="cellIs" dxfId="1319" priority="3" operator="equal">
      <formula>"E"</formula>
    </cfRule>
  </conditionalFormatting>
  <conditionalFormatting sqref="AI3:AI38">
    <cfRule type="cellIs" dxfId="1318" priority="2" operator="equal">
      <formula>"E"</formula>
    </cfRule>
  </conditionalFormatting>
  <conditionalFormatting sqref="AM40">
    <cfRule type="cellIs" dxfId="1317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BAE33-032D-4D0F-8F63-9187F26B3C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33203125" style="140" customWidth="1"/>
    <col min="37" max="37" width="3.44140625" customWidth="1"/>
    <col min="39" max="41" width="5.33203125" style="140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117</v>
      </c>
      <c r="D1" s="111">
        <v>1</v>
      </c>
      <c r="E1" s="111">
        <v>0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34"/>
      <c r="AE1" s="134"/>
      <c r="AG1" s="11" t="s">
        <v>96</v>
      </c>
      <c r="AH1" s="135"/>
      <c r="AI1" s="134"/>
      <c r="AJ1" s="134"/>
      <c r="AL1" s="11" t="s">
        <v>97</v>
      </c>
      <c r="AM1" s="135"/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140</v>
      </c>
      <c r="BU1" s="11" t="s">
        <v>95</v>
      </c>
      <c r="BW1" s="11"/>
      <c r="BX1" s="11"/>
    </row>
    <row r="2" spans="1:76" ht="18" customHeight="1">
      <c r="A2" s="31" t="s">
        <v>46</v>
      </c>
      <c r="B2" s="2" t="s">
        <v>88</v>
      </c>
      <c r="C2" s="3" t="s">
        <v>116</v>
      </c>
      <c r="D2" s="4" t="s">
        <v>82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10">
        <f>SUMIF(T$3:T$38,$A3,AD$3:AD$38)</f>
        <v>18</v>
      </c>
      <c r="F3" s="5">
        <f t="shared" ref="F3:F14" si="0">SUMIF(U$3:U$38,$A3,_xlfn.ANCHORARRAY(AE$3))</f>
        <v>18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 cm="1">
        <f t="array" ref="AE3:AE38">IF(U3:U38=$F$1,1,0)</f>
        <v>1</v>
      </c>
      <c r="AG3" s="12">
        <v>0</v>
      </c>
      <c r="AH3" s="139">
        <v>1</v>
      </c>
      <c r="AI3" s="137">
        <v>1</v>
      </c>
      <c r="AJ3" s="139">
        <v>1</v>
      </c>
      <c r="AL3" s="12">
        <v>0</v>
      </c>
      <c r="AM3" s="139">
        <v>1</v>
      </c>
      <c r="AN3" s="137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9">
        <v>1</v>
      </c>
      <c r="BW3" s="137">
        <v>1</v>
      </c>
      <c r="BX3" s="139">
        <v>1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ref="E4:E14" si="2">SUMIF(T$3:T$38,$A4,AD$3:AD$38)</f>
        <v>6</v>
      </c>
      <c r="F4" s="8">
        <f t="shared" si="0"/>
        <v>0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0</v>
      </c>
      <c r="AG4" s="12">
        <v>1</v>
      </c>
      <c r="AH4" s="139">
        <v>1</v>
      </c>
      <c r="AI4" s="137">
        <v>1</v>
      </c>
      <c r="AJ4" s="139">
        <v>0</v>
      </c>
      <c r="AL4" s="12">
        <v>1</v>
      </c>
      <c r="AM4" s="139">
        <v>1</v>
      </c>
      <c r="AN4" s="137">
        <v>1</v>
      </c>
      <c r="AO4" s="139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9">
        <v>1</v>
      </c>
      <c r="BW4" s="137">
        <v>1</v>
      </c>
      <c r="BX4" s="139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6</v>
      </c>
      <c r="E5" s="109">
        <f t="shared" si="2"/>
        <v>6</v>
      </c>
      <c r="F5" s="8">
        <f t="shared" si="0"/>
        <v>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9">
        <v>1</v>
      </c>
      <c r="AI5" s="137">
        <v>1</v>
      </c>
      <c r="AJ5" s="139">
        <v>1</v>
      </c>
      <c r="AL5" s="12">
        <v>2</v>
      </c>
      <c r="AM5" s="139">
        <v>1</v>
      </c>
      <c r="AN5" s="137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9">
        <v>1</v>
      </c>
      <c r="BW5" s="137">
        <v>1</v>
      </c>
      <c r="BX5" s="139">
        <v>1</v>
      </c>
    </row>
    <row r="6" spans="1:76">
      <c r="A6" s="22">
        <v>5</v>
      </c>
      <c r="B6" s="22">
        <v>3</v>
      </c>
      <c r="C6" s="24">
        <v>5</v>
      </c>
      <c r="D6" s="7">
        <f t="shared" si="1"/>
        <v>6</v>
      </c>
      <c r="E6" s="109">
        <f t="shared" si="2"/>
        <v>6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0</v>
      </c>
      <c r="AG6" s="12">
        <v>3</v>
      </c>
      <c r="AH6" s="139">
        <v>1</v>
      </c>
      <c r="AI6" s="137">
        <v>1</v>
      </c>
      <c r="AJ6" s="139">
        <v>0</v>
      </c>
      <c r="AL6" s="12">
        <v>3</v>
      </c>
      <c r="AM6" s="139">
        <v>1</v>
      </c>
      <c r="AN6" s="137">
        <v>1</v>
      </c>
      <c r="AO6" s="139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9">
        <v>1</v>
      </c>
      <c r="BW6" s="137">
        <v>1</v>
      </c>
      <c r="BX6" s="139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2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9">
        <v>1</v>
      </c>
      <c r="AI7" s="137">
        <v>1</v>
      </c>
      <c r="AJ7" s="139">
        <v>1</v>
      </c>
      <c r="AL7" s="12">
        <v>4</v>
      </c>
      <c r="AM7" s="139">
        <v>1</v>
      </c>
      <c r="AN7" s="137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9">
        <v>1</v>
      </c>
      <c r="BW7" s="137">
        <v>1</v>
      </c>
      <c r="BX7" s="139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2"/>
        <v>0</v>
      </c>
      <c r="F8" s="39">
        <f t="shared" si="0"/>
        <v>0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0</v>
      </c>
      <c r="AG8" s="12">
        <v>5</v>
      </c>
      <c r="AH8" s="139">
        <v>1</v>
      </c>
      <c r="AI8" s="137">
        <v>1</v>
      </c>
      <c r="AJ8" s="139">
        <v>0</v>
      </c>
      <c r="AL8" s="12">
        <v>5</v>
      </c>
      <c r="AM8" s="139">
        <v>1</v>
      </c>
      <c r="AN8" s="137">
        <v>1</v>
      </c>
      <c r="AO8" s="139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9">
        <v>1</v>
      </c>
      <c r="BW8" s="137">
        <v>1</v>
      </c>
      <c r="BX8" s="139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2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9">
        <v>1</v>
      </c>
      <c r="AI9" s="137">
        <v>1</v>
      </c>
      <c r="AJ9" s="139">
        <v>1</v>
      </c>
      <c r="AL9" s="12">
        <v>6</v>
      </c>
      <c r="AM9" s="139">
        <v>1</v>
      </c>
      <c r="AN9" s="137">
        <v>1</v>
      </c>
      <c r="AO9" s="139">
        <v>1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9">
        <v>1</v>
      </c>
      <c r="BW9" s="137">
        <v>1</v>
      </c>
      <c r="BX9" s="139">
        <v>1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2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0</v>
      </c>
      <c r="AG10" s="12">
        <v>7</v>
      </c>
      <c r="AH10" s="139">
        <v>1</v>
      </c>
      <c r="AI10" s="137">
        <v>1</v>
      </c>
      <c r="AJ10" s="139">
        <v>0</v>
      </c>
      <c r="AL10" s="12">
        <v>7</v>
      </c>
      <c r="AM10" s="139">
        <v>1</v>
      </c>
      <c r="AN10" s="137">
        <v>1</v>
      </c>
      <c r="AO10" s="139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9">
        <v>1</v>
      </c>
      <c r="BW10" s="137">
        <v>1</v>
      </c>
      <c r="BX10" s="139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9">
        <v>1</v>
      </c>
      <c r="AI11" s="137">
        <v>1</v>
      </c>
      <c r="AJ11" s="139">
        <v>1</v>
      </c>
      <c r="AL11" s="12">
        <v>8</v>
      </c>
      <c r="AM11" s="139">
        <v>1</v>
      </c>
      <c r="AN11" s="137">
        <v>1</v>
      </c>
      <c r="AO11" s="139">
        <v>1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9">
        <v>1</v>
      </c>
      <c r="BW11" s="137">
        <v>1</v>
      </c>
      <c r="BX11" s="139">
        <v>1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0</v>
      </c>
      <c r="AG12" s="12">
        <v>9</v>
      </c>
      <c r="AH12" s="139">
        <v>1</v>
      </c>
      <c r="AI12" s="137">
        <v>1</v>
      </c>
      <c r="AJ12" s="139">
        <v>0</v>
      </c>
      <c r="AL12" s="12">
        <v>9</v>
      </c>
      <c r="AM12" s="139">
        <v>1</v>
      </c>
      <c r="AN12" s="137">
        <v>1</v>
      </c>
      <c r="AO12" s="139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9">
        <v>1</v>
      </c>
      <c r="BW12" s="137">
        <v>1</v>
      </c>
      <c r="BX12" s="139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9">
        <v>1</v>
      </c>
      <c r="AI13" s="137">
        <v>1</v>
      </c>
      <c r="AJ13" s="139">
        <v>1</v>
      </c>
      <c r="AL13" s="12">
        <v>10</v>
      </c>
      <c r="AM13" s="139">
        <v>1</v>
      </c>
      <c r="AN13" s="137">
        <v>1</v>
      </c>
      <c r="AO13" s="139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9">
        <v>1</v>
      </c>
      <c r="BW13" s="137">
        <v>1</v>
      </c>
      <c r="BX13" s="139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2"/>
        <v>0</v>
      </c>
      <c r="F14" s="41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0</v>
      </c>
      <c r="AG14" s="12">
        <v>11</v>
      </c>
      <c r="AH14" s="139">
        <v>1</v>
      </c>
      <c r="AI14" s="137">
        <v>1</v>
      </c>
      <c r="AJ14" s="139">
        <v>0</v>
      </c>
      <c r="AL14" s="12">
        <v>11</v>
      </c>
      <c r="AM14" s="139">
        <v>1</v>
      </c>
      <c r="AN14" s="137">
        <v>1</v>
      </c>
      <c r="AO14" s="139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9">
        <v>1</v>
      </c>
      <c r="BW14" s="137">
        <v>1</v>
      </c>
      <c r="BX14" s="139">
        <v>0</v>
      </c>
    </row>
    <row r="15" spans="1:76">
      <c r="D15" s="109">
        <f>SUM(D3:D14)</f>
        <v>36</v>
      </c>
      <c r="E15" s="109">
        <f>SUM(E3:E14)</f>
        <v>36</v>
      </c>
      <c r="F15" s="109">
        <f>SUM(F3:F14)</f>
        <v>18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9">
        <v>1</v>
      </c>
      <c r="AI15" s="137">
        <v>1</v>
      </c>
      <c r="AJ15" s="139">
        <v>1</v>
      </c>
      <c r="AL15" s="12">
        <v>12</v>
      </c>
      <c r="AM15" s="139">
        <v>1</v>
      </c>
      <c r="AN15" s="137">
        <v>1</v>
      </c>
      <c r="AO15" s="139">
        <v>1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9">
        <v>1</v>
      </c>
      <c r="BW15" s="137">
        <v>1</v>
      </c>
      <c r="BX15" s="139">
        <v>1</v>
      </c>
    </row>
    <row r="16" spans="1:76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0</v>
      </c>
      <c r="AG16" s="12">
        <v>13</v>
      </c>
      <c r="AH16" s="139">
        <v>1</v>
      </c>
      <c r="AI16" s="137">
        <v>1</v>
      </c>
      <c r="AJ16" s="139">
        <v>0</v>
      </c>
      <c r="AL16" s="12">
        <v>13</v>
      </c>
      <c r="AM16" s="139">
        <v>1</v>
      </c>
      <c r="AN16" s="137">
        <v>1</v>
      </c>
      <c r="AO16" s="139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9">
        <v>1</v>
      </c>
      <c r="BW16" s="137">
        <v>1</v>
      </c>
      <c r="BX16" s="139">
        <v>0</v>
      </c>
    </row>
    <row r="17" spans="1:76" ht="16.8">
      <c r="A17" s="31" t="s">
        <v>118</v>
      </c>
      <c r="D17" s="111" t="s">
        <v>8</v>
      </c>
      <c r="E17" s="111">
        <v>1</v>
      </c>
      <c r="F17" s="111">
        <v>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9">
        <v>1</v>
      </c>
      <c r="AI17" s="137">
        <v>1</v>
      </c>
      <c r="AJ17" s="139">
        <v>1</v>
      </c>
      <c r="AL17" s="12">
        <v>14</v>
      </c>
      <c r="AM17" s="139">
        <v>1</v>
      </c>
      <c r="AN17" s="137">
        <v>1</v>
      </c>
      <c r="AO17" s="139">
        <v>1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9">
        <v>1</v>
      </c>
      <c r="BW17" s="137">
        <v>1</v>
      </c>
      <c r="BX17" s="139">
        <v>1</v>
      </c>
    </row>
    <row r="18" spans="1:76">
      <c r="A18" s="31" t="s">
        <v>46</v>
      </c>
      <c r="B18" s="2" t="s">
        <v>10</v>
      </c>
      <c r="C18" s="3" t="s">
        <v>11</v>
      </c>
      <c r="D18" s="4" t="s">
        <v>82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0</v>
      </c>
      <c r="AG18" s="12">
        <v>15</v>
      </c>
      <c r="AH18" s="139">
        <v>1</v>
      </c>
      <c r="AI18" s="137">
        <v>1</v>
      </c>
      <c r="AJ18" s="139">
        <v>0</v>
      </c>
      <c r="AL18" s="12">
        <v>15</v>
      </c>
      <c r="AM18" s="139">
        <v>1</v>
      </c>
      <c r="AN18" s="137">
        <v>1</v>
      </c>
      <c r="AO18" s="139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9">
        <v>1</v>
      </c>
      <c r="BW18" s="137">
        <v>1</v>
      </c>
      <c r="BX18" s="139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10">
        <f t="shared" ref="E19:F30" si="3">SUMIF(T$3:T$38,$A19,AI$3:AI$38)</f>
        <v>18</v>
      </c>
      <c r="F19" s="5">
        <f t="shared" si="3"/>
        <v>18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9">
        <v>1</v>
      </c>
      <c r="AI19" s="137">
        <v>1</v>
      </c>
      <c r="AJ19" s="139">
        <v>1</v>
      </c>
      <c r="AL19" s="12">
        <v>16</v>
      </c>
      <c r="AM19" s="139">
        <v>1</v>
      </c>
      <c r="AN19" s="137">
        <v>1</v>
      </c>
      <c r="AO19" s="139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9">
        <v>1</v>
      </c>
      <c r="BW19" s="137">
        <v>1</v>
      </c>
      <c r="BX19" s="139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4">SUMIF(S$3:S$38,$A20,AH$3:AH$38)</f>
        <v>0</v>
      </c>
      <c r="E20" s="109">
        <f t="shared" si="3"/>
        <v>6</v>
      </c>
      <c r="F20" s="8">
        <f t="shared" si="3"/>
        <v>0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0</v>
      </c>
      <c r="AG20" s="12">
        <v>17</v>
      </c>
      <c r="AH20" s="139">
        <v>1</v>
      </c>
      <c r="AI20" s="137">
        <v>1</v>
      </c>
      <c r="AJ20" s="139">
        <v>0</v>
      </c>
      <c r="AL20" s="12">
        <v>17</v>
      </c>
      <c r="AM20" s="139">
        <v>1</v>
      </c>
      <c r="AN20" s="137">
        <v>1</v>
      </c>
      <c r="AO20" s="139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9">
        <v>1</v>
      </c>
      <c r="BW20" s="137">
        <v>1</v>
      </c>
      <c r="BX20" s="139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4"/>
        <v>6</v>
      </c>
      <c r="E21" s="109">
        <f t="shared" si="3"/>
        <v>6</v>
      </c>
      <c r="F21" s="8">
        <f t="shared" si="3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9">
        <v>1</v>
      </c>
      <c r="AI21" s="137">
        <v>1</v>
      </c>
      <c r="AJ21" s="139">
        <v>1</v>
      </c>
      <c r="AL21" s="12">
        <v>18</v>
      </c>
      <c r="AM21" s="139">
        <v>1</v>
      </c>
      <c r="AN21" s="137">
        <v>1</v>
      </c>
      <c r="AO21" s="139">
        <v>1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9">
        <v>1</v>
      </c>
      <c r="BW21" s="137">
        <v>1</v>
      </c>
      <c r="BX21" s="139">
        <v>1</v>
      </c>
    </row>
    <row r="22" spans="1:76">
      <c r="A22" s="22">
        <v>5</v>
      </c>
      <c r="B22" s="22">
        <v>3</v>
      </c>
      <c r="C22" s="24">
        <v>5</v>
      </c>
      <c r="D22" s="7">
        <f t="shared" si="4"/>
        <v>6</v>
      </c>
      <c r="E22" s="109">
        <f t="shared" si="3"/>
        <v>6</v>
      </c>
      <c r="F22" s="8">
        <f t="shared" si="3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0</v>
      </c>
      <c r="AG22" s="12">
        <v>19</v>
      </c>
      <c r="AH22" s="139">
        <v>1</v>
      </c>
      <c r="AI22" s="137">
        <v>1</v>
      </c>
      <c r="AJ22" s="139">
        <v>0</v>
      </c>
      <c r="AL22" s="12">
        <v>19</v>
      </c>
      <c r="AM22" s="139">
        <v>1</v>
      </c>
      <c r="AN22" s="137">
        <v>1</v>
      </c>
      <c r="AO22" s="139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9">
        <v>1</v>
      </c>
      <c r="BW22" s="137">
        <v>1</v>
      </c>
      <c r="BX22" s="139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4"/>
        <v>6</v>
      </c>
      <c r="E23" s="60">
        <f t="shared" si="3"/>
        <v>0</v>
      </c>
      <c r="F23" s="39">
        <f t="shared" si="3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9">
        <v>1</v>
      </c>
      <c r="AI23" s="137">
        <v>1</v>
      </c>
      <c r="AJ23" s="139">
        <v>1</v>
      </c>
      <c r="AL23" s="12">
        <v>20</v>
      </c>
      <c r="AM23" s="139">
        <v>1</v>
      </c>
      <c r="AN23" s="137">
        <v>1</v>
      </c>
      <c r="AO23" s="139">
        <v>1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9">
        <v>1</v>
      </c>
      <c r="BW23" s="137">
        <v>1</v>
      </c>
      <c r="BX23" s="139">
        <v>1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4"/>
        <v>0</v>
      </c>
      <c r="E24" s="60">
        <f t="shared" si="3"/>
        <v>0</v>
      </c>
      <c r="F24" s="39">
        <f t="shared" si="3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0</v>
      </c>
      <c r="AG24" s="12">
        <v>21</v>
      </c>
      <c r="AH24" s="139">
        <v>1</v>
      </c>
      <c r="AI24" s="137">
        <v>1</v>
      </c>
      <c r="AJ24" s="139">
        <v>0</v>
      </c>
      <c r="AL24" s="12">
        <v>21</v>
      </c>
      <c r="AM24" s="139">
        <v>1</v>
      </c>
      <c r="AN24" s="137">
        <v>1</v>
      </c>
      <c r="AO24" s="139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9">
        <v>1</v>
      </c>
      <c r="BW24" s="137">
        <v>1</v>
      </c>
      <c r="BX24" s="139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4"/>
        <v>0</v>
      </c>
      <c r="E25" s="60">
        <f t="shared" si="3"/>
        <v>0</v>
      </c>
      <c r="F25" s="39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9">
        <v>1</v>
      </c>
      <c r="AI25" s="137">
        <v>1</v>
      </c>
      <c r="AJ25" s="139">
        <v>1</v>
      </c>
      <c r="AL25" s="12">
        <v>22</v>
      </c>
      <c r="AM25" s="139">
        <v>1</v>
      </c>
      <c r="AN25" s="137">
        <v>1</v>
      </c>
      <c r="AO25" s="139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9">
        <v>1</v>
      </c>
      <c r="BW25" s="137">
        <v>1</v>
      </c>
      <c r="BX25" s="139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4"/>
        <v>0</v>
      </c>
      <c r="E26" s="60">
        <f t="shared" si="3"/>
        <v>0</v>
      </c>
      <c r="F26" s="39">
        <f t="shared" si="3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0</v>
      </c>
      <c r="AG26" s="12">
        <v>23</v>
      </c>
      <c r="AH26" s="139">
        <v>1</v>
      </c>
      <c r="AI26" s="137">
        <v>1</v>
      </c>
      <c r="AJ26" s="139">
        <v>0</v>
      </c>
      <c r="AL26" s="12">
        <v>23</v>
      </c>
      <c r="AM26" s="139">
        <v>1</v>
      </c>
      <c r="AN26" s="137">
        <v>1</v>
      </c>
      <c r="AO26" s="139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9">
        <v>1</v>
      </c>
      <c r="BW26" s="137">
        <v>1</v>
      </c>
      <c r="BX26" s="139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4"/>
        <v>0</v>
      </c>
      <c r="E27" s="60">
        <f t="shared" si="3"/>
        <v>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9">
        <v>1</v>
      </c>
      <c r="AI27" s="137">
        <v>1</v>
      </c>
      <c r="AJ27" s="139">
        <v>1</v>
      </c>
      <c r="AL27" s="12">
        <v>24</v>
      </c>
      <c r="AM27" s="139">
        <v>1</v>
      </c>
      <c r="AN27" s="137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9">
        <v>1</v>
      </c>
      <c r="BW27" s="137">
        <v>1</v>
      </c>
      <c r="BX27" s="139">
        <v>1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4"/>
        <v>0</v>
      </c>
      <c r="E28" s="60">
        <f t="shared" si="3"/>
        <v>0</v>
      </c>
      <c r="F28" s="39">
        <f t="shared" si="3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0</v>
      </c>
      <c r="AG28" s="12">
        <v>25</v>
      </c>
      <c r="AH28" s="139">
        <v>1</v>
      </c>
      <c r="AI28" s="137">
        <v>1</v>
      </c>
      <c r="AJ28" s="139">
        <v>0</v>
      </c>
      <c r="AL28" s="12">
        <v>25</v>
      </c>
      <c r="AM28" s="139">
        <v>1</v>
      </c>
      <c r="AN28" s="137">
        <v>1</v>
      </c>
      <c r="AO28" s="139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9">
        <v>1</v>
      </c>
      <c r="BW28" s="137">
        <v>1</v>
      </c>
      <c r="BX28" s="139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9">
        <v>1</v>
      </c>
      <c r="AI29" s="137">
        <v>1</v>
      </c>
      <c r="AJ29" s="139">
        <v>1</v>
      </c>
      <c r="AL29" s="12">
        <v>26</v>
      </c>
      <c r="AM29" s="139">
        <v>1</v>
      </c>
      <c r="AN29" s="137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9">
        <v>1</v>
      </c>
      <c r="BW29" s="137">
        <v>1</v>
      </c>
      <c r="BX29" s="139">
        <v>1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4"/>
        <v>0</v>
      </c>
      <c r="E30" s="40">
        <f t="shared" si="3"/>
        <v>0</v>
      </c>
      <c r="F30" s="41">
        <f t="shared" si="3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0</v>
      </c>
      <c r="AG30" s="12">
        <v>27</v>
      </c>
      <c r="AH30" s="139">
        <v>1</v>
      </c>
      <c r="AI30" s="137">
        <v>1</v>
      </c>
      <c r="AJ30" s="139">
        <v>0</v>
      </c>
      <c r="AL30" s="12">
        <v>27</v>
      </c>
      <c r="AM30" s="139">
        <v>1</v>
      </c>
      <c r="AN30" s="137">
        <v>1</v>
      </c>
      <c r="AO30" s="139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9">
        <v>1</v>
      </c>
      <c r="BW30" s="137">
        <v>1</v>
      </c>
      <c r="BX30" s="139">
        <v>0</v>
      </c>
    </row>
    <row r="31" spans="1:76">
      <c r="D31" s="109">
        <f>SUM(D19:D30)</f>
        <v>36</v>
      </c>
      <c r="E31" s="109">
        <f>SUM(E19:E30)</f>
        <v>36</v>
      </c>
      <c r="F31" s="109">
        <f>SUM(F19:F30)</f>
        <v>18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9">
        <v>1</v>
      </c>
      <c r="AI31" s="137">
        <v>1</v>
      </c>
      <c r="AJ31" s="139">
        <v>1</v>
      </c>
      <c r="AL31" s="12">
        <v>28</v>
      </c>
      <c r="AM31" s="139">
        <v>1</v>
      </c>
      <c r="AN31" s="137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9">
        <v>1</v>
      </c>
      <c r="BW31" s="137">
        <v>1</v>
      </c>
      <c r="BX31" s="139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0</v>
      </c>
      <c r="AG32" s="12">
        <v>29</v>
      </c>
      <c r="AH32" s="139">
        <v>1</v>
      </c>
      <c r="AI32" s="137">
        <v>1</v>
      </c>
      <c r="AJ32" s="139">
        <v>0</v>
      </c>
      <c r="AL32" s="12">
        <v>29</v>
      </c>
      <c r="AM32" s="139">
        <v>1</v>
      </c>
      <c r="AN32" s="137">
        <v>1</v>
      </c>
      <c r="AO32" s="139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9">
        <v>1</v>
      </c>
      <c r="BW32" s="137">
        <v>1</v>
      </c>
      <c r="BX32" s="139">
        <v>0</v>
      </c>
    </row>
    <row r="33" spans="1:76">
      <c r="A33" s="31" t="s">
        <v>119</v>
      </c>
      <c r="D33" s="111">
        <v>1</v>
      </c>
      <c r="E33" s="111" t="s">
        <v>8</v>
      </c>
      <c r="F33" s="111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9">
        <v>1</v>
      </c>
      <c r="AI33" s="137">
        <v>1</v>
      </c>
      <c r="AJ33" s="139">
        <v>1</v>
      </c>
      <c r="AL33" s="12">
        <v>30</v>
      </c>
      <c r="AM33" s="139">
        <v>1</v>
      </c>
      <c r="AN33" s="137">
        <v>1</v>
      </c>
      <c r="AO33" s="139">
        <v>1</v>
      </c>
      <c r="AQ33" s="12">
        <v>30</v>
      </c>
      <c r="AR33" s="15"/>
      <c r="AT33" s="12">
        <v>30</v>
      </c>
      <c r="AU33" s="13"/>
      <c r="AW33" s="12">
        <v>30</v>
      </c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9">
        <v>1</v>
      </c>
      <c r="BW33" s="137">
        <v>1</v>
      </c>
      <c r="BX33" s="139">
        <v>1</v>
      </c>
    </row>
    <row r="34" spans="1:76">
      <c r="A34" s="31" t="s">
        <v>46</v>
      </c>
      <c r="B34" s="2" t="s">
        <v>10</v>
      </c>
      <c r="C34" s="3" t="s">
        <v>11</v>
      </c>
      <c r="D34" s="4" t="s">
        <v>82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0</v>
      </c>
      <c r="AG34" s="12">
        <v>31</v>
      </c>
      <c r="AH34" s="139">
        <v>1</v>
      </c>
      <c r="AI34" s="137">
        <v>1</v>
      </c>
      <c r="AJ34" s="139">
        <v>0</v>
      </c>
      <c r="AL34" s="12">
        <v>31</v>
      </c>
      <c r="AM34" s="139">
        <v>1</v>
      </c>
      <c r="AN34" s="137">
        <v>1</v>
      </c>
      <c r="AO34" s="139">
        <v>0</v>
      </c>
      <c r="AQ34" s="12">
        <v>31</v>
      </c>
      <c r="AR34" s="13"/>
      <c r="AT34" s="12">
        <v>31</v>
      </c>
      <c r="AU34" s="13"/>
      <c r="AW34" s="12">
        <v>31</v>
      </c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9">
        <v>1</v>
      </c>
      <c r="BW34" s="137">
        <v>1</v>
      </c>
      <c r="BX34" s="139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10">
        <f t="shared" ref="E35:F46" si="5">SUMIF(T$3:T$38,$A35,AN$3:AN$38)</f>
        <v>18</v>
      </c>
      <c r="F35" s="5">
        <f t="shared" si="5"/>
        <v>18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9">
        <v>1</v>
      </c>
      <c r="AI35" s="137">
        <v>1</v>
      </c>
      <c r="AJ35" s="139">
        <v>1</v>
      </c>
      <c r="AL35" s="12">
        <v>32</v>
      </c>
      <c r="AM35" s="139">
        <v>1</v>
      </c>
      <c r="AN35" s="137">
        <v>1</v>
      </c>
      <c r="AO35" s="139">
        <v>1</v>
      </c>
      <c r="AQ35" s="12">
        <v>32</v>
      </c>
      <c r="AR35" s="15"/>
      <c r="AT35" s="12">
        <v>32</v>
      </c>
      <c r="AU35" s="13"/>
      <c r="AW35" s="12">
        <v>32</v>
      </c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9">
        <v>1</v>
      </c>
      <c r="BW35" s="137">
        <v>1</v>
      </c>
      <c r="BX35" s="139">
        <v>1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6">SUMIF(S$3:S$38,$A36,AM$3:AM$38)</f>
        <v>0</v>
      </c>
      <c r="E36" s="109">
        <f t="shared" si="5"/>
        <v>6</v>
      </c>
      <c r="F36" s="8">
        <f t="shared" si="5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0</v>
      </c>
      <c r="AG36" s="12">
        <v>33</v>
      </c>
      <c r="AH36" s="139">
        <v>1</v>
      </c>
      <c r="AI36" s="137">
        <v>1</v>
      </c>
      <c r="AJ36" s="139">
        <v>0</v>
      </c>
      <c r="AL36" s="12">
        <v>33</v>
      </c>
      <c r="AM36" s="139">
        <v>1</v>
      </c>
      <c r="AN36" s="137">
        <v>1</v>
      </c>
      <c r="AO36" s="139">
        <v>0</v>
      </c>
      <c r="AQ36" s="12">
        <v>33</v>
      </c>
      <c r="AR36" s="13"/>
      <c r="AT36" s="12">
        <v>33</v>
      </c>
      <c r="AU36" s="13"/>
      <c r="AW36" s="12">
        <v>33</v>
      </c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9">
        <v>1</v>
      </c>
      <c r="BW36" s="137">
        <v>1</v>
      </c>
      <c r="BX36" s="139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6"/>
        <v>6</v>
      </c>
      <c r="E37" s="109">
        <f t="shared" si="5"/>
        <v>6</v>
      </c>
      <c r="F37" s="8">
        <f t="shared" si="5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9">
        <v>1</v>
      </c>
      <c r="AI37" s="137">
        <v>1</v>
      </c>
      <c r="AJ37" s="139">
        <v>1</v>
      </c>
      <c r="AL37" s="12">
        <v>34</v>
      </c>
      <c r="AM37" s="139">
        <v>1</v>
      </c>
      <c r="AN37" s="137">
        <v>1</v>
      </c>
      <c r="AO37" s="139">
        <v>1</v>
      </c>
      <c r="AQ37" s="12">
        <v>34</v>
      </c>
      <c r="AR37" s="15"/>
      <c r="AT37" s="12">
        <v>34</v>
      </c>
      <c r="AU37" s="13"/>
      <c r="AW37" s="12">
        <v>34</v>
      </c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9">
        <v>1</v>
      </c>
      <c r="BW37" s="137">
        <v>1</v>
      </c>
      <c r="BX37" s="139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6"/>
        <v>6</v>
      </c>
      <c r="E38" s="109">
        <f t="shared" si="5"/>
        <v>6</v>
      </c>
      <c r="F38" s="8">
        <f t="shared" si="5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0</v>
      </c>
      <c r="AG38" s="12">
        <v>35</v>
      </c>
      <c r="AH38" s="139">
        <v>1</v>
      </c>
      <c r="AI38" s="137">
        <v>1</v>
      </c>
      <c r="AJ38" s="139">
        <v>0</v>
      </c>
      <c r="AL38" s="12">
        <v>35</v>
      </c>
      <c r="AM38" s="139">
        <v>1</v>
      </c>
      <c r="AN38" s="137">
        <v>1</v>
      </c>
      <c r="AO38" s="139">
        <v>0</v>
      </c>
      <c r="AQ38" s="12">
        <v>35</v>
      </c>
      <c r="AR38" s="13"/>
      <c r="AT38" s="12">
        <v>35</v>
      </c>
      <c r="AU38" s="13"/>
      <c r="AW38" s="12">
        <v>35</v>
      </c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9">
        <v>1</v>
      </c>
      <c r="BW38" s="137">
        <v>1</v>
      </c>
      <c r="BX38" s="139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6"/>
        <v>6</v>
      </c>
      <c r="E39" s="60">
        <f t="shared" si="5"/>
        <v>0</v>
      </c>
      <c r="F39" s="39">
        <f t="shared" si="5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/>
      <c r="AS39" s="15"/>
      <c r="AT39" s="12">
        <v>36</v>
      </c>
      <c r="AU39" s="13"/>
      <c r="AW39" s="12">
        <v>36</v>
      </c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6"/>
        <v>0</v>
      </c>
      <c r="E40" s="60">
        <f t="shared" si="5"/>
        <v>0</v>
      </c>
      <c r="F40" s="39">
        <f t="shared" si="5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/>
      <c r="AS40" s="13"/>
      <c r="AT40" s="12">
        <v>37</v>
      </c>
      <c r="AU40" s="13"/>
      <c r="AW40" s="12">
        <v>37</v>
      </c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6"/>
        <v>0</v>
      </c>
      <c r="E41" s="60">
        <f t="shared" si="5"/>
        <v>0</v>
      </c>
      <c r="F41" s="39">
        <f t="shared" si="5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/>
      <c r="AS41" s="15"/>
      <c r="AT41" s="12">
        <v>38</v>
      </c>
      <c r="AU41" s="13"/>
      <c r="AW41" s="12">
        <v>38</v>
      </c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6"/>
        <v>0</v>
      </c>
      <c r="E42" s="60">
        <f t="shared" si="5"/>
        <v>0</v>
      </c>
      <c r="F42" s="39">
        <f t="shared" si="5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/>
      <c r="AS42" s="13"/>
      <c r="AT42" s="12">
        <v>39</v>
      </c>
      <c r="AU42" s="13"/>
      <c r="AW42" s="12">
        <v>39</v>
      </c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6"/>
        <v>0</v>
      </c>
      <c r="E43" s="60">
        <f t="shared" si="5"/>
        <v>0</v>
      </c>
      <c r="F43" s="39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6"/>
        <v>0</v>
      </c>
      <c r="E44" s="60">
        <f t="shared" si="5"/>
        <v>0</v>
      </c>
      <c r="F44" s="39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6"/>
        <v>0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6"/>
        <v>0</v>
      </c>
      <c r="E46" s="40">
        <f t="shared" si="5"/>
        <v>0</v>
      </c>
      <c r="F46" s="41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f>SUM(D35:D46)</f>
        <v>36</v>
      </c>
      <c r="E47" s="109">
        <f>SUM(E35:E46)</f>
        <v>36</v>
      </c>
      <c r="F47" s="109">
        <f>SUM(F35:F46)</f>
        <v>18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8"/>
        <v>5</v>
      </c>
      <c r="E57" s="109">
        <f t="shared" si="7"/>
        <v>5</v>
      </c>
      <c r="F57" s="8">
        <f t="shared" si="7"/>
        <v>5</v>
      </c>
      <c r="G57" s="7">
        <f t="shared" si="7"/>
        <v>5</v>
      </c>
      <c r="H57" s="109">
        <f t="shared" si="7"/>
        <v>5</v>
      </c>
      <c r="I57" s="109">
        <f t="shared" si="7"/>
        <v>5</v>
      </c>
      <c r="J57" s="109">
        <f t="shared" si="7"/>
        <v>5</v>
      </c>
      <c r="K57" s="109">
        <f t="shared" si="7"/>
        <v>5</v>
      </c>
      <c r="L57" s="109">
        <f t="shared" si="7"/>
        <v>5</v>
      </c>
      <c r="M57" s="49">
        <f t="shared" si="7"/>
        <v>5</v>
      </c>
      <c r="N57" s="109">
        <f t="shared" si="7"/>
        <v>5</v>
      </c>
      <c r="O57" s="8">
        <f t="shared" si="7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8"/>
        <v>5</v>
      </c>
      <c r="E58" s="109">
        <f t="shared" si="7"/>
        <v>5</v>
      </c>
      <c r="F58" s="8">
        <f t="shared" si="7"/>
        <v>5</v>
      </c>
      <c r="G58" s="7">
        <f t="shared" si="7"/>
        <v>5</v>
      </c>
      <c r="H58" s="109">
        <f t="shared" si="7"/>
        <v>5</v>
      </c>
      <c r="I58" s="109">
        <f t="shared" si="7"/>
        <v>5</v>
      </c>
      <c r="J58" s="109">
        <f t="shared" si="7"/>
        <v>5</v>
      </c>
      <c r="K58" s="109">
        <f t="shared" si="7"/>
        <v>5</v>
      </c>
      <c r="L58" s="109">
        <f t="shared" si="7"/>
        <v>5</v>
      </c>
      <c r="M58" s="49">
        <f t="shared" si="7"/>
        <v>5</v>
      </c>
      <c r="N58" s="109">
        <f t="shared" si="7"/>
        <v>5</v>
      </c>
      <c r="O58" s="8">
        <f t="shared" si="7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8"/>
        <v>5</v>
      </c>
      <c r="E60" s="109">
        <f t="shared" si="7"/>
        <v>5</v>
      </c>
      <c r="F60" s="8">
        <f t="shared" si="7"/>
        <v>5</v>
      </c>
      <c r="G60" s="7">
        <f t="shared" si="7"/>
        <v>5</v>
      </c>
      <c r="H60" s="109">
        <f t="shared" si="7"/>
        <v>5</v>
      </c>
      <c r="I60" s="109">
        <f t="shared" si="7"/>
        <v>5</v>
      </c>
      <c r="J60" s="109">
        <f t="shared" si="7"/>
        <v>5</v>
      </c>
      <c r="K60" s="109">
        <f t="shared" si="7"/>
        <v>5</v>
      </c>
      <c r="L60" s="109">
        <f t="shared" si="7"/>
        <v>5</v>
      </c>
      <c r="M60" s="49">
        <f t="shared" si="7"/>
        <v>5</v>
      </c>
      <c r="N60" s="109">
        <f t="shared" si="7"/>
        <v>5</v>
      </c>
      <c r="O60" s="8">
        <f t="shared" si="7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8"/>
        <v>0</v>
      </c>
      <c r="E61" s="109">
        <f t="shared" si="7"/>
        <v>0</v>
      </c>
      <c r="F61" s="8">
        <f t="shared" si="7"/>
        <v>0</v>
      </c>
      <c r="G61" s="7">
        <f t="shared" si="7"/>
        <v>0</v>
      </c>
      <c r="H61" s="109">
        <f t="shared" si="7"/>
        <v>0</v>
      </c>
      <c r="I61" s="109">
        <f t="shared" si="7"/>
        <v>0</v>
      </c>
      <c r="J61" s="109">
        <f t="shared" si="7"/>
        <v>0</v>
      </c>
      <c r="K61" s="109">
        <f t="shared" si="7"/>
        <v>0</v>
      </c>
      <c r="L61" s="109">
        <f t="shared" si="7"/>
        <v>0</v>
      </c>
      <c r="M61" s="49">
        <f t="shared" si="7"/>
        <v>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15</v>
      </c>
      <c r="E63" s="109">
        <f t="shared" ref="E63:O63" si="9">SUM(E51:E62)</f>
        <v>15</v>
      </c>
      <c r="F63" s="109">
        <f t="shared" si="9"/>
        <v>15</v>
      </c>
      <c r="G63" s="109">
        <f t="shared" si="9"/>
        <v>15</v>
      </c>
      <c r="H63" s="109">
        <f t="shared" si="9"/>
        <v>15</v>
      </c>
      <c r="I63" s="109">
        <f t="shared" si="9"/>
        <v>15</v>
      </c>
      <c r="J63" s="109">
        <f t="shared" si="9"/>
        <v>15</v>
      </c>
      <c r="K63" s="109">
        <f t="shared" si="9"/>
        <v>15</v>
      </c>
      <c r="L63" s="109">
        <f t="shared" si="9"/>
        <v>15</v>
      </c>
      <c r="M63" s="109">
        <f t="shared" si="9"/>
        <v>15</v>
      </c>
      <c r="N63" s="109">
        <f t="shared" si="9"/>
        <v>15</v>
      </c>
      <c r="O63" s="109">
        <f t="shared" si="9"/>
        <v>15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88</v>
      </c>
      <c r="C66" s="3" t="s">
        <v>116</v>
      </c>
      <c r="D66" s="4" t="s">
        <v>82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 s="140"/>
      <c r="AD111" s="140"/>
      <c r="AE111" s="140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AF113">
    <cfRule type="cellIs" dxfId="1316" priority="131" operator="equal">
      <formula>"E"</formula>
    </cfRule>
  </conditionalFormatting>
  <conditionalFormatting sqref="AI4:AI38">
    <cfRule type="cellIs" dxfId="1315" priority="120" operator="equal">
      <formula>"E"</formula>
    </cfRule>
  </conditionalFormatting>
  <conditionalFormatting sqref="AJ4:AJ38">
    <cfRule type="cellIs" dxfId="1314" priority="119" operator="equal">
      <formula>"E"</formula>
    </cfRule>
  </conditionalFormatting>
  <conditionalFormatting sqref="R1:R70">
    <cfRule type="cellIs" dxfId="1313" priority="266" stopIfTrue="1" operator="equal">
      <formula>"WW"</formula>
    </cfRule>
    <cfRule type="cellIs" dxfId="1312" priority="267" stopIfTrue="1" operator="equal">
      <formula>"C2"</formula>
    </cfRule>
  </conditionalFormatting>
  <conditionalFormatting sqref="S39:U103 Y3:Z52 AU3:AU42 S3:S38">
    <cfRule type="cellIs" dxfId="1311" priority="262" operator="equal">
      <formula>"M4"</formula>
    </cfRule>
    <cfRule type="cellIs" dxfId="1310" priority="263" operator="equal">
      <formula>"M3"</formula>
    </cfRule>
    <cfRule type="cellIs" dxfId="1309" priority="264" operator="equal">
      <formula>"M2"</formula>
    </cfRule>
    <cfRule type="cellIs" dxfId="1308" priority="265" operator="equal">
      <formula>"M1"</formula>
    </cfRule>
  </conditionalFormatting>
  <conditionalFormatting sqref="AD1:AE1 AB1 AS39:AS103 S1:U2 X2:Z103 AU2:AU42 S114:U1048576 S111:T113 AR1:AR1048576 S39:U110 S3:S38">
    <cfRule type="cellIs" dxfId="1307" priority="260" operator="equal">
      <formula>"E"</formula>
    </cfRule>
  </conditionalFormatting>
  <conditionalFormatting sqref="AS39:AS103 AU3:AU42 AR3:AR103">
    <cfRule type="cellIs" dxfId="1306" priority="249" operator="equal">
      <formula>"RE"</formula>
    </cfRule>
    <cfRule type="cellIs" dxfId="1305" priority="250" operator="equal">
      <formula>"3000"</formula>
    </cfRule>
    <cfRule type="cellIs" dxfId="1304" priority="251" operator="equal">
      <formula>"300"</formula>
    </cfRule>
    <cfRule type="cellIs" dxfId="1303" priority="252" operator="equal">
      <formula>"100"</formula>
    </cfRule>
    <cfRule type="cellIs" dxfId="1302" priority="253" operator="equal">
      <formula>"50"</formula>
    </cfRule>
    <cfRule type="cellIs" dxfId="1301" priority="254" operator="equal">
      <formula>"40"</formula>
    </cfRule>
    <cfRule type="cellIs" dxfId="1300" priority="255" operator="equal">
      <formula>"20"</formula>
    </cfRule>
  </conditionalFormatting>
  <conditionalFormatting sqref="AR1 AR104:AR1048576">
    <cfRule type="cellIs" dxfId="1299" priority="256" operator="equal">
      <formula>"M4"</formula>
    </cfRule>
    <cfRule type="cellIs" dxfId="1298" priority="257" operator="equal">
      <formula>"M3"</formula>
    </cfRule>
    <cfRule type="cellIs" dxfId="1297" priority="258" operator="equal">
      <formula>"M1"</formula>
    </cfRule>
    <cfRule type="cellIs" dxfId="1296" priority="259" operator="equal">
      <formula>"M2"</formula>
    </cfRule>
    <cfRule type="cellIs" dxfId="1295" priority="261" stopIfTrue="1" operator="between">
      <formula>"C1"</formula>
      <formula>"C2"</formula>
    </cfRule>
  </conditionalFormatting>
  <conditionalFormatting sqref="AC39:AE110 AC114:AE1048576 AC3:AC38">
    <cfRule type="cellIs" dxfId="1294" priority="248" operator="equal">
      <formula>"E"</formula>
    </cfRule>
  </conditionalFormatting>
  <conditionalFormatting sqref="AC2:AE2">
    <cfRule type="cellIs" dxfId="1293" priority="247" operator="equal">
      <formula>"E"</formula>
    </cfRule>
  </conditionalFormatting>
  <conditionalFormatting sqref="AB2:AB70">
    <cfRule type="cellIs" dxfId="1292" priority="245" stopIfTrue="1" operator="equal">
      <formula>"WW"</formula>
    </cfRule>
    <cfRule type="cellIs" dxfId="1291" priority="246" stopIfTrue="1" operator="equal">
      <formula>"C2"</formula>
    </cfRule>
  </conditionalFormatting>
  <conditionalFormatting sqref="W2:W70">
    <cfRule type="cellIs" dxfId="1290" priority="243" stopIfTrue="1" operator="equal">
      <formula>"WW"</formula>
    </cfRule>
    <cfRule type="cellIs" dxfId="1289" priority="244" stopIfTrue="1" operator="equal">
      <formula>"C2"</formula>
    </cfRule>
  </conditionalFormatting>
  <conditionalFormatting sqref="X3:Z103">
    <cfRule type="cellIs" dxfId="1288" priority="239" operator="equal">
      <formula>"M4"</formula>
    </cfRule>
    <cfRule type="cellIs" dxfId="1287" priority="240" operator="equal">
      <formula>"M3"</formula>
    </cfRule>
    <cfRule type="cellIs" dxfId="1286" priority="241" operator="equal">
      <formula>"M2"</formula>
    </cfRule>
    <cfRule type="cellIs" dxfId="1285" priority="242" operator="equal">
      <formula>"M1"</formula>
    </cfRule>
  </conditionalFormatting>
  <conditionalFormatting sqref="AQ2:AQ70">
    <cfRule type="cellIs" dxfId="1284" priority="237" stopIfTrue="1" operator="equal">
      <formula>"WW"</formula>
    </cfRule>
    <cfRule type="cellIs" dxfId="1283" priority="238" stopIfTrue="1" operator="equal">
      <formula>"C2"</formula>
    </cfRule>
  </conditionalFormatting>
  <conditionalFormatting sqref="AT2:AT70">
    <cfRule type="cellIs" dxfId="1282" priority="235" stopIfTrue="1" operator="equal">
      <formula>"WW"</formula>
    </cfRule>
    <cfRule type="cellIs" dxfId="1281" priority="236" stopIfTrue="1" operator="equal">
      <formula>"C2"</formula>
    </cfRule>
  </conditionalFormatting>
  <conditionalFormatting sqref="AU43:AU103">
    <cfRule type="cellIs" dxfId="1280" priority="234" operator="equal">
      <formula>"E"</formula>
    </cfRule>
  </conditionalFormatting>
  <conditionalFormatting sqref="AU43:AU103">
    <cfRule type="cellIs" dxfId="1279" priority="230" operator="equal">
      <formula>"M4"</formula>
    </cfRule>
    <cfRule type="cellIs" dxfId="1278" priority="231" operator="equal">
      <formula>"M3"</formula>
    </cfRule>
    <cfRule type="cellIs" dxfId="1277" priority="232" operator="equal">
      <formula>"M2"</formula>
    </cfRule>
    <cfRule type="cellIs" dxfId="1276" priority="233" operator="equal">
      <formula>"M1"</formula>
    </cfRule>
  </conditionalFormatting>
  <conditionalFormatting sqref="AW1">
    <cfRule type="cellIs" dxfId="1275" priority="229" operator="equal">
      <formula>"E"</formula>
    </cfRule>
  </conditionalFormatting>
  <conditionalFormatting sqref="AW2:AW70">
    <cfRule type="cellIs" dxfId="1274" priority="225" stopIfTrue="1" operator="equal">
      <formula>"WW"</formula>
    </cfRule>
    <cfRule type="cellIs" dxfId="1273" priority="226" stopIfTrue="1" operator="equal">
      <formula>"C2"</formula>
    </cfRule>
  </conditionalFormatting>
  <conditionalFormatting sqref="AT1">
    <cfRule type="cellIs" dxfId="1272" priority="223" operator="equal">
      <formula>"E"</formula>
    </cfRule>
  </conditionalFormatting>
  <conditionalFormatting sqref="AQ1">
    <cfRule type="cellIs" dxfId="1271" priority="224" operator="equal">
      <formula>"E"</formula>
    </cfRule>
  </conditionalFormatting>
  <conditionalFormatting sqref="AI1:AJ1 AG1">
    <cfRule type="cellIs" dxfId="1270" priority="130" operator="equal">
      <formula>"E"</formula>
    </cfRule>
  </conditionalFormatting>
  <conditionalFormatting sqref="AH39:AJ103">
    <cfRule type="cellIs" dxfId="1269" priority="129" operator="equal">
      <formula>"E"</formula>
    </cfRule>
  </conditionalFormatting>
  <conditionalFormatting sqref="AH2:AJ2">
    <cfRule type="cellIs" dxfId="1268" priority="128" operator="equal">
      <formula>"E"</formula>
    </cfRule>
  </conditionalFormatting>
  <conditionalFormatting sqref="AL1">
    <cfRule type="cellIs" dxfId="1267" priority="125" operator="equal">
      <formula>"E"</formula>
    </cfRule>
  </conditionalFormatting>
  <conditionalFormatting sqref="U113:AE113 AP113">
    <cfRule type="cellIs" dxfId="1266" priority="178" operator="equal">
      <formula>"E"</formula>
    </cfRule>
  </conditionalFormatting>
  <conditionalFormatting sqref="T3:T38">
    <cfRule type="cellIs" dxfId="1265" priority="169" operator="equal">
      <formula>"M4"</formula>
    </cfRule>
    <cfRule type="cellIs" dxfId="1264" priority="170" operator="equal">
      <formula>"M3"</formula>
    </cfRule>
    <cfRule type="cellIs" dxfId="1263" priority="171" operator="equal">
      <formula>"M2"</formula>
    </cfRule>
    <cfRule type="cellIs" dxfId="1262" priority="172" operator="equal">
      <formula>"M1"</formula>
    </cfRule>
  </conditionalFormatting>
  <conditionalFormatting sqref="T3:T38">
    <cfRule type="cellIs" dxfId="1261" priority="168" operator="equal">
      <formula>"E"</formula>
    </cfRule>
  </conditionalFormatting>
  <conditionalFormatting sqref="U3:U38">
    <cfRule type="cellIs" dxfId="1260" priority="159" operator="equal">
      <formula>"M4"</formula>
    </cfRule>
    <cfRule type="cellIs" dxfId="1259" priority="160" operator="equal">
      <formula>"M3"</formula>
    </cfRule>
    <cfRule type="cellIs" dxfId="1258" priority="161" operator="equal">
      <formula>"M2"</formula>
    </cfRule>
    <cfRule type="cellIs" dxfId="1257" priority="162" operator="equal">
      <formula>"M1"</formula>
    </cfRule>
  </conditionalFormatting>
  <conditionalFormatting sqref="U3:U38">
    <cfRule type="cellIs" dxfId="1256" priority="158" operator="equal">
      <formula>"E"</formula>
    </cfRule>
  </conditionalFormatting>
  <conditionalFormatting sqref="AE4:AE38">
    <cfRule type="cellIs" dxfId="1255" priority="152" operator="equal">
      <formula>"E"</formula>
    </cfRule>
  </conditionalFormatting>
  <conditionalFormatting sqref="AG2:AG70">
    <cfRule type="cellIs" dxfId="1254" priority="126" stopIfTrue="1" operator="equal">
      <formula>"WW"</formula>
    </cfRule>
    <cfRule type="cellIs" dxfId="1253" priority="127" stopIfTrue="1" operator="equal">
      <formula>"C2"</formula>
    </cfRule>
  </conditionalFormatting>
  <conditionalFormatting sqref="AL2:AL70">
    <cfRule type="cellIs" dxfId="1252" priority="121" stopIfTrue="1" operator="equal">
      <formula>"WW"</formula>
    </cfRule>
    <cfRule type="cellIs" dxfId="1251" priority="122" stopIfTrue="1" operator="equal">
      <formula>"C2"</formula>
    </cfRule>
  </conditionalFormatting>
  <conditionalFormatting sqref="AI3">
    <cfRule type="cellIs" dxfId="1250" priority="84" operator="equal">
      <formula>"E"</formula>
    </cfRule>
  </conditionalFormatting>
  <conditionalFormatting sqref="AE3">
    <cfRule type="cellIs" dxfId="1249" priority="83" operator="equal">
      <formula>"E"</formula>
    </cfRule>
  </conditionalFormatting>
  <conditionalFormatting sqref="AD3:AD38">
    <cfRule type="cellIs" dxfId="1248" priority="82" operator="equal">
      <formula>"E"</formula>
    </cfRule>
  </conditionalFormatting>
  <conditionalFormatting sqref="AH3:AH38">
    <cfRule type="cellIs" dxfId="1247" priority="81" operator="equal">
      <formula>"E"</formula>
    </cfRule>
  </conditionalFormatting>
  <conditionalFormatting sqref="AJ3">
    <cfRule type="cellIs" dxfId="1246" priority="80" operator="equal">
      <formula>"E"</formula>
    </cfRule>
  </conditionalFormatting>
  <conditionalFormatting sqref="J13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{29600C3D-64AB-400F-85F2-858F09E8AE0D}</x14:id>
        </ext>
      </extLst>
    </cfRule>
  </conditionalFormatting>
  <conditionalFormatting sqref="BP2:BP70">
    <cfRule type="cellIs" dxfId="1245" priority="62" stopIfTrue="1" operator="equal">
      <formula>"WW"</formula>
    </cfRule>
    <cfRule type="cellIs" dxfId="1244" priority="63" stopIfTrue="1" operator="equal">
      <formula>"C2"</formula>
    </cfRule>
  </conditionalFormatting>
  <conditionalFormatting sqref="BK1:BK70">
    <cfRule type="cellIs" dxfId="1243" priority="73" stopIfTrue="1" operator="equal">
      <formula>"WW"</formula>
    </cfRule>
    <cfRule type="cellIs" dxfId="1242" priority="74" stopIfTrue="1" operator="equal">
      <formula>"C2"</formula>
    </cfRule>
  </conditionalFormatting>
  <conditionalFormatting sqref="BL39:BN103 BR3:BS52 BL3:BL38">
    <cfRule type="cellIs" dxfId="1241" priority="69" operator="equal">
      <formula>"M4"</formula>
    </cfRule>
    <cfRule type="cellIs" dxfId="1240" priority="70" operator="equal">
      <formula>"M3"</formula>
    </cfRule>
    <cfRule type="cellIs" dxfId="1239" priority="71" operator="equal">
      <formula>"M2"</formula>
    </cfRule>
    <cfRule type="cellIs" dxfId="1238" priority="72" operator="equal">
      <formula>"M1"</formula>
    </cfRule>
  </conditionalFormatting>
  <conditionalFormatting sqref="BL1:BN2 BQ2:BS103 BL39:BN1048576 BL3:BL38">
    <cfRule type="cellIs" dxfId="1237" priority="68" operator="equal">
      <formula>"E"</formula>
    </cfRule>
  </conditionalFormatting>
  <conditionalFormatting sqref="BQ3:BS103">
    <cfRule type="cellIs" dxfId="1236" priority="58" operator="equal">
      <formula>"M4"</formula>
    </cfRule>
    <cfRule type="cellIs" dxfId="1235" priority="59" operator="equal">
      <formula>"M3"</formula>
    </cfRule>
    <cfRule type="cellIs" dxfId="1234" priority="60" operator="equal">
      <formula>"M2"</formula>
    </cfRule>
    <cfRule type="cellIs" dxfId="1233" priority="61" operator="equal">
      <formula>"M1"</formula>
    </cfRule>
  </conditionalFormatting>
  <conditionalFormatting sqref="BM3:BM38">
    <cfRule type="cellIs" dxfId="1232" priority="54" operator="equal">
      <formula>"M4"</formula>
    </cfRule>
    <cfRule type="cellIs" dxfId="1231" priority="55" operator="equal">
      <formula>"M3"</formula>
    </cfRule>
    <cfRule type="cellIs" dxfId="1230" priority="56" operator="equal">
      <formula>"M2"</formula>
    </cfRule>
    <cfRule type="cellIs" dxfId="1229" priority="57" operator="equal">
      <formula>"M1"</formula>
    </cfRule>
  </conditionalFormatting>
  <conditionalFormatting sqref="BM3:BM38">
    <cfRule type="cellIs" dxfId="1228" priority="53" operator="equal">
      <formula>"E"</formula>
    </cfRule>
  </conditionalFormatting>
  <conditionalFormatting sqref="BN3:BN38">
    <cfRule type="cellIs" dxfId="1227" priority="49" operator="equal">
      <formula>"M4"</formula>
    </cfRule>
    <cfRule type="cellIs" dxfId="1226" priority="50" operator="equal">
      <formula>"M3"</formula>
    </cfRule>
    <cfRule type="cellIs" dxfId="1225" priority="51" operator="equal">
      <formula>"M2"</formula>
    </cfRule>
    <cfRule type="cellIs" dxfId="1224" priority="52" operator="equal">
      <formula>"M1"</formula>
    </cfRule>
  </conditionalFormatting>
  <conditionalFormatting sqref="BN3:BN38">
    <cfRule type="cellIs" dxfId="1223" priority="48" operator="equal">
      <formula>"E"</formula>
    </cfRule>
  </conditionalFormatting>
  <conditionalFormatting sqref="BW1:BX1 BU1">
    <cfRule type="cellIs" dxfId="1222" priority="46" operator="equal">
      <formula>"E"</formula>
    </cfRule>
  </conditionalFormatting>
  <conditionalFormatting sqref="BV39:BX110 BV114:BX1048576">
    <cfRule type="cellIs" dxfId="1221" priority="45" operator="equal">
      <formula>"E"</formula>
    </cfRule>
  </conditionalFormatting>
  <conditionalFormatting sqref="BU2:BU70">
    <cfRule type="cellIs" dxfId="1220" priority="42" stopIfTrue="1" operator="equal">
      <formula>"WW"</formula>
    </cfRule>
    <cfRule type="cellIs" dxfId="1219" priority="43" stopIfTrue="1" operator="equal">
      <formula>"C2"</formula>
    </cfRule>
  </conditionalFormatting>
  <conditionalFormatting sqref="BU113:BX113">
    <cfRule type="cellIs" dxfId="1218" priority="41" operator="equal">
      <formula>"E"</formula>
    </cfRule>
  </conditionalFormatting>
  <conditionalFormatting sqref="AN4:AN38">
    <cfRule type="cellIs" dxfId="1217" priority="36" operator="equal">
      <formula>"E"</formula>
    </cfRule>
  </conditionalFormatting>
  <conditionalFormatting sqref="AO4:AO38">
    <cfRule type="cellIs" dxfId="1216" priority="35" operator="equal">
      <formula>"E"</formula>
    </cfRule>
  </conditionalFormatting>
  <conditionalFormatting sqref="AN1:AO1">
    <cfRule type="cellIs" dxfId="1215" priority="39" operator="equal">
      <formula>"E"</formula>
    </cfRule>
  </conditionalFormatting>
  <conditionalFormatting sqref="AM39:AO103">
    <cfRule type="cellIs" dxfId="1214" priority="38" operator="equal">
      <formula>"E"</formula>
    </cfRule>
  </conditionalFormatting>
  <conditionalFormatting sqref="AM2:AO2">
    <cfRule type="cellIs" dxfId="1213" priority="37" operator="equal">
      <formula>"E"</formula>
    </cfRule>
  </conditionalFormatting>
  <conditionalFormatting sqref="AN3">
    <cfRule type="cellIs" dxfId="1212" priority="34" operator="equal">
      <formula>"E"</formula>
    </cfRule>
  </conditionalFormatting>
  <conditionalFormatting sqref="AM3:AM38">
    <cfRule type="cellIs" dxfId="1211" priority="33" operator="equal">
      <formula>"E"</formula>
    </cfRule>
  </conditionalFormatting>
  <conditionalFormatting sqref="AO3">
    <cfRule type="cellIs" dxfId="1210" priority="32" operator="equal">
      <formula>"E"</formula>
    </cfRule>
  </conditionalFormatting>
  <conditionalFormatting sqref="BA43:BA103">
    <cfRule type="cellIs" dxfId="1209" priority="27" operator="equal">
      <formula>"E"</formula>
    </cfRule>
  </conditionalFormatting>
  <conditionalFormatting sqref="AZ2">
    <cfRule type="cellIs" dxfId="1208" priority="28" operator="equal">
      <formula>"E"</formula>
    </cfRule>
  </conditionalFormatting>
  <conditionalFormatting sqref="BI2">
    <cfRule type="cellIs" dxfId="1207" priority="8" operator="equal">
      <formula>"E"</formula>
    </cfRule>
  </conditionalFormatting>
  <conditionalFormatting sqref="BA2">
    <cfRule type="cellIs" dxfId="1206" priority="26" operator="equal">
      <formula>"E"</formula>
    </cfRule>
  </conditionalFormatting>
  <conditionalFormatting sqref="BB43:BB103">
    <cfRule type="cellIs" dxfId="1205" priority="25" operator="equal">
      <formula>"E"</formula>
    </cfRule>
  </conditionalFormatting>
  <conditionalFormatting sqref="BB2">
    <cfRule type="cellIs" dxfId="1204" priority="24" operator="equal">
      <formula>"E"</formula>
    </cfRule>
  </conditionalFormatting>
  <conditionalFormatting sqref="BC43:BC103">
    <cfRule type="cellIs" dxfId="1203" priority="23" operator="equal">
      <formula>"E"</formula>
    </cfRule>
  </conditionalFormatting>
  <conditionalFormatting sqref="BC2">
    <cfRule type="cellIs" dxfId="1202" priority="22" operator="equal">
      <formula>"E"</formula>
    </cfRule>
  </conditionalFormatting>
  <conditionalFormatting sqref="BD43:BD103">
    <cfRule type="cellIs" dxfId="1201" priority="21" operator="equal">
      <formula>"E"</formula>
    </cfRule>
  </conditionalFormatting>
  <conditionalFormatting sqref="BD2">
    <cfRule type="cellIs" dxfId="1200" priority="20" operator="equal">
      <formula>"E"</formula>
    </cfRule>
  </conditionalFormatting>
  <conditionalFormatting sqref="BE43:BE103">
    <cfRule type="cellIs" dxfId="1199" priority="19" operator="equal">
      <formula>"E"</formula>
    </cfRule>
  </conditionalFormatting>
  <conditionalFormatting sqref="BE2">
    <cfRule type="cellIs" dxfId="1198" priority="18" operator="equal">
      <formula>"E"</formula>
    </cfRule>
  </conditionalFormatting>
  <conditionalFormatting sqref="BF43:BF103">
    <cfRule type="cellIs" dxfId="1197" priority="17" operator="equal">
      <formula>"E"</formula>
    </cfRule>
  </conditionalFormatting>
  <conditionalFormatting sqref="BF2">
    <cfRule type="cellIs" dxfId="1196" priority="16" operator="equal">
      <formula>"E"</formula>
    </cfRule>
  </conditionalFormatting>
  <conditionalFormatting sqref="BG43:BG103">
    <cfRule type="cellIs" dxfId="1195" priority="15" operator="equal">
      <formula>"E"</formula>
    </cfRule>
  </conditionalFormatting>
  <conditionalFormatting sqref="BG2">
    <cfRule type="cellIs" dxfId="1194" priority="14" operator="equal">
      <formula>"E"</formula>
    </cfRule>
  </conditionalFormatting>
  <conditionalFormatting sqref="BH43:BH103">
    <cfRule type="cellIs" dxfId="1193" priority="13" operator="equal">
      <formula>"E"</formula>
    </cfRule>
  </conditionalFormatting>
  <conditionalFormatting sqref="BH2">
    <cfRule type="cellIs" dxfId="1192" priority="12" operator="equal">
      <formula>"E"</formula>
    </cfRule>
  </conditionalFormatting>
  <conditionalFormatting sqref="AX43:AX103">
    <cfRule type="cellIs" dxfId="1191" priority="11" operator="equal">
      <formula>"E"</formula>
    </cfRule>
  </conditionalFormatting>
  <conditionalFormatting sqref="AX2">
    <cfRule type="cellIs" dxfId="1190" priority="10" operator="equal">
      <formula>"E"</formula>
    </cfRule>
  </conditionalFormatting>
  <conditionalFormatting sqref="BI43:BI103">
    <cfRule type="cellIs" dxfId="1189" priority="9" operator="equal">
      <formula>"E"</formula>
    </cfRule>
  </conditionalFormatting>
  <conditionalFormatting sqref="AY43:AY103">
    <cfRule type="cellIs" dxfId="1188" priority="31" operator="equal">
      <formula>"E"</formula>
    </cfRule>
  </conditionalFormatting>
  <conditionalFormatting sqref="AY2">
    <cfRule type="cellIs" dxfId="1187" priority="30" operator="equal">
      <formula>"E"</formula>
    </cfRule>
  </conditionalFormatting>
  <conditionalFormatting sqref="AZ43:AZ103">
    <cfRule type="cellIs" dxfId="1186" priority="29" operator="equal">
      <formula>"E"</formula>
    </cfRule>
  </conditionalFormatting>
  <conditionalFormatting sqref="AX3:BI42">
    <cfRule type="cellIs" dxfId="1185" priority="7" operator="equal">
      <formula>"E"</formula>
    </cfRule>
  </conditionalFormatting>
  <conditionalFormatting sqref="BW4:BW38">
    <cfRule type="cellIs" dxfId="1184" priority="5" operator="equal">
      <formula>"E"</formula>
    </cfRule>
  </conditionalFormatting>
  <conditionalFormatting sqref="BX4:BX38">
    <cfRule type="cellIs" dxfId="1183" priority="4" operator="equal">
      <formula>"E"</formula>
    </cfRule>
  </conditionalFormatting>
  <conditionalFormatting sqref="BV2:BX2">
    <cfRule type="cellIs" dxfId="1182" priority="6" operator="equal">
      <formula>"E"</formula>
    </cfRule>
  </conditionalFormatting>
  <conditionalFormatting sqref="BW3">
    <cfRule type="cellIs" dxfId="1181" priority="3" operator="equal">
      <formula>"E"</formula>
    </cfRule>
  </conditionalFormatting>
  <conditionalFormatting sqref="BV3:BV38">
    <cfRule type="cellIs" dxfId="1180" priority="2" operator="equal">
      <formula>"E"</formula>
    </cfRule>
  </conditionalFormatting>
  <conditionalFormatting sqref="BX3">
    <cfRule type="cellIs" dxfId="117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600C3D-64AB-400F-85F2-858F09E8AE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109375" customWidth="1"/>
    <col min="6" max="6" width="7.77734375" customWidth="1"/>
    <col min="10" max="10" width="12.88671875" customWidth="1"/>
    <col min="13" max="15" width="8.6640625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149</v>
      </c>
      <c r="AD1" s="11"/>
      <c r="AE1" s="11"/>
      <c r="AG1" s="11" t="s">
        <v>150</v>
      </c>
      <c r="AH1" s="17"/>
      <c r="AI1" s="11"/>
      <c r="AJ1" s="11"/>
      <c r="AL1" s="11" t="s">
        <v>151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20" t="s">
        <v>141</v>
      </c>
      <c r="BW1" s="11"/>
      <c r="BX1" s="11"/>
      <c r="BZ1" s="10" t="s">
        <v>72</v>
      </c>
      <c r="CA1" s="11"/>
      <c r="CC1" s="20" t="s">
        <v>73</v>
      </c>
    </row>
    <row r="2" spans="1:82" ht="18" customHeight="1">
      <c r="A2" s="31" t="s">
        <v>46</v>
      </c>
      <c r="B2" s="2" t="s">
        <v>88</v>
      </c>
      <c r="C2" s="3" t="s">
        <v>116</v>
      </c>
      <c r="D2" s="4" t="s">
        <v>0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146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5400</v>
      </c>
      <c r="E3" s="110">
        <f t="shared" ref="E3:F14" si="0">SUMIF(T$3:T$38,$A3,AD$3:AD$38)</f>
        <v>2700</v>
      </c>
      <c r="F3" s="5">
        <f t="shared" si="0"/>
        <v>2700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30</v>
      </c>
      <c r="AD3" s="13">
        <v>150</v>
      </c>
      <c r="AE3" s="13">
        <v>150</v>
      </c>
      <c r="AG3" s="12">
        <v>0</v>
      </c>
      <c r="AH3" s="13">
        <v>17</v>
      </c>
      <c r="AI3" s="13">
        <v>150</v>
      </c>
      <c r="AJ3" s="13">
        <v>7</v>
      </c>
      <c r="AL3" s="12">
        <v>0</v>
      </c>
      <c r="AM3" s="13">
        <v>3</v>
      </c>
      <c r="AN3" s="13">
        <v>100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70</v>
      </c>
      <c r="AY3" s="13">
        <v>70</v>
      </c>
      <c r="AZ3" s="13">
        <v>70</v>
      </c>
      <c r="BA3" s="13">
        <v>70</v>
      </c>
      <c r="BB3" s="13">
        <v>70</v>
      </c>
      <c r="BC3" s="13">
        <v>70</v>
      </c>
      <c r="BD3" s="13">
        <v>70</v>
      </c>
      <c r="BE3" s="13">
        <v>70</v>
      </c>
      <c r="BF3" s="13">
        <v>70</v>
      </c>
      <c r="BG3" s="13">
        <v>70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30</v>
      </c>
      <c r="BW3" s="13">
        <v>150</v>
      </c>
      <c r="BX3" s="13">
        <v>150</v>
      </c>
      <c r="BZ3" s="12">
        <v>0</v>
      </c>
      <c r="CA3" s="13">
        <v>30</v>
      </c>
      <c r="CC3" s="12">
        <v>0</v>
      </c>
      <c r="CD3" s="13">
        <v>50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1800</v>
      </c>
      <c r="F4" s="8">
        <f t="shared" si="0"/>
        <v>1500</v>
      </c>
      <c r="H4" s="28"/>
      <c r="J4" s="62" t="s">
        <v>79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300</v>
      </c>
      <c r="AD4" s="13">
        <v>300</v>
      </c>
      <c r="AE4" s="13">
        <v>250</v>
      </c>
      <c r="AG4" s="12">
        <v>1</v>
      </c>
      <c r="AH4" s="13">
        <v>161</v>
      </c>
      <c r="AI4" s="13">
        <v>0</v>
      </c>
      <c r="AJ4" s="13">
        <v>1</v>
      </c>
      <c r="AL4" s="12">
        <v>1</v>
      </c>
      <c r="AM4" s="13">
        <v>7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173</v>
      </c>
      <c r="BW4" s="13">
        <v>250</v>
      </c>
      <c r="BX4" s="13">
        <v>250</v>
      </c>
      <c r="BZ4" s="12">
        <v>1</v>
      </c>
      <c r="CA4" s="13">
        <v>15</v>
      </c>
      <c r="CC4" s="12">
        <v>1</v>
      </c>
      <c r="CD4" s="13">
        <v>500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180</v>
      </c>
      <c r="E5" s="109">
        <f t="shared" si="0"/>
        <v>54</v>
      </c>
      <c r="F5" s="8">
        <f t="shared" si="0"/>
        <v>30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150</v>
      </c>
      <c r="AE5" s="13">
        <v>150</v>
      </c>
      <c r="AG5" s="12">
        <v>2</v>
      </c>
      <c r="AH5" s="13">
        <v>8</v>
      </c>
      <c r="AI5" s="13">
        <v>150</v>
      </c>
      <c r="AJ5" s="13">
        <v>7</v>
      </c>
      <c r="AL5" s="12">
        <v>2</v>
      </c>
      <c r="AM5" s="13">
        <v>1</v>
      </c>
      <c r="AN5" s="13">
        <v>100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4</v>
      </c>
      <c r="AY5" s="13">
        <v>4</v>
      </c>
      <c r="AZ5" s="13">
        <v>4</v>
      </c>
      <c r="BA5" s="13">
        <v>4</v>
      </c>
      <c r="BB5" s="13">
        <v>4</v>
      </c>
      <c r="BC5" s="13">
        <v>4</v>
      </c>
      <c r="BD5" s="13">
        <v>4</v>
      </c>
      <c r="BE5" s="13">
        <v>4</v>
      </c>
      <c r="BF5" s="13">
        <v>4</v>
      </c>
      <c r="BG5" s="13">
        <v>4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150</v>
      </c>
      <c r="BX5" s="13">
        <v>150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2">
        <v>5</v>
      </c>
      <c r="B6" s="22">
        <v>3</v>
      </c>
      <c r="C6" s="24">
        <v>5</v>
      </c>
      <c r="D6" s="7">
        <f t="shared" si="1"/>
        <v>10</v>
      </c>
      <c r="E6" s="109">
        <f t="shared" si="0"/>
        <v>68</v>
      </c>
      <c r="F6" s="8">
        <f t="shared" si="0"/>
        <v>70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300</v>
      </c>
      <c r="AD6" s="13">
        <v>9</v>
      </c>
      <c r="AE6" s="13">
        <v>5</v>
      </c>
      <c r="AG6" s="12">
        <v>3</v>
      </c>
      <c r="AH6" s="13">
        <v>162</v>
      </c>
      <c r="AI6" s="13">
        <v>0</v>
      </c>
      <c r="AJ6" s="13">
        <v>1</v>
      </c>
      <c r="AL6" s="12">
        <v>3</v>
      </c>
      <c r="AM6" s="13">
        <v>7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173</v>
      </c>
      <c r="BW6" s="13">
        <v>7</v>
      </c>
      <c r="BX6" s="13">
        <v>5</v>
      </c>
      <c r="BZ6" s="12">
        <v>3</v>
      </c>
      <c r="CA6" s="13">
        <v>5</v>
      </c>
      <c r="CC6" s="12">
        <v>3</v>
      </c>
      <c r="CD6" s="13">
        <v>1000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150</v>
      </c>
      <c r="AE7" s="13">
        <v>150</v>
      </c>
      <c r="AG7" s="12">
        <v>4</v>
      </c>
      <c r="AH7" s="13">
        <v>11</v>
      </c>
      <c r="AI7" s="13">
        <v>150</v>
      </c>
      <c r="AJ7" s="13">
        <v>7</v>
      </c>
      <c r="AL7" s="12">
        <v>4</v>
      </c>
      <c r="AM7" s="13">
        <v>0</v>
      </c>
      <c r="AN7" s="13">
        <v>100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9</v>
      </c>
      <c r="AY7" s="13">
        <v>46</v>
      </c>
      <c r="AZ7" s="13">
        <v>70</v>
      </c>
      <c r="BA7" s="13">
        <v>20</v>
      </c>
      <c r="BB7" s="13">
        <v>20</v>
      </c>
      <c r="BC7" s="13">
        <v>20</v>
      </c>
      <c r="BD7" s="13">
        <v>70</v>
      </c>
      <c r="BE7" s="13">
        <v>70</v>
      </c>
      <c r="BF7" s="13">
        <v>70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150</v>
      </c>
      <c r="BX7" s="13">
        <v>150</v>
      </c>
      <c r="BZ7" s="12">
        <v>4</v>
      </c>
      <c r="CA7" s="13">
        <v>20</v>
      </c>
      <c r="CC7" s="12">
        <v>4</v>
      </c>
      <c r="CD7" s="13">
        <v>100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82</v>
      </c>
      <c r="K8" s="65">
        <v>4</v>
      </c>
      <c r="L8" s="65">
        <v>4</v>
      </c>
      <c r="M8" s="65">
        <v>92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300</v>
      </c>
      <c r="AD8" s="13">
        <v>13</v>
      </c>
      <c r="AE8" s="13">
        <v>15</v>
      </c>
      <c r="AG8" s="12">
        <v>5</v>
      </c>
      <c r="AH8" s="13">
        <v>162</v>
      </c>
      <c r="AI8" s="13">
        <v>0</v>
      </c>
      <c r="AJ8" s="13">
        <v>0</v>
      </c>
      <c r="AL8" s="12">
        <v>5</v>
      </c>
      <c r="AM8" s="13">
        <v>7</v>
      </c>
      <c r="AN8" s="13">
        <v>6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173</v>
      </c>
      <c r="BW8" s="13">
        <v>13</v>
      </c>
      <c r="BX8" s="13">
        <v>15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30</v>
      </c>
      <c r="AD9" s="13">
        <v>150</v>
      </c>
      <c r="AE9" s="13">
        <v>150</v>
      </c>
      <c r="AG9" s="12">
        <v>6</v>
      </c>
      <c r="AH9" s="13">
        <v>16</v>
      </c>
      <c r="AI9" s="13">
        <v>150</v>
      </c>
      <c r="AJ9" s="13">
        <v>7</v>
      </c>
      <c r="AL9" s="12">
        <v>6</v>
      </c>
      <c r="AM9" s="13">
        <v>2</v>
      </c>
      <c r="AN9" s="13">
        <v>100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5</v>
      </c>
      <c r="AY9" s="13">
        <v>5</v>
      </c>
      <c r="AZ9" s="13">
        <v>5</v>
      </c>
      <c r="BA9" s="13">
        <v>5</v>
      </c>
      <c r="BB9" s="13">
        <v>5</v>
      </c>
      <c r="BC9" s="13">
        <v>5</v>
      </c>
      <c r="BD9" s="13">
        <v>5</v>
      </c>
      <c r="BE9" s="13">
        <v>5</v>
      </c>
      <c r="BF9" s="13">
        <v>5</v>
      </c>
      <c r="BG9" s="13">
        <v>5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30</v>
      </c>
      <c r="BW9" s="13">
        <v>150</v>
      </c>
      <c r="BX9" s="13">
        <v>150</v>
      </c>
      <c r="BZ9" s="12">
        <v>6</v>
      </c>
      <c r="CA9" s="13">
        <v>50</v>
      </c>
      <c r="CC9" s="12">
        <v>6</v>
      </c>
      <c r="CD9" s="13">
        <v>200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300</v>
      </c>
      <c r="AD10" s="13">
        <v>300</v>
      </c>
      <c r="AE10" s="13">
        <v>250</v>
      </c>
      <c r="AG10" s="12">
        <v>7</v>
      </c>
      <c r="AH10" s="13">
        <v>161</v>
      </c>
      <c r="AI10" s="13">
        <v>0</v>
      </c>
      <c r="AJ10" s="13">
        <v>1</v>
      </c>
      <c r="AL10" s="12">
        <v>7</v>
      </c>
      <c r="AM10" s="13">
        <v>7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172</v>
      </c>
      <c r="BW10" s="13">
        <v>250</v>
      </c>
      <c r="BX10" s="13">
        <v>250</v>
      </c>
      <c r="BZ10" s="12">
        <v>7</v>
      </c>
      <c r="CA10" s="13">
        <v>10</v>
      </c>
      <c r="CC10" s="12">
        <v>7</v>
      </c>
      <c r="CD10" s="13">
        <v>3000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13">
        <v>150</v>
      </c>
      <c r="AE11" s="13">
        <v>150</v>
      </c>
      <c r="AG11" s="12">
        <v>8</v>
      </c>
      <c r="AH11" s="13">
        <v>9</v>
      </c>
      <c r="AI11" s="13">
        <v>150</v>
      </c>
      <c r="AJ11" s="13">
        <v>7</v>
      </c>
      <c r="AL11" s="12">
        <v>8</v>
      </c>
      <c r="AM11" s="13">
        <v>1</v>
      </c>
      <c r="AN11" s="13">
        <v>100</v>
      </c>
      <c r="AO11" s="13">
        <v>150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">
        <v>70</v>
      </c>
      <c r="AY11" s="13">
        <v>70</v>
      </c>
      <c r="AZ11" s="13">
        <v>70</v>
      </c>
      <c r="BA11" s="13">
        <v>70</v>
      </c>
      <c r="BB11" s="13">
        <v>70</v>
      </c>
      <c r="BC11" s="13">
        <v>70</v>
      </c>
      <c r="BD11" s="13">
        <v>70</v>
      </c>
      <c r="BE11" s="13">
        <v>70</v>
      </c>
      <c r="BF11" s="13">
        <v>70</v>
      </c>
      <c r="BG11" s="13">
        <v>70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13">
        <v>150</v>
      </c>
      <c r="BX11" s="13">
        <v>150</v>
      </c>
      <c r="BZ11" s="12">
        <v>8</v>
      </c>
      <c r="CA11" s="13"/>
      <c r="CC11" s="12">
        <v>8</v>
      </c>
      <c r="CD11" s="13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300</v>
      </c>
      <c r="AD12" s="13">
        <v>9</v>
      </c>
      <c r="AE12" s="13">
        <v>5</v>
      </c>
      <c r="AG12" s="12">
        <v>9</v>
      </c>
      <c r="AH12" s="13">
        <v>161</v>
      </c>
      <c r="AI12" s="13">
        <v>0</v>
      </c>
      <c r="AJ12" s="13">
        <v>1</v>
      </c>
      <c r="AL12" s="12">
        <v>9</v>
      </c>
      <c r="AM12" s="13">
        <v>7</v>
      </c>
      <c r="AN12" s="13">
        <v>10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173</v>
      </c>
      <c r="BW12" s="13">
        <v>5</v>
      </c>
      <c r="BX12" s="13">
        <v>5</v>
      </c>
      <c r="BZ12" s="12">
        <v>9</v>
      </c>
      <c r="CA12" s="13"/>
      <c r="CC12" s="12">
        <v>9</v>
      </c>
      <c r="CD12" s="13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150</v>
      </c>
      <c r="AE13" s="13">
        <v>150</v>
      </c>
      <c r="AG13" s="12">
        <v>10</v>
      </c>
      <c r="AH13" s="13">
        <v>8</v>
      </c>
      <c r="AI13" s="13">
        <v>150</v>
      </c>
      <c r="AJ13" s="13">
        <v>7</v>
      </c>
      <c r="AL13" s="12">
        <v>10</v>
      </c>
      <c r="AM13" s="13">
        <v>0</v>
      </c>
      <c r="AN13" s="13">
        <v>100</v>
      </c>
      <c r="AO13" s="13">
        <v>150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">
        <v>4</v>
      </c>
      <c r="AY13" s="13">
        <v>4</v>
      </c>
      <c r="AZ13" s="13">
        <v>4</v>
      </c>
      <c r="BA13" s="13">
        <v>4</v>
      </c>
      <c r="BB13" s="13">
        <v>4</v>
      </c>
      <c r="BC13" s="13">
        <v>4</v>
      </c>
      <c r="BD13" s="13">
        <v>4</v>
      </c>
      <c r="BE13" s="13">
        <v>4</v>
      </c>
      <c r="BF13" s="13">
        <v>4</v>
      </c>
      <c r="BG13" s="13">
        <v>4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150</v>
      </c>
      <c r="BX13" s="13">
        <v>150</v>
      </c>
      <c r="BZ13" s="12">
        <v>10</v>
      </c>
      <c r="CA13" s="13"/>
      <c r="CC13" s="12">
        <v>10</v>
      </c>
      <c r="CD13" s="13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98</v>
      </c>
      <c r="K14" s="65">
        <v>4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300</v>
      </c>
      <c r="AD14" s="13">
        <v>11</v>
      </c>
      <c r="AE14" s="13">
        <v>11</v>
      </c>
      <c r="AG14" s="12">
        <v>11</v>
      </c>
      <c r="AH14" s="13">
        <v>161</v>
      </c>
      <c r="AI14" s="13">
        <v>0</v>
      </c>
      <c r="AJ14" s="13">
        <v>0</v>
      </c>
      <c r="AL14" s="12">
        <v>11</v>
      </c>
      <c r="AM14" s="13">
        <v>7</v>
      </c>
      <c r="AN14" s="13">
        <v>6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172</v>
      </c>
      <c r="BW14" s="13">
        <v>11</v>
      </c>
      <c r="BX14" s="13">
        <v>11</v>
      </c>
      <c r="BZ14" s="12">
        <v>11</v>
      </c>
      <c r="CA14" s="13"/>
      <c r="CC14" s="12">
        <v>11</v>
      </c>
      <c r="CD14" s="13"/>
    </row>
    <row r="15" spans="1:82">
      <c r="D15" s="109">
        <f>SUM(D3:D14)</f>
        <v>5591</v>
      </c>
      <c r="E15" s="109">
        <f>SUM(E3:E14)</f>
        <v>4622</v>
      </c>
      <c r="F15" s="109">
        <f>SUM(F3:F14)</f>
        <v>4300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30</v>
      </c>
      <c r="AD15" s="13">
        <v>150</v>
      </c>
      <c r="AE15" s="13">
        <v>150</v>
      </c>
      <c r="AG15" s="12">
        <v>12</v>
      </c>
      <c r="AH15" s="13">
        <v>16</v>
      </c>
      <c r="AI15" s="13">
        <v>150</v>
      </c>
      <c r="AJ15" s="13">
        <v>7</v>
      </c>
      <c r="AL15" s="12">
        <v>12</v>
      </c>
      <c r="AM15" s="13">
        <v>2</v>
      </c>
      <c r="AN15" s="13">
        <v>100</v>
      </c>
      <c r="AO15" s="13">
        <v>150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">
        <v>9</v>
      </c>
      <c r="AY15" s="13">
        <v>46</v>
      </c>
      <c r="AZ15" s="13">
        <v>70</v>
      </c>
      <c r="BA15" s="13">
        <v>20</v>
      </c>
      <c r="BB15" s="13">
        <v>20</v>
      </c>
      <c r="BC15" s="13">
        <v>20</v>
      </c>
      <c r="BD15" s="13">
        <v>70</v>
      </c>
      <c r="BE15" s="13">
        <v>70</v>
      </c>
      <c r="BF15" s="13">
        <v>70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30</v>
      </c>
      <c r="BW15" s="13">
        <v>150</v>
      </c>
      <c r="BX15" s="13">
        <v>150</v>
      </c>
      <c r="BZ15" s="12">
        <v>12</v>
      </c>
      <c r="CA15" s="13"/>
      <c r="CC15" s="12">
        <v>12</v>
      </c>
      <c r="CD15" s="13"/>
    </row>
    <row r="16" spans="1:82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300</v>
      </c>
      <c r="AD16" s="13">
        <v>300</v>
      </c>
      <c r="AE16" s="13">
        <v>250</v>
      </c>
      <c r="AG16" s="12">
        <v>13</v>
      </c>
      <c r="AH16" s="13">
        <v>161</v>
      </c>
      <c r="AI16" s="13">
        <v>0</v>
      </c>
      <c r="AJ16" s="13">
        <v>1</v>
      </c>
      <c r="AL16" s="12">
        <v>13</v>
      </c>
      <c r="AM16" s="13">
        <v>7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172</v>
      </c>
      <c r="BW16" s="13">
        <v>250</v>
      </c>
      <c r="BX16" s="13">
        <v>250</v>
      </c>
      <c r="BZ16" s="12">
        <v>13</v>
      </c>
      <c r="CA16" s="13"/>
      <c r="CC16" s="12">
        <v>13</v>
      </c>
      <c r="CD16" s="13"/>
    </row>
    <row r="17" spans="1:82" ht="16.8">
      <c r="A17" s="31" t="s">
        <v>118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13">
        <v>150</v>
      </c>
      <c r="AE17" s="13">
        <v>150</v>
      </c>
      <c r="AG17" s="12">
        <v>14</v>
      </c>
      <c r="AH17" s="13">
        <v>9</v>
      </c>
      <c r="AI17" s="13">
        <v>150</v>
      </c>
      <c r="AJ17" s="13">
        <v>7</v>
      </c>
      <c r="AL17" s="12">
        <v>14</v>
      </c>
      <c r="AM17" s="13">
        <v>0</v>
      </c>
      <c r="AN17" s="13">
        <v>100</v>
      </c>
      <c r="AO17" s="13">
        <v>150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">
        <v>5</v>
      </c>
      <c r="AY17" s="13">
        <v>5</v>
      </c>
      <c r="AZ17" s="13">
        <v>5</v>
      </c>
      <c r="BA17" s="13">
        <v>5</v>
      </c>
      <c r="BB17" s="13">
        <v>5</v>
      </c>
      <c r="BC17" s="13">
        <v>5</v>
      </c>
      <c r="BD17" s="13">
        <v>5</v>
      </c>
      <c r="BE17" s="13">
        <v>5</v>
      </c>
      <c r="BF17" s="13">
        <v>5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13">
        <v>150</v>
      </c>
      <c r="BX17" s="13">
        <v>150</v>
      </c>
      <c r="BZ17" s="12">
        <v>14</v>
      </c>
      <c r="CA17" s="13"/>
      <c r="CC17" s="12">
        <v>14</v>
      </c>
      <c r="CD17" s="13"/>
    </row>
    <row r="18" spans="1:82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300</v>
      </c>
      <c r="AD18" s="13">
        <v>9</v>
      </c>
      <c r="AE18" s="13">
        <v>5</v>
      </c>
      <c r="AG18" s="12">
        <v>15</v>
      </c>
      <c r="AH18" s="13">
        <v>161</v>
      </c>
      <c r="AI18" s="13">
        <v>0</v>
      </c>
      <c r="AJ18" s="13">
        <v>1</v>
      </c>
      <c r="AL18" s="12">
        <v>15</v>
      </c>
      <c r="AM18" s="13">
        <v>7</v>
      </c>
      <c r="AN18" s="13">
        <v>10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172</v>
      </c>
      <c r="BW18" s="13">
        <v>5</v>
      </c>
      <c r="BX18" s="13">
        <v>5</v>
      </c>
      <c r="BZ18" s="12">
        <v>15</v>
      </c>
      <c r="CA18" s="13"/>
      <c r="CC18" s="12">
        <v>15</v>
      </c>
      <c r="CD18" s="13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2900</v>
      </c>
      <c r="E19" s="110">
        <f t="shared" ref="E19:F30" si="2">SUMIF(T$3:T$38,$A19,AI$3:AI$38)</f>
        <v>2700</v>
      </c>
      <c r="F19" s="5">
        <f t="shared" si="2"/>
        <v>126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150</v>
      </c>
      <c r="AE19" s="13">
        <v>150</v>
      </c>
      <c r="AG19" s="12">
        <v>16</v>
      </c>
      <c r="AH19" s="13">
        <v>8</v>
      </c>
      <c r="AI19" s="13">
        <v>150</v>
      </c>
      <c r="AJ19" s="13">
        <v>7</v>
      </c>
      <c r="AL19" s="12">
        <v>16</v>
      </c>
      <c r="AM19" s="13">
        <v>0</v>
      </c>
      <c r="AN19" s="13">
        <v>100</v>
      </c>
      <c r="AO19" s="13">
        <v>150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">
        <v>70</v>
      </c>
      <c r="AY19" s="13">
        <v>70</v>
      </c>
      <c r="AZ19" s="13">
        <v>70</v>
      </c>
      <c r="BA19" s="13">
        <v>70</v>
      </c>
      <c r="BB19" s="13">
        <v>70</v>
      </c>
      <c r="BC19" s="13">
        <v>70</v>
      </c>
      <c r="BD19" s="13">
        <v>70</v>
      </c>
      <c r="BE19" s="13">
        <v>70</v>
      </c>
      <c r="BF19" s="13">
        <v>70</v>
      </c>
      <c r="BG19" s="13">
        <v>70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150</v>
      </c>
      <c r="BX19" s="13">
        <v>150</v>
      </c>
      <c r="BZ19" s="12">
        <v>16</v>
      </c>
      <c r="CA19" s="13"/>
      <c r="CC19" s="12">
        <v>16</v>
      </c>
      <c r="CD19" s="13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6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300</v>
      </c>
      <c r="AD20" s="13">
        <v>11</v>
      </c>
      <c r="AE20" s="13">
        <v>11</v>
      </c>
      <c r="AG20" s="12">
        <v>17</v>
      </c>
      <c r="AH20" s="13">
        <v>161</v>
      </c>
      <c r="AI20" s="13">
        <v>0</v>
      </c>
      <c r="AJ20" s="13">
        <v>1</v>
      </c>
      <c r="AL20" s="12">
        <v>17</v>
      </c>
      <c r="AM20" s="13">
        <v>7</v>
      </c>
      <c r="AN20" s="13">
        <v>6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172</v>
      </c>
      <c r="BW20" s="13">
        <v>11</v>
      </c>
      <c r="BX20" s="13">
        <v>11</v>
      </c>
      <c r="BZ20" s="12">
        <v>17</v>
      </c>
      <c r="CA20" s="13"/>
      <c r="CC20" s="12">
        <v>17</v>
      </c>
      <c r="CD20" s="13"/>
    </row>
    <row r="21" spans="1:82">
      <c r="A21" s="21">
        <v>1</v>
      </c>
      <c r="B21" s="21">
        <v>2</v>
      </c>
      <c r="C21" s="6">
        <v>1</v>
      </c>
      <c r="D21" s="7">
        <f t="shared" si="3"/>
        <v>97</v>
      </c>
      <c r="E21" s="109">
        <f t="shared" si="2"/>
        <v>0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30</v>
      </c>
      <c r="AD21" s="13">
        <v>150</v>
      </c>
      <c r="AE21" s="13">
        <v>150</v>
      </c>
      <c r="AG21" s="12">
        <v>18</v>
      </c>
      <c r="AH21" s="13">
        <v>16</v>
      </c>
      <c r="AI21" s="13">
        <v>150</v>
      </c>
      <c r="AJ21" s="13">
        <v>7</v>
      </c>
      <c r="AL21" s="12">
        <v>18</v>
      </c>
      <c r="AM21" s="13">
        <v>2</v>
      </c>
      <c r="AN21" s="13">
        <v>100</v>
      </c>
      <c r="AO21" s="13">
        <v>150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">
        <v>4</v>
      </c>
      <c r="AY21" s="13">
        <v>4</v>
      </c>
      <c r="AZ21" s="13">
        <v>4</v>
      </c>
      <c r="BA21" s="13">
        <v>4</v>
      </c>
      <c r="BB21" s="13">
        <v>4</v>
      </c>
      <c r="BC21" s="13">
        <v>4</v>
      </c>
      <c r="BD21" s="13">
        <v>4</v>
      </c>
      <c r="BE21" s="13">
        <v>4</v>
      </c>
      <c r="BF21" s="13">
        <v>4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30</v>
      </c>
      <c r="BW21" s="13">
        <v>150</v>
      </c>
      <c r="BX21" s="13">
        <v>150</v>
      </c>
      <c r="BZ21" s="12">
        <v>18</v>
      </c>
      <c r="CA21" s="13"/>
      <c r="CC21" s="12">
        <v>18</v>
      </c>
      <c r="CD21" s="13"/>
    </row>
    <row r="22" spans="1:82">
      <c r="A22" s="22">
        <v>5</v>
      </c>
      <c r="B22" s="22">
        <v>3</v>
      </c>
      <c r="C22" s="24">
        <v>5</v>
      </c>
      <c r="D22" s="7">
        <f t="shared" si="3"/>
        <v>53</v>
      </c>
      <c r="E22" s="109">
        <f t="shared" si="2"/>
        <v>0</v>
      </c>
      <c r="F22" s="8">
        <f t="shared" si="2"/>
        <v>4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300</v>
      </c>
      <c r="AD22" s="13">
        <v>300</v>
      </c>
      <c r="AE22" s="13">
        <v>250</v>
      </c>
      <c r="AG22" s="12">
        <v>19</v>
      </c>
      <c r="AH22" s="13">
        <v>161</v>
      </c>
      <c r="AI22" s="13">
        <v>0</v>
      </c>
      <c r="AJ22" s="13">
        <v>1</v>
      </c>
      <c r="AL22" s="12">
        <v>19</v>
      </c>
      <c r="AM22" s="13">
        <v>7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172</v>
      </c>
      <c r="BW22" s="13">
        <v>250</v>
      </c>
      <c r="BX22" s="13">
        <v>250</v>
      </c>
      <c r="BZ22" s="12">
        <v>19</v>
      </c>
      <c r="CA22" s="13"/>
      <c r="CC22" s="12">
        <v>19</v>
      </c>
      <c r="CD22" s="13"/>
    </row>
    <row r="23" spans="1:82">
      <c r="A23" s="22">
        <v>10</v>
      </c>
      <c r="B23" s="22">
        <v>4</v>
      </c>
      <c r="C23" s="24">
        <v>10</v>
      </c>
      <c r="D23" s="7">
        <f t="shared" si="3"/>
        <v>51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13">
        <v>150</v>
      </c>
      <c r="AE23" s="13">
        <v>150</v>
      </c>
      <c r="AG23" s="12">
        <v>20</v>
      </c>
      <c r="AH23" s="13">
        <v>9</v>
      </c>
      <c r="AI23" s="13">
        <v>150</v>
      </c>
      <c r="AJ23" s="13">
        <v>7</v>
      </c>
      <c r="AL23" s="12">
        <v>20</v>
      </c>
      <c r="AM23" s="13">
        <v>1</v>
      </c>
      <c r="AN23" s="13">
        <v>100</v>
      </c>
      <c r="AO23" s="13">
        <v>150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">
        <v>9</v>
      </c>
      <c r="AY23" s="13">
        <v>46</v>
      </c>
      <c r="AZ23" s="13">
        <v>70</v>
      </c>
      <c r="BA23" s="13">
        <v>20</v>
      </c>
      <c r="BB23" s="13">
        <v>20</v>
      </c>
      <c r="BC23" s="13">
        <v>20</v>
      </c>
      <c r="BD23" s="13">
        <v>70</v>
      </c>
      <c r="BE23" s="13">
        <v>70</v>
      </c>
      <c r="BF23" s="13">
        <v>70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13">
        <v>150</v>
      </c>
      <c r="BX23" s="13">
        <v>150</v>
      </c>
      <c r="BZ23" s="12">
        <v>20</v>
      </c>
      <c r="CA23" s="13"/>
      <c r="CC23" s="12">
        <v>20</v>
      </c>
      <c r="CD23" s="13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300</v>
      </c>
      <c r="AD24" s="13">
        <v>9</v>
      </c>
      <c r="AE24" s="13">
        <v>5</v>
      </c>
      <c r="AG24" s="12">
        <v>21</v>
      </c>
      <c r="AH24" s="13">
        <v>161</v>
      </c>
      <c r="AI24" s="13">
        <v>0</v>
      </c>
      <c r="AJ24" s="13">
        <v>1</v>
      </c>
      <c r="AL24" s="12">
        <v>21</v>
      </c>
      <c r="AM24" s="13">
        <v>7</v>
      </c>
      <c r="AN24" s="13">
        <v>10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172</v>
      </c>
      <c r="BW24" s="13">
        <v>5</v>
      </c>
      <c r="BX24" s="13">
        <v>5</v>
      </c>
      <c r="BZ24" s="12">
        <v>21</v>
      </c>
      <c r="CA24" s="13"/>
      <c r="CC24" s="12">
        <v>21</v>
      </c>
      <c r="CD24" s="13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150</v>
      </c>
      <c r="AE25" s="13">
        <v>150</v>
      </c>
      <c r="AG25" s="12">
        <v>22</v>
      </c>
      <c r="AH25" s="13">
        <v>8</v>
      </c>
      <c r="AI25" s="13">
        <v>150</v>
      </c>
      <c r="AJ25" s="13">
        <v>7</v>
      </c>
      <c r="AL25" s="12">
        <v>22</v>
      </c>
      <c r="AM25" s="13">
        <v>0</v>
      </c>
      <c r="AN25" s="13">
        <v>100</v>
      </c>
      <c r="AO25" s="13">
        <v>150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">
        <v>5</v>
      </c>
      <c r="AY25" s="13">
        <v>5</v>
      </c>
      <c r="AZ25" s="13">
        <v>5</v>
      </c>
      <c r="BA25" s="13">
        <v>5</v>
      </c>
      <c r="BB25" s="13">
        <v>5</v>
      </c>
      <c r="BC25" s="13">
        <v>5</v>
      </c>
      <c r="BD25" s="13">
        <v>5</v>
      </c>
      <c r="BE25" s="13">
        <v>5</v>
      </c>
      <c r="BF25" s="13">
        <v>5</v>
      </c>
      <c r="BG25" s="13">
        <v>5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150</v>
      </c>
      <c r="BX25" s="13">
        <v>150</v>
      </c>
      <c r="BZ25" s="12">
        <v>22</v>
      </c>
      <c r="CA25" s="13"/>
      <c r="CC25" s="12">
        <v>22</v>
      </c>
      <c r="CD25" s="13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300</v>
      </c>
      <c r="AD26" s="13">
        <v>11</v>
      </c>
      <c r="AE26" s="13">
        <v>11</v>
      </c>
      <c r="AG26" s="12">
        <v>23</v>
      </c>
      <c r="AH26" s="13">
        <v>161</v>
      </c>
      <c r="AI26" s="13">
        <v>0</v>
      </c>
      <c r="AJ26" s="13">
        <v>1</v>
      </c>
      <c r="AL26" s="12">
        <v>23</v>
      </c>
      <c r="AM26" s="13">
        <v>7</v>
      </c>
      <c r="AN26" s="13">
        <v>6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172</v>
      </c>
      <c r="BW26" s="13">
        <v>11</v>
      </c>
      <c r="BX26" s="13">
        <v>11</v>
      </c>
      <c r="BZ26" s="12">
        <v>23</v>
      </c>
      <c r="CA26" s="13"/>
      <c r="CC26" s="12">
        <v>23</v>
      </c>
      <c r="CD26" s="13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30</v>
      </c>
      <c r="AD27" s="13">
        <v>150</v>
      </c>
      <c r="AE27" s="13">
        <v>150</v>
      </c>
      <c r="AG27" s="12">
        <v>24</v>
      </c>
      <c r="AH27" s="13">
        <v>16</v>
      </c>
      <c r="AI27" s="13">
        <v>150</v>
      </c>
      <c r="AJ27" s="13">
        <v>7</v>
      </c>
      <c r="AL27" s="12">
        <v>24</v>
      </c>
      <c r="AM27" s="13">
        <v>2</v>
      </c>
      <c r="AN27" s="13">
        <v>100</v>
      </c>
      <c r="AO27" s="13">
        <v>150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70</v>
      </c>
      <c r="AY27" s="13">
        <v>70</v>
      </c>
      <c r="AZ27" s="13">
        <v>70</v>
      </c>
      <c r="BA27" s="13">
        <v>70</v>
      </c>
      <c r="BB27" s="13">
        <v>70</v>
      </c>
      <c r="BC27" s="13">
        <v>70</v>
      </c>
      <c r="BD27" s="13">
        <v>70</v>
      </c>
      <c r="BE27" s="13">
        <v>70</v>
      </c>
      <c r="BF27" s="13">
        <v>70</v>
      </c>
      <c r="BG27" s="13">
        <v>70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30</v>
      </c>
      <c r="BW27" s="13">
        <v>150</v>
      </c>
      <c r="BX27" s="13">
        <v>150</v>
      </c>
      <c r="BZ27" s="12">
        <v>24</v>
      </c>
      <c r="CA27" s="13"/>
      <c r="CC27" s="12">
        <v>24</v>
      </c>
      <c r="CD27" s="13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300</v>
      </c>
      <c r="AD28" s="13">
        <v>300</v>
      </c>
      <c r="AE28" s="13">
        <v>250</v>
      </c>
      <c r="AG28" s="12">
        <v>25</v>
      </c>
      <c r="AH28" s="13">
        <v>161</v>
      </c>
      <c r="AI28" s="13">
        <v>0</v>
      </c>
      <c r="AJ28" s="13">
        <v>1</v>
      </c>
      <c r="AL28" s="12">
        <v>25</v>
      </c>
      <c r="AM28" s="13">
        <v>7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172</v>
      </c>
      <c r="BW28" s="13">
        <v>250</v>
      </c>
      <c r="BX28" s="13">
        <v>250</v>
      </c>
      <c r="BZ28" s="12">
        <v>25</v>
      </c>
      <c r="CA28" s="13"/>
      <c r="CC28" s="12">
        <v>25</v>
      </c>
      <c r="CD28" s="13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13">
        <v>150</v>
      </c>
      <c r="AE29" s="13">
        <v>150</v>
      </c>
      <c r="AG29" s="12">
        <v>26</v>
      </c>
      <c r="AH29" s="13">
        <v>9</v>
      </c>
      <c r="AI29" s="13">
        <v>150</v>
      </c>
      <c r="AJ29" s="13">
        <v>7</v>
      </c>
      <c r="AL29" s="12">
        <v>26</v>
      </c>
      <c r="AM29" s="13">
        <v>0</v>
      </c>
      <c r="AN29" s="13">
        <v>100</v>
      </c>
      <c r="AO29" s="13">
        <v>150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4</v>
      </c>
      <c r="AY29" s="13">
        <v>4</v>
      </c>
      <c r="AZ29" s="13">
        <v>4</v>
      </c>
      <c r="BA29" s="13">
        <v>4</v>
      </c>
      <c r="BB29" s="13">
        <v>4</v>
      </c>
      <c r="BC29" s="13">
        <v>4</v>
      </c>
      <c r="BD29" s="13">
        <v>4</v>
      </c>
      <c r="BE29" s="13">
        <v>4</v>
      </c>
      <c r="BF29" s="13">
        <v>4</v>
      </c>
      <c r="BG29" s="13">
        <v>4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13">
        <v>150</v>
      </c>
      <c r="BX29" s="13">
        <v>150</v>
      </c>
      <c r="BZ29" s="12">
        <v>26</v>
      </c>
      <c r="CA29" s="13"/>
      <c r="CC29" s="12">
        <v>26</v>
      </c>
      <c r="CD29" s="13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300</v>
      </c>
      <c r="AD30" s="13">
        <v>9</v>
      </c>
      <c r="AE30" s="13">
        <v>5</v>
      </c>
      <c r="AG30" s="12">
        <v>27</v>
      </c>
      <c r="AH30" s="13">
        <v>161</v>
      </c>
      <c r="AI30" s="13">
        <v>0</v>
      </c>
      <c r="AJ30" s="13">
        <v>1</v>
      </c>
      <c r="AL30" s="12">
        <v>27</v>
      </c>
      <c r="AM30" s="13">
        <v>7</v>
      </c>
      <c r="AN30" s="13">
        <v>6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172</v>
      </c>
      <c r="BW30" s="13">
        <v>5</v>
      </c>
      <c r="BX30" s="13">
        <v>5</v>
      </c>
      <c r="BZ30" s="12">
        <v>27</v>
      </c>
      <c r="CA30" s="13"/>
      <c r="CC30" s="12">
        <v>27</v>
      </c>
      <c r="CD30" s="13"/>
    </row>
    <row r="31" spans="1:82">
      <c r="D31" s="113">
        <f>SUM(D19:D30)</f>
        <v>3101</v>
      </c>
      <c r="E31" s="113">
        <f>SUM(E19:E30)</f>
        <v>2700</v>
      </c>
      <c r="F31" s="113">
        <f>SUM(F19:F30)</f>
        <v>142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13">
        <v>150</v>
      </c>
      <c r="AG31" s="12">
        <v>28</v>
      </c>
      <c r="AH31" s="13">
        <v>8</v>
      </c>
      <c r="AI31" s="13">
        <v>150</v>
      </c>
      <c r="AJ31" s="13">
        <v>7</v>
      </c>
      <c r="AL31" s="12">
        <v>28</v>
      </c>
      <c r="AM31" s="13">
        <v>0</v>
      </c>
      <c r="AN31" s="13">
        <v>100</v>
      </c>
      <c r="AO31" s="13">
        <v>150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9</v>
      </c>
      <c r="AY31" s="13">
        <v>47</v>
      </c>
      <c r="AZ31" s="13">
        <v>70</v>
      </c>
      <c r="BA31" s="13">
        <v>20</v>
      </c>
      <c r="BB31" s="13">
        <v>20</v>
      </c>
      <c r="BC31" s="13">
        <v>20</v>
      </c>
      <c r="BD31" s="13">
        <v>70</v>
      </c>
      <c r="BE31" s="13">
        <v>70</v>
      </c>
      <c r="BF31" s="13">
        <v>70</v>
      </c>
      <c r="BG31" s="13">
        <v>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150</v>
      </c>
      <c r="BX31" s="13">
        <v>150</v>
      </c>
      <c r="BZ31" s="12">
        <v>28</v>
      </c>
      <c r="CA31" s="13"/>
      <c r="CC31" s="12">
        <v>28</v>
      </c>
      <c r="CD31" s="13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300</v>
      </c>
      <c r="AD32" s="13">
        <v>11</v>
      </c>
      <c r="AE32" s="13">
        <v>11</v>
      </c>
      <c r="AG32" s="12">
        <v>29</v>
      </c>
      <c r="AH32" s="13">
        <v>161</v>
      </c>
      <c r="AI32" s="13">
        <v>0</v>
      </c>
      <c r="AJ32" s="13">
        <v>1</v>
      </c>
      <c r="AL32" s="12">
        <v>29</v>
      </c>
      <c r="AM32" s="13">
        <v>7</v>
      </c>
      <c r="AN32" s="13">
        <v>6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172</v>
      </c>
      <c r="BW32" s="13">
        <v>11</v>
      </c>
      <c r="BX32" s="13">
        <v>11</v>
      </c>
      <c r="BZ32" s="12">
        <v>29</v>
      </c>
      <c r="CA32" s="13"/>
      <c r="CC32" s="12">
        <v>29</v>
      </c>
      <c r="CD32" s="13"/>
    </row>
    <row r="33" spans="1:82">
      <c r="A33" s="31" t="s">
        <v>119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30</v>
      </c>
      <c r="AD33" s="13">
        <v>150</v>
      </c>
      <c r="AE33" s="13">
        <v>150</v>
      </c>
      <c r="AG33" s="12">
        <v>30</v>
      </c>
      <c r="AH33" s="13">
        <v>16</v>
      </c>
      <c r="AI33" s="13">
        <v>150</v>
      </c>
      <c r="AJ33" s="13">
        <v>7</v>
      </c>
      <c r="AL33" s="12">
        <v>30</v>
      </c>
      <c r="AM33" s="13">
        <v>0</v>
      </c>
      <c r="AN33" s="13">
        <v>100</v>
      </c>
      <c r="AO33" s="13">
        <v>150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">
        <v>5</v>
      </c>
      <c r="AY33" s="13">
        <v>5</v>
      </c>
      <c r="AZ33" s="13">
        <v>5</v>
      </c>
      <c r="BA33" s="13">
        <v>5</v>
      </c>
      <c r="BB33" s="13">
        <v>5</v>
      </c>
      <c r="BC33" s="13">
        <v>5</v>
      </c>
      <c r="BD33" s="13">
        <v>5</v>
      </c>
      <c r="BE33" s="13">
        <v>5</v>
      </c>
      <c r="BF33" s="13">
        <v>5</v>
      </c>
      <c r="BG33" s="13">
        <v>5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30</v>
      </c>
      <c r="BW33" s="13">
        <v>150</v>
      </c>
      <c r="BX33" s="13">
        <v>150</v>
      </c>
      <c r="BZ33" s="12">
        <v>30</v>
      </c>
      <c r="CA33" s="13"/>
      <c r="CC33" s="12">
        <v>30</v>
      </c>
      <c r="CD33" s="13"/>
    </row>
    <row r="34" spans="1:82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K34">
        <f>SUMPRODUCT(H35:H42,_xlfn.ANCHORARRAY(J35))</f>
        <v>12.114989733059549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300</v>
      </c>
      <c r="AD34" s="13">
        <v>300</v>
      </c>
      <c r="AE34" s="13">
        <v>250</v>
      </c>
      <c r="AG34" s="12">
        <v>31</v>
      </c>
      <c r="AH34" s="13">
        <v>161</v>
      </c>
      <c r="AI34" s="13">
        <v>0</v>
      </c>
      <c r="AJ34" s="13">
        <v>1</v>
      </c>
      <c r="AL34" s="12">
        <v>31</v>
      </c>
      <c r="AM34" s="13">
        <v>7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172</v>
      </c>
      <c r="BW34" s="13">
        <v>250</v>
      </c>
      <c r="BX34" s="13">
        <v>250</v>
      </c>
      <c r="BZ34" s="12">
        <v>31</v>
      </c>
      <c r="CA34" s="13"/>
      <c r="CC34" s="12">
        <v>31</v>
      </c>
      <c r="CD34" s="13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126</v>
      </c>
      <c r="E35" s="110">
        <f t="shared" ref="E35:F46" si="4">SUMIF(T$3:T$38,$A35,AN$3:AN$38)</f>
        <v>1800</v>
      </c>
      <c r="F35" s="5">
        <f t="shared" si="4"/>
        <v>2700</v>
      </c>
      <c r="G35" s="109"/>
      <c r="H35" s="22">
        <v>5</v>
      </c>
      <c r="I35" s="8">
        <f>SUMIF(CA$3:CA$38,$H35,$CD$3:$CD$38)</f>
        <v>1000</v>
      </c>
      <c r="J35" cm="1">
        <f t="array" ref="J35:J42">I35:I42/SUM($I$35:$I$42)</f>
        <v>0.20533880903490759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13">
        <v>150</v>
      </c>
      <c r="AE35" s="13">
        <v>150</v>
      </c>
      <c r="AG35" s="12">
        <v>32</v>
      </c>
      <c r="AH35" s="13">
        <v>9</v>
      </c>
      <c r="AI35" s="13">
        <v>150</v>
      </c>
      <c r="AJ35" s="13">
        <v>7</v>
      </c>
      <c r="AL35" s="12">
        <v>32</v>
      </c>
      <c r="AM35" s="13">
        <v>0</v>
      </c>
      <c r="AN35" s="13">
        <v>100</v>
      </c>
      <c r="AO35" s="13">
        <v>150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">
        <v>70</v>
      </c>
      <c r="AY35" s="13">
        <v>70</v>
      </c>
      <c r="AZ35" s="13">
        <v>70</v>
      </c>
      <c r="BA35" s="13">
        <v>70</v>
      </c>
      <c r="BB35" s="13">
        <v>70</v>
      </c>
      <c r="BC35" s="13">
        <v>70</v>
      </c>
      <c r="BD35" s="13">
        <v>70</v>
      </c>
      <c r="BE35" s="13">
        <v>70</v>
      </c>
      <c r="BF35" s="13">
        <v>70</v>
      </c>
      <c r="BG35" s="13">
        <v>70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13">
        <v>150</v>
      </c>
      <c r="BX35" s="13">
        <v>150</v>
      </c>
      <c r="BZ35" s="12">
        <v>32</v>
      </c>
      <c r="CA35" s="13"/>
      <c r="CC35" s="12">
        <v>32</v>
      </c>
      <c r="CD35" s="13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480</v>
      </c>
      <c r="F36" s="8">
        <f t="shared" si="4"/>
        <v>0</v>
      </c>
      <c r="G36" s="109"/>
      <c r="H36" s="22">
        <v>10</v>
      </c>
      <c r="I36" s="8">
        <f t="shared" ref="I36:I42" si="6">SUMIF(CA$3:CA$38,$H36,$CD$3:$CD$38)</f>
        <v>3000</v>
      </c>
      <c r="J36">
        <v>0.61601642710472282</v>
      </c>
      <c r="K36" s="122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300</v>
      </c>
      <c r="AD36" s="13">
        <v>9</v>
      </c>
      <c r="AE36" s="13">
        <v>5</v>
      </c>
      <c r="AG36" s="12">
        <v>33</v>
      </c>
      <c r="AH36" s="13">
        <v>161</v>
      </c>
      <c r="AI36" s="13">
        <v>0</v>
      </c>
      <c r="AJ36" s="13">
        <v>1</v>
      </c>
      <c r="AL36" s="12">
        <v>33</v>
      </c>
      <c r="AM36" s="13">
        <v>7</v>
      </c>
      <c r="AN36" s="13">
        <v>10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172</v>
      </c>
      <c r="BW36" s="13">
        <v>5</v>
      </c>
      <c r="BX36" s="13">
        <v>5</v>
      </c>
      <c r="BZ36" s="12">
        <v>33</v>
      </c>
      <c r="CA36" s="13"/>
      <c r="CC36" s="12">
        <v>33</v>
      </c>
      <c r="CD36" s="13"/>
    </row>
    <row r="37" spans="1:82">
      <c r="A37" s="21">
        <v>1</v>
      </c>
      <c r="B37" s="21">
        <v>2</v>
      </c>
      <c r="C37" s="6">
        <v>1</v>
      </c>
      <c r="D37" s="7">
        <f t="shared" si="5"/>
        <v>11</v>
      </c>
      <c r="E37" s="109">
        <f t="shared" si="4"/>
        <v>56</v>
      </c>
      <c r="F37" s="8">
        <f t="shared" si="4"/>
        <v>0</v>
      </c>
      <c r="G37" s="109"/>
      <c r="H37" s="22">
        <v>15</v>
      </c>
      <c r="I37" s="8">
        <f t="shared" si="6"/>
        <v>500</v>
      </c>
      <c r="J37">
        <v>0.10266940451745379</v>
      </c>
      <c r="K37" s="122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150</v>
      </c>
      <c r="AE37" s="13">
        <v>150</v>
      </c>
      <c r="AG37" s="12">
        <v>34</v>
      </c>
      <c r="AH37" s="13">
        <v>8</v>
      </c>
      <c r="AI37" s="13">
        <v>150</v>
      </c>
      <c r="AJ37" s="13">
        <v>7</v>
      </c>
      <c r="AL37" s="12">
        <v>34</v>
      </c>
      <c r="AM37" s="13">
        <v>0</v>
      </c>
      <c r="AN37" s="13">
        <v>100</v>
      </c>
      <c r="AO37" s="13">
        <v>150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">
        <v>4</v>
      </c>
      <c r="AY37" s="13">
        <v>4</v>
      </c>
      <c r="AZ37" s="13">
        <v>4</v>
      </c>
      <c r="BA37" s="13">
        <v>4</v>
      </c>
      <c r="BB37" s="13">
        <v>4</v>
      </c>
      <c r="BC37" s="13">
        <v>4</v>
      </c>
      <c r="BD37" s="13">
        <v>4</v>
      </c>
      <c r="BE37" s="13">
        <v>4</v>
      </c>
      <c r="BF37" s="13">
        <v>4</v>
      </c>
      <c r="BG37" s="13">
        <v>4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150</v>
      </c>
      <c r="BX37" s="13">
        <v>150</v>
      </c>
      <c r="BZ37" s="12">
        <v>34</v>
      </c>
      <c r="CA37" s="13"/>
      <c r="CC37" s="12">
        <v>34</v>
      </c>
      <c r="CD37" s="13"/>
    </row>
    <row r="38" spans="1:82">
      <c r="A38" s="22">
        <v>5</v>
      </c>
      <c r="B38" s="22">
        <v>3</v>
      </c>
      <c r="C38" s="24">
        <v>5</v>
      </c>
      <c r="D38" s="7">
        <f t="shared" si="5"/>
        <v>3</v>
      </c>
      <c r="E38" s="109">
        <f t="shared" si="4"/>
        <v>36</v>
      </c>
      <c r="F38" s="8">
        <f t="shared" si="4"/>
        <v>0</v>
      </c>
      <c r="G38" s="109"/>
      <c r="H38" s="22">
        <v>20</v>
      </c>
      <c r="I38" s="8">
        <f t="shared" si="6"/>
        <v>100</v>
      </c>
      <c r="J38">
        <v>2.0533880903490759E-2</v>
      </c>
      <c r="K38" s="122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300</v>
      </c>
      <c r="AD38" s="13">
        <v>11</v>
      </c>
      <c r="AE38" s="13">
        <v>11</v>
      </c>
      <c r="AG38" s="12">
        <v>35</v>
      </c>
      <c r="AH38" s="13">
        <v>161</v>
      </c>
      <c r="AI38" s="13">
        <v>0</v>
      </c>
      <c r="AJ38" s="13">
        <v>1</v>
      </c>
      <c r="AL38" s="12">
        <v>35</v>
      </c>
      <c r="AM38" s="13">
        <v>7</v>
      </c>
      <c r="AN38" s="13">
        <v>6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172</v>
      </c>
      <c r="BW38" s="13">
        <v>11</v>
      </c>
      <c r="BX38" s="13">
        <v>11</v>
      </c>
      <c r="BZ38" s="12">
        <v>35</v>
      </c>
      <c r="CA38" s="13"/>
      <c r="CC38" s="12">
        <v>35</v>
      </c>
      <c r="CD38" s="13"/>
    </row>
    <row r="39" spans="1:82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50</v>
      </c>
      <c r="J39">
        <v>1.0266940451745379E-2</v>
      </c>
      <c r="K39" s="122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">
        <v>9</v>
      </c>
      <c r="AY39" s="13">
        <v>47</v>
      </c>
      <c r="AZ39" s="13">
        <v>70</v>
      </c>
      <c r="BA39" s="13">
        <v>20</v>
      </c>
      <c r="BB39" s="13">
        <v>20</v>
      </c>
      <c r="BC39" s="13">
        <v>20</v>
      </c>
      <c r="BD39" s="13">
        <v>70</v>
      </c>
      <c r="BE39" s="13">
        <v>70</v>
      </c>
      <c r="BF39" s="13">
        <v>70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200</v>
      </c>
      <c r="J40">
        <v>4.1067761806981518E-2</v>
      </c>
      <c r="K40" s="122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10</v>
      </c>
      <c r="J41">
        <v>2.0533880903490761E-3</v>
      </c>
      <c r="K41" s="122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20</v>
      </c>
      <c r="BE41" s="13">
        <v>20</v>
      </c>
      <c r="BF41" s="13">
        <v>20</v>
      </c>
      <c r="BG41" s="13">
        <v>0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10</v>
      </c>
      <c r="J42">
        <v>2.0533880903490761E-3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D47" s="109">
        <v>3096</v>
      </c>
      <c r="E47" s="109">
        <v>2941</v>
      </c>
      <c r="F47" s="109">
        <v>2700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2" t="s">
        <v>21</v>
      </c>
      <c r="B57" s="22">
        <v>6</v>
      </c>
      <c r="C57" s="24" t="s">
        <v>26</v>
      </c>
      <c r="D57" s="56">
        <f t="shared" si="8"/>
        <v>350</v>
      </c>
      <c r="E57" s="109">
        <f t="shared" si="7"/>
        <v>350</v>
      </c>
      <c r="F57" s="8">
        <f t="shared" si="7"/>
        <v>350</v>
      </c>
      <c r="G57" s="7">
        <f t="shared" si="7"/>
        <v>350</v>
      </c>
      <c r="H57" s="109">
        <f t="shared" si="7"/>
        <v>350</v>
      </c>
      <c r="I57" s="109">
        <f t="shared" si="7"/>
        <v>350</v>
      </c>
      <c r="J57" s="109">
        <f t="shared" si="7"/>
        <v>350</v>
      </c>
      <c r="K57" s="109">
        <f t="shared" si="7"/>
        <v>350</v>
      </c>
      <c r="L57" s="109">
        <f t="shared" si="7"/>
        <v>350</v>
      </c>
      <c r="M57" s="49">
        <f t="shared" si="7"/>
        <v>350</v>
      </c>
      <c r="N57" s="109">
        <f t="shared" si="7"/>
        <v>0</v>
      </c>
      <c r="O57" s="8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 t="s">
        <v>22</v>
      </c>
      <c r="B58" s="21">
        <v>7</v>
      </c>
      <c r="C58" s="6" t="s">
        <v>27</v>
      </c>
      <c r="D58" s="56">
        <f t="shared" si="8"/>
        <v>45</v>
      </c>
      <c r="E58" s="109">
        <f t="shared" si="7"/>
        <v>232</v>
      </c>
      <c r="F58" s="8">
        <f t="shared" si="7"/>
        <v>350</v>
      </c>
      <c r="G58" s="7">
        <f t="shared" si="7"/>
        <v>100</v>
      </c>
      <c r="H58" s="109">
        <f t="shared" si="7"/>
        <v>100</v>
      </c>
      <c r="I58" s="109">
        <f t="shared" si="7"/>
        <v>100</v>
      </c>
      <c r="J58" s="109">
        <f t="shared" si="7"/>
        <v>350</v>
      </c>
      <c r="K58" s="109">
        <f t="shared" si="7"/>
        <v>350</v>
      </c>
      <c r="L58" s="109">
        <f t="shared" si="7"/>
        <v>350</v>
      </c>
      <c r="M58" s="49">
        <f t="shared" si="7"/>
        <v>1</v>
      </c>
      <c r="N58" s="109">
        <f t="shared" si="7"/>
        <v>0</v>
      </c>
      <c r="O58" s="8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1" t="s">
        <v>24</v>
      </c>
      <c r="B60" s="21">
        <v>9</v>
      </c>
      <c r="C60" s="6" t="s">
        <v>16</v>
      </c>
      <c r="D60" s="56">
        <f t="shared" si="8"/>
        <v>20</v>
      </c>
      <c r="E60" s="109">
        <f t="shared" si="7"/>
        <v>20</v>
      </c>
      <c r="F60" s="8">
        <f t="shared" si="7"/>
        <v>20</v>
      </c>
      <c r="G60" s="7">
        <f t="shared" si="7"/>
        <v>20</v>
      </c>
      <c r="H60" s="109">
        <f t="shared" si="7"/>
        <v>20</v>
      </c>
      <c r="I60" s="109">
        <f t="shared" si="7"/>
        <v>20</v>
      </c>
      <c r="J60" s="109">
        <f t="shared" si="7"/>
        <v>20</v>
      </c>
      <c r="K60" s="109">
        <f t="shared" si="7"/>
        <v>20</v>
      </c>
      <c r="L60" s="109">
        <f t="shared" si="7"/>
        <v>20</v>
      </c>
      <c r="M60" s="49">
        <f t="shared" si="7"/>
        <v>20</v>
      </c>
      <c r="N60" s="109">
        <f t="shared" si="7"/>
        <v>0</v>
      </c>
      <c r="O60" s="8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 t="s">
        <v>35</v>
      </c>
      <c r="B61" s="22">
        <v>10</v>
      </c>
      <c r="C61" s="6" t="s">
        <v>37</v>
      </c>
      <c r="D61" s="56">
        <f t="shared" si="8"/>
        <v>20</v>
      </c>
      <c r="E61" s="109">
        <f t="shared" si="7"/>
        <v>20</v>
      </c>
      <c r="F61" s="8">
        <f t="shared" si="7"/>
        <v>20</v>
      </c>
      <c r="G61" s="7">
        <f t="shared" si="7"/>
        <v>20</v>
      </c>
      <c r="H61" s="109">
        <f t="shared" si="7"/>
        <v>20</v>
      </c>
      <c r="I61" s="109">
        <f t="shared" si="7"/>
        <v>20</v>
      </c>
      <c r="J61" s="109">
        <f t="shared" si="7"/>
        <v>40</v>
      </c>
      <c r="K61" s="109">
        <f t="shared" si="7"/>
        <v>40</v>
      </c>
      <c r="L61" s="109">
        <f t="shared" si="7"/>
        <v>40</v>
      </c>
      <c r="M61" s="49">
        <f t="shared" si="7"/>
        <v>20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D63" s="109">
        <f>SUM(D51:D62)</f>
        <v>435</v>
      </c>
      <c r="E63" s="109">
        <f t="shared" ref="E63:O63" si="9">SUM(E51:E62)</f>
        <v>622</v>
      </c>
      <c r="F63" s="109">
        <f t="shared" si="9"/>
        <v>740</v>
      </c>
      <c r="G63" s="109">
        <f t="shared" si="9"/>
        <v>490</v>
      </c>
      <c r="H63" s="109">
        <f t="shared" si="9"/>
        <v>490</v>
      </c>
      <c r="I63" s="109">
        <f t="shared" si="9"/>
        <v>490</v>
      </c>
      <c r="J63" s="109">
        <f t="shared" si="9"/>
        <v>760</v>
      </c>
      <c r="K63" s="109">
        <f t="shared" si="9"/>
        <v>760</v>
      </c>
      <c r="L63" s="109">
        <f t="shared" si="9"/>
        <v>760</v>
      </c>
      <c r="M63" s="109">
        <f t="shared" si="9"/>
        <v>391</v>
      </c>
      <c r="N63" s="109">
        <f t="shared" si="9"/>
        <v>0</v>
      </c>
      <c r="O63" s="109">
        <f t="shared" si="9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D64" s="121">
        <f>D61/D63</f>
        <v>4.5977011494252873E-2</v>
      </c>
      <c r="E64" s="121">
        <f t="shared" ref="E64:O64" si="10">E61/E63</f>
        <v>3.215434083601286E-2</v>
      </c>
      <c r="F64" s="121">
        <f t="shared" si="10"/>
        <v>2.7027027027027029E-2</v>
      </c>
      <c r="G64" s="121">
        <f t="shared" si="10"/>
        <v>4.0816326530612242E-2</v>
      </c>
      <c r="H64" s="121">
        <f t="shared" si="10"/>
        <v>4.0816326530612242E-2</v>
      </c>
      <c r="I64" s="121">
        <f t="shared" si="10"/>
        <v>4.0816326530612242E-2</v>
      </c>
      <c r="J64" s="121">
        <f t="shared" si="10"/>
        <v>5.2631578947368418E-2</v>
      </c>
      <c r="K64" s="121">
        <f t="shared" si="10"/>
        <v>5.2631578947368418E-2</v>
      </c>
      <c r="L64" s="121">
        <f t="shared" si="10"/>
        <v>5.2631578947368418E-2</v>
      </c>
      <c r="M64" s="121">
        <f t="shared" si="10"/>
        <v>5.1150895140664961E-2</v>
      </c>
      <c r="N64" s="121" t="e">
        <f t="shared" si="10"/>
        <v>#DIV/0!</v>
      </c>
      <c r="O64" s="121" t="e">
        <f t="shared" si="10"/>
        <v>#DIV/0!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31" t="s">
        <v>42</v>
      </c>
      <c r="B66" s="2" t="s">
        <v>88</v>
      </c>
      <c r="C66" s="3" t="s">
        <v>116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3100</v>
      </c>
      <c r="E67" s="110">
        <f t="shared" ref="E67:F78" si="11">SUMIF(BM$3:BM$38,$A67,BW$3:BW$38)</f>
        <v>2700</v>
      </c>
      <c r="F67" s="5">
        <f t="shared" si="11"/>
        <v>2700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>
      <c r="A68" s="21">
        <v>0</v>
      </c>
      <c r="B68" s="21">
        <v>1</v>
      </c>
      <c r="C68" s="6">
        <v>0</v>
      </c>
      <c r="D68" s="38">
        <f t="shared" ref="D68:D78" si="12">SUMIF(BL$3:BL$38,$A68,BV$3:BV$38)</f>
        <v>0</v>
      </c>
      <c r="E68" s="109">
        <f t="shared" si="11"/>
        <v>1500</v>
      </c>
      <c r="F68" s="8">
        <f t="shared" si="11"/>
        <v>1500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A69" s="21">
        <v>1</v>
      </c>
      <c r="B69" s="21">
        <v>2</v>
      </c>
      <c r="C69" s="6">
        <v>1</v>
      </c>
      <c r="D69" s="7">
        <f t="shared" si="12"/>
        <v>180</v>
      </c>
      <c r="E69" s="109">
        <f t="shared" si="11"/>
        <v>32</v>
      </c>
      <c r="F69" s="8">
        <f t="shared" si="11"/>
        <v>30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A70" s="22">
        <v>5</v>
      </c>
      <c r="B70" s="22">
        <v>3</v>
      </c>
      <c r="C70" s="24">
        <v>5</v>
      </c>
      <c r="D70" s="7">
        <f t="shared" si="12"/>
        <v>10</v>
      </c>
      <c r="E70" s="109">
        <f t="shared" si="11"/>
        <v>68</v>
      </c>
      <c r="F70" s="8">
        <f t="shared" si="11"/>
        <v>70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22">
        <v>10</v>
      </c>
      <c r="B71" s="22">
        <v>4</v>
      </c>
      <c r="C71" s="24">
        <v>10</v>
      </c>
      <c r="D71" s="7">
        <f t="shared" si="12"/>
        <v>1</v>
      </c>
      <c r="E71" s="60">
        <f t="shared" si="11"/>
        <v>0</v>
      </c>
      <c r="F71" s="39">
        <f t="shared" si="11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21" t="s">
        <v>20</v>
      </c>
      <c r="B72" s="21">
        <v>5</v>
      </c>
      <c r="C72" s="24" t="s">
        <v>29</v>
      </c>
      <c r="D72" s="38">
        <f t="shared" si="12"/>
        <v>0</v>
      </c>
      <c r="E72" s="60">
        <f t="shared" si="11"/>
        <v>0</v>
      </c>
      <c r="F72" s="39">
        <f t="shared" si="11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2" t="s">
        <v>21</v>
      </c>
      <c r="B73" s="22">
        <v>6</v>
      </c>
      <c r="C73" s="24" t="s">
        <v>26</v>
      </c>
      <c r="D73" s="38">
        <f t="shared" si="12"/>
        <v>0</v>
      </c>
      <c r="E73" s="60">
        <f t="shared" si="11"/>
        <v>0</v>
      </c>
      <c r="F73" s="39">
        <f t="shared" si="11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 t="s">
        <v>22</v>
      </c>
      <c r="B74" s="21">
        <v>7</v>
      </c>
      <c r="C74" s="6" t="s">
        <v>27</v>
      </c>
      <c r="D74" s="38">
        <f t="shared" si="12"/>
        <v>0</v>
      </c>
      <c r="E74" s="60">
        <f t="shared" si="11"/>
        <v>0</v>
      </c>
      <c r="F74" s="39">
        <f t="shared" si="11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 t="s">
        <v>23</v>
      </c>
      <c r="B75" s="21">
        <v>8</v>
      </c>
      <c r="C75" s="6" t="s">
        <v>28</v>
      </c>
      <c r="D75" s="38">
        <f t="shared" si="12"/>
        <v>0</v>
      </c>
      <c r="E75" s="60">
        <f t="shared" si="11"/>
        <v>0</v>
      </c>
      <c r="F75" s="39">
        <f t="shared" si="11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1" t="s">
        <v>24</v>
      </c>
      <c r="B76" s="21">
        <v>9</v>
      </c>
      <c r="C76" s="6" t="s">
        <v>16</v>
      </c>
      <c r="D76" s="38">
        <f t="shared" si="12"/>
        <v>0</v>
      </c>
      <c r="E76" s="60">
        <f t="shared" si="11"/>
        <v>0</v>
      </c>
      <c r="F76" s="39">
        <f t="shared" si="11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 t="s">
        <v>35</v>
      </c>
      <c r="B77" s="22">
        <v>10</v>
      </c>
      <c r="C77" s="6" t="s">
        <v>37</v>
      </c>
      <c r="D77" s="38">
        <f t="shared" si="12"/>
        <v>0</v>
      </c>
      <c r="E77" s="60">
        <f t="shared" si="11"/>
        <v>0</v>
      </c>
      <c r="F77" s="39">
        <f t="shared" si="11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3" t="s">
        <v>39</v>
      </c>
      <c r="B78" s="23">
        <v>11</v>
      </c>
      <c r="C78" s="18" t="s">
        <v>38</v>
      </c>
      <c r="D78" s="61">
        <f t="shared" si="12"/>
        <v>0</v>
      </c>
      <c r="E78" s="40">
        <f t="shared" si="11"/>
        <v>0</v>
      </c>
      <c r="F78" s="41">
        <f t="shared" si="11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C114:AE1048576 AC3:AE110">
    <cfRule type="cellIs" dxfId="1178" priority="145" operator="equal">
      <formula>"E"</formula>
    </cfRule>
  </conditionalFormatting>
  <conditionalFormatting sqref="AC2:AE2">
    <cfRule type="cellIs" dxfId="1177" priority="144" operator="equal">
      <formula>"E"</formula>
    </cfRule>
  </conditionalFormatting>
  <conditionalFormatting sqref="AU43:AU103">
    <cfRule type="cellIs" dxfId="1176" priority="131" operator="equal">
      <formula>"E"</formula>
    </cfRule>
  </conditionalFormatting>
  <conditionalFormatting sqref="AW1">
    <cfRule type="cellIs" dxfId="1175" priority="126" operator="equal">
      <formula>"E"</formula>
    </cfRule>
  </conditionalFormatting>
  <conditionalFormatting sqref="AY43:AY103">
    <cfRule type="cellIs" dxfId="1174" priority="125" operator="equal">
      <formula>"E"</formula>
    </cfRule>
  </conditionalFormatting>
  <conditionalFormatting sqref="AY2">
    <cfRule type="cellIs" dxfId="1173" priority="124" operator="equal">
      <formula>"E"</formula>
    </cfRule>
  </conditionalFormatting>
  <conditionalFormatting sqref="AQ1">
    <cfRule type="cellIs" dxfId="1172" priority="121" operator="equal">
      <formula>"E"</formula>
    </cfRule>
  </conditionalFormatting>
  <conditionalFormatting sqref="AT1">
    <cfRule type="cellIs" dxfId="1171" priority="120" operator="equal">
      <formula>"E"</formula>
    </cfRule>
  </conditionalFormatting>
  <conditionalFormatting sqref="AZ43:AZ103">
    <cfRule type="cellIs" dxfId="1170" priority="119" operator="equal">
      <formula>"E"</formula>
    </cfRule>
  </conditionalFormatting>
  <conditionalFormatting sqref="AZ2">
    <cfRule type="cellIs" dxfId="1169" priority="118" operator="equal">
      <formula>"E"</formula>
    </cfRule>
  </conditionalFormatting>
  <conditionalFormatting sqref="BA43:BA103">
    <cfRule type="cellIs" dxfId="1168" priority="117" operator="equal">
      <formula>"E"</formula>
    </cfRule>
  </conditionalFormatting>
  <conditionalFormatting sqref="BA2">
    <cfRule type="cellIs" dxfId="1167" priority="116" operator="equal">
      <formula>"E"</formula>
    </cfRule>
  </conditionalFormatting>
  <conditionalFormatting sqref="BD43:BD103">
    <cfRule type="cellIs" dxfId="1166" priority="111" operator="equal">
      <formula>"E"</formula>
    </cfRule>
  </conditionalFormatting>
  <conditionalFormatting sqref="BD2">
    <cfRule type="cellIs" dxfId="1165" priority="110" operator="equal">
      <formula>"E"</formula>
    </cfRule>
  </conditionalFormatting>
  <conditionalFormatting sqref="BE43:BE103">
    <cfRule type="cellIs" dxfId="1164" priority="109" operator="equal">
      <formula>"E"</formula>
    </cfRule>
  </conditionalFormatting>
  <conditionalFormatting sqref="BE2">
    <cfRule type="cellIs" dxfId="1163" priority="108" operator="equal">
      <formula>"E"</formula>
    </cfRule>
  </conditionalFormatting>
  <conditionalFormatting sqref="BB43:BB103">
    <cfRule type="cellIs" dxfId="1162" priority="115" operator="equal">
      <formula>"E"</formula>
    </cfRule>
  </conditionalFormatting>
  <conditionalFormatting sqref="BB2">
    <cfRule type="cellIs" dxfId="1161" priority="114" operator="equal">
      <formula>"E"</formula>
    </cfRule>
  </conditionalFormatting>
  <conditionalFormatting sqref="BC43:BC103">
    <cfRule type="cellIs" dxfId="1160" priority="113" operator="equal">
      <formula>"E"</formula>
    </cfRule>
  </conditionalFormatting>
  <conditionalFormatting sqref="BC2">
    <cfRule type="cellIs" dxfId="1159" priority="112" operator="equal">
      <formula>"E"</formula>
    </cfRule>
  </conditionalFormatting>
  <conditionalFormatting sqref="BF43:BF103">
    <cfRule type="cellIs" dxfId="1158" priority="107" operator="equal">
      <formula>"E"</formula>
    </cfRule>
  </conditionalFormatting>
  <conditionalFormatting sqref="BF2">
    <cfRule type="cellIs" dxfId="1157" priority="106" operator="equal">
      <formula>"E"</formula>
    </cfRule>
  </conditionalFormatting>
  <conditionalFormatting sqref="BG43:BG103">
    <cfRule type="cellIs" dxfId="1156" priority="101" operator="equal">
      <formula>"E"</formula>
    </cfRule>
  </conditionalFormatting>
  <conditionalFormatting sqref="BG2">
    <cfRule type="cellIs" dxfId="1155" priority="100" operator="equal">
      <formula>"E"</formula>
    </cfRule>
  </conditionalFormatting>
  <conditionalFormatting sqref="BH43:BH103">
    <cfRule type="cellIs" dxfId="1154" priority="98" operator="equal">
      <formula>"E"</formula>
    </cfRule>
  </conditionalFormatting>
  <conditionalFormatting sqref="BH2">
    <cfRule type="cellIs" dxfId="1153" priority="97" operator="equal">
      <formula>"E"</formula>
    </cfRule>
  </conditionalFormatting>
  <conditionalFormatting sqref="BI43:BI103">
    <cfRule type="cellIs" dxfId="1152" priority="75" operator="equal">
      <formula>"E"</formula>
    </cfRule>
  </conditionalFormatting>
  <conditionalFormatting sqref="BI2">
    <cfRule type="cellIs" dxfId="1151" priority="74" operator="equal">
      <formula>"E"</formula>
    </cfRule>
  </conditionalFormatting>
  <conditionalFormatting sqref="AM39:AO103">
    <cfRule type="cellIs" dxfId="1150" priority="28" operator="equal">
      <formula>"E"</formula>
    </cfRule>
  </conditionalFormatting>
  <conditionalFormatting sqref="AM2:AO2">
    <cfRule type="cellIs" dxfId="1149" priority="27" operator="equal">
      <formula>"E"</formula>
    </cfRule>
  </conditionalFormatting>
  <conditionalFormatting sqref="AN3:AN38">
    <cfRule type="cellIs" dxfId="1148" priority="23" operator="equal">
      <formula>"E"</formula>
    </cfRule>
  </conditionalFormatting>
  <conditionalFormatting sqref="CA1:CA1048576">
    <cfRule type="cellIs" dxfId="1147" priority="16" operator="equal">
      <formula>"E"</formula>
    </cfRule>
  </conditionalFormatting>
  <conditionalFormatting sqref="CC1">
    <cfRule type="cellIs" dxfId="1146" priority="15" operator="equal">
      <formula>"E"</formula>
    </cfRule>
  </conditionalFormatting>
  <conditionalFormatting sqref="CC2:CC70">
    <cfRule type="cellIs" dxfId="1145" priority="12" stopIfTrue="1" operator="equal">
      <formula>"WW"</formula>
    </cfRule>
    <cfRule type="cellIs" dxfId="1144" priority="13" stopIfTrue="1" operator="equal">
      <formula>"C2"</formula>
    </cfRule>
  </conditionalFormatting>
  <conditionalFormatting sqref="R1:R70">
    <cfRule type="cellIs" dxfId="1143" priority="163" stopIfTrue="1" operator="equal">
      <formula>"WW"</formula>
    </cfRule>
    <cfRule type="cellIs" dxfId="1142" priority="164" stopIfTrue="1" operator="equal">
      <formula>"C2"</formula>
    </cfRule>
  </conditionalFormatting>
  <conditionalFormatting sqref="S39:U103 Y3:Z52 AU3:AU42 S3:S38">
    <cfRule type="cellIs" dxfId="1141" priority="159" operator="equal">
      <formula>"M4"</formula>
    </cfRule>
    <cfRule type="cellIs" dxfId="1140" priority="160" operator="equal">
      <formula>"M3"</formula>
    </cfRule>
    <cfRule type="cellIs" dxfId="1139" priority="161" operator="equal">
      <formula>"M2"</formula>
    </cfRule>
    <cfRule type="cellIs" dxfId="1138" priority="162" operator="equal">
      <formula>"M1"</formula>
    </cfRule>
  </conditionalFormatting>
  <conditionalFormatting sqref="AD1:AE1 AB1 AS39:AS103 S1:U2 X2:Z103 AU2:AU42 S114:U1048576 S111:T113 S39:U110 S3:S38 AR1:AR1048576">
    <cfRule type="cellIs" dxfId="1137" priority="157" operator="equal">
      <formula>"E"</formula>
    </cfRule>
  </conditionalFormatting>
  <conditionalFormatting sqref="AS39:AS103 AU3:AU42 AR3:AR103">
    <cfRule type="cellIs" dxfId="1136" priority="146" operator="equal">
      <formula>"RE"</formula>
    </cfRule>
    <cfRule type="cellIs" dxfId="1135" priority="147" operator="equal">
      <formula>"3000"</formula>
    </cfRule>
    <cfRule type="cellIs" dxfId="1134" priority="148" operator="equal">
      <formula>"300"</formula>
    </cfRule>
    <cfRule type="cellIs" dxfId="1133" priority="149" operator="equal">
      <formula>"100"</formula>
    </cfRule>
    <cfRule type="cellIs" dxfId="1132" priority="150" operator="equal">
      <formula>"50"</formula>
    </cfRule>
    <cfRule type="cellIs" dxfId="1131" priority="151" operator="equal">
      <formula>"40"</formula>
    </cfRule>
    <cfRule type="cellIs" dxfId="1130" priority="152" operator="equal">
      <formula>"20"</formula>
    </cfRule>
  </conditionalFormatting>
  <conditionalFormatting sqref="AR1 AR104:AR1048576">
    <cfRule type="cellIs" dxfId="1129" priority="153" operator="equal">
      <formula>"M4"</formula>
    </cfRule>
    <cfRule type="cellIs" dxfId="1128" priority="154" operator="equal">
      <formula>"M3"</formula>
    </cfRule>
    <cfRule type="cellIs" dxfId="1127" priority="155" operator="equal">
      <formula>"M1"</formula>
    </cfRule>
    <cfRule type="cellIs" dxfId="1126" priority="156" operator="equal">
      <formula>"M2"</formula>
    </cfRule>
    <cfRule type="cellIs" dxfId="1125" priority="158" stopIfTrue="1" operator="between">
      <formula>"C1"</formula>
      <formula>"C2"</formula>
    </cfRule>
  </conditionalFormatting>
  <conditionalFormatting sqref="AB2:AB70">
    <cfRule type="cellIs" dxfId="1124" priority="142" stopIfTrue="1" operator="equal">
      <formula>"WW"</formula>
    </cfRule>
    <cfRule type="cellIs" dxfId="1123" priority="143" stopIfTrue="1" operator="equal">
      <formula>"C2"</formula>
    </cfRule>
  </conditionalFormatting>
  <conditionalFormatting sqref="W2:W70">
    <cfRule type="cellIs" dxfId="1122" priority="140" stopIfTrue="1" operator="equal">
      <formula>"WW"</formula>
    </cfRule>
    <cfRule type="cellIs" dxfId="1121" priority="141" stopIfTrue="1" operator="equal">
      <formula>"C2"</formula>
    </cfRule>
  </conditionalFormatting>
  <conditionalFormatting sqref="X3:Z103">
    <cfRule type="cellIs" dxfId="1120" priority="136" operator="equal">
      <formula>"M4"</formula>
    </cfRule>
    <cfRule type="cellIs" dxfId="1119" priority="137" operator="equal">
      <formula>"M3"</formula>
    </cfRule>
    <cfRule type="cellIs" dxfId="1118" priority="138" operator="equal">
      <formula>"M2"</formula>
    </cfRule>
    <cfRule type="cellIs" dxfId="1117" priority="139" operator="equal">
      <formula>"M1"</formula>
    </cfRule>
  </conditionalFormatting>
  <conditionalFormatting sqref="AQ2:AQ70">
    <cfRule type="cellIs" dxfId="1116" priority="134" stopIfTrue="1" operator="equal">
      <formula>"WW"</formula>
    </cfRule>
    <cfRule type="cellIs" dxfId="1115" priority="135" stopIfTrue="1" operator="equal">
      <formula>"C2"</formula>
    </cfRule>
  </conditionalFormatting>
  <conditionalFormatting sqref="AT2:AT70">
    <cfRule type="cellIs" dxfId="1114" priority="132" stopIfTrue="1" operator="equal">
      <formula>"WW"</formula>
    </cfRule>
    <cfRule type="cellIs" dxfId="1113" priority="133" stopIfTrue="1" operator="equal">
      <formula>"C2"</formula>
    </cfRule>
  </conditionalFormatting>
  <conditionalFormatting sqref="AU43:AU103">
    <cfRule type="cellIs" dxfId="1112" priority="127" operator="equal">
      <formula>"M4"</formula>
    </cfRule>
    <cfRule type="cellIs" dxfId="1111" priority="128" operator="equal">
      <formula>"M3"</formula>
    </cfRule>
    <cfRule type="cellIs" dxfId="1110" priority="129" operator="equal">
      <formula>"M2"</formula>
    </cfRule>
    <cfRule type="cellIs" dxfId="1109" priority="130" operator="equal">
      <formula>"M1"</formula>
    </cfRule>
  </conditionalFormatting>
  <conditionalFormatting sqref="AW2:AW70">
    <cfRule type="cellIs" dxfId="1108" priority="122" stopIfTrue="1" operator="equal">
      <formula>"WW"</formula>
    </cfRule>
    <cfRule type="cellIs" dxfId="1107" priority="123" stopIfTrue="1" operator="equal">
      <formula>"C2"</formula>
    </cfRule>
  </conditionalFormatting>
  <conditionalFormatting sqref="U113:AE113 AP113">
    <cfRule type="cellIs" dxfId="1106" priority="78" operator="equal">
      <formula>"E"</formula>
    </cfRule>
  </conditionalFormatting>
  <conditionalFormatting sqref="BU1 BL1:BN2 BQ2:BS103 BL39:BN1048576 BL3:BL38">
    <cfRule type="cellIs" dxfId="1105" priority="89" operator="equal">
      <formula>"E"</formula>
    </cfRule>
  </conditionalFormatting>
  <conditionalFormatting sqref="AX43:AX103">
    <cfRule type="cellIs" dxfId="1104" priority="77" operator="equal">
      <formula>"E"</formula>
    </cfRule>
  </conditionalFormatting>
  <conditionalFormatting sqref="BK1:BK70">
    <cfRule type="cellIs" dxfId="1103" priority="94" stopIfTrue="1" operator="equal">
      <formula>"WW"</formula>
    </cfRule>
    <cfRule type="cellIs" dxfId="1102" priority="95" stopIfTrue="1" operator="equal">
      <formula>"C2"</formula>
    </cfRule>
  </conditionalFormatting>
  <conditionalFormatting sqref="BL39:BN103 BR3:BS52 BL3:BL38">
    <cfRule type="cellIs" dxfId="1101" priority="90" operator="equal">
      <formula>"M4"</formula>
    </cfRule>
    <cfRule type="cellIs" dxfId="1100" priority="91" operator="equal">
      <formula>"M3"</formula>
    </cfRule>
    <cfRule type="cellIs" dxfId="1099" priority="92" operator="equal">
      <formula>"M2"</formula>
    </cfRule>
    <cfRule type="cellIs" dxfId="1098" priority="93" operator="equal">
      <formula>"M1"</formula>
    </cfRule>
  </conditionalFormatting>
  <conditionalFormatting sqref="BU2:BU70">
    <cfRule type="cellIs" dxfId="1097" priority="85" stopIfTrue="1" operator="equal">
      <formula>"WW"</formula>
    </cfRule>
    <cfRule type="cellIs" dxfId="1096" priority="86" stopIfTrue="1" operator="equal">
      <formula>"C2"</formula>
    </cfRule>
  </conditionalFormatting>
  <conditionalFormatting sqref="BP2:BP70">
    <cfRule type="cellIs" dxfId="1095" priority="83" stopIfTrue="1" operator="equal">
      <formula>"WW"</formula>
    </cfRule>
    <cfRule type="cellIs" dxfId="1094" priority="84" stopIfTrue="1" operator="equal">
      <formula>"C2"</formula>
    </cfRule>
  </conditionalFormatting>
  <conditionalFormatting sqref="BQ3:BS103">
    <cfRule type="cellIs" dxfId="1093" priority="79" operator="equal">
      <formula>"M4"</formula>
    </cfRule>
    <cfRule type="cellIs" dxfId="1092" priority="80" operator="equal">
      <formula>"M3"</formula>
    </cfRule>
    <cfRule type="cellIs" dxfId="1091" priority="81" operator="equal">
      <formula>"M2"</formula>
    </cfRule>
    <cfRule type="cellIs" dxfId="1090" priority="82" operator="equal">
      <formula>"M1"</formula>
    </cfRule>
  </conditionalFormatting>
  <conditionalFormatting sqref="AX2">
    <cfRule type="cellIs" dxfId="1089" priority="76" operator="equal">
      <formula>"E"</formula>
    </cfRule>
  </conditionalFormatting>
  <conditionalFormatting sqref="T3:T38">
    <cfRule type="cellIs" dxfId="1088" priority="59" operator="equal">
      <formula>"E"</formula>
    </cfRule>
  </conditionalFormatting>
  <conditionalFormatting sqref="BM3:BM38">
    <cfRule type="cellIs" dxfId="1087" priority="70" operator="equal">
      <formula>"M4"</formula>
    </cfRule>
    <cfRule type="cellIs" dxfId="1086" priority="71" operator="equal">
      <formula>"M3"</formula>
    </cfRule>
    <cfRule type="cellIs" dxfId="1085" priority="72" operator="equal">
      <formula>"M2"</formula>
    </cfRule>
    <cfRule type="cellIs" dxfId="1084" priority="73" operator="equal">
      <formula>"M1"</formula>
    </cfRule>
  </conditionalFormatting>
  <conditionalFormatting sqref="BM3:BM38">
    <cfRule type="cellIs" dxfId="1083" priority="69" operator="equal">
      <formula>"E"</formula>
    </cfRule>
  </conditionalFormatting>
  <conditionalFormatting sqref="BN3:BN38">
    <cfRule type="cellIs" dxfId="1082" priority="65" operator="equal">
      <formula>"M4"</formula>
    </cfRule>
    <cfRule type="cellIs" dxfId="1081" priority="66" operator="equal">
      <formula>"M3"</formula>
    </cfRule>
    <cfRule type="cellIs" dxfId="1080" priority="67" operator="equal">
      <formula>"M2"</formula>
    </cfRule>
    <cfRule type="cellIs" dxfId="1079" priority="68" operator="equal">
      <formula>"M1"</formula>
    </cfRule>
  </conditionalFormatting>
  <conditionalFormatting sqref="BN3:BN38">
    <cfRule type="cellIs" dxfId="1078" priority="64" operator="equal">
      <formula>"E"</formula>
    </cfRule>
  </conditionalFormatting>
  <conditionalFormatting sqref="T3:T38">
    <cfRule type="cellIs" dxfId="1077" priority="60" operator="equal">
      <formula>"M4"</formula>
    </cfRule>
    <cfRule type="cellIs" dxfId="1076" priority="61" operator="equal">
      <formula>"M3"</formula>
    </cfRule>
    <cfRule type="cellIs" dxfId="1075" priority="62" operator="equal">
      <formula>"M2"</formula>
    </cfRule>
    <cfRule type="cellIs" dxfId="1074" priority="63" operator="equal">
      <formula>"M1"</formula>
    </cfRule>
  </conditionalFormatting>
  <conditionalFormatting sqref="U3:U38">
    <cfRule type="cellIs" dxfId="1073" priority="55" operator="equal">
      <formula>"M4"</formula>
    </cfRule>
    <cfRule type="cellIs" dxfId="1072" priority="56" operator="equal">
      <formula>"M3"</formula>
    </cfRule>
    <cfRule type="cellIs" dxfId="1071" priority="57" operator="equal">
      <formula>"M2"</formula>
    </cfRule>
    <cfRule type="cellIs" dxfId="1070" priority="58" operator="equal">
      <formula>"M1"</formula>
    </cfRule>
  </conditionalFormatting>
  <conditionalFormatting sqref="U3:U38">
    <cfRule type="cellIs" dxfId="1069" priority="54" operator="equal">
      <formula>"E"</formula>
    </cfRule>
  </conditionalFormatting>
  <conditionalFormatting sqref="AF113">
    <cfRule type="cellIs" dxfId="1068" priority="35" operator="equal">
      <formula>"E"</formula>
    </cfRule>
  </conditionalFormatting>
  <conditionalFormatting sqref="AI1:AJ1 AG1">
    <cfRule type="cellIs" dxfId="1067" priority="34" operator="equal">
      <formula>"E"</formula>
    </cfRule>
  </conditionalFormatting>
  <conditionalFormatting sqref="AH3:AJ103">
    <cfRule type="cellIs" dxfId="1066" priority="33" operator="equal">
      <formula>"E"</formula>
    </cfRule>
  </conditionalFormatting>
  <conditionalFormatting sqref="AH2:AJ2">
    <cfRule type="cellIs" dxfId="1065" priority="32" operator="equal">
      <formula>"E"</formula>
    </cfRule>
  </conditionalFormatting>
  <conditionalFormatting sqref="AG2:AG70">
    <cfRule type="cellIs" dxfId="1064" priority="30" stopIfTrue="1" operator="equal">
      <formula>"WW"</formula>
    </cfRule>
    <cfRule type="cellIs" dxfId="1063" priority="31" stopIfTrue="1" operator="equal">
      <formula>"C2"</formula>
    </cfRule>
  </conditionalFormatting>
  <conditionalFormatting sqref="AN1:AO1 AL1">
    <cfRule type="cellIs" dxfId="1062" priority="29" operator="equal">
      <formula>"E"</formula>
    </cfRule>
  </conditionalFormatting>
  <conditionalFormatting sqref="AL2:AL70">
    <cfRule type="cellIs" dxfId="1061" priority="25" stopIfTrue="1" operator="equal">
      <formula>"WW"</formula>
    </cfRule>
    <cfRule type="cellIs" dxfId="1060" priority="26" stopIfTrue="1" operator="equal">
      <formula>"C2"</formula>
    </cfRule>
  </conditionalFormatting>
  <conditionalFormatting sqref="AO3:AO38">
    <cfRule type="cellIs" dxfId="1059" priority="24" operator="equal">
      <formula>"E"</formula>
    </cfRule>
  </conditionalFormatting>
  <conditionalFormatting sqref="BZ1:BZ70">
    <cfRule type="cellIs" dxfId="1058" priority="21" stopIfTrue="1" operator="equal">
      <formula>"WW"</formula>
    </cfRule>
    <cfRule type="cellIs" dxfId="1057" priority="22" stopIfTrue="1" operator="equal">
      <formula>"C2"</formula>
    </cfRule>
  </conditionalFormatting>
  <conditionalFormatting sqref="CA3:CA103">
    <cfRule type="cellIs" dxfId="1056" priority="17" operator="equal">
      <formula>"M4"</formula>
    </cfRule>
    <cfRule type="cellIs" dxfId="1055" priority="18" operator="equal">
      <formula>"M3"</formula>
    </cfRule>
    <cfRule type="cellIs" dxfId="1054" priority="19" operator="equal">
      <formula>"M2"</formula>
    </cfRule>
    <cfRule type="cellIs" dxfId="1053" priority="20" operator="equal">
      <formula>"M1"</formula>
    </cfRule>
  </conditionalFormatting>
  <conditionalFormatting sqref="AX3:BI42">
    <cfRule type="cellIs" dxfId="1052" priority="9" operator="equal">
      <formula>"E"</formula>
    </cfRule>
  </conditionalFormatting>
  <conditionalFormatting sqref="J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{CAD76FB9-B0D6-4E57-9025-BB856C4775A3}</x14:id>
        </ext>
      </extLst>
    </cfRule>
  </conditionalFormatting>
  <conditionalFormatting sqref="BV114:BX1048576 BV3:BX110">
    <cfRule type="cellIs" dxfId="1051" priority="6" operator="equal">
      <formula>"E"</formula>
    </cfRule>
  </conditionalFormatting>
  <conditionalFormatting sqref="BV2:BX2">
    <cfRule type="cellIs" dxfId="1050" priority="5" operator="equal">
      <formula>"E"</formula>
    </cfRule>
  </conditionalFormatting>
  <conditionalFormatting sqref="BW1:BX1">
    <cfRule type="cellIs" dxfId="1049" priority="7" operator="equal">
      <formula>"E"</formula>
    </cfRule>
  </conditionalFormatting>
  <conditionalFormatting sqref="BV113:BX113">
    <cfRule type="cellIs" dxfId="1048" priority="4" operator="equal">
      <formula>"E"</formula>
    </cfRule>
  </conditionalFormatting>
  <conditionalFormatting sqref="AM3:AM38">
    <cfRule type="cellIs" dxfId="1047" priority="3" operator="equal">
      <formula>"E"</formula>
    </cfRule>
  </conditionalFormatting>
  <conditionalFormatting sqref="CD3:CD1048576">
    <cfRule type="cellIs" dxfId="1046" priority="2" operator="equal">
      <formula>"E"</formula>
    </cfRule>
  </conditionalFormatting>
  <conditionalFormatting sqref="CD2">
    <cfRule type="cellIs" dxfId="104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76FB9-B0D6-4E57-9025-BB856C4775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117</v>
      </c>
      <c r="D1" s="111">
        <v>1</v>
      </c>
      <c r="E1" s="111">
        <v>5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34"/>
      <c r="AE1" s="134"/>
      <c r="AG1" s="11" t="s">
        <v>96</v>
      </c>
      <c r="AI1" s="134"/>
      <c r="AJ1" s="134"/>
      <c r="AL1" s="11" t="s">
        <v>97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45</v>
      </c>
      <c r="BU1" s="20" t="s">
        <v>141</v>
      </c>
      <c r="BW1" s="134"/>
      <c r="BX1" s="134"/>
      <c r="BZ1" s="10" t="s">
        <v>72</v>
      </c>
      <c r="CA1" s="11"/>
      <c r="CC1" s="20" t="s">
        <v>73</v>
      </c>
    </row>
    <row r="2" spans="1:82" ht="18" customHeight="1">
      <c r="A2" s="31" t="s">
        <v>46</v>
      </c>
      <c r="B2" s="2" t="s">
        <v>88</v>
      </c>
      <c r="C2" s="3" t="s">
        <v>116</v>
      </c>
      <c r="D2" s="4" t="s">
        <v>82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71</v>
      </c>
      <c r="CC2" s="12" t="s">
        <v>17</v>
      </c>
      <c r="CD2" s="137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48">
        <f t="shared" ref="E3:F14" si="0">SUMIF(T$3:T$38,$A3,AD$3:AD$38)</f>
        <v>18</v>
      </c>
      <c r="F3" s="5">
        <f t="shared" si="0"/>
        <v>18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47">
        <f t="shared" si="0"/>
        <v>6</v>
      </c>
      <c r="F4" s="8">
        <f t="shared" si="0"/>
        <v>6</v>
      </c>
      <c r="H4" s="28"/>
      <c r="J4" s="62" t="s">
        <v>79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6</v>
      </c>
      <c r="E5" s="147">
        <f t="shared" si="0"/>
        <v>6</v>
      </c>
      <c r="F5" s="8">
        <f t="shared" si="0"/>
        <v>6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2">
        <v>5</v>
      </c>
      <c r="B6" s="22">
        <v>3</v>
      </c>
      <c r="C6" s="24">
        <v>5</v>
      </c>
      <c r="D6" s="7">
        <f t="shared" si="1"/>
        <v>6</v>
      </c>
      <c r="E6" s="147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0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D15" s="109">
        <f>SUM(D3:D14)</f>
        <v>36</v>
      </c>
      <c r="E15" s="109">
        <f>SUM(E3:E14)</f>
        <v>36</v>
      </c>
      <c r="F15" s="109">
        <f>SUM(F3:F14)</f>
        <v>36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A17" s="31" t="s">
        <v>118</v>
      </c>
      <c r="D17" s="111">
        <v>1</v>
      </c>
      <c r="E17" s="111" t="s">
        <v>8</v>
      </c>
      <c r="F17" s="111">
        <v>5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A18" s="31" t="s">
        <v>46</v>
      </c>
      <c r="B18" s="2" t="s">
        <v>10</v>
      </c>
      <c r="C18" s="3" t="s">
        <v>11</v>
      </c>
      <c r="D18" s="4" t="s">
        <v>82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48">
        <f t="shared" ref="E19:F30" si="2">SUMIF(T$3:T$38,$A19,AI$3:AI$38)</f>
        <v>18</v>
      </c>
      <c r="F19" s="5">
        <f t="shared" si="2"/>
        <v>18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47">
        <f t="shared" si="2"/>
        <v>6</v>
      </c>
      <c r="F20" s="8">
        <f t="shared" si="2"/>
        <v>6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A21" s="21">
        <v>1</v>
      </c>
      <c r="B21" s="21">
        <v>2</v>
      </c>
      <c r="C21" s="6">
        <v>1</v>
      </c>
      <c r="D21" s="7">
        <f t="shared" si="3"/>
        <v>6</v>
      </c>
      <c r="E21" s="147">
        <f t="shared" si="2"/>
        <v>6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22">
        <v>5</v>
      </c>
      <c r="B22" s="22">
        <v>3</v>
      </c>
      <c r="C22" s="24">
        <v>5</v>
      </c>
      <c r="D22" s="7">
        <f t="shared" si="3"/>
        <v>6</v>
      </c>
      <c r="E22" s="147">
        <f t="shared" si="2"/>
        <v>6</v>
      </c>
      <c r="F22" s="8">
        <f t="shared" si="2"/>
        <v>6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2">
        <v>10</v>
      </c>
      <c r="B23" s="22">
        <v>4</v>
      </c>
      <c r="C23" s="24">
        <v>10</v>
      </c>
      <c r="D23" s="7">
        <f t="shared" si="3"/>
        <v>6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D31" s="109">
        <f>SUM(D19:D30)</f>
        <v>36</v>
      </c>
      <c r="E31" s="109">
        <f>SUM(E19:E30)</f>
        <v>36</v>
      </c>
      <c r="F31" s="109">
        <f>SUM(F19:F30)</f>
        <v>36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31" t="s">
        <v>119</v>
      </c>
      <c r="D33" s="111" t="s">
        <v>8</v>
      </c>
      <c r="E33" s="111">
        <v>1</v>
      </c>
      <c r="F33" s="111">
        <v>5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31" t="s">
        <v>46</v>
      </c>
      <c r="B34" s="2" t="s">
        <v>10</v>
      </c>
      <c r="C34" s="3" t="s">
        <v>11</v>
      </c>
      <c r="D34" s="4" t="s">
        <v>82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48">
        <f t="shared" ref="E35:F46" si="4">SUMIF(T$3:T$38,$A35,AN$3:AN$38)</f>
        <v>18</v>
      </c>
      <c r="F35" s="5">
        <f t="shared" si="4"/>
        <v>18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47">
        <f t="shared" si="4"/>
        <v>6</v>
      </c>
      <c r="F36" s="8">
        <f t="shared" si="4"/>
        <v>6</v>
      </c>
      <c r="G36" s="109"/>
      <c r="H36" s="22">
        <v>10</v>
      </c>
      <c r="I36" s="8">
        <f t="shared" ref="I36:I42" si="6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21">
        <v>1</v>
      </c>
      <c r="B37" s="21">
        <v>2</v>
      </c>
      <c r="C37" s="6">
        <v>1</v>
      </c>
      <c r="D37" s="7">
        <f t="shared" si="5"/>
        <v>6</v>
      </c>
      <c r="E37" s="147">
        <f t="shared" si="4"/>
        <v>6</v>
      </c>
      <c r="F37" s="8">
        <f t="shared" si="4"/>
        <v>6</v>
      </c>
      <c r="G37" s="109"/>
      <c r="H37" s="22">
        <v>15</v>
      </c>
      <c r="I37" s="8">
        <f t="shared" si="6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A38" s="22">
        <v>5</v>
      </c>
      <c r="B38" s="22">
        <v>3</v>
      </c>
      <c r="C38" s="24">
        <v>5</v>
      </c>
      <c r="D38" s="7">
        <f t="shared" si="5"/>
        <v>6</v>
      </c>
      <c r="E38" s="147">
        <f t="shared" si="4"/>
        <v>6</v>
      </c>
      <c r="F38" s="8">
        <f t="shared" si="4"/>
        <v>6</v>
      </c>
      <c r="G38" s="109"/>
      <c r="H38" s="22">
        <v>20</v>
      </c>
      <c r="I38" s="8">
        <f t="shared" si="6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A39" s="22">
        <v>10</v>
      </c>
      <c r="B39" s="22">
        <v>4</v>
      </c>
      <c r="C39" s="24">
        <v>10</v>
      </c>
      <c r="D39" s="7">
        <f t="shared" si="5"/>
        <v>6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D47" s="109">
        <f>SUM(D35:D46)</f>
        <v>36</v>
      </c>
      <c r="E47" s="109">
        <f>SUM(E35:E46)</f>
        <v>36</v>
      </c>
      <c r="F47" s="109">
        <f>SUM(F35:F46)</f>
        <v>36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" t="s">
        <v>19</v>
      </c>
      <c r="B51" s="2">
        <v>0</v>
      </c>
      <c r="C51" s="4" t="s">
        <v>25</v>
      </c>
      <c r="D51" s="54">
        <f t="shared" ref="D51:F62" si="7">SUMIF($AR$3:$AR$42,$A51,AX$3:AX$42)</f>
        <v>0</v>
      </c>
      <c r="E51" s="110">
        <f t="shared" si="7"/>
        <v>0</v>
      </c>
      <c r="F51" s="110">
        <f>SUMIF($AR$3:$AR$42,$A51,AZ$3:AZ$42)</f>
        <v>0</v>
      </c>
      <c r="G51" s="4">
        <f t="shared" ref="G51:O62" si="8">SUMIF($AR$3:$AR$42,$A51,BA$3:BA$42)</f>
        <v>0</v>
      </c>
      <c r="H51" s="110">
        <f t="shared" si="8"/>
        <v>0</v>
      </c>
      <c r="I51" s="110">
        <f t="shared" si="8"/>
        <v>0</v>
      </c>
      <c r="J51" s="110">
        <f t="shared" si="8"/>
        <v>0</v>
      </c>
      <c r="K51" s="110">
        <f t="shared" si="8"/>
        <v>0</v>
      </c>
      <c r="L51" s="110">
        <f t="shared" si="8"/>
        <v>0</v>
      </c>
      <c r="M51" s="47">
        <f t="shared" si="8"/>
        <v>0</v>
      </c>
      <c r="N51" s="110">
        <f t="shared" si="8"/>
        <v>0</v>
      </c>
      <c r="O51" s="5">
        <f t="shared" si="8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1">
        <v>0</v>
      </c>
      <c r="B52" s="21">
        <v>1</v>
      </c>
      <c r="C52" s="6">
        <v>0</v>
      </c>
      <c r="D52" s="55">
        <f t="shared" si="7"/>
        <v>0</v>
      </c>
      <c r="E52" s="60">
        <f t="shared" si="7"/>
        <v>0</v>
      </c>
      <c r="F52" s="39">
        <f t="shared" si="7"/>
        <v>0</v>
      </c>
      <c r="G52" s="38">
        <f t="shared" si="8"/>
        <v>0</v>
      </c>
      <c r="H52" s="60">
        <f t="shared" si="8"/>
        <v>0</v>
      </c>
      <c r="I52" s="60">
        <f t="shared" si="8"/>
        <v>0</v>
      </c>
      <c r="J52" s="60">
        <f t="shared" si="8"/>
        <v>0</v>
      </c>
      <c r="K52" s="60">
        <f t="shared" si="8"/>
        <v>0</v>
      </c>
      <c r="L52" s="60">
        <f t="shared" si="8"/>
        <v>0</v>
      </c>
      <c r="M52" s="48">
        <f t="shared" si="8"/>
        <v>0</v>
      </c>
      <c r="N52" s="60">
        <f t="shared" si="8"/>
        <v>0</v>
      </c>
      <c r="O52" s="39">
        <f t="shared" si="8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7"/>
        <v>0</v>
      </c>
      <c r="F53" s="39">
        <f t="shared" si="7"/>
        <v>0</v>
      </c>
      <c r="G53" s="38">
        <f t="shared" si="8"/>
        <v>0</v>
      </c>
      <c r="H53" s="60">
        <f t="shared" si="8"/>
        <v>0</v>
      </c>
      <c r="I53" s="60">
        <f t="shared" si="8"/>
        <v>0</v>
      </c>
      <c r="J53" s="60">
        <f t="shared" si="8"/>
        <v>0</v>
      </c>
      <c r="K53" s="60">
        <f t="shared" si="8"/>
        <v>0</v>
      </c>
      <c r="L53" s="60">
        <f t="shared" si="8"/>
        <v>0</v>
      </c>
      <c r="M53" s="48">
        <f t="shared" si="8"/>
        <v>0</v>
      </c>
      <c r="N53" s="60">
        <f t="shared" si="8"/>
        <v>0</v>
      </c>
      <c r="O53" s="39">
        <f t="shared" si="8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7"/>
        <v>0</v>
      </c>
      <c r="F54" s="39">
        <f t="shared" si="7"/>
        <v>0</v>
      </c>
      <c r="G54" s="38">
        <f t="shared" si="8"/>
        <v>0</v>
      </c>
      <c r="H54" s="60">
        <f t="shared" si="8"/>
        <v>0</v>
      </c>
      <c r="I54" s="60">
        <f t="shared" si="8"/>
        <v>0</v>
      </c>
      <c r="J54" s="60">
        <f t="shared" si="8"/>
        <v>0</v>
      </c>
      <c r="K54" s="60">
        <f t="shared" si="8"/>
        <v>0</v>
      </c>
      <c r="L54" s="60">
        <f t="shared" si="8"/>
        <v>0</v>
      </c>
      <c r="M54" s="48">
        <f t="shared" si="8"/>
        <v>0</v>
      </c>
      <c r="N54" s="60">
        <f t="shared" si="8"/>
        <v>0</v>
      </c>
      <c r="O54" s="39">
        <f t="shared" si="8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7"/>
        <v>0</v>
      </c>
      <c r="F55" s="39">
        <f t="shared" si="7"/>
        <v>0</v>
      </c>
      <c r="G55" s="38">
        <f t="shared" si="8"/>
        <v>0</v>
      </c>
      <c r="H55" s="60">
        <f t="shared" si="8"/>
        <v>0</v>
      </c>
      <c r="I55" s="60">
        <f t="shared" si="8"/>
        <v>0</v>
      </c>
      <c r="J55" s="60">
        <f t="shared" si="8"/>
        <v>0</v>
      </c>
      <c r="K55" s="60">
        <f t="shared" si="8"/>
        <v>0</v>
      </c>
      <c r="L55" s="60">
        <f t="shared" si="8"/>
        <v>0</v>
      </c>
      <c r="M55" s="48">
        <f t="shared" si="8"/>
        <v>0</v>
      </c>
      <c r="N55" s="60">
        <f t="shared" si="8"/>
        <v>0</v>
      </c>
      <c r="O55" s="39">
        <f t="shared" si="8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7"/>
        <v>0</v>
      </c>
      <c r="F56" s="39">
        <f t="shared" si="7"/>
        <v>0</v>
      </c>
      <c r="G56" s="38">
        <f t="shared" si="8"/>
        <v>0</v>
      </c>
      <c r="H56" s="60">
        <f t="shared" si="8"/>
        <v>0</v>
      </c>
      <c r="I56" s="60">
        <f t="shared" si="8"/>
        <v>0</v>
      </c>
      <c r="J56" s="60">
        <f t="shared" si="8"/>
        <v>0</v>
      </c>
      <c r="K56" s="60">
        <f t="shared" si="8"/>
        <v>0</v>
      </c>
      <c r="L56" s="60">
        <f t="shared" si="8"/>
        <v>0</v>
      </c>
      <c r="M56" s="48">
        <f t="shared" si="8"/>
        <v>0</v>
      </c>
      <c r="N56" s="60">
        <f t="shared" si="8"/>
        <v>0</v>
      </c>
      <c r="O56" s="39">
        <f t="shared" si="8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2" t="s">
        <v>21</v>
      </c>
      <c r="B57" s="22">
        <v>6</v>
      </c>
      <c r="C57" s="24" t="s">
        <v>26</v>
      </c>
      <c r="D57" s="56">
        <f t="shared" si="7"/>
        <v>5</v>
      </c>
      <c r="E57" s="109">
        <f t="shared" si="7"/>
        <v>5</v>
      </c>
      <c r="F57" s="8">
        <f t="shared" si="7"/>
        <v>5</v>
      </c>
      <c r="G57" s="7">
        <f t="shared" si="8"/>
        <v>5</v>
      </c>
      <c r="H57" s="109">
        <f t="shared" si="8"/>
        <v>5</v>
      </c>
      <c r="I57" s="109">
        <f t="shared" si="8"/>
        <v>5</v>
      </c>
      <c r="J57" s="109">
        <f t="shared" si="8"/>
        <v>5</v>
      </c>
      <c r="K57" s="109">
        <f t="shared" si="8"/>
        <v>5</v>
      </c>
      <c r="L57" s="109">
        <f t="shared" si="8"/>
        <v>5</v>
      </c>
      <c r="M57" s="49">
        <f t="shared" si="8"/>
        <v>5</v>
      </c>
      <c r="N57" s="109">
        <f t="shared" si="8"/>
        <v>5</v>
      </c>
      <c r="O57" s="8">
        <f t="shared" si="8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 t="s">
        <v>22</v>
      </c>
      <c r="B58" s="21">
        <v>7</v>
      </c>
      <c r="C58" s="6" t="s">
        <v>27</v>
      </c>
      <c r="D58" s="56">
        <f t="shared" si="7"/>
        <v>5</v>
      </c>
      <c r="E58" s="109">
        <f t="shared" si="7"/>
        <v>5</v>
      </c>
      <c r="F58" s="8">
        <f t="shared" si="7"/>
        <v>5</v>
      </c>
      <c r="G58" s="7">
        <f t="shared" si="8"/>
        <v>5</v>
      </c>
      <c r="H58" s="109">
        <f t="shared" si="8"/>
        <v>5</v>
      </c>
      <c r="I58" s="109">
        <f t="shared" si="8"/>
        <v>5</v>
      </c>
      <c r="J58" s="109">
        <f t="shared" si="8"/>
        <v>5</v>
      </c>
      <c r="K58" s="109">
        <f t="shared" si="8"/>
        <v>5</v>
      </c>
      <c r="L58" s="109">
        <f t="shared" si="8"/>
        <v>5</v>
      </c>
      <c r="M58" s="49">
        <f t="shared" si="8"/>
        <v>5</v>
      </c>
      <c r="N58" s="109">
        <f t="shared" si="8"/>
        <v>5</v>
      </c>
      <c r="O58" s="8">
        <f t="shared" si="8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7"/>
        <v>0</v>
      </c>
      <c r="F59" s="8">
        <f t="shared" si="7"/>
        <v>0</v>
      </c>
      <c r="G59" s="7">
        <f t="shared" si="8"/>
        <v>0</v>
      </c>
      <c r="H59" s="109">
        <f t="shared" si="8"/>
        <v>0</v>
      </c>
      <c r="I59" s="109">
        <f t="shared" si="8"/>
        <v>0</v>
      </c>
      <c r="J59" s="109">
        <f t="shared" si="8"/>
        <v>0</v>
      </c>
      <c r="K59" s="109">
        <f t="shared" si="8"/>
        <v>0</v>
      </c>
      <c r="L59" s="109">
        <f t="shared" si="8"/>
        <v>0</v>
      </c>
      <c r="M59" s="49">
        <f t="shared" si="8"/>
        <v>0</v>
      </c>
      <c r="N59" s="109">
        <f t="shared" si="8"/>
        <v>0</v>
      </c>
      <c r="O59" s="8">
        <f t="shared" si="8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1" t="s">
        <v>24</v>
      </c>
      <c r="B60" s="21">
        <v>9</v>
      </c>
      <c r="C60" s="6" t="s">
        <v>16</v>
      </c>
      <c r="D60" s="56">
        <f t="shared" si="7"/>
        <v>5</v>
      </c>
      <c r="E60" s="109">
        <f t="shared" si="7"/>
        <v>5</v>
      </c>
      <c r="F60" s="8">
        <f t="shared" si="7"/>
        <v>5</v>
      </c>
      <c r="G60" s="7">
        <f t="shared" si="8"/>
        <v>5</v>
      </c>
      <c r="H60" s="109">
        <f t="shared" si="8"/>
        <v>5</v>
      </c>
      <c r="I60" s="109">
        <f t="shared" si="8"/>
        <v>5</v>
      </c>
      <c r="J60" s="109">
        <f t="shared" si="8"/>
        <v>5</v>
      </c>
      <c r="K60" s="109">
        <f t="shared" si="8"/>
        <v>5</v>
      </c>
      <c r="L60" s="109">
        <f t="shared" si="8"/>
        <v>5</v>
      </c>
      <c r="M60" s="49">
        <f t="shared" si="8"/>
        <v>5</v>
      </c>
      <c r="N60" s="109">
        <f t="shared" si="8"/>
        <v>5</v>
      </c>
      <c r="O60" s="8">
        <f t="shared" si="8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 t="s">
        <v>35</v>
      </c>
      <c r="B61" s="22">
        <v>10</v>
      </c>
      <c r="C61" s="6" t="s">
        <v>37</v>
      </c>
      <c r="D61" s="56">
        <f t="shared" si="7"/>
        <v>5</v>
      </c>
      <c r="E61" s="109">
        <f t="shared" si="7"/>
        <v>5</v>
      </c>
      <c r="F61" s="8">
        <f t="shared" si="7"/>
        <v>5</v>
      </c>
      <c r="G61" s="7">
        <f t="shared" si="8"/>
        <v>5</v>
      </c>
      <c r="H61" s="109">
        <f t="shared" si="8"/>
        <v>5</v>
      </c>
      <c r="I61" s="109">
        <f t="shared" si="8"/>
        <v>5</v>
      </c>
      <c r="J61" s="109">
        <f t="shared" si="8"/>
        <v>5</v>
      </c>
      <c r="K61" s="109">
        <f t="shared" si="8"/>
        <v>5</v>
      </c>
      <c r="L61" s="109">
        <f t="shared" si="8"/>
        <v>5</v>
      </c>
      <c r="M61" s="49">
        <f t="shared" si="8"/>
        <v>5</v>
      </c>
      <c r="N61" s="109">
        <f t="shared" si="8"/>
        <v>5</v>
      </c>
      <c r="O61" s="8">
        <f t="shared" si="8"/>
        <v>5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7"/>
        <v>0</v>
      </c>
      <c r="F62" s="58">
        <f t="shared" si="7"/>
        <v>0</v>
      </c>
      <c r="G62" s="50">
        <f t="shared" si="8"/>
        <v>0</v>
      </c>
      <c r="H62" s="51">
        <f t="shared" si="8"/>
        <v>0</v>
      </c>
      <c r="I62" s="51">
        <f t="shared" si="8"/>
        <v>0</v>
      </c>
      <c r="J62" s="51">
        <f t="shared" si="8"/>
        <v>0</v>
      </c>
      <c r="K62" s="51">
        <f t="shared" si="8"/>
        <v>0</v>
      </c>
      <c r="L62" s="51">
        <f t="shared" si="8"/>
        <v>0</v>
      </c>
      <c r="M62" s="52">
        <f t="shared" si="8"/>
        <v>0</v>
      </c>
      <c r="N62" s="40">
        <f t="shared" si="8"/>
        <v>0</v>
      </c>
      <c r="O62" s="41">
        <f t="shared" si="8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D63" s="109">
        <f>SUM(D51:D62)</f>
        <v>20</v>
      </c>
      <c r="E63" s="109">
        <f t="shared" ref="E63:O63" si="9">SUM(E51:E62)</f>
        <v>20</v>
      </c>
      <c r="F63" s="109">
        <f t="shared" si="9"/>
        <v>20</v>
      </c>
      <c r="G63" s="109">
        <f t="shared" si="9"/>
        <v>20</v>
      </c>
      <c r="H63" s="109">
        <f t="shared" si="9"/>
        <v>20</v>
      </c>
      <c r="I63" s="109">
        <f t="shared" si="9"/>
        <v>20</v>
      </c>
      <c r="J63" s="109">
        <f t="shared" si="9"/>
        <v>20</v>
      </c>
      <c r="K63" s="109">
        <f t="shared" si="9"/>
        <v>20</v>
      </c>
      <c r="L63" s="109">
        <f t="shared" si="9"/>
        <v>20</v>
      </c>
      <c r="M63" s="109">
        <f t="shared" si="9"/>
        <v>20</v>
      </c>
      <c r="N63" s="109">
        <f t="shared" si="9"/>
        <v>20</v>
      </c>
      <c r="O63" s="109">
        <f t="shared" si="9"/>
        <v>20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31" t="s">
        <v>42</v>
      </c>
      <c r="B66" s="2" t="s">
        <v>88</v>
      </c>
      <c r="C66" s="3" t="s">
        <v>116</v>
      </c>
      <c r="D66" s="4" t="s">
        <v>82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6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6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6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V112" s="141"/>
      <c r="BW112" s="141"/>
      <c r="BX112" s="141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E3">
    <cfRule type="cellIs" dxfId="1044" priority="239" operator="equal">
      <formula>"E"</formula>
    </cfRule>
  </conditionalFormatting>
  <conditionalFormatting sqref="AD3:AD38">
    <cfRule type="cellIs" dxfId="1043" priority="238" operator="equal">
      <formula>"E"</formula>
    </cfRule>
  </conditionalFormatting>
  <conditionalFormatting sqref="AU43:AU103">
    <cfRule type="cellIs" dxfId="1042" priority="181" operator="equal">
      <formula>"E"</formula>
    </cfRule>
  </conditionalFormatting>
  <conditionalFormatting sqref="AF113">
    <cfRule type="cellIs" dxfId="1041" priority="286" operator="equal">
      <formula>"E"</formula>
    </cfRule>
  </conditionalFormatting>
  <conditionalFormatting sqref="R1:R70">
    <cfRule type="cellIs" dxfId="1040" priority="421" stopIfTrue="1" operator="equal">
      <formula>"WW"</formula>
    </cfRule>
    <cfRule type="cellIs" dxfId="1039" priority="422" stopIfTrue="1" operator="equal">
      <formula>"C2"</formula>
    </cfRule>
  </conditionalFormatting>
  <conditionalFormatting sqref="S39:U103 Y3:Z52 S3:S38">
    <cfRule type="cellIs" dxfId="1038" priority="417" operator="equal">
      <formula>"M4"</formula>
    </cfRule>
    <cfRule type="cellIs" dxfId="1037" priority="418" operator="equal">
      <formula>"M3"</formula>
    </cfRule>
    <cfRule type="cellIs" dxfId="1036" priority="419" operator="equal">
      <formula>"M2"</formula>
    </cfRule>
    <cfRule type="cellIs" dxfId="1035" priority="420" operator="equal">
      <formula>"M1"</formula>
    </cfRule>
  </conditionalFormatting>
  <conditionalFormatting sqref="AD1:AE1 AB1 S1:U2 X2:Z103 S114:U1048576 S111:T113 S39:U110 S3:S38">
    <cfRule type="cellIs" dxfId="1034" priority="415" operator="equal">
      <formula>"E"</formula>
    </cfRule>
  </conditionalFormatting>
  <conditionalFormatting sqref="AC39:AE110 AC114:AE1048576 AC3:AC38">
    <cfRule type="cellIs" dxfId="1033" priority="403" operator="equal">
      <formula>"E"</formula>
    </cfRule>
  </conditionalFormatting>
  <conditionalFormatting sqref="AC2:AE2">
    <cfRule type="cellIs" dxfId="1032" priority="402" operator="equal">
      <formula>"E"</formula>
    </cfRule>
  </conditionalFormatting>
  <conditionalFormatting sqref="AB2:AB70">
    <cfRule type="cellIs" dxfId="1031" priority="400" stopIfTrue="1" operator="equal">
      <formula>"WW"</formula>
    </cfRule>
    <cfRule type="cellIs" dxfId="1030" priority="401" stopIfTrue="1" operator="equal">
      <formula>"C2"</formula>
    </cfRule>
  </conditionalFormatting>
  <conditionalFormatting sqref="W2:W70">
    <cfRule type="cellIs" dxfId="1029" priority="398" stopIfTrue="1" operator="equal">
      <formula>"WW"</formula>
    </cfRule>
    <cfRule type="cellIs" dxfId="1028" priority="399" stopIfTrue="1" operator="equal">
      <formula>"C2"</formula>
    </cfRule>
  </conditionalFormatting>
  <conditionalFormatting sqref="X3:Z103">
    <cfRule type="cellIs" dxfId="1027" priority="394" operator="equal">
      <formula>"M4"</formula>
    </cfRule>
    <cfRule type="cellIs" dxfId="1026" priority="395" operator="equal">
      <formula>"M3"</formula>
    </cfRule>
    <cfRule type="cellIs" dxfId="1025" priority="396" operator="equal">
      <formula>"M2"</formula>
    </cfRule>
    <cfRule type="cellIs" dxfId="1024" priority="397" operator="equal">
      <formula>"M1"</formula>
    </cfRule>
  </conditionalFormatting>
  <conditionalFormatting sqref="AQ1">
    <cfRule type="cellIs" dxfId="1023" priority="171" operator="equal">
      <formula>"E"</formula>
    </cfRule>
  </conditionalFormatting>
  <conditionalFormatting sqref="AT1">
    <cfRule type="cellIs" dxfId="1022" priority="170" operator="equal">
      <formula>"E"</formula>
    </cfRule>
  </conditionalFormatting>
  <conditionalFormatting sqref="AG1">
    <cfRule type="cellIs" dxfId="1021" priority="285" operator="equal">
      <formula>"E"</formula>
    </cfRule>
  </conditionalFormatting>
  <conditionalFormatting sqref="AL1">
    <cfRule type="cellIs" dxfId="1020" priority="280" operator="equal">
      <formula>"E"</formula>
    </cfRule>
  </conditionalFormatting>
  <conditionalFormatting sqref="BM3:BM38">
    <cfRule type="cellIs" dxfId="1019" priority="120" operator="equal">
      <formula>"E"</formula>
    </cfRule>
  </conditionalFormatting>
  <conditionalFormatting sqref="BL1:BN2 BQ2:BS103 BL39:BN1048576 BL3:BL38">
    <cfRule type="cellIs" dxfId="1018" priority="139" operator="equal">
      <formula>"E"</formula>
    </cfRule>
  </conditionalFormatting>
  <conditionalFormatting sqref="U113:AE113 AP113">
    <cfRule type="cellIs" dxfId="1017" priority="333" operator="equal">
      <formula>"E"</formula>
    </cfRule>
  </conditionalFormatting>
  <conditionalFormatting sqref="T3:T38">
    <cfRule type="cellIs" dxfId="1016" priority="324" operator="equal">
      <formula>"M4"</formula>
    </cfRule>
    <cfRule type="cellIs" dxfId="1015" priority="325" operator="equal">
      <formula>"M3"</formula>
    </cfRule>
    <cfRule type="cellIs" dxfId="1014" priority="326" operator="equal">
      <formula>"M2"</formula>
    </cfRule>
    <cfRule type="cellIs" dxfId="1013" priority="327" operator="equal">
      <formula>"M1"</formula>
    </cfRule>
  </conditionalFormatting>
  <conditionalFormatting sqref="T3:T38">
    <cfRule type="cellIs" dxfId="1012" priority="323" operator="equal">
      <formula>"E"</formula>
    </cfRule>
  </conditionalFormatting>
  <conditionalFormatting sqref="U3:U38">
    <cfRule type="cellIs" dxfId="1011" priority="314" operator="equal">
      <formula>"M4"</formula>
    </cfRule>
    <cfRule type="cellIs" dxfId="1010" priority="315" operator="equal">
      <formula>"M3"</formula>
    </cfRule>
    <cfRule type="cellIs" dxfId="1009" priority="316" operator="equal">
      <formula>"M2"</formula>
    </cfRule>
    <cfRule type="cellIs" dxfId="1008" priority="317" operator="equal">
      <formula>"M1"</formula>
    </cfRule>
  </conditionalFormatting>
  <conditionalFormatting sqref="U3:U38">
    <cfRule type="cellIs" dxfId="1007" priority="313" operator="equal">
      <formula>"E"</formula>
    </cfRule>
  </conditionalFormatting>
  <conditionalFormatting sqref="AE4:AE38">
    <cfRule type="cellIs" dxfId="1006" priority="307" operator="equal">
      <formula>"E"</formula>
    </cfRule>
  </conditionalFormatting>
  <conditionalFormatting sqref="AG2:AG70">
    <cfRule type="cellIs" dxfId="1005" priority="281" stopIfTrue="1" operator="equal">
      <formula>"WW"</formula>
    </cfRule>
    <cfRule type="cellIs" dxfId="1004" priority="282" stopIfTrue="1" operator="equal">
      <formula>"C2"</formula>
    </cfRule>
  </conditionalFormatting>
  <conditionalFormatting sqref="AL2:AL70">
    <cfRule type="cellIs" dxfId="1003" priority="276" stopIfTrue="1" operator="equal">
      <formula>"WW"</formula>
    </cfRule>
    <cfRule type="cellIs" dxfId="1002" priority="277" stopIfTrue="1" operator="equal">
      <formula>"C2"</formula>
    </cfRule>
  </conditionalFormatting>
  <conditionalFormatting sqref="CA3:CA103">
    <cfRule type="cellIs" dxfId="1001" priority="91" operator="equal">
      <formula>"M4"</formula>
    </cfRule>
    <cfRule type="cellIs" dxfId="1000" priority="92" operator="equal">
      <formula>"M3"</formula>
    </cfRule>
    <cfRule type="cellIs" dxfId="999" priority="93" operator="equal">
      <formula>"M2"</formula>
    </cfRule>
    <cfRule type="cellIs" dxfId="998" priority="94" operator="equal">
      <formula>"M1"</formula>
    </cfRule>
  </conditionalFormatting>
  <conditionalFormatting sqref="CA1:CA1048576">
    <cfRule type="cellIs" dxfId="997" priority="90" operator="equal">
      <formula>"E"</formula>
    </cfRule>
  </conditionalFormatting>
  <conditionalFormatting sqref="CC1">
    <cfRule type="cellIs" dxfId="996" priority="89" operator="equal">
      <formula>"E"</formula>
    </cfRule>
  </conditionalFormatting>
  <conditionalFormatting sqref="CC2:CC70">
    <cfRule type="cellIs" dxfId="995" priority="86" stopIfTrue="1" operator="equal">
      <formula>"WW"</formula>
    </cfRule>
    <cfRule type="cellIs" dxfId="994" priority="87" stopIfTrue="1" operator="equal">
      <formula>"C2"</formula>
    </cfRule>
  </conditionalFormatting>
  <conditionalFormatting sqref="AU3:AU42">
    <cfRule type="cellIs" dxfId="993" priority="199" operator="equal">
      <formula>"M4"</formula>
    </cfRule>
    <cfRule type="cellIs" dxfId="992" priority="200" operator="equal">
      <formula>"M3"</formula>
    </cfRule>
    <cfRule type="cellIs" dxfId="991" priority="201" operator="equal">
      <formula>"M2"</formula>
    </cfRule>
    <cfRule type="cellIs" dxfId="990" priority="202" operator="equal">
      <formula>"M1"</formula>
    </cfRule>
  </conditionalFormatting>
  <conditionalFormatting sqref="AS39:AS103 AU2:AU42 AR2:AR1048576">
    <cfRule type="cellIs" dxfId="989" priority="197" operator="equal">
      <formula>"E"</formula>
    </cfRule>
  </conditionalFormatting>
  <conditionalFormatting sqref="AS39:AS103 AU3:AU42 AR3:AR103">
    <cfRule type="cellIs" dxfId="988" priority="186" operator="equal">
      <formula>"RE"</formula>
    </cfRule>
    <cfRule type="cellIs" dxfId="987" priority="187" operator="equal">
      <formula>"3000"</formula>
    </cfRule>
    <cfRule type="cellIs" dxfId="986" priority="188" operator="equal">
      <formula>"300"</formula>
    </cfRule>
    <cfRule type="cellIs" dxfId="985" priority="189" operator="equal">
      <formula>"100"</formula>
    </cfRule>
    <cfRule type="cellIs" dxfId="984" priority="190" operator="equal">
      <formula>"50"</formula>
    </cfRule>
    <cfRule type="cellIs" dxfId="983" priority="191" operator="equal">
      <formula>"40"</formula>
    </cfRule>
    <cfRule type="cellIs" dxfId="982" priority="192" operator="equal">
      <formula>"20"</formula>
    </cfRule>
  </conditionalFormatting>
  <conditionalFormatting sqref="AR104:AR1048576">
    <cfRule type="cellIs" dxfId="981" priority="193" operator="equal">
      <formula>"M4"</formula>
    </cfRule>
    <cfRule type="cellIs" dxfId="980" priority="194" operator="equal">
      <formula>"M3"</formula>
    </cfRule>
    <cfRule type="cellIs" dxfId="979" priority="195" operator="equal">
      <formula>"M1"</formula>
    </cfRule>
    <cfRule type="cellIs" dxfId="978" priority="196" operator="equal">
      <formula>"M2"</formula>
    </cfRule>
    <cfRule type="cellIs" dxfId="977" priority="198" stopIfTrue="1" operator="between">
      <formula>"C1"</formula>
      <formula>"C2"</formula>
    </cfRule>
  </conditionalFormatting>
  <conditionalFormatting sqref="AQ2:AQ70">
    <cfRule type="cellIs" dxfId="976" priority="184" stopIfTrue="1" operator="equal">
      <formula>"WW"</formula>
    </cfRule>
    <cfRule type="cellIs" dxfId="975" priority="185" stopIfTrue="1" operator="equal">
      <formula>"C2"</formula>
    </cfRule>
  </conditionalFormatting>
  <conditionalFormatting sqref="AT2:AT70">
    <cfRule type="cellIs" dxfId="974" priority="182" stopIfTrue="1" operator="equal">
      <formula>"WW"</formula>
    </cfRule>
    <cfRule type="cellIs" dxfId="973" priority="183" stopIfTrue="1" operator="equal">
      <formula>"C2"</formula>
    </cfRule>
  </conditionalFormatting>
  <conditionalFormatting sqref="AU43:AU103">
    <cfRule type="cellIs" dxfId="972" priority="177" operator="equal">
      <formula>"M4"</formula>
    </cfRule>
    <cfRule type="cellIs" dxfId="971" priority="178" operator="equal">
      <formula>"M3"</formula>
    </cfRule>
    <cfRule type="cellIs" dxfId="970" priority="179" operator="equal">
      <formula>"M2"</formula>
    </cfRule>
    <cfRule type="cellIs" dxfId="969" priority="180" operator="equal">
      <formula>"M1"</formula>
    </cfRule>
  </conditionalFormatting>
  <conditionalFormatting sqref="BK1:BK70">
    <cfRule type="cellIs" dxfId="968" priority="144" stopIfTrue="1" operator="equal">
      <formula>"WW"</formula>
    </cfRule>
    <cfRule type="cellIs" dxfId="967" priority="145" stopIfTrue="1" operator="equal">
      <formula>"C2"</formula>
    </cfRule>
  </conditionalFormatting>
  <conditionalFormatting sqref="BL39:BN103 BR3:BS52 BL3:BL38">
    <cfRule type="cellIs" dxfId="966" priority="140" operator="equal">
      <formula>"M4"</formula>
    </cfRule>
    <cfRule type="cellIs" dxfId="965" priority="141" operator="equal">
      <formula>"M3"</formula>
    </cfRule>
    <cfRule type="cellIs" dxfId="964" priority="142" operator="equal">
      <formula>"M2"</formula>
    </cfRule>
    <cfRule type="cellIs" dxfId="963" priority="143" operator="equal">
      <formula>"M1"</formula>
    </cfRule>
  </conditionalFormatting>
  <conditionalFormatting sqref="BP2:BP70">
    <cfRule type="cellIs" dxfId="962" priority="133" stopIfTrue="1" operator="equal">
      <formula>"WW"</formula>
    </cfRule>
    <cfRule type="cellIs" dxfId="961" priority="134" stopIfTrue="1" operator="equal">
      <formula>"C2"</formula>
    </cfRule>
  </conditionalFormatting>
  <conditionalFormatting sqref="BQ3:BS103">
    <cfRule type="cellIs" dxfId="960" priority="129" operator="equal">
      <formula>"M4"</formula>
    </cfRule>
    <cfRule type="cellIs" dxfId="959" priority="130" operator="equal">
      <formula>"M3"</formula>
    </cfRule>
    <cfRule type="cellIs" dxfId="958" priority="131" operator="equal">
      <formula>"M2"</formula>
    </cfRule>
    <cfRule type="cellIs" dxfId="957" priority="132" operator="equal">
      <formula>"M1"</formula>
    </cfRule>
  </conditionalFormatting>
  <conditionalFormatting sqref="BM3:BM38">
    <cfRule type="cellIs" dxfId="956" priority="121" operator="equal">
      <formula>"M4"</formula>
    </cfRule>
    <cfRule type="cellIs" dxfId="955" priority="122" operator="equal">
      <formula>"M3"</formula>
    </cfRule>
    <cfRule type="cellIs" dxfId="954" priority="123" operator="equal">
      <formula>"M2"</formula>
    </cfRule>
    <cfRule type="cellIs" dxfId="953" priority="124" operator="equal">
      <formula>"M1"</formula>
    </cfRule>
  </conditionalFormatting>
  <conditionalFormatting sqref="BN3:BN38">
    <cfRule type="cellIs" dxfId="952" priority="116" operator="equal">
      <formula>"M4"</formula>
    </cfRule>
    <cfRule type="cellIs" dxfId="951" priority="117" operator="equal">
      <formula>"M3"</formula>
    </cfRule>
    <cfRule type="cellIs" dxfId="950" priority="118" operator="equal">
      <formula>"M2"</formula>
    </cfRule>
    <cfRule type="cellIs" dxfId="949" priority="119" operator="equal">
      <formula>"M1"</formula>
    </cfRule>
  </conditionalFormatting>
  <conditionalFormatting sqref="BN3:BN38">
    <cfRule type="cellIs" dxfId="948" priority="115" operator="equal">
      <formula>"E"</formula>
    </cfRule>
  </conditionalFormatting>
  <conditionalFormatting sqref="BZ1:BZ70">
    <cfRule type="cellIs" dxfId="947" priority="95" stopIfTrue="1" operator="equal">
      <formula>"WW"</formula>
    </cfRule>
    <cfRule type="cellIs" dxfId="946" priority="96" stopIfTrue="1" operator="equal">
      <formula>"C2"</formula>
    </cfRule>
  </conditionalFormatting>
  <conditionalFormatting sqref="AR1">
    <cfRule type="cellIs" dxfId="945" priority="83" operator="equal">
      <formula>"E"</formula>
    </cfRule>
  </conditionalFormatting>
  <conditionalFormatting sqref="AR1">
    <cfRule type="cellIs" dxfId="944" priority="79" operator="equal">
      <formula>"M4"</formula>
    </cfRule>
    <cfRule type="cellIs" dxfId="943" priority="80" operator="equal">
      <formula>"M3"</formula>
    </cfRule>
    <cfRule type="cellIs" dxfId="942" priority="81" operator="equal">
      <formula>"M1"</formula>
    </cfRule>
    <cfRule type="cellIs" dxfId="941" priority="82" operator="equal">
      <formula>"M2"</formula>
    </cfRule>
    <cfRule type="cellIs" dxfId="940" priority="84" stopIfTrue="1" operator="between">
      <formula>"C1"</formula>
      <formula>"C2"</formula>
    </cfRule>
  </conditionalFormatting>
  <conditionalFormatting sqref="J1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{03A909DF-8B96-4F51-9F00-1B42BC672F70}</x14:id>
        </ext>
      </extLst>
    </cfRule>
  </conditionalFormatting>
  <conditionalFormatting sqref="AW1">
    <cfRule type="cellIs" dxfId="939" priority="76" operator="equal">
      <formula>"E"</formula>
    </cfRule>
  </conditionalFormatting>
  <conditionalFormatting sqref="AW2:AW70">
    <cfRule type="cellIs" dxfId="938" priority="72" stopIfTrue="1" operator="equal">
      <formula>"WW"</formula>
    </cfRule>
    <cfRule type="cellIs" dxfId="937" priority="73" stopIfTrue="1" operator="equal">
      <formula>"C2"</formula>
    </cfRule>
  </conditionalFormatting>
  <conditionalFormatting sqref="BU1">
    <cfRule type="cellIs" dxfId="936" priority="48" operator="equal">
      <formula>"E"</formula>
    </cfRule>
  </conditionalFormatting>
  <conditionalFormatting sqref="BU2:BU70">
    <cfRule type="cellIs" dxfId="935" priority="46" stopIfTrue="1" operator="equal">
      <formula>"WW"</formula>
    </cfRule>
    <cfRule type="cellIs" dxfId="934" priority="47" stopIfTrue="1" operator="equal">
      <formula>"C2"</formula>
    </cfRule>
  </conditionalFormatting>
  <conditionalFormatting sqref="BV114:BX1048576 BV3:BX110">
    <cfRule type="cellIs" dxfId="933" priority="44" operator="equal">
      <formula>"E"</formula>
    </cfRule>
  </conditionalFormatting>
  <conditionalFormatting sqref="BV2:BX2">
    <cfRule type="cellIs" dxfId="932" priority="43" operator="equal">
      <formula>"E"</formula>
    </cfRule>
  </conditionalFormatting>
  <conditionalFormatting sqref="BW1:BX1">
    <cfRule type="cellIs" dxfId="931" priority="45" operator="equal">
      <formula>"E"</formula>
    </cfRule>
  </conditionalFormatting>
  <conditionalFormatting sqref="BV113:BX113">
    <cfRule type="cellIs" dxfId="930" priority="42" operator="equal">
      <formula>"E"</formula>
    </cfRule>
  </conditionalFormatting>
  <conditionalFormatting sqref="CD3:CD1048576">
    <cfRule type="cellIs" dxfId="929" priority="41" operator="equal">
      <formula>"E"</formula>
    </cfRule>
  </conditionalFormatting>
  <conditionalFormatting sqref="CD2">
    <cfRule type="cellIs" dxfId="928" priority="40" operator="equal">
      <formula>"E"</formula>
    </cfRule>
  </conditionalFormatting>
  <conditionalFormatting sqref="AJ3">
    <cfRule type="cellIs" dxfId="927" priority="34" operator="equal">
      <formula>"E"</formula>
    </cfRule>
  </conditionalFormatting>
  <conditionalFormatting sqref="AI3:AI38">
    <cfRule type="cellIs" dxfId="926" priority="33" operator="equal">
      <formula>"E"</formula>
    </cfRule>
  </conditionalFormatting>
  <conditionalFormatting sqref="AI1:AJ1">
    <cfRule type="cellIs" dxfId="925" priority="39" operator="equal">
      <formula>"E"</formula>
    </cfRule>
  </conditionalFormatting>
  <conditionalFormatting sqref="AH39:AJ110 AH114:AJ1048576 AH3:AH38">
    <cfRule type="cellIs" dxfId="924" priority="38" operator="equal">
      <formula>"E"</formula>
    </cfRule>
  </conditionalFormatting>
  <conditionalFormatting sqref="AH2:AJ2">
    <cfRule type="cellIs" dxfId="923" priority="37" operator="equal">
      <formula>"E"</formula>
    </cfRule>
  </conditionalFormatting>
  <conditionalFormatting sqref="AH113:AJ113">
    <cfRule type="cellIs" dxfId="922" priority="36" operator="equal">
      <formula>"E"</formula>
    </cfRule>
  </conditionalFormatting>
  <conditionalFormatting sqref="AJ4:AJ38">
    <cfRule type="cellIs" dxfId="921" priority="35" operator="equal">
      <formula>"E"</formula>
    </cfRule>
  </conditionalFormatting>
  <conditionalFormatting sqref="AO3">
    <cfRule type="cellIs" dxfId="920" priority="27" operator="equal">
      <formula>"E"</formula>
    </cfRule>
  </conditionalFormatting>
  <conditionalFormatting sqref="AN3:AN38">
    <cfRule type="cellIs" dxfId="919" priority="26" operator="equal">
      <formula>"E"</formula>
    </cfRule>
  </conditionalFormatting>
  <conditionalFormatting sqref="AN1:AO1">
    <cfRule type="cellIs" dxfId="918" priority="32" operator="equal">
      <formula>"E"</formula>
    </cfRule>
  </conditionalFormatting>
  <conditionalFormatting sqref="AM39:AO110 AM114:AO1048576 AM3:AM38">
    <cfRule type="cellIs" dxfId="917" priority="31" operator="equal">
      <formula>"E"</formula>
    </cfRule>
  </conditionalFormatting>
  <conditionalFormatting sqref="AM2:AO2">
    <cfRule type="cellIs" dxfId="916" priority="30" operator="equal">
      <formula>"E"</formula>
    </cfRule>
  </conditionalFormatting>
  <conditionalFormatting sqref="AM113:AO113">
    <cfRule type="cellIs" dxfId="915" priority="29" operator="equal">
      <formula>"E"</formula>
    </cfRule>
  </conditionalFormatting>
  <conditionalFormatting sqref="AO4:AO38">
    <cfRule type="cellIs" dxfId="914" priority="28" operator="equal">
      <formula>"E"</formula>
    </cfRule>
  </conditionalFormatting>
  <conditionalFormatting sqref="BA43:BA103">
    <cfRule type="cellIs" dxfId="913" priority="21" operator="equal">
      <formula>"E"</formula>
    </cfRule>
  </conditionalFormatting>
  <conditionalFormatting sqref="AZ2">
    <cfRule type="cellIs" dxfId="912" priority="22" operator="equal">
      <formula>"E"</formula>
    </cfRule>
  </conditionalFormatting>
  <conditionalFormatting sqref="BI2">
    <cfRule type="cellIs" dxfId="911" priority="2" operator="equal">
      <formula>"E"</formula>
    </cfRule>
  </conditionalFormatting>
  <conditionalFormatting sqref="BA2">
    <cfRule type="cellIs" dxfId="910" priority="20" operator="equal">
      <formula>"E"</formula>
    </cfRule>
  </conditionalFormatting>
  <conditionalFormatting sqref="BB43:BB103">
    <cfRule type="cellIs" dxfId="909" priority="19" operator="equal">
      <formula>"E"</formula>
    </cfRule>
  </conditionalFormatting>
  <conditionalFormatting sqref="BB2">
    <cfRule type="cellIs" dxfId="908" priority="18" operator="equal">
      <formula>"E"</formula>
    </cfRule>
  </conditionalFormatting>
  <conditionalFormatting sqref="BC43:BC103">
    <cfRule type="cellIs" dxfId="907" priority="17" operator="equal">
      <formula>"E"</formula>
    </cfRule>
  </conditionalFormatting>
  <conditionalFormatting sqref="BC2">
    <cfRule type="cellIs" dxfId="906" priority="16" operator="equal">
      <formula>"E"</formula>
    </cfRule>
  </conditionalFormatting>
  <conditionalFormatting sqref="BD43:BD103">
    <cfRule type="cellIs" dxfId="905" priority="15" operator="equal">
      <formula>"E"</formula>
    </cfRule>
  </conditionalFormatting>
  <conditionalFormatting sqref="BD2">
    <cfRule type="cellIs" dxfId="904" priority="14" operator="equal">
      <formula>"E"</formula>
    </cfRule>
  </conditionalFormatting>
  <conditionalFormatting sqref="BE43:BE103">
    <cfRule type="cellIs" dxfId="903" priority="13" operator="equal">
      <formula>"E"</formula>
    </cfRule>
  </conditionalFormatting>
  <conditionalFormatting sqref="BE2">
    <cfRule type="cellIs" dxfId="902" priority="12" operator="equal">
      <formula>"E"</formula>
    </cfRule>
  </conditionalFormatting>
  <conditionalFormatting sqref="BF43:BF103">
    <cfRule type="cellIs" dxfId="901" priority="11" operator="equal">
      <formula>"E"</formula>
    </cfRule>
  </conditionalFormatting>
  <conditionalFormatting sqref="BF2">
    <cfRule type="cellIs" dxfId="900" priority="10" operator="equal">
      <formula>"E"</formula>
    </cfRule>
  </conditionalFormatting>
  <conditionalFormatting sqref="BG43:BG103">
    <cfRule type="cellIs" dxfId="899" priority="9" operator="equal">
      <formula>"E"</formula>
    </cfRule>
  </conditionalFormatting>
  <conditionalFormatting sqref="BG2">
    <cfRule type="cellIs" dxfId="898" priority="8" operator="equal">
      <formula>"E"</formula>
    </cfRule>
  </conditionalFormatting>
  <conditionalFormatting sqref="BH43:BH103">
    <cfRule type="cellIs" dxfId="897" priority="7" operator="equal">
      <formula>"E"</formula>
    </cfRule>
  </conditionalFormatting>
  <conditionalFormatting sqref="BH2">
    <cfRule type="cellIs" dxfId="896" priority="6" operator="equal">
      <formula>"E"</formula>
    </cfRule>
  </conditionalFormatting>
  <conditionalFormatting sqref="AX43:AX103">
    <cfRule type="cellIs" dxfId="895" priority="5" operator="equal">
      <formula>"E"</formula>
    </cfRule>
  </conditionalFormatting>
  <conditionalFormatting sqref="AX2">
    <cfRule type="cellIs" dxfId="894" priority="4" operator="equal">
      <formula>"E"</formula>
    </cfRule>
  </conditionalFormatting>
  <conditionalFormatting sqref="BI43:BI103">
    <cfRule type="cellIs" dxfId="893" priority="3" operator="equal">
      <formula>"E"</formula>
    </cfRule>
  </conditionalFormatting>
  <conditionalFormatting sqref="AY43:AY103">
    <cfRule type="cellIs" dxfId="892" priority="25" operator="equal">
      <formula>"E"</formula>
    </cfRule>
  </conditionalFormatting>
  <conditionalFormatting sqref="AY2">
    <cfRule type="cellIs" dxfId="891" priority="24" operator="equal">
      <formula>"E"</formula>
    </cfRule>
  </conditionalFormatting>
  <conditionalFormatting sqref="AZ43:AZ103">
    <cfRule type="cellIs" dxfId="890" priority="23" operator="equal">
      <formula>"E"</formula>
    </cfRule>
  </conditionalFormatting>
  <conditionalFormatting sqref="AX3:BI42">
    <cfRule type="cellIs" dxfId="889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A909DF-8B96-4F51-9F00-1B42BC672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1"/>
      <c r="BX1" s="11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45</v>
      </c>
      <c r="AD3" s="70">
        <v>146</v>
      </c>
      <c r="AE3" s="70">
        <v>146</v>
      </c>
      <c r="AG3" s="12">
        <v>0</v>
      </c>
      <c r="AH3" s="13">
        <v>5</v>
      </c>
      <c r="AI3" s="13">
        <v>150</v>
      </c>
      <c r="AJ3" s="13">
        <v>200</v>
      </c>
      <c r="AL3" s="12">
        <v>0</v>
      </c>
      <c r="AM3" s="13">
        <v>0</v>
      </c>
      <c r="AN3" s="13">
        <v>85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11</v>
      </c>
      <c r="AY3" s="13">
        <v>0</v>
      </c>
      <c r="AZ3" s="13">
        <v>90</v>
      </c>
      <c r="BA3" s="13">
        <v>4</v>
      </c>
      <c r="BB3" s="13">
        <v>25</v>
      </c>
      <c r="BC3" s="13">
        <v>25</v>
      </c>
      <c r="BD3" s="13">
        <v>35</v>
      </c>
      <c r="BE3" s="13">
        <v>15</v>
      </c>
      <c r="BF3" s="13">
        <v>15</v>
      </c>
      <c r="BG3" s="13">
        <v>40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105</v>
      </c>
      <c r="BW3" s="13">
        <v>7</v>
      </c>
      <c r="BX3" s="13">
        <v>1</v>
      </c>
      <c r="BZ3" s="12">
        <v>0</v>
      </c>
      <c r="CA3" s="13">
        <v>30</v>
      </c>
      <c r="CC3" s="12">
        <v>0</v>
      </c>
      <c r="CD3" s="13">
        <v>970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172</v>
      </c>
      <c r="AD4" s="70">
        <v>130</v>
      </c>
      <c r="AE4" s="70">
        <v>260</v>
      </c>
      <c r="AG4" s="12">
        <v>1</v>
      </c>
      <c r="AH4" s="13">
        <v>79</v>
      </c>
      <c r="AI4" s="13">
        <v>0</v>
      </c>
      <c r="AJ4" s="13">
        <v>90</v>
      </c>
      <c r="AL4" s="12">
        <v>1</v>
      </c>
      <c r="AM4" s="13">
        <v>35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0</v>
      </c>
      <c r="BW4" s="13">
        <v>15</v>
      </c>
      <c r="BX4" s="13">
        <v>35</v>
      </c>
      <c r="BZ4" s="12">
        <v>1</v>
      </c>
      <c r="CA4" s="13">
        <v>15</v>
      </c>
      <c r="CC4" s="12">
        <v>1</v>
      </c>
      <c r="CD4" s="13">
        <v>2630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3100</v>
      </c>
      <c r="E5" s="110">
        <f t="shared" ref="E5:F16" si="0">SUMIF(T$3:T$38,$A5,AD$3:AD$38)</f>
        <v>2600</v>
      </c>
      <c r="F5" s="5">
        <f t="shared" si="0"/>
        <v>2600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3</v>
      </c>
      <c r="AD5" s="70">
        <v>147</v>
      </c>
      <c r="AE5" s="70">
        <v>147</v>
      </c>
      <c r="AG5" s="12">
        <v>2</v>
      </c>
      <c r="AH5" s="13">
        <v>5</v>
      </c>
      <c r="AI5" s="13">
        <v>150</v>
      </c>
      <c r="AJ5" s="13">
        <v>200</v>
      </c>
      <c r="AL5" s="12">
        <v>2</v>
      </c>
      <c r="AM5" s="13">
        <v>0</v>
      </c>
      <c r="AN5" s="13">
        <v>85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1</v>
      </c>
      <c r="AY5" s="13">
        <v>9</v>
      </c>
      <c r="AZ5" s="13">
        <v>25</v>
      </c>
      <c r="BA5" s="13">
        <v>1</v>
      </c>
      <c r="BB5" s="13">
        <v>2</v>
      </c>
      <c r="BC5" s="13">
        <v>2</v>
      </c>
      <c r="BD5" s="13">
        <v>2</v>
      </c>
      <c r="BE5" s="13">
        <v>2</v>
      </c>
      <c r="BF5" s="13">
        <v>2</v>
      </c>
      <c r="BG5" s="13">
        <v>1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115</v>
      </c>
      <c r="BW5" s="13">
        <v>2</v>
      </c>
      <c r="BX5" s="13">
        <v>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780</v>
      </c>
      <c r="F6" s="8">
        <f t="shared" si="0"/>
        <v>1010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174</v>
      </c>
      <c r="AD6" s="70">
        <v>10</v>
      </c>
      <c r="AE6" s="70">
        <v>5</v>
      </c>
      <c r="AG6" s="12">
        <v>3</v>
      </c>
      <c r="AH6" s="13">
        <v>78</v>
      </c>
      <c r="AI6" s="13">
        <v>0</v>
      </c>
      <c r="AJ6" s="13">
        <v>10</v>
      </c>
      <c r="AL6" s="12">
        <v>3</v>
      </c>
      <c r="AM6" s="13">
        <v>35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13">
        <v>10</v>
      </c>
      <c r="BX6" s="13">
        <v>35</v>
      </c>
      <c r="BZ6" s="12">
        <v>3</v>
      </c>
      <c r="CA6" s="13">
        <v>5</v>
      </c>
      <c r="CC6" s="12">
        <v>3</v>
      </c>
      <c r="CD6" s="13">
        <v>2500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170</v>
      </c>
      <c r="E7" s="109">
        <f t="shared" si="0"/>
        <v>50</v>
      </c>
      <c r="F7" s="8">
        <f t="shared" si="0"/>
        <v>35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147</v>
      </c>
      <c r="AE7" s="70">
        <v>147</v>
      </c>
      <c r="AG7" s="12">
        <v>4</v>
      </c>
      <c r="AH7" s="13">
        <v>20</v>
      </c>
      <c r="AI7" s="13">
        <v>150</v>
      </c>
      <c r="AJ7" s="13">
        <v>200</v>
      </c>
      <c r="AL7" s="12">
        <v>4</v>
      </c>
      <c r="AM7" s="13">
        <v>30</v>
      </c>
      <c r="AN7" s="13">
        <v>85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12</v>
      </c>
      <c r="AY7" s="13">
        <v>0</v>
      </c>
      <c r="AZ7" s="13">
        <v>180</v>
      </c>
      <c r="BA7" s="13">
        <v>11</v>
      </c>
      <c r="BB7" s="13">
        <v>15</v>
      </c>
      <c r="BC7" s="13">
        <v>15</v>
      </c>
      <c r="BD7" s="13">
        <v>5</v>
      </c>
      <c r="BE7" s="13">
        <v>35</v>
      </c>
      <c r="BF7" s="13">
        <v>35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7</v>
      </c>
      <c r="BX7" s="13">
        <v>0</v>
      </c>
      <c r="BZ7" s="12">
        <v>4</v>
      </c>
      <c r="CA7" s="13">
        <v>20</v>
      </c>
      <c r="CC7" s="12">
        <v>4</v>
      </c>
      <c r="CD7" s="13">
        <v>500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20</v>
      </c>
      <c r="E8" s="109">
        <f t="shared" si="0"/>
        <v>50</v>
      </c>
      <c r="F8" s="8">
        <f t="shared" si="0"/>
        <v>84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174</v>
      </c>
      <c r="AD8" s="70">
        <v>10</v>
      </c>
      <c r="AE8" s="70">
        <v>10</v>
      </c>
      <c r="AG8" s="12">
        <v>5</v>
      </c>
      <c r="AH8" s="13">
        <v>78</v>
      </c>
      <c r="AI8" s="13">
        <v>0</v>
      </c>
      <c r="AJ8" s="13">
        <v>10</v>
      </c>
      <c r="AL8" s="12">
        <v>5</v>
      </c>
      <c r="AM8" s="13">
        <v>85</v>
      </c>
      <c r="AN8" s="13">
        <v>10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0</v>
      </c>
      <c r="BW8" s="13">
        <v>2</v>
      </c>
      <c r="BX8" s="13">
        <v>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1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116"/>
      <c r="P9" s="115"/>
      <c r="Q9" s="1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25</v>
      </c>
      <c r="AD9" s="70">
        <v>144</v>
      </c>
      <c r="AE9" s="70">
        <v>144</v>
      </c>
      <c r="AG9" s="12">
        <v>6</v>
      </c>
      <c r="AH9" s="13">
        <v>0</v>
      </c>
      <c r="AI9" s="13">
        <v>150</v>
      </c>
      <c r="AJ9" s="13">
        <v>200</v>
      </c>
      <c r="AL9" s="12">
        <v>6</v>
      </c>
      <c r="AM9" s="13">
        <v>1</v>
      </c>
      <c r="AN9" s="13">
        <v>85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2</v>
      </c>
      <c r="AY9" s="13">
        <v>10</v>
      </c>
      <c r="AZ9" s="13">
        <v>0</v>
      </c>
      <c r="BA9" s="13">
        <v>2</v>
      </c>
      <c r="BB9" s="13">
        <v>4</v>
      </c>
      <c r="BC9" s="13">
        <v>4</v>
      </c>
      <c r="BD9" s="13">
        <v>4</v>
      </c>
      <c r="BE9" s="13">
        <v>4</v>
      </c>
      <c r="BF9" s="13">
        <v>4</v>
      </c>
      <c r="BG9" s="13">
        <v>2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103</v>
      </c>
      <c r="BW9" s="13">
        <v>11</v>
      </c>
      <c r="BX9" s="13">
        <v>0</v>
      </c>
      <c r="BZ9" s="12">
        <v>6</v>
      </c>
      <c r="CA9" s="13">
        <v>50</v>
      </c>
      <c r="CC9" s="12">
        <v>6</v>
      </c>
      <c r="CD9" s="13">
        <v>210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116"/>
      <c r="P10" s="115"/>
      <c r="Q10" s="115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172</v>
      </c>
      <c r="AD10" s="70">
        <v>130</v>
      </c>
      <c r="AE10" s="70">
        <v>150</v>
      </c>
      <c r="AG10" s="12">
        <v>7</v>
      </c>
      <c r="AH10" s="13">
        <v>77</v>
      </c>
      <c r="AI10" s="13">
        <v>0</v>
      </c>
      <c r="AJ10" s="13">
        <v>90</v>
      </c>
      <c r="AL10" s="12">
        <v>7</v>
      </c>
      <c r="AM10" s="13">
        <v>83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0</v>
      </c>
      <c r="BW10" s="13">
        <v>10</v>
      </c>
      <c r="BX10" s="13">
        <v>33</v>
      </c>
      <c r="BZ10" s="12">
        <v>7</v>
      </c>
      <c r="CA10" s="13">
        <v>10</v>
      </c>
      <c r="CC10" s="12">
        <v>7</v>
      </c>
      <c r="CD10" s="13">
        <v>1500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116"/>
      <c r="P11" s="1"/>
      <c r="Q11" s="115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3</v>
      </c>
      <c r="AD11" s="70">
        <v>144</v>
      </c>
      <c r="AE11" s="70">
        <v>144</v>
      </c>
      <c r="AG11" s="12">
        <v>8</v>
      </c>
      <c r="AH11" s="13">
        <v>0</v>
      </c>
      <c r="AI11" s="13">
        <v>150</v>
      </c>
      <c r="AJ11" s="13">
        <v>200</v>
      </c>
      <c r="AL11" s="12">
        <v>8</v>
      </c>
      <c r="AM11" s="13">
        <v>1</v>
      </c>
      <c r="AN11" s="13">
        <v>85</v>
      </c>
      <c r="AO11" s="13">
        <v>150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0</v>
      </c>
      <c r="AY11" s="13">
        <v>24</v>
      </c>
      <c r="AZ11" s="13">
        <v>0</v>
      </c>
      <c r="BA11" s="13">
        <v>15</v>
      </c>
      <c r="BB11" s="13">
        <v>15</v>
      </c>
      <c r="BC11" s="13">
        <v>15</v>
      </c>
      <c r="BD11" s="13">
        <v>15</v>
      </c>
      <c r="BE11" s="13">
        <v>12</v>
      </c>
      <c r="BF11" s="13">
        <v>12</v>
      </c>
      <c r="BG11" s="13">
        <v>5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112</v>
      </c>
      <c r="BW11" s="13">
        <v>7</v>
      </c>
      <c r="BX11" s="13">
        <v>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172</v>
      </c>
      <c r="AD12" s="70">
        <v>8</v>
      </c>
      <c r="AE12" s="70">
        <v>4</v>
      </c>
      <c r="AG12" s="12">
        <v>9</v>
      </c>
      <c r="AH12" s="13">
        <v>78</v>
      </c>
      <c r="AI12" s="13">
        <v>0</v>
      </c>
      <c r="AJ12" s="13">
        <v>8</v>
      </c>
      <c r="AL12" s="12">
        <v>9</v>
      </c>
      <c r="AM12" s="13">
        <v>83</v>
      </c>
      <c r="AN12" s="13">
        <v>8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0</v>
      </c>
      <c r="BW12" s="13">
        <v>8</v>
      </c>
      <c r="BX12" s="13">
        <v>33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70">
        <v>144</v>
      </c>
      <c r="AE13" s="70">
        <v>144</v>
      </c>
      <c r="AG13" s="12">
        <v>10</v>
      </c>
      <c r="AH13" s="13">
        <v>20</v>
      </c>
      <c r="AI13" s="13">
        <v>150</v>
      </c>
      <c r="AJ13" s="13">
        <v>200</v>
      </c>
      <c r="AL13" s="12">
        <v>10</v>
      </c>
      <c r="AM13" s="13">
        <v>5</v>
      </c>
      <c r="AN13" s="13">
        <v>85</v>
      </c>
      <c r="AO13" s="13">
        <v>150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9</v>
      </c>
      <c r="AY13" s="13">
        <v>0</v>
      </c>
      <c r="AZ13" s="13">
        <v>90</v>
      </c>
      <c r="BA13" s="13">
        <v>2</v>
      </c>
      <c r="BB13" s="13">
        <v>25</v>
      </c>
      <c r="BC13" s="13">
        <v>25</v>
      </c>
      <c r="BD13" s="13">
        <v>25</v>
      </c>
      <c r="BE13" s="13">
        <v>15</v>
      </c>
      <c r="BF13" s="13">
        <v>15</v>
      </c>
      <c r="BG13" s="13">
        <v>39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7</v>
      </c>
      <c r="BX13" s="13">
        <v>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98</v>
      </c>
      <c r="K14" s="65">
        <v>2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172</v>
      </c>
      <c r="AD14" s="70">
        <v>8</v>
      </c>
      <c r="AE14" s="70">
        <v>12</v>
      </c>
      <c r="AG14" s="12">
        <v>11</v>
      </c>
      <c r="AH14" s="13">
        <v>78</v>
      </c>
      <c r="AI14" s="13">
        <v>0</v>
      </c>
      <c r="AJ14" s="13">
        <v>8</v>
      </c>
      <c r="AL14" s="12">
        <v>11</v>
      </c>
      <c r="AM14" s="13">
        <v>83</v>
      </c>
      <c r="AN14" s="13">
        <v>8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0</v>
      </c>
      <c r="BW14" s="13">
        <v>2</v>
      </c>
      <c r="BX14" s="13">
        <v>3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25</v>
      </c>
      <c r="AD15" s="70">
        <v>144</v>
      </c>
      <c r="AE15" s="70">
        <v>144</v>
      </c>
      <c r="AG15" s="12">
        <v>12</v>
      </c>
      <c r="AH15" s="13">
        <v>0</v>
      </c>
      <c r="AI15" s="13">
        <v>150</v>
      </c>
      <c r="AJ15" s="13">
        <v>200</v>
      </c>
      <c r="AL15" s="12">
        <v>12</v>
      </c>
      <c r="AM15" s="13">
        <v>1</v>
      </c>
      <c r="AN15" s="13">
        <v>85</v>
      </c>
      <c r="AO15" s="13">
        <v>150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0</v>
      </c>
      <c r="AY15" s="13">
        <v>7</v>
      </c>
      <c r="AZ15" s="13">
        <v>15</v>
      </c>
      <c r="BA15" s="13">
        <v>0</v>
      </c>
      <c r="BB15" s="13">
        <v>1</v>
      </c>
      <c r="BC15" s="13">
        <v>1</v>
      </c>
      <c r="BD15" s="13">
        <v>1</v>
      </c>
      <c r="BE15" s="13">
        <v>1</v>
      </c>
      <c r="BF15" s="13">
        <v>1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123</v>
      </c>
      <c r="BW15" s="13">
        <v>7</v>
      </c>
      <c r="BX15" s="13">
        <v>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172</v>
      </c>
      <c r="AD16" s="70">
        <v>130</v>
      </c>
      <c r="AE16" s="70">
        <v>150</v>
      </c>
      <c r="AG16" s="12">
        <v>13</v>
      </c>
      <c r="AH16" s="13">
        <v>77</v>
      </c>
      <c r="AI16" s="13">
        <v>0</v>
      </c>
      <c r="AJ16" s="13">
        <v>90</v>
      </c>
      <c r="AL16" s="12">
        <v>13</v>
      </c>
      <c r="AM16" s="13">
        <v>83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0</v>
      </c>
      <c r="BW16" s="13">
        <v>10</v>
      </c>
      <c r="BX16" s="13">
        <v>33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3291</v>
      </c>
      <c r="E17" s="109">
        <f>SUM(E5:E16)</f>
        <v>3480</v>
      </c>
      <c r="F17" s="109">
        <f>SUM(F5:F16)</f>
        <v>3729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3</v>
      </c>
      <c r="AD17" s="70">
        <v>144</v>
      </c>
      <c r="AE17" s="70">
        <v>144</v>
      </c>
      <c r="AG17" s="12">
        <v>14</v>
      </c>
      <c r="AH17" s="13">
        <v>0</v>
      </c>
      <c r="AI17" s="13">
        <v>150</v>
      </c>
      <c r="AJ17" s="13">
        <v>200</v>
      </c>
      <c r="AL17" s="12">
        <v>14</v>
      </c>
      <c r="AM17" s="13">
        <v>1</v>
      </c>
      <c r="AN17" s="13">
        <v>85</v>
      </c>
      <c r="AO17" s="13">
        <v>150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11</v>
      </c>
      <c r="AY17" s="13">
        <v>0</v>
      </c>
      <c r="AZ17" s="13">
        <v>90</v>
      </c>
      <c r="BA17" s="13">
        <v>12</v>
      </c>
      <c r="BB17" s="13">
        <v>15</v>
      </c>
      <c r="BC17" s="13">
        <v>15</v>
      </c>
      <c r="BD17" s="13">
        <v>15</v>
      </c>
      <c r="BE17" s="13">
        <v>25</v>
      </c>
      <c r="BF17" s="13">
        <v>25</v>
      </c>
      <c r="BG17" s="13">
        <v>10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92</v>
      </c>
      <c r="BW17" s="13">
        <v>7</v>
      </c>
      <c r="BX17" s="13">
        <v>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172</v>
      </c>
      <c r="AD18" s="70">
        <v>8</v>
      </c>
      <c r="AE18" s="70">
        <v>4</v>
      </c>
      <c r="AG18" s="12">
        <v>15</v>
      </c>
      <c r="AH18" s="13">
        <v>78</v>
      </c>
      <c r="AI18" s="13">
        <v>0</v>
      </c>
      <c r="AJ18" s="13">
        <v>8</v>
      </c>
      <c r="AL18" s="12">
        <v>15</v>
      </c>
      <c r="AM18" s="13">
        <v>83</v>
      </c>
      <c r="AN18" s="13">
        <v>8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0</v>
      </c>
      <c r="BW18" s="13">
        <v>8</v>
      </c>
      <c r="BX18" s="13">
        <v>33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1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70">
        <v>144</v>
      </c>
      <c r="AE19" s="70">
        <v>144</v>
      </c>
      <c r="AG19" s="12">
        <v>16</v>
      </c>
      <c r="AH19" s="13">
        <v>20</v>
      </c>
      <c r="AI19" s="13">
        <v>150</v>
      </c>
      <c r="AJ19" s="13">
        <v>200</v>
      </c>
      <c r="AL19" s="12">
        <v>16</v>
      </c>
      <c r="AM19" s="13">
        <v>5</v>
      </c>
      <c r="AN19" s="13">
        <v>85</v>
      </c>
      <c r="AO19" s="13">
        <v>150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">
        <v>0</v>
      </c>
      <c r="AY19" s="13">
        <v>10</v>
      </c>
      <c r="AZ19" s="13">
        <v>15</v>
      </c>
      <c r="BA19" s="13">
        <v>0</v>
      </c>
      <c r="BB19" s="13">
        <v>2</v>
      </c>
      <c r="BC19" s="13">
        <v>2</v>
      </c>
      <c r="BD19" s="13">
        <v>2</v>
      </c>
      <c r="BE19" s="13">
        <v>2</v>
      </c>
      <c r="BF19" s="13">
        <v>2</v>
      </c>
      <c r="BG19" s="13">
        <v>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7</v>
      </c>
      <c r="BX19" s="13">
        <v>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172</v>
      </c>
      <c r="AD20" s="70">
        <v>8</v>
      </c>
      <c r="AE20" s="70">
        <v>12</v>
      </c>
      <c r="AG20" s="12">
        <v>17</v>
      </c>
      <c r="AH20" s="13">
        <v>78</v>
      </c>
      <c r="AI20" s="13">
        <v>0</v>
      </c>
      <c r="AJ20" s="13">
        <v>8</v>
      </c>
      <c r="AL20" s="12">
        <v>17</v>
      </c>
      <c r="AM20" s="13">
        <v>83</v>
      </c>
      <c r="AN20" s="13">
        <v>8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0</v>
      </c>
      <c r="BW20" s="13">
        <v>2</v>
      </c>
      <c r="BX20" s="13">
        <v>3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25</v>
      </c>
      <c r="AD21" s="70">
        <v>144</v>
      </c>
      <c r="AE21" s="70">
        <v>144</v>
      </c>
      <c r="AG21" s="12">
        <v>18</v>
      </c>
      <c r="AH21" s="13">
        <v>0</v>
      </c>
      <c r="AI21" s="13">
        <v>150</v>
      </c>
      <c r="AJ21" s="13">
        <v>200</v>
      </c>
      <c r="AL21" s="12">
        <v>18</v>
      </c>
      <c r="AM21" s="13">
        <v>1</v>
      </c>
      <c r="AN21" s="13">
        <v>85</v>
      </c>
      <c r="AO21" s="13">
        <v>150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0</v>
      </c>
      <c r="AY21" s="13">
        <v>22</v>
      </c>
      <c r="AZ21" s="13">
        <v>0</v>
      </c>
      <c r="BA21" s="13">
        <v>14</v>
      </c>
      <c r="BB21" s="13">
        <v>15</v>
      </c>
      <c r="BC21" s="13">
        <v>15</v>
      </c>
      <c r="BD21" s="13">
        <v>15</v>
      </c>
      <c r="BE21" s="13">
        <v>12</v>
      </c>
      <c r="BF21" s="13">
        <v>12</v>
      </c>
      <c r="BG21" s="13">
        <v>5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123</v>
      </c>
      <c r="BW21" s="13">
        <v>7</v>
      </c>
      <c r="BX21" s="13">
        <v>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172</v>
      </c>
      <c r="AD22" s="70">
        <v>130</v>
      </c>
      <c r="AE22" s="70">
        <v>150</v>
      </c>
      <c r="AG22" s="12">
        <v>19</v>
      </c>
      <c r="AH22" s="13">
        <v>77</v>
      </c>
      <c r="AI22" s="13">
        <v>0</v>
      </c>
      <c r="AJ22" s="13">
        <v>90</v>
      </c>
      <c r="AL22" s="12">
        <v>19</v>
      </c>
      <c r="AM22" s="13">
        <v>83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0</v>
      </c>
      <c r="BW22" s="13">
        <v>10</v>
      </c>
      <c r="BX22" s="13">
        <v>33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1400</v>
      </c>
      <c r="E23" s="110">
        <f t="shared" ref="E23:F34" si="2">SUMIF(T$3:T$38,$A23,AI$3:AI$38)</f>
        <v>2700</v>
      </c>
      <c r="F23" s="5">
        <f t="shared" si="2"/>
        <v>2422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3</v>
      </c>
      <c r="AD23" s="70">
        <v>144</v>
      </c>
      <c r="AE23" s="70">
        <v>144</v>
      </c>
      <c r="AG23" s="12">
        <v>20</v>
      </c>
      <c r="AH23" s="13">
        <v>0</v>
      </c>
      <c r="AI23" s="13">
        <v>150</v>
      </c>
      <c r="AJ23" s="13">
        <v>53</v>
      </c>
      <c r="AL23" s="12">
        <v>20</v>
      </c>
      <c r="AM23" s="13">
        <v>1</v>
      </c>
      <c r="AN23" s="13">
        <v>85</v>
      </c>
      <c r="AO23" s="13">
        <v>150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9</v>
      </c>
      <c r="AY23" s="13">
        <v>0</v>
      </c>
      <c r="AZ23" s="13">
        <v>90</v>
      </c>
      <c r="BA23" s="13">
        <v>2</v>
      </c>
      <c r="BB23" s="13">
        <v>25</v>
      </c>
      <c r="BC23" s="13">
        <v>25</v>
      </c>
      <c r="BD23" s="13">
        <v>25</v>
      </c>
      <c r="BE23" s="13">
        <v>25</v>
      </c>
      <c r="BF23" s="13">
        <v>25</v>
      </c>
      <c r="BG23" s="13">
        <v>30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92</v>
      </c>
      <c r="BW23" s="13">
        <v>7</v>
      </c>
      <c r="BX23" s="13">
        <v>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0</v>
      </c>
      <c r="F24" s="8">
        <f t="shared" si="2"/>
        <v>540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172</v>
      </c>
      <c r="AD24" s="70">
        <v>8</v>
      </c>
      <c r="AE24" s="70">
        <v>4</v>
      </c>
      <c r="AG24" s="12">
        <v>21</v>
      </c>
      <c r="AH24" s="13">
        <v>78</v>
      </c>
      <c r="AI24" s="13">
        <v>0</v>
      </c>
      <c r="AJ24" s="13">
        <v>8</v>
      </c>
      <c r="AL24" s="12">
        <v>21</v>
      </c>
      <c r="AM24" s="13">
        <v>83</v>
      </c>
      <c r="AN24" s="13">
        <v>8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0</v>
      </c>
      <c r="BW24" s="13">
        <v>8</v>
      </c>
      <c r="BX24" s="13">
        <v>33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3"/>
        <v>5</v>
      </c>
      <c r="E25" s="109">
        <f t="shared" si="2"/>
        <v>0</v>
      </c>
      <c r="F25" s="8">
        <f t="shared" si="2"/>
        <v>50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70">
        <v>144</v>
      </c>
      <c r="AE25" s="70">
        <v>144</v>
      </c>
      <c r="AG25" s="12">
        <v>22</v>
      </c>
      <c r="AH25" s="13">
        <v>10</v>
      </c>
      <c r="AI25" s="13">
        <v>150</v>
      </c>
      <c r="AJ25" s="13">
        <v>53</v>
      </c>
      <c r="AL25" s="12">
        <v>22</v>
      </c>
      <c r="AM25" s="13">
        <v>5</v>
      </c>
      <c r="AN25" s="13">
        <v>85</v>
      </c>
      <c r="AO25" s="13">
        <v>150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0</v>
      </c>
      <c r="AY25" s="13">
        <v>7</v>
      </c>
      <c r="AZ25" s="13">
        <v>15</v>
      </c>
      <c r="BA25" s="13">
        <v>0</v>
      </c>
      <c r="BB25" s="13">
        <v>1</v>
      </c>
      <c r="BC25" s="13">
        <v>1</v>
      </c>
      <c r="BD25" s="13">
        <v>1</v>
      </c>
      <c r="BE25" s="13">
        <v>1</v>
      </c>
      <c r="BF25" s="13">
        <v>1</v>
      </c>
      <c r="BG25" s="13">
        <v>0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7</v>
      </c>
      <c r="BX25" s="13">
        <v>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3"/>
        <v>5</v>
      </c>
      <c r="E26" s="109">
        <f t="shared" si="2"/>
        <v>0</v>
      </c>
      <c r="F26" s="8">
        <f t="shared" si="2"/>
        <v>50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172</v>
      </c>
      <c r="AD26" s="70">
        <v>8</v>
      </c>
      <c r="AE26" s="70">
        <v>12</v>
      </c>
      <c r="AG26" s="12">
        <v>23</v>
      </c>
      <c r="AH26" s="13">
        <v>78</v>
      </c>
      <c r="AI26" s="13">
        <v>0</v>
      </c>
      <c r="AJ26" s="13">
        <v>8</v>
      </c>
      <c r="AL26" s="12">
        <v>23</v>
      </c>
      <c r="AM26" s="13">
        <v>83</v>
      </c>
      <c r="AN26" s="13">
        <v>8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0</v>
      </c>
      <c r="BW26" s="13">
        <v>2</v>
      </c>
      <c r="BX26" s="13">
        <v>3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3"/>
        <v>90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25</v>
      </c>
      <c r="AD27" s="70">
        <v>144</v>
      </c>
      <c r="AE27" s="70">
        <v>144</v>
      </c>
      <c r="AG27" s="12">
        <v>24</v>
      </c>
      <c r="AH27" s="13">
        <v>0</v>
      </c>
      <c r="AI27" s="13">
        <v>150</v>
      </c>
      <c r="AJ27" s="13">
        <v>52</v>
      </c>
      <c r="AL27" s="12">
        <v>24</v>
      </c>
      <c r="AM27" s="13">
        <v>1</v>
      </c>
      <c r="AN27" s="13">
        <v>85</v>
      </c>
      <c r="AO27" s="13">
        <v>150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11</v>
      </c>
      <c r="AY27" s="13">
        <v>0</v>
      </c>
      <c r="AZ27" s="13">
        <v>90</v>
      </c>
      <c r="BA27" s="13">
        <v>12</v>
      </c>
      <c r="BB27" s="13">
        <v>22</v>
      </c>
      <c r="BC27" s="13">
        <v>22</v>
      </c>
      <c r="BD27" s="13">
        <v>22</v>
      </c>
      <c r="BE27" s="13">
        <v>25</v>
      </c>
      <c r="BF27" s="13">
        <v>25</v>
      </c>
      <c r="BG27" s="13">
        <v>10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123</v>
      </c>
      <c r="BW27" s="13">
        <v>7</v>
      </c>
      <c r="BX27" s="13">
        <v>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172</v>
      </c>
      <c r="AD28" s="70">
        <v>130</v>
      </c>
      <c r="AE28" s="70">
        <v>150</v>
      </c>
      <c r="AG28" s="12">
        <v>25</v>
      </c>
      <c r="AH28" s="13">
        <v>77</v>
      </c>
      <c r="AI28" s="13">
        <v>0</v>
      </c>
      <c r="AJ28" s="13">
        <v>90</v>
      </c>
      <c r="AL28" s="12">
        <v>25</v>
      </c>
      <c r="AM28" s="13">
        <v>83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0</v>
      </c>
      <c r="BW28" s="13">
        <v>10</v>
      </c>
      <c r="BX28" s="13">
        <v>33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3</v>
      </c>
      <c r="AD29" s="70">
        <v>144</v>
      </c>
      <c r="AE29" s="70">
        <v>144</v>
      </c>
      <c r="AG29" s="12">
        <v>26</v>
      </c>
      <c r="AH29" s="13">
        <v>0</v>
      </c>
      <c r="AI29" s="13">
        <v>150</v>
      </c>
      <c r="AJ29" s="13">
        <v>53</v>
      </c>
      <c r="AL29" s="12">
        <v>26</v>
      </c>
      <c r="AM29" s="13">
        <v>1</v>
      </c>
      <c r="AN29" s="13">
        <v>85</v>
      </c>
      <c r="AO29" s="13">
        <v>150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">
        <v>0</v>
      </c>
      <c r="AY29" s="13">
        <v>10</v>
      </c>
      <c r="AZ29" s="13">
        <v>15</v>
      </c>
      <c r="BA29" s="13">
        <v>0</v>
      </c>
      <c r="BB29" s="13">
        <v>2</v>
      </c>
      <c r="BC29" s="13">
        <v>2</v>
      </c>
      <c r="BD29" s="13">
        <v>2</v>
      </c>
      <c r="BE29" s="13">
        <v>2</v>
      </c>
      <c r="BF29" s="13">
        <v>2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92</v>
      </c>
      <c r="BW29" s="13">
        <v>7</v>
      </c>
      <c r="BX29" s="13">
        <v>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172</v>
      </c>
      <c r="AD30" s="70">
        <v>8</v>
      </c>
      <c r="AE30" s="70">
        <v>9</v>
      </c>
      <c r="AG30" s="12">
        <v>27</v>
      </c>
      <c r="AH30" s="13">
        <v>78</v>
      </c>
      <c r="AI30" s="13">
        <v>0</v>
      </c>
      <c r="AJ30" s="13">
        <v>8</v>
      </c>
      <c r="AL30" s="12">
        <v>27</v>
      </c>
      <c r="AM30" s="13">
        <v>83</v>
      </c>
      <c r="AN30" s="13">
        <v>8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0</v>
      </c>
      <c r="BW30" s="13">
        <v>8</v>
      </c>
      <c r="BX30" s="13">
        <v>33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70">
        <v>144</v>
      </c>
      <c r="AE31" s="70">
        <v>144</v>
      </c>
      <c r="AG31" s="12">
        <v>28</v>
      </c>
      <c r="AH31" s="13">
        <v>10</v>
      </c>
      <c r="AI31" s="13">
        <v>150</v>
      </c>
      <c r="AJ31" s="13">
        <v>53</v>
      </c>
      <c r="AL31" s="12">
        <v>28</v>
      </c>
      <c r="AM31" s="13">
        <v>5</v>
      </c>
      <c r="AN31" s="13">
        <v>85</v>
      </c>
      <c r="AO31" s="13">
        <v>150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0</v>
      </c>
      <c r="AY31" s="13">
        <v>22</v>
      </c>
      <c r="AZ31" s="13">
        <v>10</v>
      </c>
      <c r="BA31" s="13">
        <v>14</v>
      </c>
      <c r="BB31" s="13">
        <v>15</v>
      </c>
      <c r="BC31" s="13">
        <v>15</v>
      </c>
      <c r="BD31" s="13">
        <v>15</v>
      </c>
      <c r="BE31" s="13">
        <v>12</v>
      </c>
      <c r="BF31" s="13">
        <v>12</v>
      </c>
      <c r="BG31" s="13">
        <v>3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7</v>
      </c>
      <c r="BX31" s="13">
        <v>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172</v>
      </c>
      <c r="AD32" s="70">
        <v>8</v>
      </c>
      <c r="AE32" s="70">
        <v>19</v>
      </c>
      <c r="AG32" s="12">
        <v>29</v>
      </c>
      <c r="AH32" s="13">
        <v>78</v>
      </c>
      <c r="AI32" s="13">
        <v>0</v>
      </c>
      <c r="AJ32" s="13">
        <v>8</v>
      </c>
      <c r="AL32" s="12">
        <v>29</v>
      </c>
      <c r="AM32" s="13">
        <v>83</v>
      </c>
      <c r="AN32" s="13">
        <v>8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0</v>
      </c>
      <c r="BW32" s="13">
        <v>1</v>
      </c>
      <c r="BX32" s="13">
        <v>13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25</v>
      </c>
      <c r="AD33" s="70">
        <v>144</v>
      </c>
      <c r="AE33" s="70">
        <v>144</v>
      </c>
      <c r="AG33" s="12">
        <v>30</v>
      </c>
      <c r="AH33" s="13">
        <v>0</v>
      </c>
      <c r="AI33" s="13">
        <v>150</v>
      </c>
      <c r="AJ33" s="13">
        <v>52</v>
      </c>
      <c r="AL33" s="12">
        <v>30</v>
      </c>
      <c r="AM33" s="13">
        <v>1</v>
      </c>
      <c r="AN33" s="13">
        <v>85</v>
      </c>
      <c r="AO33" s="13">
        <v>150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9</v>
      </c>
      <c r="AY33" s="13">
        <v>0</v>
      </c>
      <c r="AZ33" s="13">
        <v>90</v>
      </c>
      <c r="BA33" s="13">
        <v>7</v>
      </c>
      <c r="BB33" s="13">
        <v>25</v>
      </c>
      <c r="BC33" s="13">
        <v>25</v>
      </c>
      <c r="BD33" s="13">
        <v>25</v>
      </c>
      <c r="BE33" s="13">
        <v>25</v>
      </c>
      <c r="BF33" s="13">
        <v>25</v>
      </c>
      <c r="BG33" s="13">
        <v>30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123</v>
      </c>
      <c r="BW33" s="13">
        <v>7</v>
      </c>
      <c r="BX33" s="13">
        <v>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K34">
        <f>SUMPRODUCT(H35:H42,_xlfn.ANCHORARRAY(J35))</f>
        <v>14.351740696278512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172</v>
      </c>
      <c r="AD34" s="70">
        <v>130</v>
      </c>
      <c r="AE34" s="70">
        <v>150</v>
      </c>
      <c r="AG34" s="12">
        <v>31</v>
      </c>
      <c r="AH34" s="13">
        <v>77</v>
      </c>
      <c r="AI34" s="13">
        <v>0</v>
      </c>
      <c r="AJ34" s="13">
        <v>90</v>
      </c>
      <c r="AL34" s="12">
        <v>31</v>
      </c>
      <c r="AM34" s="13">
        <v>83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0</v>
      </c>
      <c r="BW34" s="13">
        <v>10</v>
      </c>
      <c r="BX34" s="13">
        <v>33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1500</v>
      </c>
      <c r="E35" s="109">
        <f>SUM(E23:E34)</f>
        <v>2700</v>
      </c>
      <c r="F35" s="109">
        <f>SUM(F23:F34)</f>
        <v>3062</v>
      </c>
      <c r="G35" s="109"/>
      <c r="H35" s="22">
        <v>5</v>
      </c>
      <c r="I35" s="8">
        <f>SUMIF(CA$3:CA$38,$H35,$CD$3:$CD$38)</f>
        <v>2500</v>
      </c>
      <c r="J35" cm="1">
        <f t="array" ref="J35:J42">I35:I42/SUM($I$35:$I$42)</f>
        <v>0.30012004801920766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70">
        <v>144</v>
      </c>
      <c r="AE35" s="70">
        <v>144</v>
      </c>
      <c r="AG35" s="12">
        <v>32</v>
      </c>
      <c r="AH35" s="13">
        <v>0</v>
      </c>
      <c r="AI35" s="13">
        <v>150</v>
      </c>
      <c r="AJ35" s="13">
        <v>53</v>
      </c>
      <c r="AL35" s="12">
        <v>32</v>
      </c>
      <c r="AM35" s="13">
        <v>1</v>
      </c>
      <c r="AN35" s="13">
        <v>85</v>
      </c>
      <c r="AO35" s="13">
        <v>150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0</v>
      </c>
      <c r="AY35" s="13">
        <v>7</v>
      </c>
      <c r="AZ35" s="13">
        <v>15</v>
      </c>
      <c r="BA35" s="13">
        <v>0</v>
      </c>
      <c r="BB35" s="13">
        <v>1</v>
      </c>
      <c r="BC35" s="13">
        <v>1</v>
      </c>
      <c r="BD35" s="13">
        <v>1</v>
      </c>
      <c r="BE35" s="13">
        <v>1</v>
      </c>
      <c r="BF35" s="13">
        <v>1</v>
      </c>
      <c r="BG35" s="13">
        <v>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92</v>
      </c>
      <c r="BW35" s="13">
        <v>7</v>
      </c>
      <c r="BX35" s="13">
        <v>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10</v>
      </c>
      <c r="I36" s="8">
        <f t="shared" ref="I36:I42" si="4">SUMIF(CA$3:CA$38,$H36,$CD$3:$CD$38)</f>
        <v>1500</v>
      </c>
      <c r="J36">
        <v>0.18007202881152462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172</v>
      </c>
      <c r="AD36" s="70">
        <v>8</v>
      </c>
      <c r="AE36" s="70">
        <v>9</v>
      </c>
      <c r="AG36" s="12">
        <v>33</v>
      </c>
      <c r="AH36" s="13">
        <v>78</v>
      </c>
      <c r="AI36" s="13">
        <v>0</v>
      </c>
      <c r="AJ36" s="13">
        <v>8</v>
      </c>
      <c r="AL36" s="12">
        <v>33</v>
      </c>
      <c r="AM36" s="13">
        <v>83</v>
      </c>
      <c r="AN36" s="13">
        <v>8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0</v>
      </c>
      <c r="BW36" s="13">
        <v>8</v>
      </c>
      <c r="BX36" s="13">
        <v>33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1"/>
      <c r="F37" s="111"/>
      <c r="G37" s="109"/>
      <c r="H37" s="22">
        <v>15</v>
      </c>
      <c r="I37" s="8">
        <f t="shared" si="4"/>
        <v>2630</v>
      </c>
      <c r="J37">
        <v>0.31572629051620649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70">
        <v>144</v>
      </c>
      <c r="AE37" s="70">
        <v>144</v>
      </c>
      <c r="AG37" s="12">
        <v>34</v>
      </c>
      <c r="AH37" s="13">
        <v>10</v>
      </c>
      <c r="AI37" s="13">
        <v>150</v>
      </c>
      <c r="AJ37" s="13">
        <v>53</v>
      </c>
      <c r="AL37" s="12">
        <v>34</v>
      </c>
      <c r="AM37" s="13">
        <v>5</v>
      </c>
      <c r="AN37" s="13">
        <v>85</v>
      </c>
      <c r="AO37" s="13">
        <v>150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11</v>
      </c>
      <c r="AY37" s="13">
        <v>0</v>
      </c>
      <c r="AZ37" s="13">
        <v>90</v>
      </c>
      <c r="BA37" s="13">
        <v>12</v>
      </c>
      <c r="BB37" s="13">
        <v>25</v>
      </c>
      <c r="BC37" s="13">
        <v>25</v>
      </c>
      <c r="BD37" s="13">
        <v>25</v>
      </c>
      <c r="BE37" s="13">
        <v>25</v>
      </c>
      <c r="BF37" s="13">
        <v>25</v>
      </c>
      <c r="BG37" s="13">
        <v>10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7</v>
      </c>
      <c r="BX37" s="13">
        <v>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20</v>
      </c>
      <c r="I38" s="8">
        <f t="shared" si="4"/>
        <v>500</v>
      </c>
      <c r="J38">
        <v>6.0024009603841535E-2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172</v>
      </c>
      <c r="AD38" s="70">
        <v>8</v>
      </c>
      <c r="AE38" s="70">
        <v>19</v>
      </c>
      <c r="AG38" s="12">
        <v>35</v>
      </c>
      <c r="AH38" s="13">
        <v>78</v>
      </c>
      <c r="AI38" s="13">
        <v>0</v>
      </c>
      <c r="AJ38" s="13">
        <v>8</v>
      </c>
      <c r="AL38" s="12">
        <v>35</v>
      </c>
      <c r="AM38" s="13">
        <v>83</v>
      </c>
      <c r="AN38" s="13">
        <v>8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0</v>
      </c>
      <c r="BW38" s="13">
        <v>1</v>
      </c>
      <c r="BX38" s="13">
        <v>13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30</v>
      </c>
      <c r="I39" s="8">
        <f t="shared" si="4"/>
        <v>970</v>
      </c>
      <c r="J39">
        <v>0.11644657863145258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">
        <v>0</v>
      </c>
      <c r="AY39" s="13">
        <v>10</v>
      </c>
      <c r="AZ39" s="13">
        <v>15</v>
      </c>
      <c r="BA39" s="13">
        <v>0</v>
      </c>
      <c r="BB39" s="13">
        <v>2</v>
      </c>
      <c r="BC39" s="13">
        <v>2</v>
      </c>
      <c r="BD39" s="13">
        <v>2</v>
      </c>
      <c r="BE39" s="13">
        <v>2</v>
      </c>
      <c r="BF39" s="13">
        <v>2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210</v>
      </c>
      <c r="J40">
        <v>2.5210084033613446E-2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1400</v>
      </c>
      <c r="E41" s="110">
        <f t="shared" ref="E41:F52" si="5">SUMIF(T$3:T$38,$A41,AN$3:AN$38)</f>
        <v>1530</v>
      </c>
      <c r="F41" s="5">
        <f t="shared" si="5"/>
        <v>2700</v>
      </c>
      <c r="G41" s="109"/>
      <c r="H41" s="22">
        <v>100</v>
      </c>
      <c r="I41" s="8">
        <f t="shared" si="4"/>
        <v>10</v>
      </c>
      <c r="J41">
        <v>1.2004801920768306E-3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0</v>
      </c>
      <c r="AY41" s="13">
        <v>22</v>
      </c>
      <c r="AZ41" s="13">
        <v>20</v>
      </c>
      <c r="BA41" s="13">
        <v>12</v>
      </c>
      <c r="BB41" s="13">
        <v>5</v>
      </c>
      <c r="BC41" s="13">
        <v>5</v>
      </c>
      <c r="BD41" s="13">
        <v>5</v>
      </c>
      <c r="BE41" s="13">
        <v>1</v>
      </c>
      <c r="BF41" s="13">
        <v>1</v>
      </c>
      <c r="BG41" s="13">
        <v>1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480</v>
      </c>
      <c r="F42" s="8">
        <f t="shared" si="5"/>
        <v>0</v>
      </c>
      <c r="H42" s="23">
        <v>200</v>
      </c>
      <c r="I42" s="97">
        <f t="shared" si="4"/>
        <v>10</v>
      </c>
      <c r="J42">
        <v>1.2004801920768306E-3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6"/>
        <v>5</v>
      </c>
      <c r="E43" s="109">
        <f t="shared" si="5"/>
        <v>50</v>
      </c>
      <c r="F43" s="8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6"/>
        <v>5</v>
      </c>
      <c r="E44" s="109">
        <f t="shared" si="5"/>
        <v>50</v>
      </c>
      <c r="F44" s="8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6"/>
        <v>55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1465</v>
      </c>
      <c r="E53" s="109">
        <f>SUM(E41:E52)</f>
        <v>2110</v>
      </c>
      <c r="F53" s="109">
        <f>SUM(F41:F52)</f>
        <v>2700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38</v>
      </c>
      <c r="E63" s="109">
        <f t="shared" si="7"/>
        <v>0</v>
      </c>
      <c r="F63" s="8">
        <f t="shared" si="7"/>
        <v>360</v>
      </c>
      <c r="G63" s="7">
        <f t="shared" si="7"/>
        <v>15</v>
      </c>
      <c r="H63" s="109">
        <f t="shared" si="7"/>
        <v>100</v>
      </c>
      <c r="I63" s="109">
        <f t="shared" si="7"/>
        <v>100</v>
      </c>
      <c r="J63" s="109">
        <f t="shared" si="7"/>
        <v>110</v>
      </c>
      <c r="K63" s="109">
        <f t="shared" si="7"/>
        <v>80</v>
      </c>
      <c r="L63" s="109">
        <f t="shared" si="7"/>
        <v>80</v>
      </c>
      <c r="M63" s="49">
        <f t="shared" si="7"/>
        <v>139</v>
      </c>
      <c r="N63" s="109">
        <f t="shared" si="7"/>
        <v>0</v>
      </c>
      <c r="O63" s="8">
        <f t="shared" si="7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45</v>
      </c>
      <c r="E64" s="109">
        <f t="shared" si="7"/>
        <v>0</v>
      </c>
      <c r="F64" s="8">
        <f t="shared" si="7"/>
        <v>450</v>
      </c>
      <c r="G64" s="7">
        <f t="shared" si="7"/>
        <v>47</v>
      </c>
      <c r="H64" s="109">
        <f t="shared" si="7"/>
        <v>77</v>
      </c>
      <c r="I64" s="109">
        <f t="shared" si="7"/>
        <v>77</v>
      </c>
      <c r="J64" s="109">
        <f t="shared" si="7"/>
        <v>67</v>
      </c>
      <c r="K64" s="109">
        <f t="shared" si="7"/>
        <v>110</v>
      </c>
      <c r="L64" s="109">
        <f t="shared" si="7"/>
        <v>110</v>
      </c>
      <c r="M64" s="49">
        <f t="shared" si="7"/>
        <v>35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0</v>
      </c>
      <c r="E65" s="109">
        <f t="shared" si="7"/>
        <v>90</v>
      </c>
      <c r="F65" s="8">
        <f t="shared" si="7"/>
        <v>30</v>
      </c>
      <c r="G65" s="7">
        <f t="shared" si="7"/>
        <v>55</v>
      </c>
      <c r="H65" s="109">
        <f t="shared" si="7"/>
        <v>50</v>
      </c>
      <c r="I65" s="109">
        <f t="shared" si="7"/>
        <v>50</v>
      </c>
      <c r="J65" s="109">
        <f t="shared" si="7"/>
        <v>50</v>
      </c>
      <c r="K65" s="109">
        <f t="shared" si="7"/>
        <v>37</v>
      </c>
      <c r="L65" s="109">
        <f t="shared" si="7"/>
        <v>37</v>
      </c>
      <c r="M65" s="49">
        <f t="shared" si="7"/>
        <v>14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1</v>
      </c>
      <c r="E66" s="109">
        <f t="shared" si="7"/>
        <v>30</v>
      </c>
      <c r="F66" s="8">
        <f t="shared" si="7"/>
        <v>70</v>
      </c>
      <c r="G66" s="7">
        <f t="shared" si="7"/>
        <v>1</v>
      </c>
      <c r="H66" s="109">
        <f t="shared" si="7"/>
        <v>5</v>
      </c>
      <c r="I66" s="109">
        <f t="shared" si="7"/>
        <v>5</v>
      </c>
      <c r="J66" s="109">
        <f t="shared" si="7"/>
        <v>5</v>
      </c>
      <c r="K66" s="109">
        <f t="shared" si="7"/>
        <v>5</v>
      </c>
      <c r="L66" s="109">
        <f t="shared" si="7"/>
        <v>5</v>
      </c>
      <c r="M66" s="49">
        <f t="shared" si="7"/>
        <v>1</v>
      </c>
      <c r="N66" s="109">
        <f t="shared" si="7"/>
        <v>0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2</v>
      </c>
      <c r="E67" s="109">
        <f t="shared" si="7"/>
        <v>40</v>
      </c>
      <c r="F67" s="8">
        <f t="shared" si="7"/>
        <v>45</v>
      </c>
      <c r="G67" s="7">
        <f t="shared" si="7"/>
        <v>2</v>
      </c>
      <c r="H67" s="109">
        <f t="shared" si="7"/>
        <v>10</v>
      </c>
      <c r="I67" s="109">
        <f t="shared" si="7"/>
        <v>10</v>
      </c>
      <c r="J67" s="109">
        <f t="shared" si="7"/>
        <v>10</v>
      </c>
      <c r="K67" s="109">
        <f t="shared" si="7"/>
        <v>10</v>
      </c>
      <c r="L67" s="109">
        <f t="shared" si="7"/>
        <v>10</v>
      </c>
      <c r="M67" s="49">
        <f t="shared" si="7"/>
        <v>2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86</v>
      </c>
      <c r="E69" s="109">
        <f t="shared" ref="E69:O69" si="8">SUM(E57:E68)</f>
        <v>160</v>
      </c>
      <c r="F69" s="109">
        <f t="shared" si="8"/>
        <v>955</v>
      </c>
      <c r="G69" s="109">
        <f t="shared" si="8"/>
        <v>120</v>
      </c>
      <c r="H69" s="109">
        <f t="shared" si="8"/>
        <v>242</v>
      </c>
      <c r="I69" s="109">
        <f t="shared" si="8"/>
        <v>242</v>
      </c>
      <c r="J69" s="109">
        <f t="shared" si="8"/>
        <v>242</v>
      </c>
      <c r="K69" s="109">
        <f t="shared" si="8"/>
        <v>242</v>
      </c>
      <c r="L69" s="109">
        <f t="shared" si="8"/>
        <v>242</v>
      </c>
      <c r="M69" s="109">
        <f t="shared" si="8"/>
        <v>191</v>
      </c>
      <c r="N69" s="109">
        <f t="shared" si="8"/>
        <v>0</v>
      </c>
      <c r="O69" s="109">
        <f t="shared" si="8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</v>
      </c>
      <c r="E73" s="110">
        <f t="shared" ref="E73:F84" si="9">SUMIF(BM$3:BM$38,$A73,BW$3:BW$38)</f>
        <v>125</v>
      </c>
      <c r="F73" s="5">
        <f t="shared" si="9"/>
        <v>1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65</v>
      </c>
      <c r="F74" s="8">
        <f t="shared" si="9"/>
        <v>200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0"/>
        <v>700</v>
      </c>
      <c r="E75" s="109">
        <f t="shared" si="9"/>
        <v>50</v>
      </c>
      <c r="F75" s="8">
        <f t="shared" si="9"/>
        <v>200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0"/>
        <v>595</v>
      </c>
      <c r="E76" s="109">
        <f t="shared" si="9"/>
        <v>10</v>
      </c>
      <c r="F76" s="8">
        <f t="shared" si="9"/>
        <v>40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0"/>
        <v>5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888" priority="309" operator="equal">
      <formula>"E"</formula>
    </cfRule>
  </conditionalFormatting>
  <conditionalFormatting sqref="Y39:Z52">
    <cfRule type="cellIs" dxfId="887" priority="333" operator="equal">
      <formula>"M4"</formula>
    </cfRule>
    <cfRule type="cellIs" dxfId="886" priority="334" operator="equal">
      <formula>"M3"</formula>
    </cfRule>
    <cfRule type="cellIs" dxfId="885" priority="335" operator="equal">
      <formula>"M2"</formula>
    </cfRule>
    <cfRule type="cellIs" dxfId="884" priority="336" operator="equal">
      <formula>"M1"</formula>
    </cfRule>
  </conditionalFormatting>
  <conditionalFormatting sqref="AD1:AE1 AB1 X2:Z2 X39:Z103">
    <cfRule type="cellIs" dxfId="883" priority="332" operator="equal">
      <formula>"E"</formula>
    </cfRule>
  </conditionalFormatting>
  <conditionalFormatting sqref="AC39:AE110 AC114:AE1048576 AC3:AC38">
    <cfRule type="cellIs" dxfId="882" priority="331" operator="equal">
      <formula>"E"</formula>
    </cfRule>
  </conditionalFormatting>
  <conditionalFormatting sqref="AC2:AE2">
    <cfRule type="cellIs" dxfId="881" priority="330" operator="equal">
      <formula>"E"</formula>
    </cfRule>
  </conditionalFormatting>
  <conditionalFormatting sqref="AB2:AB70">
    <cfRule type="cellIs" dxfId="880" priority="328" stopIfTrue="1" operator="equal">
      <formula>"WW"</formula>
    </cfRule>
    <cfRule type="cellIs" dxfId="879" priority="329" stopIfTrue="1" operator="equal">
      <formula>"C2"</formula>
    </cfRule>
  </conditionalFormatting>
  <conditionalFormatting sqref="W2:W70">
    <cfRule type="cellIs" dxfId="878" priority="326" stopIfTrue="1" operator="equal">
      <formula>"WW"</formula>
    </cfRule>
    <cfRule type="cellIs" dxfId="877" priority="327" stopIfTrue="1" operator="equal">
      <formula>"C2"</formula>
    </cfRule>
  </conditionalFormatting>
  <conditionalFormatting sqref="X39:Z103">
    <cfRule type="cellIs" dxfId="876" priority="322" operator="equal">
      <formula>"M4"</formula>
    </cfRule>
    <cfRule type="cellIs" dxfId="875" priority="323" operator="equal">
      <formula>"M3"</formula>
    </cfRule>
    <cfRule type="cellIs" dxfId="874" priority="324" operator="equal">
      <formula>"M2"</formula>
    </cfRule>
    <cfRule type="cellIs" dxfId="873" priority="325" operator="equal">
      <formula>"M1"</formula>
    </cfRule>
  </conditionalFormatting>
  <conditionalFormatting sqref="V113:AE113 AP113">
    <cfRule type="cellIs" dxfId="872" priority="321" operator="equal">
      <formula>"E"</formula>
    </cfRule>
  </conditionalFormatting>
  <conditionalFormatting sqref="AE4:AE38">
    <cfRule type="cellIs" dxfId="871" priority="310" operator="equal">
      <formula>"E"</formula>
    </cfRule>
  </conditionalFormatting>
  <conditionalFormatting sqref="AE3">
    <cfRule type="cellIs" dxfId="870" priority="293" operator="equal">
      <formula>"E"</formula>
    </cfRule>
  </conditionalFormatting>
  <conditionalFormatting sqref="AD3:AD38">
    <cfRule type="cellIs" dxfId="869" priority="292" operator="equal">
      <formula>"E"</formula>
    </cfRule>
  </conditionalFormatting>
  <conditionalFormatting sqref="U113">
    <cfRule type="cellIs" dxfId="868" priority="165" operator="equal">
      <formula>"E"</formula>
    </cfRule>
  </conditionalFormatting>
  <conditionalFormatting sqref="R1:R70">
    <cfRule type="cellIs" dxfId="867" priority="171" stopIfTrue="1" operator="equal">
      <formula>"WW"</formula>
    </cfRule>
    <cfRule type="cellIs" dxfId="866" priority="172" stopIfTrue="1" operator="equal">
      <formula>"C2"</formula>
    </cfRule>
  </conditionalFormatting>
  <conditionalFormatting sqref="S39:U103 S3:S38">
    <cfRule type="cellIs" dxfId="865" priority="167" operator="equal">
      <formula>"M4"</formula>
    </cfRule>
    <cfRule type="cellIs" dxfId="864" priority="168" operator="equal">
      <formula>"M3"</formula>
    </cfRule>
    <cfRule type="cellIs" dxfId="863" priority="169" operator="equal">
      <formula>"M2"</formula>
    </cfRule>
    <cfRule type="cellIs" dxfId="862" priority="170" operator="equal">
      <formula>"M1"</formula>
    </cfRule>
  </conditionalFormatting>
  <conditionalFormatting sqref="S1:U2 S114:U1048576 S111:T113 S39:U110 S3:S38">
    <cfRule type="cellIs" dxfId="861" priority="166" operator="equal">
      <formula>"E"</formula>
    </cfRule>
  </conditionalFormatting>
  <conditionalFormatting sqref="T3:T38">
    <cfRule type="cellIs" dxfId="860" priority="161" operator="equal">
      <formula>"M4"</formula>
    </cfRule>
    <cfRule type="cellIs" dxfId="859" priority="162" operator="equal">
      <formula>"M3"</formula>
    </cfRule>
    <cfRule type="cellIs" dxfId="858" priority="163" operator="equal">
      <formula>"M2"</formula>
    </cfRule>
    <cfRule type="cellIs" dxfId="857" priority="164" operator="equal">
      <formula>"M1"</formula>
    </cfRule>
  </conditionalFormatting>
  <conditionalFormatting sqref="T3:T38">
    <cfRule type="cellIs" dxfId="856" priority="160" operator="equal">
      <formula>"E"</formula>
    </cfRule>
  </conditionalFormatting>
  <conditionalFormatting sqref="U3:U38">
    <cfRule type="cellIs" dxfId="855" priority="156" operator="equal">
      <formula>"M4"</formula>
    </cfRule>
    <cfRule type="cellIs" dxfId="854" priority="157" operator="equal">
      <formula>"M3"</formula>
    </cfRule>
    <cfRule type="cellIs" dxfId="853" priority="158" operator="equal">
      <formula>"M2"</formula>
    </cfRule>
    <cfRule type="cellIs" dxfId="852" priority="159" operator="equal">
      <formula>"M1"</formula>
    </cfRule>
  </conditionalFormatting>
  <conditionalFormatting sqref="U3:U38">
    <cfRule type="cellIs" dxfId="851" priority="155" operator="equal">
      <formula>"E"</formula>
    </cfRule>
  </conditionalFormatting>
  <conditionalFormatting sqref="Y3:Z38">
    <cfRule type="cellIs" dxfId="850" priority="151" operator="equal">
      <formula>"M4"</formula>
    </cfRule>
    <cfRule type="cellIs" dxfId="849" priority="152" operator="equal">
      <formula>"M3"</formula>
    </cfRule>
    <cfRule type="cellIs" dxfId="848" priority="153" operator="equal">
      <formula>"M2"</formula>
    </cfRule>
    <cfRule type="cellIs" dxfId="847" priority="154" operator="equal">
      <formula>"M1"</formula>
    </cfRule>
  </conditionalFormatting>
  <conditionalFormatting sqref="X3:Z38">
    <cfRule type="cellIs" dxfId="846" priority="150" operator="equal">
      <formula>"E"</formula>
    </cfRule>
  </conditionalFormatting>
  <conditionalFormatting sqref="X3:Z38">
    <cfRule type="cellIs" dxfId="845" priority="146" operator="equal">
      <formula>"M4"</formula>
    </cfRule>
    <cfRule type="cellIs" dxfId="844" priority="147" operator="equal">
      <formula>"M3"</formula>
    </cfRule>
    <cfRule type="cellIs" dxfId="843" priority="148" operator="equal">
      <formula>"M2"</formula>
    </cfRule>
    <cfRule type="cellIs" dxfId="842" priority="149" operator="equal">
      <formula>"M1"</formula>
    </cfRule>
  </conditionalFormatting>
  <conditionalFormatting sqref="AH2:AJ2">
    <cfRule type="cellIs" dxfId="841" priority="143" operator="equal">
      <formula>"E"</formula>
    </cfRule>
  </conditionalFormatting>
  <conditionalFormatting sqref="AO3:AO38">
    <cfRule type="cellIs" dxfId="840" priority="135" operator="equal">
      <formula>"E"</formula>
    </cfRule>
  </conditionalFormatting>
  <conditionalFormatting sqref="AN1:AO1 AL1">
    <cfRule type="cellIs" dxfId="839" priority="140" operator="equal">
      <formula>"E"</formula>
    </cfRule>
  </conditionalFormatting>
  <conditionalFormatting sqref="AI1:AJ1 AG1">
    <cfRule type="cellIs" dxfId="838" priority="145" operator="equal">
      <formula>"E"</formula>
    </cfRule>
  </conditionalFormatting>
  <conditionalFormatting sqref="AH3:AJ103">
    <cfRule type="cellIs" dxfId="837" priority="144" operator="equal">
      <formula>"E"</formula>
    </cfRule>
  </conditionalFormatting>
  <conditionalFormatting sqref="AG2:AG70">
    <cfRule type="cellIs" dxfId="836" priority="141" stopIfTrue="1" operator="equal">
      <formula>"WW"</formula>
    </cfRule>
    <cfRule type="cellIs" dxfId="835" priority="142" stopIfTrue="1" operator="equal">
      <formula>"C2"</formula>
    </cfRule>
  </conditionalFormatting>
  <conditionalFormatting sqref="AM39:AO103">
    <cfRule type="cellIs" dxfId="834" priority="139" operator="equal">
      <formula>"E"</formula>
    </cfRule>
  </conditionalFormatting>
  <conditionalFormatting sqref="AM2:AO2">
    <cfRule type="cellIs" dxfId="833" priority="138" operator="equal">
      <formula>"E"</formula>
    </cfRule>
  </conditionalFormatting>
  <conditionalFormatting sqref="AL2:AL70">
    <cfRule type="cellIs" dxfId="832" priority="136" stopIfTrue="1" operator="equal">
      <formula>"WW"</formula>
    </cfRule>
    <cfRule type="cellIs" dxfId="831" priority="137" stopIfTrue="1" operator="equal">
      <formula>"C2"</formula>
    </cfRule>
  </conditionalFormatting>
  <conditionalFormatting sqref="AM3:AM38">
    <cfRule type="cellIs" dxfId="830" priority="134" operator="equal">
      <formula>"E"</formula>
    </cfRule>
  </conditionalFormatting>
  <conditionalFormatting sqref="AN3:AN38">
    <cfRule type="cellIs" dxfId="829" priority="133" operator="equal">
      <formula>"E"</formula>
    </cfRule>
  </conditionalFormatting>
  <conditionalFormatting sqref="AQ1">
    <cfRule type="cellIs" dxfId="828" priority="101" operator="equal">
      <formula>"E"</formula>
    </cfRule>
  </conditionalFormatting>
  <conditionalFormatting sqref="BA43:BA103">
    <cfRule type="cellIs" dxfId="827" priority="97" operator="equal">
      <formula>"E"</formula>
    </cfRule>
  </conditionalFormatting>
  <conditionalFormatting sqref="AZ2">
    <cfRule type="cellIs" dxfId="826" priority="98" operator="equal">
      <formula>"E"</formula>
    </cfRule>
  </conditionalFormatting>
  <conditionalFormatting sqref="BI2">
    <cfRule type="cellIs" dxfId="825" priority="58" operator="equal">
      <formula>"E"</formula>
    </cfRule>
  </conditionalFormatting>
  <conditionalFormatting sqref="BA2">
    <cfRule type="cellIs" dxfId="824" priority="96" operator="equal">
      <formula>"E"</formula>
    </cfRule>
  </conditionalFormatting>
  <conditionalFormatting sqref="BB43:BB103">
    <cfRule type="cellIs" dxfId="823" priority="95" operator="equal">
      <formula>"E"</formula>
    </cfRule>
  </conditionalFormatting>
  <conditionalFormatting sqref="BB2">
    <cfRule type="cellIs" dxfId="822" priority="94" operator="equal">
      <formula>"E"</formula>
    </cfRule>
  </conditionalFormatting>
  <conditionalFormatting sqref="BC43:BC103">
    <cfRule type="cellIs" dxfId="821" priority="93" operator="equal">
      <formula>"E"</formula>
    </cfRule>
  </conditionalFormatting>
  <conditionalFormatting sqref="BC2">
    <cfRule type="cellIs" dxfId="820" priority="92" operator="equal">
      <formula>"E"</formula>
    </cfRule>
  </conditionalFormatting>
  <conditionalFormatting sqref="BD43:BD103">
    <cfRule type="cellIs" dxfId="819" priority="91" operator="equal">
      <formula>"E"</formula>
    </cfRule>
  </conditionalFormatting>
  <conditionalFormatting sqref="BD2">
    <cfRule type="cellIs" dxfId="818" priority="90" operator="equal">
      <formula>"E"</formula>
    </cfRule>
  </conditionalFormatting>
  <conditionalFormatting sqref="BE43:BE103">
    <cfRule type="cellIs" dxfId="817" priority="89" operator="equal">
      <formula>"E"</formula>
    </cfRule>
  </conditionalFormatting>
  <conditionalFormatting sqref="BE2">
    <cfRule type="cellIs" dxfId="816" priority="88" operator="equal">
      <formula>"E"</formula>
    </cfRule>
  </conditionalFormatting>
  <conditionalFormatting sqref="BF43:BF103">
    <cfRule type="cellIs" dxfId="815" priority="87" operator="equal">
      <formula>"E"</formula>
    </cfRule>
  </conditionalFormatting>
  <conditionalFormatting sqref="BF2">
    <cfRule type="cellIs" dxfId="814" priority="86" operator="equal">
      <formula>"E"</formula>
    </cfRule>
  </conditionalFormatting>
  <conditionalFormatting sqref="BG43:BG103">
    <cfRule type="cellIs" dxfId="813" priority="82" operator="equal">
      <formula>"E"</formula>
    </cfRule>
  </conditionalFormatting>
  <conditionalFormatting sqref="BG2">
    <cfRule type="cellIs" dxfId="812" priority="81" operator="equal">
      <formula>"E"</formula>
    </cfRule>
  </conditionalFormatting>
  <conditionalFormatting sqref="BH43:BH103">
    <cfRule type="cellIs" dxfId="811" priority="79" operator="equal">
      <formula>"E"</formula>
    </cfRule>
  </conditionalFormatting>
  <conditionalFormatting sqref="BH2">
    <cfRule type="cellIs" dxfId="810" priority="78" operator="equal">
      <formula>"E"</formula>
    </cfRule>
  </conditionalFormatting>
  <conditionalFormatting sqref="BU1 BL1:BN2 BQ2:BS103 BL39:BN1048576 BL3:BL38">
    <cfRule type="cellIs" dxfId="809" priority="70" operator="equal">
      <formula>"E"</formula>
    </cfRule>
  </conditionalFormatting>
  <conditionalFormatting sqref="AX43:AX103">
    <cfRule type="cellIs" dxfId="808" priority="61" operator="equal">
      <formula>"E"</formula>
    </cfRule>
  </conditionalFormatting>
  <conditionalFormatting sqref="AX2">
    <cfRule type="cellIs" dxfId="807" priority="60" operator="equal">
      <formula>"E"</formula>
    </cfRule>
  </conditionalFormatting>
  <conditionalFormatting sqref="BI43:BI103">
    <cfRule type="cellIs" dxfId="806" priority="59" operator="equal">
      <formula>"E"</formula>
    </cfRule>
  </conditionalFormatting>
  <conditionalFormatting sqref="BM3:BM38">
    <cfRule type="cellIs" dxfId="805" priority="53" operator="equal">
      <formula>"E"</formula>
    </cfRule>
  </conditionalFormatting>
  <conditionalFormatting sqref="CD3:CD1048576">
    <cfRule type="cellIs" dxfId="804" priority="14" operator="equal">
      <formula>"E"</formula>
    </cfRule>
  </conditionalFormatting>
  <conditionalFormatting sqref="CD2">
    <cfRule type="cellIs" dxfId="803" priority="11" operator="equal">
      <formula>"E"</formula>
    </cfRule>
  </conditionalFormatting>
  <conditionalFormatting sqref="AU3:AU42">
    <cfRule type="cellIs" dxfId="802" priority="129" operator="equal">
      <formula>"M4"</formula>
    </cfRule>
    <cfRule type="cellIs" dxfId="801" priority="130" operator="equal">
      <formula>"M3"</formula>
    </cfRule>
    <cfRule type="cellIs" dxfId="800" priority="131" operator="equal">
      <formula>"M2"</formula>
    </cfRule>
    <cfRule type="cellIs" dxfId="799" priority="132" operator="equal">
      <formula>"M1"</formula>
    </cfRule>
  </conditionalFormatting>
  <conditionalFormatting sqref="AS39:AS103 AU2:AU42 BW1 AR1:AR1048576 BV2:BW1048576 BX1:BX1048576">
    <cfRule type="cellIs" dxfId="798" priority="127" operator="equal">
      <formula>"E"</formula>
    </cfRule>
  </conditionalFormatting>
  <conditionalFormatting sqref="AS39:AS103 AU3:AU42 AR3:AR103">
    <cfRule type="cellIs" dxfId="797" priority="116" operator="equal">
      <formula>"RE"</formula>
    </cfRule>
    <cfRule type="cellIs" dxfId="796" priority="117" operator="equal">
      <formula>"3000"</formula>
    </cfRule>
    <cfRule type="cellIs" dxfId="795" priority="118" operator="equal">
      <formula>"300"</formula>
    </cfRule>
    <cfRule type="cellIs" dxfId="794" priority="119" operator="equal">
      <formula>"100"</formula>
    </cfRule>
    <cfRule type="cellIs" dxfId="793" priority="120" operator="equal">
      <formula>"50"</formula>
    </cfRule>
    <cfRule type="cellIs" dxfId="792" priority="121" operator="equal">
      <formula>"40"</formula>
    </cfRule>
    <cfRule type="cellIs" dxfId="791" priority="122" operator="equal">
      <formula>"20"</formula>
    </cfRule>
  </conditionalFormatting>
  <conditionalFormatting sqref="AR1 AR104:AR1048576">
    <cfRule type="cellIs" dxfId="790" priority="123" operator="equal">
      <formula>"M4"</formula>
    </cfRule>
    <cfRule type="cellIs" dxfId="789" priority="124" operator="equal">
      <formula>"M3"</formula>
    </cfRule>
    <cfRule type="cellIs" dxfId="788" priority="125" operator="equal">
      <formula>"M1"</formula>
    </cfRule>
    <cfRule type="cellIs" dxfId="787" priority="126" operator="equal">
      <formula>"M2"</formula>
    </cfRule>
    <cfRule type="cellIs" dxfId="786" priority="128" stopIfTrue="1" operator="between">
      <formula>"C1"</formula>
      <formula>"C2"</formula>
    </cfRule>
  </conditionalFormatting>
  <conditionalFormatting sqref="AQ2:AQ70">
    <cfRule type="cellIs" dxfId="785" priority="114" stopIfTrue="1" operator="equal">
      <formula>"WW"</formula>
    </cfRule>
    <cfRule type="cellIs" dxfId="784" priority="115" stopIfTrue="1" operator="equal">
      <formula>"C2"</formula>
    </cfRule>
  </conditionalFormatting>
  <conditionalFormatting sqref="AT2:AT70">
    <cfRule type="cellIs" dxfId="783" priority="112" stopIfTrue="1" operator="equal">
      <formula>"WW"</formula>
    </cfRule>
    <cfRule type="cellIs" dxfId="782" priority="113" stopIfTrue="1" operator="equal">
      <formula>"C2"</formula>
    </cfRule>
  </conditionalFormatting>
  <conditionalFormatting sqref="AU43:AU103">
    <cfRule type="cellIs" dxfId="781" priority="111" operator="equal">
      <formula>"E"</formula>
    </cfRule>
  </conditionalFormatting>
  <conditionalFormatting sqref="AU43:AU103">
    <cfRule type="cellIs" dxfId="780" priority="107" operator="equal">
      <formula>"M4"</formula>
    </cfRule>
    <cfRule type="cellIs" dxfId="779" priority="108" operator="equal">
      <formula>"M3"</formula>
    </cfRule>
    <cfRule type="cellIs" dxfId="778" priority="109" operator="equal">
      <formula>"M2"</formula>
    </cfRule>
    <cfRule type="cellIs" dxfId="777" priority="110" operator="equal">
      <formula>"M1"</formula>
    </cfRule>
  </conditionalFormatting>
  <conditionalFormatting sqref="AW1">
    <cfRule type="cellIs" dxfId="776" priority="106" operator="equal">
      <formula>"E"</formula>
    </cfRule>
  </conditionalFormatting>
  <conditionalFormatting sqref="AY43:AY103">
    <cfRule type="cellIs" dxfId="775" priority="105" operator="equal">
      <formula>"E"</formula>
    </cfRule>
  </conditionalFormatting>
  <conditionalFormatting sqref="AY2">
    <cfRule type="cellIs" dxfId="774" priority="104" operator="equal">
      <formula>"E"</formula>
    </cfRule>
  </conditionalFormatting>
  <conditionalFormatting sqref="AW2:AW70">
    <cfRule type="cellIs" dxfId="773" priority="102" stopIfTrue="1" operator="equal">
      <formula>"WW"</formula>
    </cfRule>
    <cfRule type="cellIs" dxfId="772" priority="103" stopIfTrue="1" operator="equal">
      <formula>"C2"</formula>
    </cfRule>
  </conditionalFormatting>
  <conditionalFormatting sqref="AT1">
    <cfRule type="cellIs" dxfId="771" priority="100" operator="equal">
      <formula>"E"</formula>
    </cfRule>
  </conditionalFormatting>
  <conditionalFormatting sqref="AZ43:AZ103">
    <cfRule type="cellIs" dxfId="770" priority="99" operator="equal">
      <formula>"E"</formula>
    </cfRule>
  </conditionalFormatting>
  <conditionalFormatting sqref="BK1:BK70">
    <cfRule type="cellIs" dxfId="769" priority="75" stopIfTrue="1" operator="equal">
      <formula>"WW"</formula>
    </cfRule>
    <cfRule type="cellIs" dxfId="768" priority="76" stopIfTrue="1" operator="equal">
      <formula>"C2"</formula>
    </cfRule>
  </conditionalFormatting>
  <conditionalFormatting sqref="BL39:BN103 BR3:BS52 BL3:BL38">
    <cfRule type="cellIs" dxfId="767" priority="71" operator="equal">
      <formula>"M4"</formula>
    </cfRule>
    <cfRule type="cellIs" dxfId="766" priority="72" operator="equal">
      <formula>"M3"</formula>
    </cfRule>
    <cfRule type="cellIs" dxfId="765" priority="73" operator="equal">
      <formula>"M2"</formula>
    </cfRule>
    <cfRule type="cellIs" dxfId="764" priority="74" operator="equal">
      <formula>"M1"</formula>
    </cfRule>
  </conditionalFormatting>
  <conditionalFormatting sqref="BU2:BU70">
    <cfRule type="cellIs" dxfId="763" priority="68" stopIfTrue="1" operator="equal">
      <formula>"WW"</formula>
    </cfRule>
    <cfRule type="cellIs" dxfId="762" priority="69" stopIfTrue="1" operator="equal">
      <formula>"C2"</formula>
    </cfRule>
  </conditionalFormatting>
  <conditionalFormatting sqref="BP2:BP70">
    <cfRule type="cellIs" dxfId="761" priority="66" stopIfTrue="1" operator="equal">
      <formula>"WW"</formula>
    </cfRule>
    <cfRule type="cellIs" dxfId="760" priority="67" stopIfTrue="1" operator="equal">
      <formula>"C2"</formula>
    </cfRule>
  </conditionalFormatting>
  <conditionalFormatting sqref="BQ3:BS103">
    <cfRule type="cellIs" dxfId="759" priority="62" operator="equal">
      <formula>"M4"</formula>
    </cfRule>
    <cfRule type="cellIs" dxfId="758" priority="63" operator="equal">
      <formula>"M3"</formula>
    </cfRule>
    <cfRule type="cellIs" dxfId="757" priority="64" operator="equal">
      <formula>"M2"</formula>
    </cfRule>
    <cfRule type="cellIs" dxfId="756" priority="65" operator="equal">
      <formula>"M1"</formula>
    </cfRule>
  </conditionalFormatting>
  <conditionalFormatting sqref="BM3:BM38">
    <cfRule type="cellIs" dxfId="755" priority="54" operator="equal">
      <formula>"M4"</formula>
    </cfRule>
    <cfRule type="cellIs" dxfId="754" priority="55" operator="equal">
      <formula>"M3"</formula>
    </cfRule>
    <cfRule type="cellIs" dxfId="753" priority="56" operator="equal">
      <formula>"M2"</formula>
    </cfRule>
    <cfRule type="cellIs" dxfId="752" priority="57" operator="equal">
      <formula>"M1"</formula>
    </cfRule>
  </conditionalFormatting>
  <conditionalFormatting sqref="BN3:BN38">
    <cfRule type="cellIs" dxfId="751" priority="49" operator="equal">
      <formula>"M4"</formula>
    </cfRule>
    <cfRule type="cellIs" dxfId="750" priority="50" operator="equal">
      <formula>"M3"</formula>
    </cfRule>
    <cfRule type="cellIs" dxfId="749" priority="51" operator="equal">
      <formula>"M2"</formula>
    </cfRule>
    <cfRule type="cellIs" dxfId="748" priority="52" operator="equal">
      <formula>"M1"</formula>
    </cfRule>
  </conditionalFormatting>
  <conditionalFormatting sqref="BN3:BN38">
    <cfRule type="cellIs" dxfId="747" priority="48" operator="equal">
      <formula>"E"</formula>
    </cfRule>
  </conditionalFormatting>
  <conditionalFormatting sqref="CA1:CA1048576">
    <cfRule type="cellIs" dxfId="746" priority="16" operator="equal">
      <formula>"E"</formula>
    </cfRule>
  </conditionalFormatting>
  <conditionalFormatting sqref="CC1">
    <cfRule type="cellIs" dxfId="745" priority="15" operator="equal">
      <formula>"E"</formula>
    </cfRule>
  </conditionalFormatting>
  <conditionalFormatting sqref="BZ1:BZ70">
    <cfRule type="cellIs" dxfId="744" priority="21" stopIfTrue="1" operator="equal">
      <formula>"WW"</formula>
    </cfRule>
    <cfRule type="cellIs" dxfId="743" priority="22" stopIfTrue="1" operator="equal">
      <formula>"C2"</formula>
    </cfRule>
  </conditionalFormatting>
  <conditionalFormatting sqref="CA3:CA103">
    <cfRule type="cellIs" dxfId="742" priority="17" operator="equal">
      <formula>"M4"</formula>
    </cfRule>
    <cfRule type="cellIs" dxfId="741" priority="18" operator="equal">
      <formula>"M3"</formula>
    </cfRule>
    <cfRule type="cellIs" dxfId="740" priority="19" operator="equal">
      <formula>"M2"</formula>
    </cfRule>
    <cfRule type="cellIs" dxfId="739" priority="20" operator="equal">
      <formula>"M1"</formula>
    </cfRule>
  </conditionalFormatting>
  <conditionalFormatting sqref="CC2:CC70">
    <cfRule type="cellIs" dxfId="738" priority="12" stopIfTrue="1" operator="equal">
      <formula>"WW"</formula>
    </cfRule>
    <cfRule type="cellIs" dxfId="737" priority="13" stopIfTrue="1" operator="equal">
      <formula>"C2"</formula>
    </cfRule>
  </conditionalFormatting>
  <conditionalFormatting sqref="AX3:BI42">
    <cfRule type="cellIs" dxfId="736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{84227396-178B-4101-8BE1-B358C3AA4841}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227396-178B-4101-8BE1-B358C3AA4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 customWidth="1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117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34"/>
      <c r="BX1" s="134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71</v>
      </c>
      <c r="CC2" s="12" t="s">
        <v>17</v>
      </c>
      <c r="CD2" s="137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 t="shared" ref="E5:F16" si="0">SUMIF(T$3:T$38,$A5,AD$3:AD$38)</f>
        <v>18</v>
      </c>
      <c r="F5" s="5">
        <f t="shared" si="0"/>
        <v>18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09">
        <f t="shared" si="0"/>
        <v>6</v>
      </c>
      <c r="F7" s="8">
        <f t="shared" si="0"/>
        <v>6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09">
        <f t="shared" si="0"/>
        <v>6</v>
      </c>
      <c r="F8" s="8">
        <f t="shared" si="0"/>
        <v>6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D17" s="109">
        <f>SUM(D5:D16)</f>
        <v>36</v>
      </c>
      <c r="E17" s="109">
        <f>SUM(E5:E16)</f>
        <v>36</v>
      </c>
      <c r="F17" s="109">
        <f>SUM(F5:F16)</f>
        <v>36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31" t="s">
        <v>118</v>
      </c>
      <c r="D19" s="111"/>
      <c r="E19" s="111"/>
      <c r="F19" s="111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 t="shared" ref="E23:F34" si="2">SUMIF(T$3:T$38,$A23,AI$3:AI$38)</f>
        <v>18</v>
      </c>
      <c r="F23" s="5">
        <f t="shared" si="2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6</v>
      </c>
      <c r="F24" s="8">
        <f t="shared" si="2"/>
        <v>6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1">
        <v>1</v>
      </c>
      <c r="B25" s="21">
        <v>2</v>
      </c>
      <c r="C25" s="6">
        <v>1</v>
      </c>
      <c r="D25" s="7">
        <f t="shared" si="3"/>
        <v>6</v>
      </c>
      <c r="E25" s="109">
        <f t="shared" si="2"/>
        <v>6</v>
      </c>
      <c r="F25" s="8">
        <f t="shared" si="2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2">
        <v>5</v>
      </c>
      <c r="B26" s="22">
        <v>3</v>
      </c>
      <c r="C26" s="24">
        <v>5</v>
      </c>
      <c r="D26" s="7">
        <f t="shared" si="3"/>
        <v>6</v>
      </c>
      <c r="E26" s="109">
        <f t="shared" si="2"/>
        <v>6</v>
      </c>
      <c r="F26" s="8">
        <f t="shared" si="2"/>
        <v>6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2">
        <v>10</v>
      </c>
      <c r="B27" s="22">
        <v>4</v>
      </c>
      <c r="C27" s="24">
        <v>10</v>
      </c>
      <c r="D27" s="7">
        <f t="shared" si="3"/>
        <v>6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D35" s="109">
        <f>SUM(D23:D34)</f>
        <v>36</v>
      </c>
      <c r="E35" s="109">
        <f>SUM(E23:E34)</f>
        <v>36</v>
      </c>
      <c r="F35" s="109">
        <f>SUM(F23:F34)</f>
        <v>36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G36" s="109"/>
      <c r="H36" s="22">
        <v>10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31" t="s">
        <v>119</v>
      </c>
      <c r="D37" s="111"/>
      <c r="E37" s="111"/>
      <c r="F37" s="111"/>
      <c r="G37" s="109"/>
      <c r="H37" s="22">
        <v>15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D38" s="111"/>
      <c r="E38" s="111"/>
      <c r="F38" s="111"/>
      <c r="G38" s="109"/>
      <c r="H38" s="22">
        <v>20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D39" s="111"/>
      <c r="E39" s="111"/>
      <c r="F39" s="111"/>
      <c r="G39" s="109"/>
      <c r="H39" s="22">
        <v>30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 t="shared" ref="E41:F52" si="5">SUMIF(T$3:T$38,$A41,AN$3:AN$38)</f>
        <v>18</v>
      </c>
      <c r="F41" s="5">
        <f t="shared" si="5"/>
        <v>18</v>
      </c>
      <c r="G41" s="109"/>
      <c r="H41" s="22">
        <v>100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6</v>
      </c>
      <c r="F42" s="8">
        <f t="shared" si="5"/>
        <v>6</v>
      </c>
      <c r="H42" s="23">
        <v>200</v>
      </c>
      <c r="I42" s="97">
        <f t="shared" si="4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>
        <v>1</v>
      </c>
      <c r="B43" s="21">
        <v>2</v>
      </c>
      <c r="C43" s="6">
        <v>1</v>
      </c>
      <c r="D43" s="7">
        <f t="shared" si="6"/>
        <v>6</v>
      </c>
      <c r="E43" s="109">
        <f t="shared" si="5"/>
        <v>6</v>
      </c>
      <c r="F43" s="8">
        <f t="shared" si="5"/>
        <v>6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2">
        <v>5</v>
      </c>
      <c r="B44" s="22">
        <v>3</v>
      </c>
      <c r="C44" s="24">
        <v>5</v>
      </c>
      <c r="D44" s="7">
        <f t="shared" si="6"/>
        <v>6</v>
      </c>
      <c r="E44" s="109">
        <f t="shared" si="5"/>
        <v>6</v>
      </c>
      <c r="F44" s="8">
        <f t="shared" si="5"/>
        <v>6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>
        <v>10</v>
      </c>
      <c r="B45" s="22">
        <v>4</v>
      </c>
      <c r="C45" s="24">
        <v>10</v>
      </c>
      <c r="D45" s="7">
        <f t="shared" si="6"/>
        <v>6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D53" s="109">
        <f>SUM(D41:D52)</f>
        <v>36</v>
      </c>
      <c r="E53" s="109">
        <f>SUM(E41:E52)</f>
        <v>36</v>
      </c>
      <c r="F53" s="10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4</v>
      </c>
      <c r="E67" s="109">
        <f t="shared" si="7"/>
        <v>4</v>
      </c>
      <c r="F67" s="8">
        <f t="shared" si="7"/>
        <v>4</v>
      </c>
      <c r="G67" s="7">
        <f t="shared" si="7"/>
        <v>4</v>
      </c>
      <c r="H67" s="109">
        <f t="shared" si="7"/>
        <v>4</v>
      </c>
      <c r="I67" s="109">
        <f t="shared" si="7"/>
        <v>4</v>
      </c>
      <c r="J67" s="109">
        <f t="shared" si="7"/>
        <v>4</v>
      </c>
      <c r="K67" s="109">
        <f t="shared" si="7"/>
        <v>4</v>
      </c>
      <c r="L67" s="109">
        <f t="shared" si="7"/>
        <v>4</v>
      </c>
      <c r="M67" s="49">
        <f t="shared" si="7"/>
        <v>4</v>
      </c>
      <c r="N67" s="109">
        <f t="shared" si="7"/>
        <v>4</v>
      </c>
      <c r="O67" s="8">
        <f t="shared" si="7"/>
        <v>4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 t="shared" ref="E73:F84" si="9">SUMIF(BM$3:BM$38,$A73,BW$3:BW$38)</f>
        <v>18</v>
      </c>
      <c r="F73" s="5">
        <f t="shared" si="9"/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</v>
      </c>
      <c r="F74" s="8">
        <f t="shared" si="9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>
        <v>1</v>
      </c>
      <c r="B75" s="21">
        <v>2</v>
      </c>
      <c r="C75" s="6">
        <v>1</v>
      </c>
      <c r="D75" s="7">
        <f t="shared" si="10"/>
        <v>6</v>
      </c>
      <c r="E75" s="109">
        <f t="shared" si="9"/>
        <v>6</v>
      </c>
      <c r="F75" s="8">
        <f t="shared" si="9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2">
        <v>5</v>
      </c>
      <c r="B76" s="22">
        <v>3</v>
      </c>
      <c r="C76" s="24">
        <v>5</v>
      </c>
      <c r="D76" s="7">
        <f t="shared" si="10"/>
        <v>6</v>
      </c>
      <c r="E76" s="109">
        <f t="shared" si="9"/>
        <v>6</v>
      </c>
      <c r="F76" s="8">
        <f t="shared" si="9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>
        <v>10</v>
      </c>
      <c r="B77" s="22">
        <v>4</v>
      </c>
      <c r="C77" s="24">
        <v>10</v>
      </c>
      <c r="D77" s="7">
        <f t="shared" si="10"/>
        <v>6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735" priority="210" operator="equal">
      <formula>"E"</formula>
    </cfRule>
  </conditionalFormatting>
  <conditionalFormatting sqref="Y39:Z52">
    <cfRule type="cellIs" dxfId="734" priority="224" operator="equal">
      <formula>"M4"</formula>
    </cfRule>
    <cfRule type="cellIs" dxfId="733" priority="225" operator="equal">
      <formula>"M3"</formula>
    </cfRule>
    <cfRule type="cellIs" dxfId="732" priority="226" operator="equal">
      <formula>"M2"</formula>
    </cfRule>
    <cfRule type="cellIs" dxfId="731" priority="227" operator="equal">
      <formula>"M1"</formula>
    </cfRule>
  </conditionalFormatting>
  <conditionalFormatting sqref="AB1 X2:Z2 X39:Z103">
    <cfRule type="cellIs" dxfId="730" priority="223" operator="equal">
      <formula>"E"</formula>
    </cfRule>
  </conditionalFormatting>
  <conditionalFormatting sqref="AB2:AB70">
    <cfRule type="cellIs" dxfId="729" priority="219" stopIfTrue="1" operator="equal">
      <formula>"WW"</formula>
    </cfRule>
    <cfRule type="cellIs" dxfId="728" priority="220" stopIfTrue="1" operator="equal">
      <formula>"C2"</formula>
    </cfRule>
  </conditionalFormatting>
  <conditionalFormatting sqref="W2:W70">
    <cfRule type="cellIs" dxfId="727" priority="217" stopIfTrue="1" operator="equal">
      <formula>"WW"</formula>
    </cfRule>
    <cfRule type="cellIs" dxfId="726" priority="218" stopIfTrue="1" operator="equal">
      <formula>"C2"</formula>
    </cfRule>
  </conditionalFormatting>
  <conditionalFormatting sqref="X39:Z103">
    <cfRule type="cellIs" dxfId="725" priority="213" operator="equal">
      <formula>"M4"</formula>
    </cfRule>
    <cfRule type="cellIs" dxfId="724" priority="214" operator="equal">
      <formula>"M3"</formula>
    </cfRule>
    <cfRule type="cellIs" dxfId="723" priority="215" operator="equal">
      <formula>"M2"</formula>
    </cfRule>
    <cfRule type="cellIs" dxfId="722" priority="216" operator="equal">
      <formula>"M1"</formula>
    </cfRule>
  </conditionalFormatting>
  <conditionalFormatting sqref="V113:AB113 AP113">
    <cfRule type="cellIs" dxfId="721" priority="212" operator="equal">
      <formula>"E"</formula>
    </cfRule>
  </conditionalFormatting>
  <conditionalFormatting sqref="U113">
    <cfRule type="cellIs" dxfId="720" priority="199" operator="equal">
      <formula>"E"</formula>
    </cfRule>
  </conditionalFormatting>
  <conditionalFormatting sqref="R1:R70">
    <cfRule type="cellIs" dxfId="719" priority="205" stopIfTrue="1" operator="equal">
      <formula>"WW"</formula>
    </cfRule>
    <cfRule type="cellIs" dxfId="718" priority="206" stopIfTrue="1" operator="equal">
      <formula>"C2"</formula>
    </cfRule>
  </conditionalFormatting>
  <conditionalFormatting sqref="S39:U103 S3:S38">
    <cfRule type="cellIs" dxfId="717" priority="201" operator="equal">
      <formula>"M4"</formula>
    </cfRule>
    <cfRule type="cellIs" dxfId="716" priority="202" operator="equal">
      <formula>"M3"</formula>
    </cfRule>
    <cfRule type="cellIs" dxfId="715" priority="203" operator="equal">
      <formula>"M2"</formula>
    </cfRule>
    <cfRule type="cellIs" dxfId="714" priority="204" operator="equal">
      <formula>"M1"</formula>
    </cfRule>
  </conditionalFormatting>
  <conditionalFormatting sqref="S1:U2 S114:U1048576 S111:T113 S39:U110 S3:S38">
    <cfRule type="cellIs" dxfId="713" priority="200" operator="equal">
      <formula>"E"</formula>
    </cfRule>
  </conditionalFormatting>
  <conditionalFormatting sqref="T3:T38">
    <cfRule type="cellIs" dxfId="712" priority="195" operator="equal">
      <formula>"M4"</formula>
    </cfRule>
    <cfRule type="cellIs" dxfId="711" priority="196" operator="equal">
      <formula>"M3"</formula>
    </cfRule>
    <cfRule type="cellIs" dxfId="710" priority="197" operator="equal">
      <formula>"M2"</formula>
    </cfRule>
    <cfRule type="cellIs" dxfId="709" priority="198" operator="equal">
      <formula>"M1"</formula>
    </cfRule>
  </conditionalFormatting>
  <conditionalFormatting sqref="T3:T38">
    <cfRule type="cellIs" dxfId="708" priority="194" operator="equal">
      <formula>"E"</formula>
    </cfRule>
  </conditionalFormatting>
  <conditionalFormatting sqref="U3:U38">
    <cfRule type="cellIs" dxfId="707" priority="190" operator="equal">
      <formula>"M4"</formula>
    </cfRule>
    <cfRule type="cellIs" dxfId="706" priority="191" operator="equal">
      <formula>"M3"</formula>
    </cfRule>
    <cfRule type="cellIs" dxfId="705" priority="192" operator="equal">
      <formula>"M2"</formula>
    </cfRule>
    <cfRule type="cellIs" dxfId="704" priority="193" operator="equal">
      <formula>"M1"</formula>
    </cfRule>
  </conditionalFormatting>
  <conditionalFormatting sqref="U3:U38">
    <cfRule type="cellIs" dxfId="703" priority="189" operator="equal">
      <formula>"E"</formula>
    </cfRule>
  </conditionalFormatting>
  <conditionalFormatting sqref="Y3:Z38">
    <cfRule type="cellIs" dxfId="702" priority="185" operator="equal">
      <formula>"M4"</formula>
    </cfRule>
    <cfRule type="cellIs" dxfId="701" priority="186" operator="equal">
      <formula>"M3"</formula>
    </cfRule>
    <cfRule type="cellIs" dxfId="700" priority="187" operator="equal">
      <formula>"M2"</formula>
    </cfRule>
    <cfRule type="cellIs" dxfId="699" priority="188" operator="equal">
      <formula>"M1"</formula>
    </cfRule>
  </conditionalFormatting>
  <conditionalFormatting sqref="X3:Z38">
    <cfRule type="cellIs" dxfId="698" priority="184" operator="equal">
      <formula>"E"</formula>
    </cfRule>
  </conditionalFormatting>
  <conditionalFormatting sqref="X3:Z38">
    <cfRule type="cellIs" dxfId="697" priority="180" operator="equal">
      <formula>"M4"</formula>
    </cfRule>
    <cfRule type="cellIs" dxfId="696" priority="181" operator="equal">
      <formula>"M3"</formula>
    </cfRule>
    <cfRule type="cellIs" dxfId="695" priority="182" operator="equal">
      <formula>"M2"</formula>
    </cfRule>
    <cfRule type="cellIs" dxfId="694" priority="183" operator="equal">
      <formula>"M1"</formula>
    </cfRule>
  </conditionalFormatting>
  <conditionalFormatting sqref="AL1">
    <cfRule type="cellIs" dxfId="693" priority="174" operator="equal">
      <formula>"E"</formula>
    </cfRule>
  </conditionalFormatting>
  <conditionalFormatting sqref="AG1">
    <cfRule type="cellIs" dxfId="692" priority="179" operator="equal">
      <formula>"E"</formula>
    </cfRule>
  </conditionalFormatting>
  <conditionalFormatting sqref="AG2:AG70">
    <cfRule type="cellIs" dxfId="691" priority="175" stopIfTrue="1" operator="equal">
      <formula>"WW"</formula>
    </cfRule>
    <cfRule type="cellIs" dxfId="690" priority="176" stopIfTrue="1" operator="equal">
      <formula>"C2"</formula>
    </cfRule>
  </conditionalFormatting>
  <conditionalFormatting sqref="AL2:AL70">
    <cfRule type="cellIs" dxfId="689" priority="170" stopIfTrue="1" operator="equal">
      <formula>"WW"</formula>
    </cfRule>
    <cfRule type="cellIs" dxfId="688" priority="171" stopIfTrue="1" operator="equal">
      <formula>"C2"</formula>
    </cfRule>
  </conditionalFormatting>
  <conditionalFormatting sqref="AQ1">
    <cfRule type="cellIs" dxfId="687" priority="135" operator="equal">
      <formula>"E"</formula>
    </cfRule>
  </conditionalFormatting>
  <conditionalFormatting sqref="BA43:BA103">
    <cfRule type="cellIs" dxfId="686" priority="131" operator="equal">
      <formula>"E"</formula>
    </cfRule>
  </conditionalFormatting>
  <conditionalFormatting sqref="AZ2">
    <cfRule type="cellIs" dxfId="685" priority="132" operator="equal">
      <formula>"E"</formula>
    </cfRule>
  </conditionalFormatting>
  <conditionalFormatting sqref="BI2">
    <cfRule type="cellIs" dxfId="684" priority="92" operator="equal">
      <formula>"E"</formula>
    </cfRule>
  </conditionalFormatting>
  <conditionalFormatting sqref="BA2">
    <cfRule type="cellIs" dxfId="683" priority="130" operator="equal">
      <formula>"E"</formula>
    </cfRule>
  </conditionalFormatting>
  <conditionalFormatting sqref="BB43:BB103">
    <cfRule type="cellIs" dxfId="682" priority="129" operator="equal">
      <formula>"E"</formula>
    </cfRule>
  </conditionalFormatting>
  <conditionalFormatting sqref="BB2">
    <cfRule type="cellIs" dxfId="681" priority="128" operator="equal">
      <formula>"E"</formula>
    </cfRule>
  </conditionalFormatting>
  <conditionalFormatting sqref="BC43:BC103">
    <cfRule type="cellIs" dxfId="680" priority="127" operator="equal">
      <formula>"E"</formula>
    </cfRule>
  </conditionalFormatting>
  <conditionalFormatting sqref="BC2">
    <cfRule type="cellIs" dxfId="679" priority="126" operator="equal">
      <formula>"E"</formula>
    </cfRule>
  </conditionalFormatting>
  <conditionalFormatting sqref="BD43:BD103">
    <cfRule type="cellIs" dxfId="678" priority="125" operator="equal">
      <formula>"E"</formula>
    </cfRule>
  </conditionalFormatting>
  <conditionalFormatting sqref="BD2">
    <cfRule type="cellIs" dxfId="677" priority="124" operator="equal">
      <formula>"E"</formula>
    </cfRule>
  </conditionalFormatting>
  <conditionalFormatting sqref="BE43:BE103">
    <cfRule type="cellIs" dxfId="676" priority="123" operator="equal">
      <formula>"E"</formula>
    </cfRule>
  </conditionalFormatting>
  <conditionalFormatting sqref="BE2">
    <cfRule type="cellIs" dxfId="675" priority="122" operator="equal">
      <formula>"E"</formula>
    </cfRule>
  </conditionalFormatting>
  <conditionalFormatting sqref="BF43:BF103">
    <cfRule type="cellIs" dxfId="674" priority="121" operator="equal">
      <formula>"E"</formula>
    </cfRule>
  </conditionalFormatting>
  <conditionalFormatting sqref="BF2">
    <cfRule type="cellIs" dxfId="673" priority="120" operator="equal">
      <formula>"E"</formula>
    </cfRule>
  </conditionalFormatting>
  <conditionalFormatting sqref="BG43:BG103">
    <cfRule type="cellIs" dxfId="672" priority="116" operator="equal">
      <formula>"E"</formula>
    </cfRule>
  </conditionalFormatting>
  <conditionalFormatting sqref="BG2">
    <cfRule type="cellIs" dxfId="671" priority="115" operator="equal">
      <formula>"E"</formula>
    </cfRule>
  </conditionalFormatting>
  <conditionalFormatting sqref="BH43:BH103">
    <cfRule type="cellIs" dxfId="670" priority="113" operator="equal">
      <formula>"E"</formula>
    </cfRule>
  </conditionalFormatting>
  <conditionalFormatting sqref="BH2">
    <cfRule type="cellIs" dxfId="669" priority="112" operator="equal">
      <formula>"E"</formula>
    </cfRule>
  </conditionalFormatting>
  <conditionalFormatting sqref="BU1 BL1:BN2 BQ2:BS103 BL39:BN1048576 BL3:BL38">
    <cfRule type="cellIs" dxfId="668" priority="104" operator="equal">
      <formula>"E"</formula>
    </cfRule>
  </conditionalFormatting>
  <conditionalFormatting sqref="AX43:AX103">
    <cfRule type="cellIs" dxfId="667" priority="95" operator="equal">
      <formula>"E"</formula>
    </cfRule>
  </conditionalFormatting>
  <conditionalFormatting sqref="AX2">
    <cfRule type="cellIs" dxfId="666" priority="94" operator="equal">
      <formula>"E"</formula>
    </cfRule>
  </conditionalFormatting>
  <conditionalFormatting sqref="BI43:BI103">
    <cfRule type="cellIs" dxfId="665" priority="93" operator="equal">
      <formula>"E"</formula>
    </cfRule>
  </conditionalFormatting>
  <conditionalFormatting sqref="BM3:BM38">
    <cfRule type="cellIs" dxfId="664" priority="87" operator="equal">
      <formula>"E"</formula>
    </cfRule>
  </conditionalFormatting>
  <conditionalFormatting sqref="AU3:AU42">
    <cfRule type="cellIs" dxfId="663" priority="163" operator="equal">
      <formula>"M4"</formula>
    </cfRule>
    <cfRule type="cellIs" dxfId="662" priority="164" operator="equal">
      <formula>"M3"</formula>
    </cfRule>
    <cfRule type="cellIs" dxfId="661" priority="165" operator="equal">
      <formula>"M2"</formula>
    </cfRule>
    <cfRule type="cellIs" dxfId="660" priority="166" operator="equal">
      <formula>"M1"</formula>
    </cfRule>
  </conditionalFormatting>
  <conditionalFormatting sqref="AS39:AS103 AU2:AU42 BW1 AR1:AR1048576 BV2:BW1048576 BX1:BX1048576">
    <cfRule type="cellIs" dxfId="659" priority="161" operator="equal">
      <formula>"E"</formula>
    </cfRule>
  </conditionalFormatting>
  <conditionalFormatting sqref="AS39:AS103 AU3:AU42 AR3:AR103">
    <cfRule type="cellIs" dxfId="658" priority="150" operator="equal">
      <formula>"RE"</formula>
    </cfRule>
    <cfRule type="cellIs" dxfId="657" priority="151" operator="equal">
      <formula>"3000"</formula>
    </cfRule>
    <cfRule type="cellIs" dxfId="656" priority="152" operator="equal">
      <formula>"300"</formula>
    </cfRule>
    <cfRule type="cellIs" dxfId="655" priority="153" operator="equal">
      <formula>"100"</formula>
    </cfRule>
    <cfRule type="cellIs" dxfId="654" priority="154" operator="equal">
      <formula>"50"</formula>
    </cfRule>
    <cfRule type="cellIs" dxfId="653" priority="155" operator="equal">
      <formula>"40"</formula>
    </cfRule>
    <cfRule type="cellIs" dxfId="652" priority="156" operator="equal">
      <formula>"20"</formula>
    </cfRule>
  </conditionalFormatting>
  <conditionalFormatting sqref="AR1 AR104:AR1048576">
    <cfRule type="cellIs" dxfId="651" priority="157" operator="equal">
      <formula>"M4"</formula>
    </cfRule>
    <cfRule type="cellIs" dxfId="650" priority="158" operator="equal">
      <formula>"M3"</formula>
    </cfRule>
    <cfRule type="cellIs" dxfId="649" priority="159" operator="equal">
      <formula>"M1"</formula>
    </cfRule>
    <cfRule type="cellIs" dxfId="648" priority="160" operator="equal">
      <formula>"M2"</formula>
    </cfRule>
    <cfRule type="cellIs" dxfId="647" priority="162" stopIfTrue="1" operator="between">
      <formula>"C1"</formula>
      <formula>"C2"</formula>
    </cfRule>
  </conditionalFormatting>
  <conditionalFormatting sqref="AQ2:AQ70">
    <cfRule type="cellIs" dxfId="646" priority="148" stopIfTrue="1" operator="equal">
      <formula>"WW"</formula>
    </cfRule>
    <cfRule type="cellIs" dxfId="645" priority="149" stopIfTrue="1" operator="equal">
      <formula>"C2"</formula>
    </cfRule>
  </conditionalFormatting>
  <conditionalFormatting sqref="AT2:AT70">
    <cfRule type="cellIs" dxfId="644" priority="146" stopIfTrue="1" operator="equal">
      <formula>"WW"</formula>
    </cfRule>
    <cfRule type="cellIs" dxfId="643" priority="147" stopIfTrue="1" operator="equal">
      <formula>"C2"</formula>
    </cfRule>
  </conditionalFormatting>
  <conditionalFormatting sqref="AU43:AU103">
    <cfRule type="cellIs" dxfId="642" priority="145" operator="equal">
      <formula>"E"</formula>
    </cfRule>
  </conditionalFormatting>
  <conditionalFormatting sqref="AU43:AU103">
    <cfRule type="cellIs" dxfId="641" priority="141" operator="equal">
      <formula>"M4"</formula>
    </cfRule>
    <cfRule type="cellIs" dxfId="640" priority="142" operator="equal">
      <formula>"M3"</formula>
    </cfRule>
    <cfRule type="cellIs" dxfId="639" priority="143" operator="equal">
      <formula>"M2"</formula>
    </cfRule>
    <cfRule type="cellIs" dxfId="638" priority="144" operator="equal">
      <formula>"M1"</formula>
    </cfRule>
  </conditionalFormatting>
  <conditionalFormatting sqref="AW1">
    <cfRule type="cellIs" dxfId="637" priority="140" operator="equal">
      <formula>"E"</formula>
    </cfRule>
  </conditionalFormatting>
  <conditionalFormatting sqref="AY43:AY103">
    <cfRule type="cellIs" dxfId="636" priority="139" operator="equal">
      <formula>"E"</formula>
    </cfRule>
  </conditionalFormatting>
  <conditionalFormatting sqref="AY2">
    <cfRule type="cellIs" dxfId="635" priority="138" operator="equal">
      <formula>"E"</formula>
    </cfRule>
  </conditionalFormatting>
  <conditionalFormatting sqref="AW2:AW70">
    <cfRule type="cellIs" dxfId="634" priority="136" stopIfTrue="1" operator="equal">
      <formula>"WW"</formula>
    </cfRule>
    <cfRule type="cellIs" dxfId="633" priority="137" stopIfTrue="1" operator="equal">
      <formula>"C2"</formula>
    </cfRule>
  </conditionalFormatting>
  <conditionalFormatting sqref="AT1">
    <cfRule type="cellIs" dxfId="632" priority="134" operator="equal">
      <formula>"E"</formula>
    </cfRule>
  </conditionalFormatting>
  <conditionalFormatting sqref="AZ43:AZ103">
    <cfRule type="cellIs" dxfId="631" priority="133" operator="equal">
      <formula>"E"</formula>
    </cfRule>
  </conditionalFormatting>
  <conditionalFormatting sqref="BK1:BK70">
    <cfRule type="cellIs" dxfId="630" priority="109" stopIfTrue="1" operator="equal">
      <formula>"WW"</formula>
    </cfRule>
    <cfRule type="cellIs" dxfId="629" priority="110" stopIfTrue="1" operator="equal">
      <formula>"C2"</formula>
    </cfRule>
  </conditionalFormatting>
  <conditionalFormatting sqref="BL39:BN103 BR3:BS52 BL3:BL38">
    <cfRule type="cellIs" dxfId="628" priority="105" operator="equal">
      <formula>"M4"</formula>
    </cfRule>
    <cfRule type="cellIs" dxfId="627" priority="106" operator="equal">
      <formula>"M3"</formula>
    </cfRule>
    <cfRule type="cellIs" dxfId="626" priority="107" operator="equal">
      <formula>"M2"</formula>
    </cfRule>
    <cfRule type="cellIs" dxfId="625" priority="108" operator="equal">
      <formula>"M1"</formula>
    </cfRule>
  </conditionalFormatting>
  <conditionalFormatting sqref="BU2:BU70">
    <cfRule type="cellIs" dxfId="624" priority="102" stopIfTrue="1" operator="equal">
      <formula>"WW"</formula>
    </cfRule>
    <cfRule type="cellIs" dxfId="623" priority="103" stopIfTrue="1" operator="equal">
      <formula>"C2"</formula>
    </cfRule>
  </conditionalFormatting>
  <conditionalFormatting sqref="BP2:BP70">
    <cfRule type="cellIs" dxfId="622" priority="100" stopIfTrue="1" operator="equal">
      <formula>"WW"</formula>
    </cfRule>
    <cfRule type="cellIs" dxfId="621" priority="101" stopIfTrue="1" operator="equal">
      <formula>"C2"</formula>
    </cfRule>
  </conditionalFormatting>
  <conditionalFormatting sqref="BQ3:BS103">
    <cfRule type="cellIs" dxfId="620" priority="96" operator="equal">
      <formula>"M4"</formula>
    </cfRule>
    <cfRule type="cellIs" dxfId="619" priority="97" operator="equal">
      <formula>"M3"</formula>
    </cfRule>
    <cfRule type="cellIs" dxfId="618" priority="98" operator="equal">
      <formula>"M2"</formula>
    </cfRule>
    <cfRule type="cellIs" dxfId="617" priority="99" operator="equal">
      <formula>"M1"</formula>
    </cfRule>
  </conditionalFormatting>
  <conditionalFormatting sqref="BM3:BM38">
    <cfRule type="cellIs" dxfId="616" priority="88" operator="equal">
      <formula>"M4"</formula>
    </cfRule>
    <cfRule type="cellIs" dxfId="615" priority="89" operator="equal">
      <formula>"M3"</formula>
    </cfRule>
    <cfRule type="cellIs" dxfId="614" priority="90" operator="equal">
      <formula>"M2"</formula>
    </cfRule>
    <cfRule type="cellIs" dxfId="613" priority="91" operator="equal">
      <formula>"M1"</formula>
    </cfRule>
  </conditionalFormatting>
  <conditionalFormatting sqref="BN3:BN38">
    <cfRule type="cellIs" dxfId="612" priority="83" operator="equal">
      <formula>"M4"</formula>
    </cfRule>
    <cfRule type="cellIs" dxfId="611" priority="84" operator="equal">
      <formula>"M3"</formula>
    </cfRule>
    <cfRule type="cellIs" dxfId="610" priority="85" operator="equal">
      <formula>"M2"</formula>
    </cfRule>
    <cfRule type="cellIs" dxfId="609" priority="86" operator="equal">
      <formula>"M1"</formula>
    </cfRule>
  </conditionalFormatting>
  <conditionalFormatting sqref="BN3:BN38">
    <cfRule type="cellIs" dxfId="608" priority="82" operator="equal">
      <formula>"E"</formula>
    </cfRule>
  </conditionalFormatting>
  <conditionalFormatting sqref="CA1:CA1048576">
    <cfRule type="cellIs" dxfId="607" priority="50" operator="equal">
      <formula>"E"</formula>
    </cfRule>
  </conditionalFormatting>
  <conditionalFormatting sqref="CC1">
    <cfRule type="cellIs" dxfId="606" priority="49" operator="equal">
      <formula>"E"</formula>
    </cfRule>
  </conditionalFormatting>
  <conditionalFormatting sqref="BZ1:BZ70">
    <cfRule type="cellIs" dxfId="605" priority="55" stopIfTrue="1" operator="equal">
      <formula>"WW"</formula>
    </cfRule>
    <cfRule type="cellIs" dxfId="604" priority="56" stopIfTrue="1" operator="equal">
      <formula>"C2"</formula>
    </cfRule>
  </conditionalFormatting>
  <conditionalFormatting sqref="CA3:CA103">
    <cfRule type="cellIs" dxfId="603" priority="51" operator="equal">
      <formula>"M4"</formula>
    </cfRule>
    <cfRule type="cellIs" dxfId="602" priority="52" operator="equal">
      <formula>"M3"</formula>
    </cfRule>
    <cfRule type="cellIs" dxfId="601" priority="53" operator="equal">
      <formula>"M2"</formula>
    </cfRule>
    <cfRule type="cellIs" dxfId="600" priority="54" operator="equal">
      <formula>"M1"</formula>
    </cfRule>
  </conditionalFormatting>
  <conditionalFormatting sqref="CC2:CC70">
    <cfRule type="cellIs" dxfId="599" priority="46" stopIfTrue="1" operator="equal">
      <formula>"WW"</formula>
    </cfRule>
    <cfRule type="cellIs" dxfId="598" priority="47" stopIfTrue="1" operator="equal">
      <formula>"C2"</formula>
    </cfRule>
  </conditionalFormatting>
  <conditionalFormatting sqref="AD1:AE1">
    <cfRule type="cellIs" dxfId="597" priority="36" operator="equal">
      <formula>"E"</formula>
    </cfRule>
  </conditionalFormatting>
  <conditionalFormatting sqref="AC39:AE110 AC114:AE1048576 AC3:AC38">
    <cfRule type="cellIs" dxfId="596" priority="35" operator="equal">
      <formula>"E"</formula>
    </cfRule>
  </conditionalFormatting>
  <conditionalFormatting sqref="AC2:AE2">
    <cfRule type="cellIs" dxfId="595" priority="34" operator="equal">
      <formula>"E"</formula>
    </cfRule>
  </conditionalFormatting>
  <conditionalFormatting sqref="AC113:AE113">
    <cfRule type="cellIs" dxfId="594" priority="33" operator="equal">
      <formula>"E"</formula>
    </cfRule>
  </conditionalFormatting>
  <conditionalFormatting sqref="AE4:AE38">
    <cfRule type="cellIs" dxfId="593" priority="32" operator="equal">
      <formula>"E"</formula>
    </cfRule>
  </conditionalFormatting>
  <conditionalFormatting sqref="AE3">
    <cfRule type="cellIs" dxfId="592" priority="31" operator="equal">
      <formula>"E"</formula>
    </cfRule>
  </conditionalFormatting>
  <conditionalFormatting sqref="AD3:AD38">
    <cfRule type="cellIs" dxfId="591" priority="30" operator="equal">
      <formula>"E"</formula>
    </cfRule>
  </conditionalFormatting>
  <conditionalFormatting sqref="AI1:AJ1">
    <cfRule type="cellIs" dxfId="590" priority="29" operator="equal">
      <formula>"E"</formula>
    </cfRule>
  </conditionalFormatting>
  <conditionalFormatting sqref="AH39:AJ103">
    <cfRule type="cellIs" dxfId="589" priority="28" operator="equal">
      <formula>"E"</formula>
    </cfRule>
  </conditionalFormatting>
  <conditionalFormatting sqref="AH2:AJ2">
    <cfRule type="cellIs" dxfId="588" priority="27" operator="equal">
      <formula>"E"</formula>
    </cfRule>
  </conditionalFormatting>
  <conditionalFormatting sqref="AN1:AO1">
    <cfRule type="cellIs" dxfId="587" priority="21" operator="equal">
      <formula>"E"</formula>
    </cfRule>
  </conditionalFormatting>
  <conditionalFormatting sqref="AM39:AO103">
    <cfRule type="cellIs" dxfId="586" priority="20" operator="equal">
      <formula>"E"</formula>
    </cfRule>
  </conditionalFormatting>
  <conditionalFormatting sqref="AM2:AO2">
    <cfRule type="cellIs" dxfId="585" priority="19" operator="equal">
      <formula>"E"</formula>
    </cfRule>
  </conditionalFormatting>
  <conditionalFormatting sqref="J1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{79B0CFA5-FD0D-443E-86A7-EE826A570073}</x14:id>
        </ext>
      </extLst>
    </cfRule>
  </conditionalFormatting>
  <conditionalFormatting sqref="CD3:CD1048576">
    <cfRule type="cellIs" dxfId="584" priority="11" operator="equal">
      <formula>"E"</formula>
    </cfRule>
  </conditionalFormatting>
  <conditionalFormatting sqref="CD2">
    <cfRule type="cellIs" dxfId="583" priority="10" operator="equal">
      <formula>"E"</formula>
    </cfRule>
  </conditionalFormatting>
  <conditionalFormatting sqref="AH3:AH38">
    <cfRule type="cellIs" dxfId="582" priority="9" operator="equal">
      <formula>"E"</formula>
    </cfRule>
  </conditionalFormatting>
  <conditionalFormatting sqref="AJ4:AJ38">
    <cfRule type="cellIs" dxfId="581" priority="8" operator="equal">
      <formula>"E"</formula>
    </cfRule>
  </conditionalFormatting>
  <conditionalFormatting sqref="AJ3">
    <cfRule type="cellIs" dxfId="580" priority="7" operator="equal">
      <formula>"E"</formula>
    </cfRule>
  </conditionalFormatting>
  <conditionalFormatting sqref="AI3:AI38">
    <cfRule type="cellIs" dxfId="579" priority="6" operator="equal">
      <formula>"E"</formula>
    </cfRule>
  </conditionalFormatting>
  <conditionalFormatting sqref="AM3:AM38">
    <cfRule type="cellIs" dxfId="578" priority="5" operator="equal">
      <formula>"E"</formula>
    </cfRule>
  </conditionalFormatting>
  <conditionalFormatting sqref="AO4:AO38">
    <cfRule type="cellIs" dxfId="577" priority="4" operator="equal">
      <formula>"E"</formula>
    </cfRule>
  </conditionalFormatting>
  <conditionalFormatting sqref="AO3">
    <cfRule type="cellIs" dxfId="576" priority="3" operator="equal">
      <formula>"E"</formula>
    </cfRule>
  </conditionalFormatting>
  <conditionalFormatting sqref="AN3:AN38">
    <cfRule type="cellIs" dxfId="575" priority="2" operator="equal">
      <formula>"E"</formula>
    </cfRule>
  </conditionalFormatting>
  <conditionalFormatting sqref="AX3:BI42">
    <cfRule type="cellIs" dxfId="574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B0CFA5-FD0D-443E-86A7-EE826A570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147</v>
      </c>
      <c r="BH1" s="17" t="s">
        <v>90</v>
      </c>
      <c r="BI1" s="42" t="s">
        <v>91</v>
      </c>
      <c r="BK1" s="10" t="s">
        <v>42</v>
      </c>
      <c r="BL1" s="11"/>
      <c r="BM1" s="11"/>
      <c r="BN1" s="11"/>
      <c r="BP1" s="19" t="s">
        <v>140</v>
      </c>
      <c r="BU1" s="20" t="s">
        <v>141</v>
      </c>
      <c r="BW1" s="11"/>
      <c r="BX1" s="11"/>
      <c r="BZ1" s="10" t="s">
        <v>142</v>
      </c>
      <c r="CA1" s="11"/>
      <c r="CC1" s="20" t="s">
        <v>143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144</v>
      </c>
      <c r="CC2" s="12" t="s">
        <v>17</v>
      </c>
      <c r="CD2" s="13" t="s">
        <v>145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8</v>
      </c>
      <c r="AD3" s="13">
        <v>20</v>
      </c>
      <c r="AE3" s="13">
        <v>30</v>
      </c>
      <c r="AG3" s="12">
        <v>0</v>
      </c>
      <c r="AH3" s="13">
        <v>5</v>
      </c>
      <c r="AI3" s="13">
        <v>0</v>
      </c>
      <c r="AJ3" s="13">
        <v>1</v>
      </c>
      <c r="AL3" s="12">
        <v>0</v>
      </c>
      <c r="AM3" s="13">
        <v>5</v>
      </c>
      <c r="AN3" s="13">
        <v>20</v>
      </c>
      <c r="AO3" s="13">
        <v>13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15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5</v>
      </c>
      <c r="BE3" s="13">
        <v>5</v>
      </c>
      <c r="BF3" s="13">
        <v>5</v>
      </c>
      <c r="BG3" s="13">
        <v>60</v>
      </c>
      <c r="BH3" s="13">
        <v>50</v>
      </c>
      <c r="BI3" s="13">
        <v>50</v>
      </c>
      <c r="BK3" s="12">
        <v>0</v>
      </c>
      <c r="BL3" s="13">
        <v>1</v>
      </c>
      <c r="BM3" s="13" t="s">
        <v>19</v>
      </c>
      <c r="BN3" s="13" t="s">
        <v>19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8</v>
      </c>
      <c r="BW3" s="13">
        <v>50</v>
      </c>
      <c r="BX3" s="13">
        <v>30</v>
      </c>
      <c r="BZ3" s="12">
        <v>0</v>
      </c>
      <c r="CA3" s="13">
        <v>100</v>
      </c>
      <c r="CC3" s="12">
        <v>0</v>
      </c>
      <c r="CD3" s="13">
        <v>40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53</v>
      </c>
      <c r="AD4" s="13">
        <v>99</v>
      </c>
      <c r="AE4" s="13">
        <v>100</v>
      </c>
      <c r="AG4" s="12">
        <v>1</v>
      </c>
      <c r="AH4" s="13">
        <v>50</v>
      </c>
      <c r="AI4" s="13">
        <v>124</v>
      </c>
      <c r="AJ4" s="13">
        <v>0</v>
      </c>
      <c r="AL4" s="12">
        <v>1</v>
      </c>
      <c r="AM4" s="13">
        <v>26</v>
      </c>
      <c r="AN4" s="13">
        <v>94</v>
      </c>
      <c r="AO4" s="13">
        <v>130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19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53</v>
      </c>
      <c r="BW4" s="13">
        <v>99</v>
      </c>
      <c r="BX4" s="13">
        <v>75</v>
      </c>
      <c r="BZ4" s="12">
        <v>1</v>
      </c>
      <c r="CA4" s="13">
        <v>30</v>
      </c>
      <c r="CC4" s="12">
        <v>1</v>
      </c>
      <c r="CD4" s="13">
        <v>500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960</v>
      </c>
      <c r="E5" s="110">
        <f>SUMIF(T$3:T$52,$A5,AD$3:AD$52)</f>
        <v>485</v>
      </c>
      <c r="F5" s="5">
        <f t="shared" ref="F5:F16" si="0">SUMIF(U$3:U$38,$A5,AE$3:AE$38)</f>
        <v>537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20</v>
      </c>
      <c r="AE5" s="13">
        <v>30</v>
      </c>
      <c r="AG5" s="12">
        <v>2</v>
      </c>
      <c r="AH5" s="13">
        <v>13</v>
      </c>
      <c r="AI5" s="13">
        <v>0</v>
      </c>
      <c r="AJ5" s="13">
        <v>1</v>
      </c>
      <c r="AL5" s="12">
        <v>2</v>
      </c>
      <c r="AM5" s="13">
        <v>4</v>
      </c>
      <c r="AN5" s="13">
        <v>20</v>
      </c>
      <c r="AO5" s="13">
        <v>11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5</v>
      </c>
      <c r="AY5" s="13">
        <v>200</v>
      </c>
      <c r="AZ5" s="13">
        <v>150</v>
      </c>
      <c r="BA5" s="13">
        <v>50</v>
      </c>
      <c r="BB5" s="13">
        <v>50</v>
      </c>
      <c r="BC5" s="13">
        <v>50</v>
      </c>
      <c r="BD5" s="13">
        <v>20</v>
      </c>
      <c r="BE5" s="13">
        <v>20</v>
      </c>
      <c r="BF5" s="13">
        <v>20</v>
      </c>
      <c r="BG5" s="13">
        <v>50</v>
      </c>
      <c r="BH5" s="13">
        <v>0</v>
      </c>
      <c r="BI5" s="13">
        <v>0</v>
      </c>
      <c r="BK5" s="12">
        <v>2</v>
      </c>
      <c r="BL5" s="13">
        <v>5</v>
      </c>
      <c r="BM5" s="13" t="s">
        <v>19</v>
      </c>
      <c r="BN5" s="13" t="s">
        <v>19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50</v>
      </c>
      <c r="BX5" s="13">
        <v>30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ref="E6:E16" si="2">SUMIF(T$3:T$52,$A6,AD$3:AD$52)</f>
        <v>483</v>
      </c>
      <c r="F6" s="8">
        <f t="shared" si="0"/>
        <v>468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53</v>
      </c>
      <c r="AD6" s="13">
        <v>4</v>
      </c>
      <c r="AE6" s="13">
        <v>20</v>
      </c>
      <c r="AG6" s="12">
        <v>3</v>
      </c>
      <c r="AH6" s="13">
        <v>50</v>
      </c>
      <c r="AI6" s="13">
        <v>0</v>
      </c>
      <c r="AJ6" s="13">
        <v>0</v>
      </c>
      <c r="AL6" s="12">
        <v>3</v>
      </c>
      <c r="AM6" s="13">
        <v>27</v>
      </c>
      <c r="AN6" s="13">
        <v>2</v>
      </c>
      <c r="AO6" s="13">
        <v>4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19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53</v>
      </c>
      <c r="BW6" s="13">
        <v>4</v>
      </c>
      <c r="BX6" s="13">
        <v>5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43</v>
      </c>
      <c r="E7" s="109">
        <f t="shared" si="2"/>
        <v>20</v>
      </c>
      <c r="F7" s="8">
        <f t="shared" si="0"/>
        <v>70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20</v>
      </c>
      <c r="AE7" s="13">
        <v>30</v>
      </c>
      <c r="AG7" s="12">
        <v>4</v>
      </c>
      <c r="AH7" s="13">
        <v>2</v>
      </c>
      <c r="AI7" s="13">
        <v>0</v>
      </c>
      <c r="AJ7" s="13">
        <v>1</v>
      </c>
      <c r="AL7" s="12">
        <v>4</v>
      </c>
      <c r="AM7" s="13">
        <v>1</v>
      </c>
      <c r="AN7" s="13">
        <v>20</v>
      </c>
      <c r="AO7" s="13">
        <v>11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20</v>
      </c>
      <c r="AY7" s="13">
        <v>0</v>
      </c>
      <c r="AZ7" s="13">
        <v>0</v>
      </c>
      <c r="BA7" s="13">
        <v>250</v>
      </c>
      <c r="BB7" s="13">
        <v>250</v>
      </c>
      <c r="BC7" s="13">
        <v>250</v>
      </c>
      <c r="BD7" s="13">
        <v>30</v>
      </c>
      <c r="BE7" s="13">
        <v>30</v>
      </c>
      <c r="BF7" s="13">
        <v>30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19</v>
      </c>
      <c r="BN7" s="13" t="s">
        <v>19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0</v>
      </c>
      <c r="BW7" s="13">
        <v>50</v>
      </c>
      <c r="BX7" s="13">
        <v>30</v>
      </c>
      <c r="BZ7" s="12">
        <v>4</v>
      </c>
      <c r="CA7" s="13">
        <v>50</v>
      </c>
      <c r="CC7" s="12">
        <v>4</v>
      </c>
      <c r="CD7" s="13">
        <v>200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30</v>
      </c>
      <c r="E8" s="109">
        <f t="shared" si="2"/>
        <v>10</v>
      </c>
      <c r="F8" s="8">
        <f t="shared" si="0"/>
        <v>75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54</v>
      </c>
      <c r="AD8" s="13">
        <v>2</v>
      </c>
      <c r="AE8" s="13">
        <v>25</v>
      </c>
      <c r="AG8" s="12">
        <v>5</v>
      </c>
      <c r="AH8" s="13">
        <v>50</v>
      </c>
      <c r="AI8" s="13">
        <v>0</v>
      </c>
      <c r="AJ8" s="13">
        <v>0</v>
      </c>
      <c r="AL8" s="12">
        <v>5</v>
      </c>
      <c r="AM8" s="13">
        <v>27</v>
      </c>
      <c r="AN8" s="13">
        <v>4</v>
      </c>
      <c r="AO8" s="13">
        <v>5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19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54</v>
      </c>
      <c r="BW8" s="13">
        <v>2</v>
      </c>
      <c r="BX8" s="13">
        <v>5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5</v>
      </c>
      <c r="E9" s="109">
        <f t="shared" si="2"/>
        <v>1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7</v>
      </c>
      <c r="AD9" s="13">
        <v>20</v>
      </c>
      <c r="AE9" s="13">
        <v>30</v>
      </c>
      <c r="AG9" s="12">
        <v>6</v>
      </c>
      <c r="AH9" s="13">
        <v>5</v>
      </c>
      <c r="AI9" s="13">
        <v>0</v>
      </c>
      <c r="AJ9" s="13">
        <v>1</v>
      </c>
      <c r="AL9" s="12">
        <v>6</v>
      </c>
      <c r="AM9" s="13">
        <v>4</v>
      </c>
      <c r="AN9" s="13">
        <v>20</v>
      </c>
      <c r="AO9" s="13">
        <v>11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2</v>
      </c>
      <c r="AY9" s="13">
        <v>12</v>
      </c>
      <c r="AZ9" s="13">
        <v>12</v>
      </c>
      <c r="BA9" s="13">
        <v>5</v>
      </c>
      <c r="BB9" s="13">
        <v>5</v>
      </c>
      <c r="BC9" s="13">
        <v>5</v>
      </c>
      <c r="BD9" s="13">
        <v>1</v>
      </c>
      <c r="BE9" s="13">
        <v>1</v>
      </c>
      <c r="BF9" s="13">
        <v>1</v>
      </c>
      <c r="BG9" s="13">
        <v>1</v>
      </c>
      <c r="BH9" s="13">
        <v>0</v>
      </c>
      <c r="BI9" s="13">
        <v>0</v>
      </c>
      <c r="BK9" s="12">
        <v>6</v>
      </c>
      <c r="BL9" s="13">
        <v>1</v>
      </c>
      <c r="BM9" s="13" t="s">
        <v>19</v>
      </c>
      <c r="BN9" s="13" t="s">
        <v>19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7</v>
      </c>
      <c r="BW9" s="13">
        <v>50</v>
      </c>
      <c r="BX9" s="13">
        <v>30</v>
      </c>
      <c r="BZ9" s="12">
        <v>6</v>
      </c>
      <c r="CA9" s="13">
        <v>200</v>
      </c>
      <c r="CC9" s="12">
        <v>6</v>
      </c>
      <c r="CD9" s="13">
        <v>20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09">
        <f t="shared" si="2"/>
        <v>1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2">
        <v>7</v>
      </c>
      <c r="AC10" s="13">
        <v>53</v>
      </c>
      <c r="AD10" s="13">
        <v>1</v>
      </c>
      <c r="AE10" s="13">
        <v>76</v>
      </c>
      <c r="AG10" s="12">
        <v>7</v>
      </c>
      <c r="AH10" s="13">
        <v>50</v>
      </c>
      <c r="AI10" s="13">
        <v>4</v>
      </c>
      <c r="AJ10" s="13">
        <v>0</v>
      </c>
      <c r="AL10" s="12">
        <v>7</v>
      </c>
      <c r="AM10" s="13">
        <v>26</v>
      </c>
      <c r="AN10" s="13">
        <v>0</v>
      </c>
      <c r="AO10" s="13">
        <v>130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19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2">
        <v>7</v>
      </c>
      <c r="BV10" s="13">
        <v>53</v>
      </c>
      <c r="BW10" s="13">
        <v>1</v>
      </c>
      <c r="BX10" s="13">
        <v>76</v>
      </c>
      <c r="BZ10" s="12">
        <v>7</v>
      </c>
      <c r="CA10" s="13">
        <v>20</v>
      </c>
      <c r="CC10" s="12">
        <v>7</v>
      </c>
      <c r="CD10" s="13">
        <v>2500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</v>
      </c>
      <c r="AE11" s="13">
        <v>30</v>
      </c>
      <c r="AG11" s="12">
        <v>8</v>
      </c>
      <c r="AH11" s="13">
        <v>11</v>
      </c>
      <c r="AI11" s="13">
        <v>0</v>
      </c>
      <c r="AJ11" s="13">
        <v>1</v>
      </c>
      <c r="AL11" s="12">
        <v>8</v>
      </c>
      <c r="AM11" s="13">
        <v>2</v>
      </c>
      <c r="AN11" s="13">
        <v>20</v>
      </c>
      <c r="AO11" s="13">
        <v>11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</v>
      </c>
      <c r="AY11" s="13">
        <v>0</v>
      </c>
      <c r="AZ11" s="13">
        <v>200</v>
      </c>
      <c r="BA11" s="13">
        <v>5</v>
      </c>
      <c r="BB11" s="13">
        <v>5</v>
      </c>
      <c r="BC11" s="13">
        <v>5</v>
      </c>
      <c r="BD11" s="13">
        <v>1</v>
      </c>
      <c r="BE11" s="13">
        <v>1</v>
      </c>
      <c r="BF11" s="13">
        <v>1</v>
      </c>
      <c r="BG11" s="13">
        <v>3</v>
      </c>
      <c r="BH11" s="13">
        <v>0</v>
      </c>
      <c r="BI11" s="13">
        <v>0</v>
      </c>
      <c r="BK11" s="12">
        <v>8</v>
      </c>
      <c r="BL11" s="13">
        <v>5</v>
      </c>
      <c r="BM11" s="13" t="s">
        <v>19</v>
      </c>
      <c r="BN11" s="13" t="s">
        <v>19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50</v>
      </c>
      <c r="BX11" s="13">
        <v>30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2">
        <v>9</v>
      </c>
      <c r="AC12" s="13">
        <v>53</v>
      </c>
      <c r="AD12" s="13">
        <v>1</v>
      </c>
      <c r="AE12" s="13">
        <v>10</v>
      </c>
      <c r="AG12" s="12">
        <v>9</v>
      </c>
      <c r="AH12" s="13">
        <v>50</v>
      </c>
      <c r="AI12" s="13">
        <v>76</v>
      </c>
      <c r="AJ12" s="13">
        <v>0</v>
      </c>
      <c r="AL12" s="12">
        <v>9</v>
      </c>
      <c r="AM12" s="13">
        <v>27</v>
      </c>
      <c r="AN12" s="13">
        <v>0</v>
      </c>
      <c r="AO12" s="13">
        <v>2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19</v>
      </c>
      <c r="BM12" s="13" t="s">
        <v>20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2">
        <v>9</v>
      </c>
      <c r="BV12" s="13">
        <v>53</v>
      </c>
      <c r="BW12" s="13">
        <v>1</v>
      </c>
      <c r="BX12" s="13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20</v>
      </c>
      <c r="AE13" s="13">
        <v>30</v>
      </c>
      <c r="AG13" s="12">
        <v>10</v>
      </c>
      <c r="AH13" s="13">
        <v>0</v>
      </c>
      <c r="AI13" s="13">
        <v>0</v>
      </c>
      <c r="AJ13" s="13">
        <v>1</v>
      </c>
      <c r="AL13" s="12">
        <v>10</v>
      </c>
      <c r="AM13" s="13">
        <v>0</v>
      </c>
      <c r="AN13" s="13">
        <v>20</v>
      </c>
      <c r="AO13" s="13">
        <v>11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15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5</v>
      </c>
      <c r="BE13" s="13">
        <v>5</v>
      </c>
      <c r="BF13" s="13">
        <v>5</v>
      </c>
      <c r="BG13" s="13">
        <v>60</v>
      </c>
      <c r="BH13" s="13">
        <v>50</v>
      </c>
      <c r="BI13" s="13">
        <v>50</v>
      </c>
      <c r="BK13" s="12">
        <v>10</v>
      </c>
      <c r="BL13" s="13">
        <v>10</v>
      </c>
      <c r="BM13" s="13" t="s">
        <v>19</v>
      </c>
      <c r="BN13" s="13" t="s">
        <v>19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50</v>
      </c>
      <c r="BX13" s="13">
        <v>30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98</v>
      </c>
      <c r="K14" s="65">
        <v>5</v>
      </c>
      <c r="L14" s="65">
        <v>1</v>
      </c>
      <c r="M14" s="65">
        <v>2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2">
        <v>11</v>
      </c>
      <c r="AC14" s="13">
        <v>54</v>
      </c>
      <c r="AD14" s="13">
        <v>96</v>
      </c>
      <c r="AE14" s="13">
        <v>10</v>
      </c>
      <c r="AG14" s="12">
        <v>11</v>
      </c>
      <c r="AH14" s="13">
        <v>50</v>
      </c>
      <c r="AI14" s="13">
        <v>124</v>
      </c>
      <c r="AJ14" s="13">
        <v>0</v>
      </c>
      <c r="AL14" s="12">
        <v>11</v>
      </c>
      <c r="AM14" s="13">
        <v>27</v>
      </c>
      <c r="AN14" s="13">
        <v>94</v>
      </c>
      <c r="AO14" s="13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19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2">
        <v>11</v>
      </c>
      <c r="BV14" s="13">
        <v>54</v>
      </c>
      <c r="BW14" s="13">
        <v>96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7</v>
      </c>
      <c r="AD15" s="13">
        <v>19</v>
      </c>
      <c r="AE15" s="13">
        <v>30</v>
      </c>
      <c r="AG15" s="12">
        <v>12</v>
      </c>
      <c r="AH15" s="13">
        <v>5</v>
      </c>
      <c r="AI15" s="13">
        <v>0</v>
      </c>
      <c r="AJ15" s="13">
        <v>0</v>
      </c>
      <c r="AL15" s="12">
        <v>12</v>
      </c>
      <c r="AM15" s="13">
        <v>4</v>
      </c>
      <c r="AN15" s="13">
        <v>20</v>
      </c>
      <c r="AO15" s="13">
        <v>11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5</v>
      </c>
      <c r="AY15" s="13">
        <v>200</v>
      </c>
      <c r="AZ15" s="13">
        <v>150</v>
      </c>
      <c r="BA15" s="13">
        <v>30</v>
      </c>
      <c r="BB15" s="13">
        <v>30</v>
      </c>
      <c r="BC15" s="13">
        <v>30</v>
      </c>
      <c r="BD15" s="13">
        <v>20</v>
      </c>
      <c r="BE15" s="13">
        <v>20</v>
      </c>
      <c r="BF15" s="13">
        <v>20</v>
      </c>
      <c r="BG15" s="13">
        <v>50</v>
      </c>
      <c r="BH15" s="13">
        <v>0</v>
      </c>
      <c r="BI15" s="13">
        <v>0</v>
      </c>
      <c r="BK15" s="12">
        <v>12</v>
      </c>
      <c r="BL15" s="13">
        <v>1</v>
      </c>
      <c r="BM15" s="13" t="s">
        <v>19</v>
      </c>
      <c r="BN15" s="13" t="s">
        <v>19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7</v>
      </c>
      <c r="BW15" s="13">
        <v>19</v>
      </c>
      <c r="BX15" s="13">
        <v>30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2">
        <v>13</v>
      </c>
      <c r="AC16" s="13">
        <v>53</v>
      </c>
      <c r="AD16" s="13">
        <v>4</v>
      </c>
      <c r="AE16" s="13">
        <v>73</v>
      </c>
      <c r="AG16" s="12">
        <v>13</v>
      </c>
      <c r="AH16" s="13">
        <v>50</v>
      </c>
      <c r="AI16" s="13">
        <v>0</v>
      </c>
      <c r="AJ16" s="13">
        <v>0</v>
      </c>
      <c r="AL16" s="12">
        <v>13</v>
      </c>
      <c r="AM16" s="13">
        <v>26</v>
      </c>
      <c r="AN16" s="13">
        <v>2</v>
      </c>
      <c r="AO16" s="13">
        <v>130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19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2">
        <v>13</v>
      </c>
      <c r="BV16" s="13">
        <v>53</v>
      </c>
      <c r="BW16" s="13">
        <v>4</v>
      </c>
      <c r="BX16" s="13">
        <v>73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1038</v>
      </c>
      <c r="E17" s="109">
        <f>SUM(E5:E16)</f>
        <v>1000</v>
      </c>
      <c r="F17" s="109">
        <f>SUM(F5:F16)</f>
        <v>1150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</v>
      </c>
      <c r="AE17" s="13">
        <v>30</v>
      </c>
      <c r="AG17" s="12">
        <v>14</v>
      </c>
      <c r="AH17" s="13">
        <v>11</v>
      </c>
      <c r="AI17" s="13">
        <v>0</v>
      </c>
      <c r="AJ17" s="13">
        <v>0</v>
      </c>
      <c r="AL17" s="12">
        <v>14</v>
      </c>
      <c r="AM17" s="13">
        <v>2</v>
      </c>
      <c r="AN17" s="13">
        <v>20</v>
      </c>
      <c r="AO17" s="13">
        <v>11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20</v>
      </c>
      <c r="AY17" s="13">
        <v>0</v>
      </c>
      <c r="AZ17" s="13">
        <v>0</v>
      </c>
      <c r="BA17" s="13">
        <v>250</v>
      </c>
      <c r="BB17" s="13">
        <v>250</v>
      </c>
      <c r="BC17" s="13">
        <v>250</v>
      </c>
      <c r="BD17" s="13">
        <v>30</v>
      </c>
      <c r="BE17" s="13">
        <v>30</v>
      </c>
      <c r="BF17" s="13">
        <v>30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19</v>
      </c>
      <c r="BN17" s="13" t="s">
        <v>19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50</v>
      </c>
      <c r="BX17" s="13">
        <v>30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2">
        <v>15</v>
      </c>
      <c r="AC18" s="13">
        <v>53</v>
      </c>
      <c r="AD18" s="13">
        <v>2</v>
      </c>
      <c r="AE18" s="13">
        <v>10</v>
      </c>
      <c r="AG18" s="12">
        <v>15</v>
      </c>
      <c r="AH18" s="13">
        <v>50</v>
      </c>
      <c r="AI18" s="13">
        <v>0</v>
      </c>
      <c r="AJ18" s="13">
        <v>0</v>
      </c>
      <c r="AL18" s="12">
        <v>15</v>
      </c>
      <c r="AM18" s="13">
        <v>27</v>
      </c>
      <c r="AN18" s="13">
        <v>4</v>
      </c>
      <c r="AO18" s="13">
        <v>2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19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2">
        <v>15</v>
      </c>
      <c r="BV18" s="13">
        <v>53</v>
      </c>
      <c r="BW18" s="13">
        <v>2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1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19</v>
      </c>
      <c r="AE19" s="13">
        <v>30</v>
      </c>
      <c r="AG19" s="12">
        <v>16</v>
      </c>
      <c r="AH19" s="13">
        <v>0</v>
      </c>
      <c r="AI19" s="13">
        <v>0</v>
      </c>
      <c r="AJ19" s="13">
        <v>0</v>
      </c>
      <c r="AL19" s="12">
        <v>16</v>
      </c>
      <c r="AM19" s="13">
        <v>0</v>
      </c>
      <c r="AN19" s="13">
        <v>20</v>
      </c>
      <c r="AO19" s="13">
        <v>11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12</v>
      </c>
      <c r="AZ19" s="13">
        <v>12</v>
      </c>
      <c r="BA19" s="13">
        <v>5</v>
      </c>
      <c r="BB19" s="13">
        <v>5</v>
      </c>
      <c r="BC19" s="13">
        <v>5</v>
      </c>
      <c r="BD19" s="13">
        <v>1</v>
      </c>
      <c r="BE19" s="13">
        <v>1</v>
      </c>
      <c r="BF19" s="13">
        <v>1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19</v>
      </c>
      <c r="BN19" s="13" t="s">
        <v>19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19</v>
      </c>
      <c r="BX19" s="13">
        <v>30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2">
        <v>17</v>
      </c>
      <c r="AC20" s="13">
        <v>54</v>
      </c>
      <c r="AD20" s="13">
        <v>0</v>
      </c>
      <c r="AE20" s="13">
        <v>10</v>
      </c>
      <c r="AG20" s="12">
        <v>17</v>
      </c>
      <c r="AH20" s="13">
        <v>50</v>
      </c>
      <c r="AI20" s="13">
        <v>4</v>
      </c>
      <c r="AJ20" s="13">
        <v>0</v>
      </c>
      <c r="AL20" s="12">
        <v>17</v>
      </c>
      <c r="AM20" s="13">
        <v>27</v>
      </c>
      <c r="AN20" s="13">
        <v>0</v>
      </c>
      <c r="AO20" s="13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19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2">
        <v>17</v>
      </c>
      <c r="BV20" s="13">
        <v>54</v>
      </c>
      <c r="BW20" s="13">
        <v>0</v>
      </c>
      <c r="BX20" s="13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7</v>
      </c>
      <c r="AD21" s="13">
        <v>19</v>
      </c>
      <c r="AE21" s="13">
        <v>30</v>
      </c>
      <c r="AG21" s="12">
        <v>18</v>
      </c>
      <c r="AH21" s="13">
        <v>5</v>
      </c>
      <c r="AI21" s="13">
        <v>0</v>
      </c>
      <c r="AJ21" s="13">
        <v>0</v>
      </c>
      <c r="AL21" s="12">
        <v>18</v>
      </c>
      <c r="AM21" s="13">
        <v>4</v>
      </c>
      <c r="AN21" s="13">
        <v>20</v>
      </c>
      <c r="AO21" s="13">
        <v>11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</v>
      </c>
      <c r="AY21" s="13">
        <v>0</v>
      </c>
      <c r="AZ21" s="13">
        <v>200</v>
      </c>
      <c r="BA21" s="13">
        <v>5</v>
      </c>
      <c r="BB21" s="13">
        <v>5</v>
      </c>
      <c r="BC21" s="13">
        <v>5</v>
      </c>
      <c r="BD21" s="13">
        <v>1</v>
      </c>
      <c r="BE21" s="13">
        <v>1</v>
      </c>
      <c r="BF21" s="13">
        <v>1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19</v>
      </c>
      <c r="BN21" s="13" t="s">
        <v>19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7</v>
      </c>
      <c r="BW21" s="13">
        <v>19</v>
      </c>
      <c r="BX21" s="13">
        <v>30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2">
        <v>19</v>
      </c>
      <c r="AC22" s="13">
        <v>53</v>
      </c>
      <c r="AD22" s="13">
        <v>0</v>
      </c>
      <c r="AE22" s="13">
        <v>73</v>
      </c>
      <c r="AG22" s="12">
        <v>19</v>
      </c>
      <c r="AH22" s="13">
        <v>50</v>
      </c>
      <c r="AI22" s="13">
        <v>76</v>
      </c>
      <c r="AJ22" s="13">
        <v>0</v>
      </c>
      <c r="AL22" s="12">
        <v>19</v>
      </c>
      <c r="AM22" s="13">
        <v>26</v>
      </c>
      <c r="AN22" s="13">
        <v>0</v>
      </c>
      <c r="AO22" s="13">
        <v>130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19</v>
      </c>
      <c r="BM22" s="13" t="s">
        <v>20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2">
        <v>19</v>
      </c>
      <c r="BV22" s="13">
        <v>53</v>
      </c>
      <c r="BW22" s="13">
        <v>0</v>
      </c>
      <c r="BX22" s="13">
        <v>73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900</v>
      </c>
      <c r="E23" s="110">
        <f>SUMIF(T$3:T$52,$A23,AI$3:AI$52)</f>
        <v>0</v>
      </c>
      <c r="F23" s="5">
        <f t="shared" ref="F23:F34" si="3">SUMIF(U$3:U$38,$A23,AJ$3:AJ$38)</f>
        <v>6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19</v>
      </c>
      <c r="AE23" s="13">
        <v>30</v>
      </c>
      <c r="AG23" s="12">
        <v>20</v>
      </c>
      <c r="AH23" s="13">
        <v>11</v>
      </c>
      <c r="AI23" s="13">
        <v>0</v>
      </c>
      <c r="AJ23" s="13">
        <v>0</v>
      </c>
      <c r="AL23" s="12">
        <v>20</v>
      </c>
      <c r="AM23" s="13">
        <v>2</v>
      </c>
      <c r="AN23" s="13">
        <v>20</v>
      </c>
      <c r="AO23" s="13">
        <v>11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15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5</v>
      </c>
      <c r="BE23" s="13">
        <v>5</v>
      </c>
      <c r="BF23" s="13">
        <v>5</v>
      </c>
      <c r="BG23" s="13">
        <v>60</v>
      </c>
      <c r="BH23" s="13">
        <v>50</v>
      </c>
      <c r="BI23" s="13">
        <v>50</v>
      </c>
      <c r="BK23" s="12">
        <v>20</v>
      </c>
      <c r="BL23" s="13">
        <v>5</v>
      </c>
      <c r="BM23" s="13" t="s">
        <v>19</v>
      </c>
      <c r="BN23" s="13" t="s">
        <v>19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19</v>
      </c>
      <c r="BX23" s="13">
        <v>30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09">
        <f t="shared" ref="E24:E34" si="5">SUMIF(T$3:T$52,$A24,AI$3:AI$52)</f>
        <v>620</v>
      </c>
      <c r="F24" s="8">
        <f t="shared" si="3"/>
        <v>0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2">
        <v>21</v>
      </c>
      <c r="AC24" s="13">
        <v>53</v>
      </c>
      <c r="AD24" s="13">
        <v>96</v>
      </c>
      <c r="AE24" s="13">
        <v>10</v>
      </c>
      <c r="AG24" s="12">
        <v>21</v>
      </c>
      <c r="AH24" s="13">
        <v>50</v>
      </c>
      <c r="AI24" s="13">
        <v>124</v>
      </c>
      <c r="AJ24" s="13">
        <v>0</v>
      </c>
      <c r="AL24" s="12">
        <v>21</v>
      </c>
      <c r="AM24" s="13">
        <v>27</v>
      </c>
      <c r="AN24" s="13">
        <v>94</v>
      </c>
      <c r="AO24" s="13">
        <v>2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19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2">
        <v>21</v>
      </c>
      <c r="BV24" s="13">
        <v>53</v>
      </c>
      <c r="BW24" s="13">
        <v>96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30</v>
      </c>
      <c r="E25" s="109">
        <f t="shared" si="5"/>
        <v>0</v>
      </c>
      <c r="F25" s="8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19</v>
      </c>
      <c r="AE25" s="13">
        <v>30</v>
      </c>
      <c r="AG25" s="12">
        <v>22</v>
      </c>
      <c r="AH25" s="13">
        <v>0</v>
      </c>
      <c r="AI25" s="13">
        <v>0</v>
      </c>
      <c r="AJ25" s="13">
        <v>0</v>
      </c>
      <c r="AL25" s="12">
        <v>22</v>
      </c>
      <c r="AM25" s="13">
        <v>0</v>
      </c>
      <c r="AN25" s="13">
        <v>20</v>
      </c>
      <c r="AO25" s="13">
        <v>11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5</v>
      </c>
      <c r="AY25" s="13">
        <v>200</v>
      </c>
      <c r="AZ25" s="13">
        <v>150</v>
      </c>
      <c r="BA25" s="13">
        <v>50</v>
      </c>
      <c r="BB25" s="13">
        <v>50</v>
      </c>
      <c r="BC25" s="13">
        <v>50</v>
      </c>
      <c r="BD25" s="13">
        <v>20</v>
      </c>
      <c r="BE25" s="13">
        <v>20</v>
      </c>
      <c r="BF25" s="13">
        <v>20</v>
      </c>
      <c r="BG25" s="13">
        <v>50</v>
      </c>
      <c r="BH25" s="13">
        <v>0</v>
      </c>
      <c r="BI25" s="13">
        <v>0</v>
      </c>
      <c r="BK25" s="12">
        <v>22</v>
      </c>
      <c r="BL25" s="13">
        <v>10</v>
      </c>
      <c r="BM25" s="13" t="s">
        <v>19</v>
      </c>
      <c r="BN25" s="13" t="s">
        <v>19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19</v>
      </c>
      <c r="BX25" s="13">
        <v>30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68</v>
      </c>
      <c r="E26" s="109">
        <f t="shared" si="5"/>
        <v>0</v>
      </c>
      <c r="F26" s="8">
        <f t="shared" si="3"/>
        <v>0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2">
        <v>23</v>
      </c>
      <c r="AC26" s="13">
        <v>54</v>
      </c>
      <c r="AD26" s="13">
        <v>4</v>
      </c>
      <c r="AE26" s="13">
        <v>10</v>
      </c>
      <c r="AG26" s="12">
        <v>23</v>
      </c>
      <c r="AH26" s="13">
        <v>50</v>
      </c>
      <c r="AI26" s="13">
        <v>0</v>
      </c>
      <c r="AJ26" s="13">
        <v>0</v>
      </c>
      <c r="AL26" s="12">
        <v>23</v>
      </c>
      <c r="AM26" s="13">
        <v>27</v>
      </c>
      <c r="AN26" s="13">
        <v>2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19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2">
        <v>23</v>
      </c>
      <c r="BV26" s="13">
        <v>54</v>
      </c>
      <c r="BW26" s="13">
        <v>4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2</v>
      </c>
      <c r="E27" s="109">
        <f t="shared" si="5"/>
        <v>20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7</v>
      </c>
      <c r="AD27" s="13">
        <v>20</v>
      </c>
      <c r="AE27" s="13">
        <v>30</v>
      </c>
      <c r="AG27" s="12">
        <v>24</v>
      </c>
      <c r="AH27" s="13">
        <v>5</v>
      </c>
      <c r="AI27" s="13">
        <v>0</v>
      </c>
      <c r="AJ27" s="13">
        <v>0</v>
      </c>
      <c r="AL27" s="12">
        <v>24</v>
      </c>
      <c r="AM27" s="13">
        <v>4</v>
      </c>
      <c r="AN27" s="13">
        <v>20</v>
      </c>
      <c r="AO27" s="13">
        <v>11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20</v>
      </c>
      <c r="AY27" s="13">
        <v>0</v>
      </c>
      <c r="AZ27" s="13">
        <v>0</v>
      </c>
      <c r="BA27" s="13">
        <v>250</v>
      </c>
      <c r="BB27" s="13">
        <v>250</v>
      </c>
      <c r="BC27" s="13">
        <v>250</v>
      </c>
      <c r="BD27" s="13">
        <v>30</v>
      </c>
      <c r="BE27" s="13">
        <v>30</v>
      </c>
      <c r="BF27" s="13">
        <v>30</v>
      </c>
      <c r="BG27" s="13">
        <v>5</v>
      </c>
      <c r="BH27" s="13">
        <v>0</v>
      </c>
      <c r="BI27" s="13">
        <v>0</v>
      </c>
      <c r="BK27" s="12">
        <v>24</v>
      </c>
      <c r="BL27" s="13">
        <v>1</v>
      </c>
      <c r="BM27" s="13" t="s">
        <v>19</v>
      </c>
      <c r="BN27" s="13" t="s">
        <v>19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7</v>
      </c>
      <c r="BW27" s="13">
        <v>50</v>
      </c>
      <c r="BX27" s="13">
        <v>30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09">
        <f t="shared" si="5"/>
        <v>380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2">
        <v>25</v>
      </c>
      <c r="AC28" s="13">
        <v>53</v>
      </c>
      <c r="AD28" s="13">
        <v>2</v>
      </c>
      <c r="AE28" s="13">
        <v>73</v>
      </c>
      <c r="AG28" s="12">
        <v>25</v>
      </c>
      <c r="AH28" s="13">
        <v>50</v>
      </c>
      <c r="AI28" s="13">
        <v>0</v>
      </c>
      <c r="AJ28" s="13">
        <v>0</v>
      </c>
      <c r="AL28" s="12">
        <v>25</v>
      </c>
      <c r="AM28" s="13">
        <v>26</v>
      </c>
      <c r="AN28" s="13">
        <v>4</v>
      </c>
      <c r="AO28" s="13">
        <v>130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19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2">
        <v>25</v>
      </c>
      <c r="BV28" s="13">
        <v>53</v>
      </c>
      <c r="BW28" s="13">
        <v>2</v>
      </c>
      <c r="BX28" s="13">
        <v>73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5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19</v>
      </c>
      <c r="AE29" s="13">
        <v>29</v>
      </c>
      <c r="AG29" s="12">
        <v>26</v>
      </c>
      <c r="AH29" s="13">
        <v>11</v>
      </c>
      <c r="AI29" s="13">
        <v>0</v>
      </c>
      <c r="AJ29" s="13">
        <v>0</v>
      </c>
      <c r="AL29" s="12">
        <v>26</v>
      </c>
      <c r="AM29" s="13">
        <v>2</v>
      </c>
      <c r="AN29" s="13">
        <v>20</v>
      </c>
      <c r="AO29" s="13">
        <v>11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5</v>
      </c>
      <c r="AZ29" s="13">
        <v>12</v>
      </c>
      <c r="BA29" s="13">
        <v>5</v>
      </c>
      <c r="BB29" s="13">
        <v>5</v>
      </c>
      <c r="BC29" s="13">
        <v>5</v>
      </c>
      <c r="BD29" s="13">
        <v>1</v>
      </c>
      <c r="BE29" s="13">
        <v>1</v>
      </c>
      <c r="BF29" s="13">
        <v>1</v>
      </c>
      <c r="BG29" s="13">
        <v>1</v>
      </c>
      <c r="BH29" s="13">
        <v>0</v>
      </c>
      <c r="BI29" s="13">
        <v>0</v>
      </c>
      <c r="BK29" s="12">
        <v>26</v>
      </c>
      <c r="BL29" s="13">
        <v>5</v>
      </c>
      <c r="BM29" s="13" t="s">
        <v>19</v>
      </c>
      <c r="BN29" s="13" t="s">
        <v>19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19</v>
      </c>
      <c r="BX29" s="13">
        <v>29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5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2">
        <v>27</v>
      </c>
      <c r="AC30" s="13">
        <v>53</v>
      </c>
      <c r="AD30" s="13">
        <v>0</v>
      </c>
      <c r="AE30" s="13">
        <v>10</v>
      </c>
      <c r="AG30" s="12">
        <v>27</v>
      </c>
      <c r="AH30" s="13">
        <v>50</v>
      </c>
      <c r="AI30" s="13">
        <v>4</v>
      </c>
      <c r="AJ30" s="13">
        <v>0</v>
      </c>
      <c r="AL30" s="12">
        <v>27</v>
      </c>
      <c r="AM30" s="13">
        <v>27</v>
      </c>
      <c r="AN30" s="13">
        <v>0</v>
      </c>
      <c r="AO30" s="13">
        <v>2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19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2">
        <v>27</v>
      </c>
      <c r="BV30" s="13">
        <v>53</v>
      </c>
      <c r="BW30" s="13">
        <v>0</v>
      </c>
      <c r="BX30" s="13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5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19</v>
      </c>
      <c r="AE31" s="13">
        <v>30</v>
      </c>
      <c r="AG31" s="12">
        <v>28</v>
      </c>
      <c r="AH31" s="13">
        <v>0</v>
      </c>
      <c r="AI31" s="13">
        <v>0</v>
      </c>
      <c r="AJ31" s="13">
        <v>0</v>
      </c>
      <c r="AL31" s="12">
        <v>28</v>
      </c>
      <c r="AM31" s="13">
        <v>0</v>
      </c>
      <c r="AN31" s="13">
        <v>20</v>
      </c>
      <c r="AO31" s="13">
        <v>11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</v>
      </c>
      <c r="AY31" s="13">
        <v>0</v>
      </c>
      <c r="AZ31" s="13">
        <v>200</v>
      </c>
      <c r="BA31" s="13">
        <v>5</v>
      </c>
      <c r="BB31" s="13">
        <v>5</v>
      </c>
      <c r="BC31" s="13">
        <v>5</v>
      </c>
      <c r="BD31" s="13">
        <v>1</v>
      </c>
      <c r="BE31" s="13">
        <v>1</v>
      </c>
      <c r="BF31" s="13">
        <v>1</v>
      </c>
      <c r="BG31" s="13">
        <v>4</v>
      </c>
      <c r="BH31" s="13">
        <v>0</v>
      </c>
      <c r="BI31" s="13">
        <v>0</v>
      </c>
      <c r="BK31" s="12">
        <v>28</v>
      </c>
      <c r="BL31" s="13">
        <v>10</v>
      </c>
      <c r="BM31" s="13" t="s">
        <v>19</v>
      </c>
      <c r="BN31" s="13" t="s">
        <v>19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19</v>
      </c>
      <c r="BX31" s="13">
        <v>30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5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2">
        <v>29</v>
      </c>
      <c r="AC32" s="13">
        <v>54</v>
      </c>
      <c r="AD32" s="13">
        <v>0</v>
      </c>
      <c r="AE32" s="13">
        <v>10</v>
      </c>
      <c r="AG32" s="12">
        <v>29</v>
      </c>
      <c r="AH32" s="13">
        <v>50</v>
      </c>
      <c r="AI32" s="13">
        <v>76</v>
      </c>
      <c r="AJ32" s="13">
        <v>0</v>
      </c>
      <c r="AL32" s="12">
        <v>29</v>
      </c>
      <c r="AM32" s="13">
        <v>27</v>
      </c>
      <c r="AN32" s="13">
        <v>0</v>
      </c>
      <c r="AO32" s="13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19</v>
      </c>
      <c r="BM32" s="13" t="s">
        <v>20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2">
        <v>29</v>
      </c>
      <c r="BV32" s="13">
        <v>54</v>
      </c>
      <c r="BW32" s="13">
        <v>0</v>
      </c>
      <c r="BX32" s="13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5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7</v>
      </c>
      <c r="AD33" s="13">
        <v>19</v>
      </c>
      <c r="AE33" s="13">
        <v>29</v>
      </c>
      <c r="AG33" s="12">
        <v>30</v>
      </c>
      <c r="AH33" s="13">
        <v>5</v>
      </c>
      <c r="AI33" s="13">
        <v>0</v>
      </c>
      <c r="AJ33" s="13">
        <v>0</v>
      </c>
      <c r="AL33" s="12">
        <v>30</v>
      </c>
      <c r="AM33" s="13">
        <v>4</v>
      </c>
      <c r="AN33" s="13">
        <v>20</v>
      </c>
      <c r="AO33" s="13">
        <v>11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10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5</v>
      </c>
      <c r="BE33" s="13">
        <v>5</v>
      </c>
      <c r="BF33" s="13">
        <v>5</v>
      </c>
      <c r="BG33" s="13">
        <v>60</v>
      </c>
      <c r="BH33" s="13">
        <v>50</v>
      </c>
      <c r="BI33" s="13">
        <v>50</v>
      </c>
      <c r="BK33" s="12">
        <v>30</v>
      </c>
      <c r="BL33" s="13">
        <v>1</v>
      </c>
      <c r="BM33" s="13" t="s">
        <v>19</v>
      </c>
      <c r="BN33" s="13" t="s">
        <v>19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7</v>
      </c>
      <c r="BW33" s="13">
        <v>19</v>
      </c>
      <c r="BX33" s="13">
        <v>29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5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17.881944444444443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53</v>
      </c>
      <c r="AD34" s="13">
        <v>96</v>
      </c>
      <c r="AE34" s="13">
        <v>73</v>
      </c>
      <c r="AG34" s="12">
        <v>31</v>
      </c>
      <c r="AH34" s="13">
        <v>50</v>
      </c>
      <c r="AI34" s="13">
        <v>124</v>
      </c>
      <c r="AJ34" s="13">
        <v>0</v>
      </c>
      <c r="AL34" s="12">
        <v>31</v>
      </c>
      <c r="AM34" s="13">
        <v>26</v>
      </c>
      <c r="AN34" s="13">
        <v>94</v>
      </c>
      <c r="AO34" s="13">
        <v>130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19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53</v>
      </c>
      <c r="BW34" s="13">
        <v>96</v>
      </c>
      <c r="BX34" s="13">
        <v>73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1020</v>
      </c>
      <c r="F35" s="109">
        <f>SUM(F23:F34)</f>
        <v>6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0.52083333333333337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19</v>
      </c>
      <c r="AE35" s="13">
        <v>29</v>
      </c>
      <c r="AG35" s="12">
        <v>32</v>
      </c>
      <c r="AH35" s="13">
        <v>11</v>
      </c>
      <c r="AI35" s="13">
        <v>0</v>
      </c>
      <c r="AJ35" s="13">
        <v>0</v>
      </c>
      <c r="AL35" s="12">
        <v>32</v>
      </c>
      <c r="AM35" s="13">
        <v>2</v>
      </c>
      <c r="AN35" s="13">
        <v>20</v>
      </c>
      <c r="AO35" s="13">
        <v>11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5</v>
      </c>
      <c r="AY35" s="13">
        <v>200</v>
      </c>
      <c r="AZ35" s="13">
        <v>150</v>
      </c>
      <c r="BA35" s="13">
        <v>50</v>
      </c>
      <c r="BB35" s="13">
        <v>50</v>
      </c>
      <c r="BC35" s="13">
        <v>50</v>
      </c>
      <c r="BD35" s="13">
        <v>20</v>
      </c>
      <c r="BE35" s="13">
        <v>20</v>
      </c>
      <c r="BF35" s="13">
        <v>20</v>
      </c>
      <c r="BG35" s="13">
        <v>50</v>
      </c>
      <c r="BH35" s="13">
        <v>0</v>
      </c>
      <c r="BI35" s="13">
        <v>0</v>
      </c>
      <c r="BK35" s="12">
        <v>32</v>
      </c>
      <c r="BL35" s="13">
        <v>5</v>
      </c>
      <c r="BM35" s="13" t="s">
        <v>19</v>
      </c>
      <c r="BN35" s="13" t="s">
        <v>19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19</v>
      </c>
      <c r="BX35" s="13">
        <v>29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2000</v>
      </c>
      <c r="J36">
        <v>0.34722222222222221</v>
      </c>
      <c r="K36" s="113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53</v>
      </c>
      <c r="AD36" s="13">
        <v>4</v>
      </c>
      <c r="AE36" s="13">
        <v>10</v>
      </c>
      <c r="AG36" s="12">
        <v>33</v>
      </c>
      <c r="AH36" s="13">
        <v>50</v>
      </c>
      <c r="AI36" s="13">
        <v>0</v>
      </c>
      <c r="AJ36" s="13">
        <v>0</v>
      </c>
      <c r="AL36" s="12">
        <v>33</v>
      </c>
      <c r="AM36" s="13">
        <v>27</v>
      </c>
      <c r="AN36" s="13">
        <v>2</v>
      </c>
      <c r="AO36" s="13">
        <v>2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19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53</v>
      </c>
      <c r="BW36" s="13">
        <v>4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1"/>
      <c r="F37" s="111"/>
      <c r="G37" s="109"/>
      <c r="H37" s="22">
        <v>30</v>
      </c>
      <c r="I37" s="8">
        <f t="shared" ref="I37:I42" si="6">SUMIF(CA$3:CA$38,$H37,$CD$3:$CD$38)</f>
        <v>500</v>
      </c>
      <c r="J37">
        <v>8.6805555555555552E-2</v>
      </c>
      <c r="K37" s="113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20</v>
      </c>
      <c r="AE37" s="13">
        <v>30</v>
      </c>
      <c r="AG37" s="12">
        <v>34</v>
      </c>
      <c r="AH37" s="13">
        <v>0</v>
      </c>
      <c r="AI37" s="13">
        <v>0</v>
      </c>
      <c r="AJ37" s="13">
        <v>0</v>
      </c>
      <c r="AL37" s="12">
        <v>34</v>
      </c>
      <c r="AM37" s="13">
        <v>0</v>
      </c>
      <c r="AN37" s="13">
        <v>20</v>
      </c>
      <c r="AO37" s="13">
        <v>11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20</v>
      </c>
      <c r="AY37" s="13">
        <v>0</v>
      </c>
      <c r="AZ37" s="13">
        <v>0</v>
      </c>
      <c r="BA37" s="13">
        <v>250</v>
      </c>
      <c r="BB37" s="13">
        <v>250</v>
      </c>
      <c r="BC37" s="13">
        <v>250</v>
      </c>
      <c r="BD37" s="13">
        <v>30</v>
      </c>
      <c r="BE37" s="13">
        <v>30</v>
      </c>
      <c r="BF37" s="13">
        <v>30</v>
      </c>
      <c r="BG37" s="13">
        <v>5</v>
      </c>
      <c r="BH37" s="13">
        <v>0</v>
      </c>
      <c r="BI37" s="13">
        <v>0</v>
      </c>
      <c r="BK37" s="12">
        <v>34</v>
      </c>
      <c r="BL37" s="13">
        <v>10</v>
      </c>
      <c r="BM37" s="13" t="s">
        <v>19</v>
      </c>
      <c r="BN37" s="13" t="s">
        <v>19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50</v>
      </c>
      <c r="BX37" s="13">
        <v>30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6"/>
        <v>200</v>
      </c>
      <c r="J38">
        <v>3.4722222222222224E-2</v>
      </c>
      <c r="K38" s="113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54</v>
      </c>
      <c r="AD38" s="13">
        <v>2</v>
      </c>
      <c r="AE38" s="13">
        <v>10</v>
      </c>
      <c r="AG38" s="12">
        <v>35</v>
      </c>
      <c r="AH38" s="13">
        <v>50</v>
      </c>
      <c r="AI38" s="13">
        <v>0</v>
      </c>
      <c r="AJ38" s="13">
        <v>0</v>
      </c>
      <c r="AL38" s="12">
        <v>35</v>
      </c>
      <c r="AM38" s="13">
        <v>27</v>
      </c>
      <c r="AN38" s="13">
        <v>4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19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54</v>
      </c>
      <c r="BW38" s="13">
        <v>2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6"/>
        <v>40</v>
      </c>
      <c r="J39">
        <v>6.9444444444444441E-3</v>
      </c>
      <c r="K39" s="113"/>
      <c r="L39" s="109"/>
      <c r="M39" s="109"/>
      <c r="N39" s="109"/>
      <c r="O39" s="10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7">VLOOKUP(T39,$A$3:$F$14,2,0)</f>
        <v>0</v>
      </c>
      <c r="Z39" s="13"/>
      <c r="AB39" s="12">
        <v>36</v>
      </c>
      <c r="AC39" s="13"/>
      <c r="AD39" s="13">
        <v>19</v>
      </c>
      <c r="AE39" s="13"/>
      <c r="AG39" s="12">
        <v>36</v>
      </c>
      <c r="AH39" s="13"/>
      <c r="AI39" s="13">
        <v>0</v>
      </c>
      <c r="AJ39" s="13"/>
      <c r="AL39" s="12">
        <v>36</v>
      </c>
      <c r="AM39" s="13"/>
      <c r="AN39" s="13">
        <v>20</v>
      </c>
      <c r="AO39" s="13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1</v>
      </c>
      <c r="AY39" s="13">
        <v>5</v>
      </c>
      <c r="AZ39" s="13">
        <v>12</v>
      </c>
      <c r="BA39" s="13">
        <v>5</v>
      </c>
      <c r="BB39" s="13">
        <v>5</v>
      </c>
      <c r="BC39" s="13">
        <v>5</v>
      </c>
      <c r="BD39" s="13">
        <v>1</v>
      </c>
      <c r="BE39" s="13">
        <v>1</v>
      </c>
      <c r="BF39" s="13">
        <v>1</v>
      </c>
      <c r="BG39" s="13">
        <v>1</v>
      </c>
      <c r="BH39" s="13">
        <v>0</v>
      </c>
      <c r="BI39" s="13">
        <v>0</v>
      </c>
      <c r="BK39" s="12">
        <v>36</v>
      </c>
      <c r="BL39" s="13"/>
      <c r="BM39" s="13" t="s">
        <v>19</v>
      </c>
      <c r="BN39" s="13"/>
      <c r="BP39" s="12">
        <v>36</v>
      </c>
      <c r="BQ39" s="13"/>
      <c r="BR39" s="13">
        <v>0</v>
      </c>
      <c r="BS39" s="13"/>
      <c r="BU39" s="12">
        <v>36</v>
      </c>
      <c r="BV39" s="13"/>
      <c r="BW39" s="13">
        <v>19</v>
      </c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200</v>
      </c>
      <c r="I40" s="8">
        <f t="shared" si="6"/>
        <v>20</v>
      </c>
      <c r="J40">
        <v>3.472222222222222E-3</v>
      </c>
      <c r="K40" s="113"/>
      <c r="L40" s="109"/>
      <c r="M40" s="109"/>
      <c r="N40" s="109"/>
      <c r="O40" s="10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7"/>
        <v>4</v>
      </c>
      <c r="Z40" s="13"/>
      <c r="AB40" s="12">
        <v>37</v>
      </c>
      <c r="AC40" s="13"/>
      <c r="AD40" s="13">
        <v>0</v>
      </c>
      <c r="AE40" s="13"/>
      <c r="AG40" s="12">
        <v>37</v>
      </c>
      <c r="AH40" s="13"/>
      <c r="AI40" s="13">
        <v>4</v>
      </c>
      <c r="AJ40" s="13"/>
      <c r="AL40" s="12">
        <v>37</v>
      </c>
      <c r="AM40" s="13"/>
      <c r="AN40" s="13">
        <v>0</v>
      </c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v>4</v>
      </c>
      <c r="BS40" s="13"/>
      <c r="BU40" s="12">
        <v>37</v>
      </c>
      <c r="BV40" s="13"/>
      <c r="BW40" s="13">
        <v>0</v>
      </c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480</v>
      </c>
      <c r="E41" s="110">
        <f>SUMIF(T$3:T$52,$A41,AN$3:AN$52)</f>
        <v>500</v>
      </c>
      <c r="F41" s="5">
        <f t="shared" ref="F41:F52" si="8">SUMIF(U$3:U$38,$A41,AO$3:AO$38)</f>
        <v>200</v>
      </c>
      <c r="G41" s="109"/>
      <c r="H41" s="22">
        <v>500</v>
      </c>
      <c r="I41" s="8">
        <f t="shared" si="6"/>
        <v>0</v>
      </c>
      <c r="J41">
        <v>0</v>
      </c>
      <c r="K41" s="113"/>
      <c r="L41" s="109"/>
      <c r="M41" s="109"/>
      <c r="N41" s="109"/>
      <c r="O41" s="10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7"/>
        <v>0</v>
      </c>
      <c r="Z41" s="13"/>
      <c r="AB41" s="12">
        <v>38</v>
      </c>
      <c r="AC41" s="13"/>
      <c r="AD41" s="13">
        <v>19</v>
      </c>
      <c r="AE41" s="13"/>
      <c r="AG41" s="12">
        <v>38</v>
      </c>
      <c r="AH41" s="13"/>
      <c r="AI41" s="13">
        <v>0</v>
      </c>
      <c r="AJ41" s="13"/>
      <c r="AL41" s="12">
        <v>38</v>
      </c>
      <c r="AM41" s="13"/>
      <c r="AN41" s="13">
        <v>20</v>
      </c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</v>
      </c>
      <c r="AY41" s="13">
        <v>0</v>
      </c>
      <c r="AZ41" s="13">
        <v>200</v>
      </c>
      <c r="BA41" s="13">
        <v>5</v>
      </c>
      <c r="BB41" s="13">
        <v>5</v>
      </c>
      <c r="BC41" s="13">
        <v>5</v>
      </c>
      <c r="BD41" s="13">
        <v>1</v>
      </c>
      <c r="BE41" s="13">
        <v>1</v>
      </c>
      <c r="BF41" s="13">
        <v>1</v>
      </c>
      <c r="BG41" s="13">
        <v>4</v>
      </c>
      <c r="BH41" s="13">
        <v>0</v>
      </c>
      <c r="BI41" s="13">
        <v>0</v>
      </c>
      <c r="BK41" s="12">
        <v>38</v>
      </c>
      <c r="BL41" s="13"/>
      <c r="BM41" s="13" t="s">
        <v>19</v>
      </c>
      <c r="BN41" s="13"/>
      <c r="BP41" s="12">
        <v>38</v>
      </c>
      <c r="BQ41" s="13"/>
      <c r="BR41" s="13">
        <v>0</v>
      </c>
      <c r="BS41" s="13"/>
      <c r="BU41" s="12">
        <v>38</v>
      </c>
      <c r="BV41" s="13"/>
      <c r="BW41" s="13">
        <v>19</v>
      </c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09">
        <f t="shared" ref="E42:E52" si="10">SUMIF(T$3:T$52,$A42,AN$3:AN$52)</f>
        <v>470</v>
      </c>
      <c r="F42" s="8">
        <f t="shared" si="8"/>
        <v>780</v>
      </c>
      <c r="H42" s="23">
        <v>1000</v>
      </c>
      <c r="I42" s="97">
        <f t="shared" si="6"/>
        <v>0</v>
      </c>
      <c r="J42">
        <v>0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7"/>
        <v>5</v>
      </c>
      <c r="Z42" s="13"/>
      <c r="AB42" s="12">
        <v>39</v>
      </c>
      <c r="AC42" s="13"/>
      <c r="AD42" s="13">
        <v>0</v>
      </c>
      <c r="AE42" s="13"/>
      <c r="AG42" s="12">
        <v>39</v>
      </c>
      <c r="AH42" s="13"/>
      <c r="AI42" s="13">
        <v>76</v>
      </c>
      <c r="AJ42" s="13"/>
      <c r="AL42" s="12">
        <v>39</v>
      </c>
      <c r="AM42" s="13"/>
      <c r="AN42" s="13">
        <v>0</v>
      </c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20</v>
      </c>
      <c r="BN42" s="13"/>
      <c r="BP42" s="12">
        <v>39</v>
      </c>
      <c r="BQ42" s="13"/>
      <c r="BR42" s="13">
        <v>5</v>
      </c>
      <c r="BS42" s="13"/>
      <c r="BU42" s="12">
        <v>39</v>
      </c>
      <c r="BV42" s="13"/>
      <c r="BW42" s="13">
        <v>0</v>
      </c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25</v>
      </c>
      <c r="E43" s="109">
        <f t="shared" si="10"/>
        <v>10</v>
      </c>
      <c r="F43" s="8">
        <f t="shared" si="8"/>
        <v>14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7"/>
        <v>0</v>
      </c>
      <c r="Z43" s="13"/>
      <c r="AB43" s="12">
        <v>40</v>
      </c>
      <c r="AC43" s="13"/>
      <c r="AD43" s="13">
        <v>19</v>
      </c>
      <c r="AE43" s="13"/>
      <c r="AG43" s="12">
        <v>40</v>
      </c>
      <c r="AH43" s="13"/>
      <c r="AI43" s="13">
        <v>0</v>
      </c>
      <c r="AJ43" s="13"/>
      <c r="AL43" s="12">
        <v>40</v>
      </c>
      <c r="AM43" s="13"/>
      <c r="AN43" s="13">
        <v>20</v>
      </c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19</v>
      </c>
      <c r="BN43" s="13"/>
      <c r="BP43" s="12">
        <v>40</v>
      </c>
      <c r="BQ43" s="13"/>
      <c r="BR43" s="13">
        <v>0</v>
      </c>
      <c r="BS43" s="13"/>
      <c r="BU43" s="12">
        <v>40</v>
      </c>
      <c r="BV43" s="13"/>
      <c r="BW43" s="13">
        <v>19</v>
      </c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14</v>
      </c>
      <c r="E44" s="109">
        <f t="shared" si="10"/>
        <v>20</v>
      </c>
      <c r="F44" s="8">
        <f t="shared" si="8"/>
        <v>10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7"/>
        <v>1</v>
      </c>
      <c r="Z44" s="13"/>
      <c r="AB44" s="12">
        <v>41</v>
      </c>
      <c r="AC44" s="13"/>
      <c r="AD44" s="13">
        <v>96</v>
      </c>
      <c r="AE44" s="13"/>
      <c r="AG44" s="12">
        <v>41</v>
      </c>
      <c r="AH44" s="13"/>
      <c r="AI44" s="13">
        <v>124</v>
      </c>
      <c r="AJ44" s="13"/>
      <c r="AL44" s="12">
        <v>41</v>
      </c>
      <c r="AM44" s="13"/>
      <c r="AN44" s="13">
        <v>94</v>
      </c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v>1</v>
      </c>
      <c r="BS44" s="13"/>
      <c r="BU44" s="12">
        <v>41</v>
      </c>
      <c r="BV44" s="13"/>
      <c r="BW44" s="13">
        <v>96</v>
      </c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1</v>
      </c>
      <c r="E45" s="109">
        <f t="shared" si="10"/>
        <v>0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7"/>
        <v>0</v>
      </c>
      <c r="Z45" s="13"/>
      <c r="AB45" s="12">
        <v>42</v>
      </c>
      <c r="AC45" s="13"/>
      <c r="AD45" s="13">
        <v>19</v>
      </c>
      <c r="AE45" s="13"/>
      <c r="AG45" s="12">
        <v>42</v>
      </c>
      <c r="AH45" s="13"/>
      <c r="AI45" s="13">
        <v>0</v>
      </c>
      <c r="AJ45" s="13"/>
      <c r="AL45" s="12">
        <v>42</v>
      </c>
      <c r="AM45" s="13"/>
      <c r="AN45" s="13">
        <v>20</v>
      </c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19</v>
      </c>
      <c r="BN45" s="13"/>
      <c r="BP45" s="12">
        <v>42</v>
      </c>
      <c r="BQ45" s="13"/>
      <c r="BR45" s="13">
        <v>0</v>
      </c>
      <c r="BS45" s="13"/>
      <c r="BU45" s="12">
        <v>42</v>
      </c>
      <c r="BV45" s="13"/>
      <c r="BW45" s="13">
        <v>19</v>
      </c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09">
        <f t="shared" si="10"/>
        <v>0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7"/>
        <v>2</v>
      </c>
      <c r="Z46" s="13"/>
      <c r="AB46" s="12">
        <v>43</v>
      </c>
      <c r="AC46" s="13"/>
      <c r="AD46" s="13">
        <v>4</v>
      </c>
      <c r="AE46" s="13"/>
      <c r="AG46" s="12">
        <v>43</v>
      </c>
      <c r="AH46" s="13"/>
      <c r="AI46" s="13">
        <v>0</v>
      </c>
      <c r="AJ46" s="13"/>
      <c r="AL46" s="12">
        <v>43</v>
      </c>
      <c r="AM46" s="13"/>
      <c r="AN46" s="13">
        <v>2</v>
      </c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v>2</v>
      </c>
      <c r="BS46" s="13"/>
      <c r="BU46" s="12">
        <v>43</v>
      </c>
      <c r="BV46" s="13"/>
      <c r="BW46" s="13">
        <v>4</v>
      </c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7"/>
        <v>0</v>
      </c>
      <c r="Z47" s="13"/>
      <c r="AB47" s="12">
        <v>44</v>
      </c>
      <c r="AC47" s="13"/>
      <c r="AD47" s="13">
        <v>20</v>
      </c>
      <c r="AE47" s="13"/>
      <c r="AG47" s="12">
        <v>44</v>
      </c>
      <c r="AH47" s="13"/>
      <c r="AI47" s="13">
        <v>0</v>
      </c>
      <c r="AJ47" s="13"/>
      <c r="AL47" s="12">
        <v>44</v>
      </c>
      <c r="AM47" s="13"/>
      <c r="AN47" s="13">
        <v>20</v>
      </c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19</v>
      </c>
      <c r="BN47" s="13"/>
      <c r="BP47" s="12">
        <v>44</v>
      </c>
      <c r="BQ47" s="13"/>
      <c r="BR47" s="13">
        <v>0</v>
      </c>
      <c r="BS47" s="13"/>
      <c r="BU47" s="12">
        <v>44</v>
      </c>
      <c r="BV47" s="13"/>
      <c r="BW47" s="13">
        <v>50</v>
      </c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7"/>
        <v>3</v>
      </c>
      <c r="Z48" s="13"/>
      <c r="AB48" s="12">
        <v>45</v>
      </c>
      <c r="AC48" s="13"/>
      <c r="AD48" s="13">
        <v>2</v>
      </c>
      <c r="AE48" s="13"/>
      <c r="AG48" s="12">
        <v>45</v>
      </c>
      <c r="AH48" s="13"/>
      <c r="AI48" s="13">
        <v>0</v>
      </c>
      <c r="AJ48" s="13"/>
      <c r="AL48" s="12">
        <v>45</v>
      </c>
      <c r="AM48" s="13"/>
      <c r="AN48" s="13">
        <v>4</v>
      </c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v>3</v>
      </c>
      <c r="BS48" s="13"/>
      <c r="BU48" s="12">
        <v>45</v>
      </c>
      <c r="BV48" s="13"/>
      <c r="BW48" s="13">
        <v>2</v>
      </c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7"/>
        <v>0</v>
      </c>
      <c r="Z49" s="13"/>
      <c r="AB49" s="12">
        <v>46</v>
      </c>
      <c r="AC49" s="13"/>
      <c r="AD49" s="13">
        <v>19</v>
      </c>
      <c r="AE49" s="13"/>
      <c r="AG49" s="12">
        <v>46</v>
      </c>
      <c r="AH49" s="13"/>
      <c r="AI49" s="13">
        <v>0</v>
      </c>
      <c r="AJ49" s="13"/>
      <c r="AL49" s="12">
        <v>46</v>
      </c>
      <c r="AM49" s="13"/>
      <c r="AN49" s="13">
        <v>20</v>
      </c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19</v>
      </c>
      <c r="BN49" s="13"/>
      <c r="BP49" s="12">
        <v>46</v>
      </c>
      <c r="BQ49" s="13"/>
      <c r="BR49" s="13">
        <v>0</v>
      </c>
      <c r="BS49" s="13"/>
      <c r="BU49" s="12">
        <v>46</v>
      </c>
      <c r="BV49" s="13"/>
      <c r="BW49" s="13">
        <v>19</v>
      </c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7"/>
        <v>4</v>
      </c>
      <c r="Z50" s="13"/>
      <c r="AB50" s="12">
        <v>47</v>
      </c>
      <c r="AC50" s="13"/>
      <c r="AD50" s="13">
        <v>0</v>
      </c>
      <c r="AE50" s="13"/>
      <c r="AG50" s="12">
        <v>47</v>
      </c>
      <c r="AH50" s="13"/>
      <c r="AI50" s="13">
        <v>4</v>
      </c>
      <c r="AJ50" s="13"/>
      <c r="AL50" s="12">
        <v>47</v>
      </c>
      <c r="AM50" s="13"/>
      <c r="AN50" s="13">
        <v>0</v>
      </c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v>4</v>
      </c>
      <c r="BS50" s="13"/>
      <c r="BU50" s="12">
        <v>47</v>
      </c>
      <c r="BV50" s="13"/>
      <c r="BW50" s="13">
        <v>0</v>
      </c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7"/>
        <v>0</v>
      </c>
      <c r="Z51" s="13"/>
      <c r="AB51" s="12">
        <v>48</v>
      </c>
      <c r="AC51" s="13"/>
      <c r="AD51" s="13">
        <v>19</v>
      </c>
      <c r="AE51" s="13"/>
      <c r="AG51" s="12">
        <v>48</v>
      </c>
      <c r="AH51" s="13"/>
      <c r="AI51" s="13">
        <v>0</v>
      </c>
      <c r="AJ51" s="13"/>
      <c r="AL51" s="12">
        <v>48</v>
      </c>
      <c r="AM51" s="13"/>
      <c r="AN51" s="13">
        <v>20</v>
      </c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19</v>
      </c>
      <c r="BN51" s="13"/>
      <c r="BP51" s="12">
        <v>48</v>
      </c>
      <c r="BQ51" s="13"/>
      <c r="BR51" s="13">
        <v>0</v>
      </c>
      <c r="BS51" s="13"/>
      <c r="BU51" s="12">
        <v>48</v>
      </c>
      <c r="BV51" s="13"/>
      <c r="BW51" s="13">
        <v>19</v>
      </c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7"/>
        <v>5</v>
      </c>
      <c r="Z52" s="13"/>
      <c r="AB52" s="12">
        <v>49</v>
      </c>
      <c r="AC52" s="13"/>
      <c r="AD52" s="13">
        <v>0</v>
      </c>
      <c r="AE52" s="13"/>
      <c r="AG52" s="12">
        <v>49</v>
      </c>
      <c r="AH52" s="13"/>
      <c r="AI52" s="13">
        <v>76</v>
      </c>
      <c r="AJ52" s="13"/>
      <c r="AL52" s="12">
        <v>49</v>
      </c>
      <c r="AM52" s="13"/>
      <c r="AN52" s="13">
        <v>0</v>
      </c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20</v>
      </c>
      <c r="BN52" s="13"/>
      <c r="BP52" s="12">
        <v>49</v>
      </c>
      <c r="BQ52" s="13"/>
      <c r="BR52" s="13">
        <v>5</v>
      </c>
      <c r="BS52" s="13"/>
      <c r="BU52" s="12">
        <v>49</v>
      </c>
      <c r="BV52" s="13"/>
      <c r="BW52" s="13">
        <v>0</v>
      </c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520</v>
      </c>
      <c r="E53" s="109">
        <f>SUM(E41:E52)</f>
        <v>1000</v>
      </c>
      <c r="F53" s="109">
        <f>SUM(F41:F52)</f>
        <v>1004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10">
        <f t="shared" si="11"/>
        <v>0</v>
      </c>
      <c r="F57" s="110">
        <f t="shared" si="11"/>
        <v>0</v>
      </c>
      <c r="G57" s="4">
        <f t="shared" si="11"/>
        <v>0</v>
      </c>
      <c r="H57" s="110">
        <f t="shared" si="11"/>
        <v>0</v>
      </c>
      <c r="I57" s="110">
        <f t="shared" si="11"/>
        <v>0</v>
      </c>
      <c r="J57" s="110">
        <f t="shared" si="11"/>
        <v>0</v>
      </c>
      <c r="K57" s="110">
        <f t="shared" si="11"/>
        <v>0</v>
      </c>
      <c r="L57" s="110">
        <f t="shared" si="11"/>
        <v>0</v>
      </c>
      <c r="M57" s="47">
        <f t="shared" si="11"/>
        <v>0</v>
      </c>
      <c r="N57" s="11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55</v>
      </c>
      <c r="E63" s="109">
        <f t="shared" si="11"/>
        <v>0</v>
      </c>
      <c r="F63" s="8">
        <f t="shared" si="11"/>
        <v>0</v>
      </c>
      <c r="G63" s="7">
        <f t="shared" si="11"/>
        <v>0</v>
      </c>
      <c r="H63" s="109">
        <f t="shared" si="11"/>
        <v>0</v>
      </c>
      <c r="I63" s="109">
        <f t="shared" si="11"/>
        <v>0</v>
      </c>
      <c r="J63" s="109">
        <f t="shared" si="11"/>
        <v>20</v>
      </c>
      <c r="K63" s="109">
        <f t="shared" si="11"/>
        <v>20</v>
      </c>
      <c r="L63" s="109">
        <f t="shared" si="11"/>
        <v>20</v>
      </c>
      <c r="M63" s="49">
        <f t="shared" si="11"/>
        <v>240</v>
      </c>
      <c r="N63" s="109">
        <f t="shared" si="11"/>
        <v>200</v>
      </c>
      <c r="O63" s="8">
        <f t="shared" si="11"/>
        <v>200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80</v>
      </c>
      <c r="E64" s="109">
        <f t="shared" si="11"/>
        <v>0</v>
      </c>
      <c r="F64" s="8">
        <f t="shared" si="11"/>
        <v>0</v>
      </c>
      <c r="G64" s="7">
        <f t="shared" si="11"/>
        <v>1000</v>
      </c>
      <c r="H64" s="109">
        <f t="shared" si="11"/>
        <v>1000</v>
      </c>
      <c r="I64" s="109">
        <f t="shared" si="11"/>
        <v>1000</v>
      </c>
      <c r="J64" s="109">
        <f t="shared" si="11"/>
        <v>120</v>
      </c>
      <c r="K64" s="109">
        <f t="shared" si="11"/>
        <v>120</v>
      </c>
      <c r="L64" s="109">
        <f t="shared" si="11"/>
        <v>120</v>
      </c>
      <c r="M64" s="49">
        <f t="shared" si="11"/>
        <v>20</v>
      </c>
      <c r="N64" s="109">
        <f t="shared" si="11"/>
        <v>0</v>
      </c>
      <c r="O64" s="8">
        <f t="shared" si="11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20</v>
      </c>
      <c r="E65" s="109">
        <f t="shared" si="11"/>
        <v>0</v>
      </c>
      <c r="F65" s="8">
        <f t="shared" si="11"/>
        <v>800</v>
      </c>
      <c r="G65" s="7">
        <f t="shared" si="11"/>
        <v>20</v>
      </c>
      <c r="H65" s="109">
        <f t="shared" si="11"/>
        <v>20</v>
      </c>
      <c r="I65" s="109">
        <f t="shared" si="11"/>
        <v>20</v>
      </c>
      <c r="J65" s="109">
        <f t="shared" si="11"/>
        <v>4</v>
      </c>
      <c r="K65" s="109">
        <f t="shared" si="11"/>
        <v>4</v>
      </c>
      <c r="L65" s="109">
        <f t="shared" si="11"/>
        <v>4</v>
      </c>
      <c r="M65" s="49">
        <f t="shared" si="11"/>
        <v>15</v>
      </c>
      <c r="N65" s="109">
        <f t="shared" si="11"/>
        <v>0</v>
      </c>
      <c r="O65" s="8">
        <f t="shared" si="11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20</v>
      </c>
      <c r="E66" s="109">
        <f t="shared" si="11"/>
        <v>800</v>
      </c>
      <c r="F66" s="8">
        <f t="shared" si="11"/>
        <v>600</v>
      </c>
      <c r="G66" s="7">
        <f t="shared" si="11"/>
        <v>180</v>
      </c>
      <c r="H66" s="109">
        <f t="shared" si="11"/>
        <v>180</v>
      </c>
      <c r="I66" s="109">
        <f t="shared" si="11"/>
        <v>180</v>
      </c>
      <c r="J66" s="109">
        <f t="shared" si="11"/>
        <v>80</v>
      </c>
      <c r="K66" s="109">
        <f t="shared" si="11"/>
        <v>80</v>
      </c>
      <c r="L66" s="109">
        <f t="shared" si="11"/>
        <v>80</v>
      </c>
      <c r="M66" s="49">
        <f t="shared" si="11"/>
        <v>200</v>
      </c>
      <c r="N66" s="109">
        <f t="shared" si="11"/>
        <v>0</v>
      </c>
      <c r="O66" s="8">
        <f t="shared" si="11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09">
        <f t="shared" si="11"/>
        <v>0</v>
      </c>
      <c r="F67" s="8">
        <f t="shared" si="11"/>
        <v>0</v>
      </c>
      <c r="G67" s="7">
        <f t="shared" si="11"/>
        <v>0</v>
      </c>
      <c r="H67" s="109">
        <f t="shared" si="11"/>
        <v>0</v>
      </c>
      <c r="I67" s="109">
        <f t="shared" si="11"/>
        <v>0</v>
      </c>
      <c r="J67" s="109">
        <f t="shared" si="11"/>
        <v>0</v>
      </c>
      <c r="K67" s="109">
        <f t="shared" si="11"/>
        <v>0</v>
      </c>
      <c r="L67" s="109">
        <f t="shared" si="11"/>
        <v>0</v>
      </c>
      <c r="M67" s="49">
        <f t="shared" si="11"/>
        <v>0</v>
      </c>
      <c r="N67" s="10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5</v>
      </c>
      <c r="E68" s="51">
        <f t="shared" si="11"/>
        <v>34</v>
      </c>
      <c r="F68" s="58">
        <f t="shared" si="11"/>
        <v>48</v>
      </c>
      <c r="G68" s="50">
        <f t="shared" si="11"/>
        <v>20</v>
      </c>
      <c r="H68" s="51">
        <f t="shared" si="11"/>
        <v>20</v>
      </c>
      <c r="I68" s="51">
        <f t="shared" si="11"/>
        <v>20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0</v>
      </c>
      <c r="O68" s="41">
        <f t="shared" si="11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180</v>
      </c>
      <c r="E69" s="109">
        <f t="shared" ref="E69:O69" si="12">SUM(E57:E68)</f>
        <v>834</v>
      </c>
      <c r="F69" s="109">
        <f t="shared" si="12"/>
        <v>1448</v>
      </c>
      <c r="G69" s="109">
        <f t="shared" si="12"/>
        <v>1220</v>
      </c>
      <c r="H69" s="109">
        <f t="shared" si="12"/>
        <v>1220</v>
      </c>
      <c r="I69" s="109">
        <f t="shared" si="12"/>
        <v>1220</v>
      </c>
      <c r="J69" s="109">
        <f t="shared" si="12"/>
        <v>228</v>
      </c>
      <c r="K69" s="109">
        <f t="shared" si="12"/>
        <v>228</v>
      </c>
      <c r="L69" s="109">
        <f t="shared" si="12"/>
        <v>228</v>
      </c>
      <c r="M69" s="109">
        <f t="shared" si="12"/>
        <v>479</v>
      </c>
      <c r="N69" s="109">
        <f t="shared" si="12"/>
        <v>200</v>
      </c>
      <c r="O69" s="109">
        <f t="shared" si="12"/>
        <v>200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>
        <f t="shared" ref="D70:M70" si="13">D68/D69</f>
        <v>2.7777777777777776E-2</v>
      </c>
      <c r="E70">
        <f t="shared" si="13"/>
        <v>4.0767386091127102E-2</v>
      </c>
      <c r="F70">
        <f t="shared" si="13"/>
        <v>3.3149171270718231E-2</v>
      </c>
      <c r="G70">
        <f t="shared" si="13"/>
        <v>1.6393442622950821E-2</v>
      </c>
      <c r="H70">
        <f t="shared" si="13"/>
        <v>1.6393442622950821E-2</v>
      </c>
      <c r="I70">
        <f t="shared" si="13"/>
        <v>1.6393442622950821E-2</v>
      </c>
      <c r="J70">
        <f t="shared" si="13"/>
        <v>1.7543859649122806E-2</v>
      </c>
      <c r="K70">
        <f t="shared" si="13"/>
        <v>1.7543859649122806E-2</v>
      </c>
      <c r="L70">
        <f t="shared" si="13"/>
        <v>1.7543859649122806E-2</v>
      </c>
      <c r="M70">
        <f t="shared" si="13"/>
        <v>8.350730688935281E-3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960</v>
      </c>
      <c r="E73" s="110">
        <f>SUMIF(BM$3:BM$52,$A73,BW$3:BW$52)</f>
        <v>785</v>
      </c>
      <c r="F73" s="5">
        <f t="shared" ref="F73:F84" si="14">SUMIF(BN$3:BN$38,$A73,BX$3:BX$38)</f>
        <v>537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5">SUMIF(BL$3:BL$38,$A74,BV$3:BV$38)</f>
        <v>0</v>
      </c>
      <c r="E74" s="109">
        <f t="shared" ref="E74:E84" si="16">SUMIF(BM$3:BM$52,$A74,BW$3:BW$52)</f>
        <v>483</v>
      </c>
      <c r="F74" s="8">
        <f t="shared" si="14"/>
        <v>443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5"/>
        <v>43</v>
      </c>
      <c r="E75" s="109">
        <f t="shared" si="16"/>
        <v>20</v>
      </c>
      <c r="F75" s="8">
        <f t="shared" si="14"/>
        <v>10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5"/>
        <v>30</v>
      </c>
      <c r="E76" s="109">
        <f t="shared" si="16"/>
        <v>10</v>
      </c>
      <c r="F76" s="8">
        <f t="shared" si="14"/>
        <v>10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5"/>
        <v>5</v>
      </c>
      <c r="E77" s="109">
        <f t="shared" si="16"/>
        <v>1</v>
      </c>
      <c r="F77" s="39">
        <f t="shared" si="14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5"/>
        <v>0</v>
      </c>
      <c r="E78" s="109">
        <f t="shared" si="16"/>
        <v>1</v>
      </c>
      <c r="F78" s="39">
        <f t="shared" si="14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5"/>
        <v>0</v>
      </c>
      <c r="E79" s="60">
        <f t="shared" si="16"/>
        <v>0</v>
      </c>
      <c r="F79" s="39">
        <f t="shared" si="14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5"/>
        <v>0</v>
      </c>
      <c r="E80" s="60">
        <f t="shared" si="16"/>
        <v>0</v>
      </c>
      <c r="F80" s="39">
        <f t="shared" si="14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5"/>
        <v>0</v>
      </c>
      <c r="E81" s="60">
        <f t="shared" si="16"/>
        <v>0</v>
      </c>
      <c r="F81" s="39">
        <f t="shared" si="14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5"/>
        <v>0</v>
      </c>
      <c r="E82" s="60">
        <f t="shared" si="16"/>
        <v>0</v>
      </c>
      <c r="F82" s="39">
        <f t="shared" si="14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5"/>
        <v>0</v>
      </c>
      <c r="E83" s="60">
        <f t="shared" si="16"/>
        <v>0</v>
      </c>
      <c r="F83" s="39">
        <f t="shared" si="14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5"/>
        <v>0</v>
      </c>
      <c r="E84" s="40">
        <f t="shared" si="16"/>
        <v>0</v>
      </c>
      <c r="F84" s="41">
        <f t="shared" si="14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573" priority="303" operator="equal">
      <formula>"E"</formula>
    </cfRule>
  </conditionalFormatting>
  <conditionalFormatting sqref="BA43:BA103">
    <cfRule type="cellIs" dxfId="572" priority="232" operator="equal">
      <formula>"E"</formula>
    </cfRule>
  </conditionalFormatting>
  <conditionalFormatting sqref="AZ2">
    <cfRule type="cellIs" dxfId="571" priority="233" operator="equal">
      <formula>"E"</formula>
    </cfRule>
  </conditionalFormatting>
  <conditionalFormatting sqref="BI2">
    <cfRule type="cellIs" dxfId="570" priority="193" operator="equal">
      <formula>"E"</formula>
    </cfRule>
  </conditionalFormatting>
  <conditionalFormatting sqref="BA2">
    <cfRule type="cellIs" dxfId="569" priority="231" operator="equal">
      <formula>"E"</formula>
    </cfRule>
  </conditionalFormatting>
  <conditionalFormatting sqref="BB43:BB103">
    <cfRule type="cellIs" dxfId="568" priority="230" operator="equal">
      <formula>"E"</formula>
    </cfRule>
  </conditionalFormatting>
  <conditionalFormatting sqref="BB2">
    <cfRule type="cellIs" dxfId="567" priority="229" operator="equal">
      <formula>"E"</formula>
    </cfRule>
  </conditionalFormatting>
  <conditionalFormatting sqref="BC43:BC103">
    <cfRule type="cellIs" dxfId="566" priority="228" operator="equal">
      <formula>"E"</formula>
    </cfRule>
  </conditionalFormatting>
  <conditionalFormatting sqref="BC2">
    <cfRule type="cellIs" dxfId="565" priority="227" operator="equal">
      <formula>"E"</formula>
    </cfRule>
  </conditionalFormatting>
  <conditionalFormatting sqref="BD43:BD103">
    <cfRule type="cellIs" dxfId="564" priority="226" operator="equal">
      <formula>"E"</formula>
    </cfRule>
  </conditionalFormatting>
  <conditionalFormatting sqref="BD2">
    <cfRule type="cellIs" dxfId="563" priority="225" operator="equal">
      <formula>"E"</formula>
    </cfRule>
  </conditionalFormatting>
  <conditionalFormatting sqref="BE43:BE103">
    <cfRule type="cellIs" dxfId="562" priority="224" operator="equal">
      <formula>"E"</formula>
    </cfRule>
  </conditionalFormatting>
  <conditionalFormatting sqref="BE2">
    <cfRule type="cellIs" dxfId="561" priority="223" operator="equal">
      <formula>"E"</formula>
    </cfRule>
  </conditionalFormatting>
  <conditionalFormatting sqref="BF43:BF103">
    <cfRule type="cellIs" dxfId="560" priority="222" operator="equal">
      <formula>"E"</formula>
    </cfRule>
  </conditionalFormatting>
  <conditionalFormatting sqref="BF2">
    <cfRule type="cellIs" dxfId="559" priority="221" operator="equal">
      <formula>"E"</formula>
    </cfRule>
  </conditionalFormatting>
  <conditionalFormatting sqref="BG43:BG103">
    <cfRule type="cellIs" dxfId="558" priority="217" operator="equal">
      <formula>"E"</formula>
    </cfRule>
  </conditionalFormatting>
  <conditionalFormatting sqref="BG2">
    <cfRule type="cellIs" dxfId="557" priority="216" operator="equal">
      <formula>"E"</formula>
    </cfRule>
  </conditionalFormatting>
  <conditionalFormatting sqref="BH43:BH103">
    <cfRule type="cellIs" dxfId="556" priority="214" operator="equal">
      <formula>"E"</formula>
    </cfRule>
  </conditionalFormatting>
  <conditionalFormatting sqref="BH2">
    <cfRule type="cellIs" dxfId="555" priority="213" operator="equal">
      <formula>"E"</formula>
    </cfRule>
  </conditionalFormatting>
  <conditionalFormatting sqref="BU1">
    <cfRule type="cellIs" dxfId="554" priority="205" operator="equal">
      <formula>"E"</formula>
    </cfRule>
  </conditionalFormatting>
  <conditionalFormatting sqref="AX43:AX103">
    <cfRule type="cellIs" dxfId="553" priority="196" operator="equal">
      <formula>"E"</formula>
    </cfRule>
  </conditionalFormatting>
  <conditionalFormatting sqref="AX2">
    <cfRule type="cellIs" dxfId="552" priority="195" operator="equal">
      <formula>"E"</formula>
    </cfRule>
  </conditionalFormatting>
  <conditionalFormatting sqref="BI43:BI103">
    <cfRule type="cellIs" dxfId="551" priority="194" operator="equal">
      <formula>"E"</formula>
    </cfRule>
  </conditionalFormatting>
  <conditionalFormatting sqref="CD3:CD1048576">
    <cfRule type="cellIs" dxfId="550" priority="149" operator="equal">
      <formula>"E"</formula>
    </cfRule>
  </conditionalFormatting>
  <conditionalFormatting sqref="CD2">
    <cfRule type="cellIs" dxfId="549" priority="146" operator="equal">
      <formula>"E"</formula>
    </cfRule>
  </conditionalFormatting>
  <conditionalFormatting sqref="AW1">
    <cfRule type="cellIs" dxfId="548" priority="241" operator="equal">
      <formula>"E"</formula>
    </cfRule>
  </conditionalFormatting>
  <conditionalFormatting sqref="AY43:AY103">
    <cfRule type="cellIs" dxfId="547" priority="240" operator="equal">
      <formula>"E"</formula>
    </cfRule>
  </conditionalFormatting>
  <conditionalFormatting sqref="AY2">
    <cfRule type="cellIs" dxfId="546" priority="239" operator="equal">
      <formula>"E"</formula>
    </cfRule>
  </conditionalFormatting>
  <conditionalFormatting sqref="AW2:AW70">
    <cfRule type="cellIs" dxfId="545" priority="237" stopIfTrue="1" operator="equal">
      <formula>"WW"</formula>
    </cfRule>
    <cfRule type="cellIs" dxfId="544" priority="238" stopIfTrue="1" operator="equal">
      <formula>"C2"</formula>
    </cfRule>
  </conditionalFormatting>
  <conditionalFormatting sqref="AZ43:AZ103">
    <cfRule type="cellIs" dxfId="543" priority="234" operator="equal">
      <formula>"E"</formula>
    </cfRule>
  </conditionalFormatting>
  <conditionalFormatting sqref="BU2:BU70">
    <cfRule type="cellIs" dxfId="542" priority="203" stopIfTrue="1" operator="equal">
      <formula>"WW"</formula>
    </cfRule>
    <cfRule type="cellIs" dxfId="541" priority="204" stopIfTrue="1" operator="equal">
      <formula>"C2"</formula>
    </cfRule>
  </conditionalFormatting>
  <conditionalFormatting sqref="CC1">
    <cfRule type="cellIs" dxfId="540" priority="150" operator="equal">
      <formula>"E"</formula>
    </cfRule>
  </conditionalFormatting>
  <conditionalFormatting sqref="CC2:CC70">
    <cfRule type="cellIs" dxfId="539" priority="147" stopIfTrue="1" operator="equal">
      <formula>"WW"</formula>
    </cfRule>
    <cfRule type="cellIs" dxfId="538" priority="148" stopIfTrue="1" operator="equal">
      <formula>"C2"</formula>
    </cfRule>
  </conditionalFormatting>
  <conditionalFormatting sqref="T3:T52">
    <cfRule type="cellIs" dxfId="537" priority="92" operator="equal">
      <formula>"E"</formula>
    </cfRule>
  </conditionalFormatting>
  <conditionalFormatting sqref="R1:R70">
    <cfRule type="cellIs" dxfId="536" priority="114" stopIfTrue="1" operator="equal">
      <formula>"WW"</formula>
    </cfRule>
    <cfRule type="cellIs" dxfId="535" priority="115" stopIfTrue="1" operator="equal">
      <formula>"C2"</formula>
    </cfRule>
  </conditionalFormatting>
  <conditionalFormatting sqref="S1:U2 S114:U1048576 S111:T113 S53:U110 S3:S52 U39:U52 X2:Z103">
    <cfRule type="cellIs" dxfId="534" priority="109" operator="equal">
      <formula>"E"</formula>
    </cfRule>
  </conditionalFormatting>
  <conditionalFormatting sqref="U3:U38">
    <cfRule type="cellIs" dxfId="533" priority="97" operator="equal">
      <formula>"E"</formula>
    </cfRule>
  </conditionalFormatting>
  <conditionalFormatting sqref="U113:Z113">
    <cfRule type="cellIs" dxfId="532" priority="102" operator="equal">
      <formula>"E"</formula>
    </cfRule>
  </conditionalFormatting>
  <conditionalFormatting sqref="S53:U103 S3:S52 U39:U52 Y3:Z52">
    <cfRule type="cellIs" dxfId="531" priority="110" operator="equal">
      <formula>"M4"</formula>
    </cfRule>
    <cfRule type="cellIs" dxfId="530" priority="111" operator="equal">
      <formula>"M3"</formula>
    </cfRule>
    <cfRule type="cellIs" dxfId="529" priority="112" operator="equal">
      <formula>"M2"</formula>
    </cfRule>
    <cfRule type="cellIs" dxfId="528" priority="113" operator="equal">
      <formula>"M1"</formula>
    </cfRule>
  </conditionalFormatting>
  <conditionalFormatting sqref="W2:W70">
    <cfRule type="cellIs" dxfId="527" priority="107" stopIfTrue="1" operator="equal">
      <formula>"WW"</formula>
    </cfRule>
    <cfRule type="cellIs" dxfId="526" priority="108" stopIfTrue="1" operator="equal">
      <formula>"C2"</formula>
    </cfRule>
  </conditionalFormatting>
  <conditionalFormatting sqref="X3:Z103">
    <cfRule type="cellIs" dxfId="525" priority="103" operator="equal">
      <formula>"M4"</formula>
    </cfRule>
    <cfRule type="cellIs" dxfId="524" priority="104" operator="equal">
      <formula>"M3"</formula>
    </cfRule>
    <cfRule type="cellIs" dxfId="523" priority="105" operator="equal">
      <formula>"M2"</formula>
    </cfRule>
    <cfRule type="cellIs" dxfId="522" priority="106" operator="equal">
      <formula>"M1"</formula>
    </cfRule>
  </conditionalFormatting>
  <conditionalFormatting sqref="U3:U38">
    <cfRule type="cellIs" dxfId="521" priority="98" operator="equal">
      <formula>"M4"</formula>
    </cfRule>
    <cfRule type="cellIs" dxfId="520" priority="99" operator="equal">
      <formula>"M3"</formula>
    </cfRule>
    <cfRule type="cellIs" dxfId="519" priority="100" operator="equal">
      <formula>"M2"</formula>
    </cfRule>
    <cfRule type="cellIs" dxfId="518" priority="101" operator="equal">
      <formula>"M1"</formula>
    </cfRule>
  </conditionalFormatting>
  <conditionalFormatting sqref="T3:T52">
    <cfRule type="cellIs" dxfId="517" priority="93" operator="equal">
      <formula>"M4"</formula>
    </cfRule>
    <cfRule type="cellIs" dxfId="516" priority="94" operator="equal">
      <formula>"M3"</formula>
    </cfRule>
    <cfRule type="cellIs" dxfId="515" priority="95" operator="equal">
      <formula>"M2"</formula>
    </cfRule>
    <cfRule type="cellIs" dxfId="514" priority="96" operator="equal">
      <formula>"M1"</formula>
    </cfRule>
  </conditionalFormatting>
  <conditionalFormatting sqref="AS39:AS103 AU2:AU42 AR1:AR1048576">
    <cfRule type="cellIs" dxfId="513" priority="86" operator="equal">
      <formula>"E"</formula>
    </cfRule>
  </conditionalFormatting>
  <conditionalFormatting sqref="AT1">
    <cfRule type="cellIs" dxfId="512" priority="64" operator="equal">
      <formula>"E"</formula>
    </cfRule>
  </conditionalFormatting>
  <conditionalFormatting sqref="AQ1">
    <cfRule type="cellIs" dxfId="511" priority="65" operator="equal">
      <formula>"E"</formula>
    </cfRule>
  </conditionalFormatting>
  <conditionalFormatting sqref="AU3:AU42">
    <cfRule type="cellIs" dxfId="510" priority="88" operator="equal">
      <formula>"M4"</formula>
    </cfRule>
    <cfRule type="cellIs" dxfId="509" priority="89" operator="equal">
      <formula>"M3"</formula>
    </cfRule>
    <cfRule type="cellIs" dxfId="508" priority="90" operator="equal">
      <formula>"M2"</formula>
    </cfRule>
    <cfRule type="cellIs" dxfId="507" priority="91" operator="equal">
      <formula>"M1"</formula>
    </cfRule>
  </conditionalFormatting>
  <conditionalFormatting sqref="AS39:AS103 AU3:AU42 AR3:AR103">
    <cfRule type="cellIs" dxfId="506" priority="75" operator="equal">
      <formula>"RE"</formula>
    </cfRule>
    <cfRule type="cellIs" dxfId="505" priority="76" operator="equal">
      <formula>"3000"</formula>
    </cfRule>
    <cfRule type="cellIs" dxfId="504" priority="77" operator="equal">
      <formula>"300"</formula>
    </cfRule>
    <cfRule type="cellIs" dxfId="503" priority="78" operator="equal">
      <formula>"100"</formula>
    </cfRule>
    <cfRule type="cellIs" dxfId="502" priority="79" operator="equal">
      <formula>"50"</formula>
    </cfRule>
    <cfRule type="cellIs" dxfId="501" priority="80" operator="equal">
      <formula>"40"</formula>
    </cfRule>
    <cfRule type="cellIs" dxfId="500" priority="81" operator="equal">
      <formula>"20"</formula>
    </cfRule>
  </conditionalFormatting>
  <conditionalFormatting sqref="AR1 AR104:AR1048576">
    <cfRule type="cellIs" dxfId="499" priority="82" operator="equal">
      <formula>"M4"</formula>
    </cfRule>
    <cfRule type="cellIs" dxfId="498" priority="83" operator="equal">
      <formula>"M3"</formula>
    </cfRule>
    <cfRule type="cellIs" dxfId="497" priority="84" operator="equal">
      <formula>"M1"</formula>
    </cfRule>
    <cfRule type="cellIs" dxfId="496" priority="85" operator="equal">
      <formula>"M2"</formula>
    </cfRule>
    <cfRule type="cellIs" dxfId="495" priority="87" stopIfTrue="1" operator="between">
      <formula>"C1"</formula>
      <formula>"C2"</formula>
    </cfRule>
  </conditionalFormatting>
  <conditionalFormatting sqref="AQ2:AQ70">
    <cfRule type="cellIs" dxfId="494" priority="73" stopIfTrue="1" operator="equal">
      <formula>"WW"</formula>
    </cfRule>
    <cfRule type="cellIs" dxfId="493" priority="74" stopIfTrue="1" operator="equal">
      <formula>"C2"</formula>
    </cfRule>
  </conditionalFormatting>
  <conditionalFormatting sqref="AT2:AT70">
    <cfRule type="cellIs" dxfId="492" priority="71" stopIfTrue="1" operator="equal">
      <formula>"WW"</formula>
    </cfRule>
    <cfRule type="cellIs" dxfId="491" priority="72" stopIfTrue="1" operator="equal">
      <formula>"C2"</formula>
    </cfRule>
  </conditionalFormatting>
  <conditionalFormatting sqref="AU43:AU103">
    <cfRule type="cellIs" dxfId="490" priority="70" operator="equal">
      <formula>"E"</formula>
    </cfRule>
  </conditionalFormatting>
  <conditionalFormatting sqref="AU43:AU103">
    <cfRule type="cellIs" dxfId="489" priority="66" operator="equal">
      <formula>"M4"</formula>
    </cfRule>
    <cfRule type="cellIs" dxfId="488" priority="67" operator="equal">
      <formula>"M3"</formula>
    </cfRule>
    <cfRule type="cellIs" dxfId="487" priority="68" operator="equal">
      <formula>"M2"</formula>
    </cfRule>
    <cfRule type="cellIs" dxfId="486" priority="69" operator="equal">
      <formula>"M1"</formula>
    </cfRule>
  </conditionalFormatting>
  <conditionalFormatting sqref="BL3:BL52 BN39:BN52">
    <cfRule type="cellIs" dxfId="485" priority="46" operator="equal">
      <formula>"E"</formula>
    </cfRule>
  </conditionalFormatting>
  <conditionalFormatting sqref="BN3:BN38">
    <cfRule type="cellIs" dxfId="484" priority="41" operator="equal">
      <formula>"E"</formula>
    </cfRule>
  </conditionalFormatting>
  <conditionalFormatting sqref="BL1:BN2 BL53:BN1048576 BQ2:BS103">
    <cfRule type="cellIs" dxfId="483" priority="57" operator="equal">
      <formula>"E"</formula>
    </cfRule>
  </conditionalFormatting>
  <conditionalFormatting sqref="BK1:BK70">
    <cfRule type="cellIs" dxfId="482" priority="62" stopIfTrue="1" operator="equal">
      <formula>"WW"</formula>
    </cfRule>
    <cfRule type="cellIs" dxfId="481" priority="63" stopIfTrue="1" operator="equal">
      <formula>"C2"</formula>
    </cfRule>
  </conditionalFormatting>
  <conditionalFormatting sqref="BL53:BN103 BR3:BS52">
    <cfRule type="cellIs" dxfId="480" priority="58" operator="equal">
      <formula>"M4"</formula>
    </cfRule>
    <cfRule type="cellIs" dxfId="479" priority="59" operator="equal">
      <formula>"M3"</formula>
    </cfRule>
    <cfRule type="cellIs" dxfId="478" priority="60" operator="equal">
      <formula>"M2"</formula>
    </cfRule>
    <cfRule type="cellIs" dxfId="477" priority="61" operator="equal">
      <formula>"M1"</formula>
    </cfRule>
  </conditionalFormatting>
  <conditionalFormatting sqref="BP2:BP70">
    <cfRule type="cellIs" dxfId="476" priority="55" stopIfTrue="1" operator="equal">
      <formula>"WW"</formula>
    </cfRule>
    <cfRule type="cellIs" dxfId="475" priority="56" stopIfTrue="1" operator="equal">
      <formula>"C2"</formula>
    </cfRule>
  </conditionalFormatting>
  <conditionalFormatting sqref="BQ3:BS103">
    <cfRule type="cellIs" dxfId="474" priority="51" operator="equal">
      <formula>"M4"</formula>
    </cfRule>
    <cfRule type="cellIs" dxfId="473" priority="52" operator="equal">
      <formula>"M3"</formula>
    </cfRule>
    <cfRule type="cellIs" dxfId="472" priority="53" operator="equal">
      <formula>"M2"</formula>
    </cfRule>
    <cfRule type="cellIs" dxfId="471" priority="54" operator="equal">
      <formula>"M1"</formula>
    </cfRule>
  </conditionalFormatting>
  <conditionalFormatting sqref="BN3:BN38">
    <cfRule type="cellIs" dxfId="470" priority="42" operator="equal">
      <formula>"M4"</formula>
    </cfRule>
    <cfRule type="cellIs" dxfId="469" priority="43" operator="equal">
      <formula>"M3"</formula>
    </cfRule>
    <cfRule type="cellIs" dxfId="468" priority="44" operator="equal">
      <formula>"M2"</formula>
    </cfRule>
    <cfRule type="cellIs" dxfId="467" priority="45" operator="equal">
      <formula>"M1"</formula>
    </cfRule>
  </conditionalFormatting>
  <conditionalFormatting sqref="BM3:BM52">
    <cfRule type="cellIs" dxfId="466" priority="37" operator="equal">
      <formula>"M4"</formula>
    </cfRule>
    <cfRule type="cellIs" dxfId="465" priority="38" operator="equal">
      <formula>"M3"</formula>
    </cfRule>
    <cfRule type="cellIs" dxfId="464" priority="39" operator="equal">
      <formula>"M2"</formula>
    </cfRule>
    <cfRule type="cellIs" dxfId="463" priority="40" operator="equal">
      <formula>"M1"</formula>
    </cfRule>
  </conditionalFormatting>
  <conditionalFormatting sqref="BM3:BM52">
    <cfRule type="cellIs" dxfId="462" priority="36" operator="equal">
      <formula>"E"</formula>
    </cfRule>
  </conditionalFormatting>
  <conditionalFormatting sqref="BL3:BL52 BN39:BN52">
    <cfRule type="cellIs" dxfId="461" priority="47" operator="equal">
      <formula>"M4"</formula>
    </cfRule>
    <cfRule type="cellIs" dxfId="460" priority="48" operator="equal">
      <formula>"M3"</formula>
    </cfRule>
    <cfRule type="cellIs" dxfId="459" priority="49" operator="equal">
      <formula>"M2"</formula>
    </cfRule>
    <cfRule type="cellIs" dxfId="458" priority="50" operator="equal">
      <formula>"M1"</formula>
    </cfRule>
  </conditionalFormatting>
  <conditionalFormatting sqref="CA1:CA1048576">
    <cfRule type="cellIs" dxfId="457" priority="29" operator="equal">
      <formula>"E"</formula>
    </cfRule>
  </conditionalFormatting>
  <conditionalFormatting sqref="BZ1:BZ70">
    <cfRule type="cellIs" dxfId="456" priority="34" stopIfTrue="1" operator="equal">
      <formula>"WW"</formula>
    </cfRule>
    <cfRule type="cellIs" dxfId="455" priority="35" stopIfTrue="1" operator="equal">
      <formula>"C2"</formula>
    </cfRule>
  </conditionalFormatting>
  <conditionalFormatting sqref="CA3:CA103">
    <cfRule type="cellIs" dxfId="454" priority="30" operator="equal">
      <formula>"M4"</formula>
    </cfRule>
    <cfRule type="cellIs" dxfId="453" priority="31" operator="equal">
      <formula>"M3"</formula>
    </cfRule>
    <cfRule type="cellIs" dxfId="452" priority="32" operator="equal">
      <formula>"M2"</formula>
    </cfRule>
    <cfRule type="cellIs" dxfId="451" priority="33" operator="equal">
      <formula>"M1"</formula>
    </cfRule>
  </conditionalFormatting>
  <conditionalFormatting sqref="AN3:AN32">
    <cfRule type="cellIs" dxfId="450" priority="9" operator="equal">
      <formula>"E"</formula>
    </cfRule>
  </conditionalFormatting>
  <conditionalFormatting sqref="AC114:AE1048576 AC3:AE110">
    <cfRule type="cellIs" dxfId="449" priority="27" operator="equal">
      <formula>"E"</formula>
    </cfRule>
  </conditionalFormatting>
  <conditionalFormatting sqref="AC2:AE2">
    <cfRule type="cellIs" dxfId="448" priority="26" operator="equal">
      <formula>"E"</formula>
    </cfRule>
  </conditionalFormatting>
  <conditionalFormatting sqref="AH2:AJ2">
    <cfRule type="cellIs" dxfId="447" priority="19" operator="equal">
      <formula>"E"</formula>
    </cfRule>
  </conditionalFormatting>
  <conditionalFormatting sqref="AN1:AO1 AL1">
    <cfRule type="cellIs" dxfId="446" priority="16" operator="equal">
      <formula>"E"</formula>
    </cfRule>
  </conditionalFormatting>
  <conditionalFormatting sqref="AO3:AO38">
    <cfRule type="cellIs" dxfId="445" priority="11" operator="equal">
      <formula>"E"</formula>
    </cfRule>
  </conditionalFormatting>
  <conditionalFormatting sqref="AM3:AM38">
    <cfRule type="cellIs" dxfId="444" priority="10" operator="equal">
      <formula>"E"</formula>
    </cfRule>
  </conditionalFormatting>
  <conditionalFormatting sqref="AN33:AN42">
    <cfRule type="cellIs" dxfId="443" priority="8" operator="equal">
      <formula>"E"</formula>
    </cfRule>
  </conditionalFormatting>
  <conditionalFormatting sqref="AN43:AN52">
    <cfRule type="cellIs" dxfId="442" priority="7" operator="equal">
      <formula>"E"</formula>
    </cfRule>
  </conditionalFormatting>
  <conditionalFormatting sqref="AF113">
    <cfRule type="cellIs" dxfId="441" priority="22" operator="equal">
      <formula>"E"</formula>
    </cfRule>
  </conditionalFormatting>
  <conditionalFormatting sqref="AD1:AE1 AB1">
    <cfRule type="cellIs" dxfId="440" priority="28" operator="equal">
      <formula>"E"</formula>
    </cfRule>
  </conditionalFormatting>
  <conditionalFormatting sqref="AH3:AJ103">
    <cfRule type="cellIs" dxfId="439" priority="20" operator="equal">
      <formula>"E"</formula>
    </cfRule>
  </conditionalFormatting>
  <conditionalFormatting sqref="AM53:AO103 AM39:AM52 AO39:AO52">
    <cfRule type="cellIs" dxfId="438" priority="15" operator="equal">
      <formula>"E"</formula>
    </cfRule>
  </conditionalFormatting>
  <conditionalFormatting sqref="AM2:AO2">
    <cfRule type="cellIs" dxfId="437" priority="14" operator="equal">
      <formula>"E"</formula>
    </cfRule>
  </conditionalFormatting>
  <conditionalFormatting sqref="AB113:AE113">
    <cfRule type="cellIs" dxfId="436" priority="23" operator="equal">
      <formula>"E"</formula>
    </cfRule>
  </conditionalFormatting>
  <conditionalFormatting sqref="AI1:AJ1 AG1">
    <cfRule type="cellIs" dxfId="435" priority="21" operator="equal">
      <formula>"E"</formula>
    </cfRule>
  </conditionalFormatting>
  <conditionalFormatting sqref="AB2:AB70">
    <cfRule type="cellIs" dxfId="434" priority="24" stopIfTrue="1" operator="equal">
      <formula>"WW"</formula>
    </cfRule>
    <cfRule type="cellIs" dxfId="433" priority="25" stopIfTrue="1" operator="equal">
      <formula>"C2"</formula>
    </cfRule>
  </conditionalFormatting>
  <conditionalFormatting sqref="AG2:AG70">
    <cfRule type="cellIs" dxfId="432" priority="17" stopIfTrue="1" operator="equal">
      <formula>"WW"</formula>
    </cfRule>
    <cfRule type="cellIs" dxfId="431" priority="18" stopIfTrue="1" operator="equal">
      <formula>"C2"</formula>
    </cfRule>
  </conditionalFormatting>
  <conditionalFormatting sqref="AL2:AL70">
    <cfRule type="cellIs" dxfId="430" priority="12" stopIfTrue="1" operator="equal">
      <formula>"WW"</formula>
    </cfRule>
    <cfRule type="cellIs" dxfId="429" priority="13" stopIfTrue="1" operator="equal">
      <formula>"C2"</formula>
    </cfRule>
  </conditionalFormatting>
  <conditionalFormatting sqref="AX3:BI42">
    <cfRule type="cellIs" dxfId="428" priority="6" operator="equal">
      <formula>"E"</formula>
    </cfRule>
  </conditionalFormatting>
  <conditionalFormatting sqref="J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{702D658C-9362-421F-BE80-946327656847}</x14:id>
        </ext>
      </extLst>
    </cfRule>
  </conditionalFormatting>
  <conditionalFormatting sqref="BV114:BX1048576 BV3:BX110">
    <cfRule type="cellIs" dxfId="427" priority="3" operator="equal">
      <formula>"E"</formula>
    </cfRule>
  </conditionalFormatting>
  <conditionalFormatting sqref="BV2:BX2">
    <cfRule type="cellIs" dxfId="426" priority="2" operator="equal">
      <formula>"E"</formula>
    </cfRule>
  </conditionalFormatting>
  <conditionalFormatting sqref="BW1:BX1">
    <cfRule type="cellIs" dxfId="425" priority="4" operator="equal">
      <formula>"E"</formula>
    </cfRule>
  </conditionalFormatting>
  <conditionalFormatting sqref="BV113:BX113">
    <cfRule type="cellIs" dxfId="424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D658C-9362-421F-BE80-9463276568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465-B136-4FFF-970C-81B0036844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style="140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style="140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34" t="s">
        <v>95</v>
      </c>
      <c r="AD1" s="134"/>
      <c r="AE1" s="134"/>
      <c r="AG1" s="11" t="s">
        <v>96</v>
      </c>
      <c r="AI1" s="134"/>
      <c r="AJ1" s="134"/>
      <c r="AL1" s="11" t="s">
        <v>97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45</v>
      </c>
      <c r="BU1" s="134" t="s">
        <v>95</v>
      </c>
      <c r="BW1" s="134"/>
      <c r="BX1" s="134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36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36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71</v>
      </c>
      <c r="CC2" s="12" t="s">
        <v>17</v>
      </c>
      <c r="CD2" s="13" t="s">
        <v>145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36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36">
        <v>0</v>
      </c>
      <c r="BV3" s="137">
        <v>1</v>
      </c>
      <c r="BW3" s="139">
        <v>1</v>
      </c>
      <c r="BX3" s="139">
        <v>1</v>
      </c>
      <c r="BZ3" s="12">
        <v>0</v>
      </c>
      <c r="CA3" s="13">
        <v>100</v>
      </c>
      <c r="CC3" s="12">
        <v>0</v>
      </c>
      <c r="CD3" s="137">
        <v>1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3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36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36">
        <v>1</v>
      </c>
      <c r="BV4" s="137">
        <v>1</v>
      </c>
      <c r="BW4" s="139">
        <v>1</v>
      </c>
      <c r="BX4" s="139">
        <v>1</v>
      </c>
      <c r="BZ4" s="12">
        <v>1</v>
      </c>
      <c r="CA4" s="13">
        <v>30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30">
        <f>SUMIF(T$3:T$52,$A5,AD$3:AD$52)</f>
        <v>25</v>
      </c>
      <c r="F5" s="5">
        <f t="shared" ref="F5:F16" si="0">SUMIF(U$3:U$38,$A5,AE$3:AE$38)</f>
        <v>18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36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36">
        <v>2</v>
      </c>
      <c r="BV5" s="137">
        <v>1</v>
      </c>
      <c r="BW5" s="139">
        <v>1</v>
      </c>
      <c r="BX5" s="139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29">
        <f t="shared" ref="E6:E16" si="2">SUMIF(T$3:T$52,$A6,AD$3:AD$52)</f>
        <v>5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36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36">
        <v>3</v>
      </c>
      <c r="BV6" s="137">
        <v>1</v>
      </c>
      <c r="BW6" s="139">
        <v>1</v>
      </c>
      <c r="BX6" s="139">
        <v>1</v>
      </c>
      <c r="BZ6" s="12">
        <v>3</v>
      </c>
      <c r="CA6" s="13">
        <v>10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29">
        <f t="shared" si="2"/>
        <v>5</v>
      </c>
      <c r="F7" s="8">
        <f t="shared" si="0"/>
        <v>6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36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36">
        <v>4</v>
      </c>
      <c r="BV7" s="137">
        <v>1</v>
      </c>
      <c r="BW7" s="139">
        <v>1</v>
      </c>
      <c r="BX7" s="139">
        <v>1</v>
      </c>
      <c r="BZ7" s="12">
        <v>4</v>
      </c>
      <c r="CA7" s="13">
        <v>50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29">
        <f t="shared" si="2"/>
        <v>5</v>
      </c>
      <c r="F8" s="8">
        <f t="shared" si="0"/>
        <v>6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36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36">
        <v>5</v>
      </c>
      <c r="BV8" s="137">
        <v>1</v>
      </c>
      <c r="BW8" s="139">
        <v>1</v>
      </c>
      <c r="BX8" s="139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129">
        <f t="shared" si="2"/>
        <v>5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36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36">
        <v>6</v>
      </c>
      <c r="BV9" s="137">
        <v>1</v>
      </c>
      <c r="BW9" s="139">
        <v>1</v>
      </c>
      <c r="BX9" s="139">
        <v>1</v>
      </c>
      <c r="BZ9" s="12">
        <v>6</v>
      </c>
      <c r="CA9" s="13">
        <v>200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29">
        <f t="shared" si="2"/>
        <v>5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36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36">
        <v>7</v>
      </c>
      <c r="BV10" s="137">
        <v>1</v>
      </c>
      <c r="BW10" s="139">
        <v>1</v>
      </c>
      <c r="BX10" s="139">
        <v>1</v>
      </c>
      <c r="BZ10" s="12">
        <v>7</v>
      </c>
      <c r="CA10" s="13">
        <v>20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36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36">
        <v>8</v>
      </c>
      <c r="BV11" s="137">
        <v>1</v>
      </c>
      <c r="BW11" s="139">
        <v>1</v>
      </c>
      <c r="BX11" s="139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36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36">
        <v>9</v>
      </c>
      <c r="BV12" s="137">
        <v>1</v>
      </c>
      <c r="BW12" s="139">
        <v>1</v>
      </c>
      <c r="BX12" s="139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36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36">
        <v>10</v>
      </c>
      <c r="BV13" s="137">
        <v>1</v>
      </c>
      <c r="BW13" s="139">
        <v>1</v>
      </c>
      <c r="BX13" s="139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36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36">
        <v>11</v>
      </c>
      <c r="BV14" s="137">
        <v>1</v>
      </c>
      <c r="BW14" s="139">
        <v>1</v>
      </c>
      <c r="BX14" s="139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36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36">
        <v>12</v>
      </c>
      <c r="BV15" s="137">
        <v>1</v>
      </c>
      <c r="BW15" s="139">
        <v>1</v>
      </c>
      <c r="BX15" s="139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36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36">
        <v>13</v>
      </c>
      <c r="BV16" s="137">
        <v>1</v>
      </c>
      <c r="BW16" s="139">
        <v>1</v>
      </c>
      <c r="BX16" s="139">
        <v>1</v>
      </c>
      <c r="BZ16" s="12">
        <v>13</v>
      </c>
      <c r="CA16" s="13"/>
      <c r="CC16" s="12">
        <v>13</v>
      </c>
      <c r="CD16" s="13"/>
    </row>
    <row r="17" spans="1:82" ht="16.8">
      <c r="D17" s="129">
        <f>SUM(D5:D16)</f>
        <v>36</v>
      </c>
      <c r="E17" s="129">
        <f>SUM(E5:E16)</f>
        <v>50</v>
      </c>
      <c r="F17" s="129">
        <f>SUM(F5:F16)</f>
        <v>36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36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36">
        <v>14</v>
      </c>
      <c r="BV17" s="137">
        <v>1</v>
      </c>
      <c r="BW17" s="139">
        <v>1</v>
      </c>
      <c r="BX17" s="139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36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36">
        <v>15</v>
      </c>
      <c r="BV18" s="137">
        <v>1</v>
      </c>
      <c r="BW18" s="139">
        <v>1</v>
      </c>
      <c r="BX18" s="139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1"/>
      <c r="J19" s="95" t="s">
        <v>127</v>
      </c>
      <c r="K19" s="12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36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36">
        <v>16</v>
      </c>
      <c r="BV19" s="137">
        <v>1</v>
      </c>
      <c r="BW19" s="139">
        <v>1</v>
      </c>
      <c r="BX19" s="139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36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36">
        <v>17</v>
      </c>
      <c r="BV20" s="137">
        <v>1</v>
      </c>
      <c r="BW20" s="139">
        <v>1</v>
      </c>
      <c r="BX20" s="139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36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36">
        <v>18</v>
      </c>
      <c r="BV21" s="137">
        <v>1</v>
      </c>
      <c r="BW21" s="139">
        <v>1</v>
      </c>
      <c r="BX21" s="139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3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36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36">
        <v>19</v>
      </c>
      <c r="BV22" s="137">
        <v>1</v>
      </c>
      <c r="BW22" s="139">
        <v>1</v>
      </c>
      <c r="BX22" s="139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30">
        <f t="shared" ref="E23:F34" si="3">SUMIF(T$3:T$38,$A23,AI$3:AI$38)</f>
        <v>18</v>
      </c>
      <c r="F23" s="5">
        <f t="shared" si="3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36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36">
        <v>20</v>
      </c>
      <c r="BV23" s="137">
        <v>1</v>
      </c>
      <c r="BW23" s="139">
        <v>1</v>
      </c>
      <c r="BX23" s="139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29">
        <f t="shared" si="3"/>
        <v>4</v>
      </c>
      <c r="F24" s="8">
        <f t="shared" si="3"/>
        <v>6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36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36">
        <v>21</v>
      </c>
      <c r="BV24" s="137">
        <v>1</v>
      </c>
      <c r="BW24" s="139">
        <v>1</v>
      </c>
      <c r="BX24" s="139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6</v>
      </c>
      <c r="E25" s="129">
        <f t="shared" si="3"/>
        <v>4</v>
      </c>
      <c r="F25" s="8">
        <f t="shared" si="3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36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36">
        <v>22</v>
      </c>
      <c r="BV25" s="137">
        <v>1</v>
      </c>
      <c r="BW25" s="139">
        <v>1</v>
      </c>
      <c r="BX25" s="139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</v>
      </c>
      <c r="E26" s="129">
        <f t="shared" si="3"/>
        <v>4</v>
      </c>
      <c r="F26" s="8">
        <f t="shared" si="3"/>
        <v>6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36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36">
        <v>23</v>
      </c>
      <c r="BV26" s="137">
        <v>1</v>
      </c>
      <c r="BW26" s="139">
        <v>1</v>
      </c>
      <c r="BX26" s="139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6</v>
      </c>
      <c r="E27" s="129">
        <f t="shared" si="3"/>
        <v>3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36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36">
        <v>24</v>
      </c>
      <c r="BV27" s="137">
        <v>1</v>
      </c>
      <c r="BW27" s="139">
        <v>1</v>
      </c>
      <c r="BX27" s="139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29">
        <f t="shared" si="3"/>
        <v>3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36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36">
        <v>25</v>
      </c>
      <c r="BV28" s="137">
        <v>1</v>
      </c>
      <c r="BW28" s="139">
        <v>1</v>
      </c>
      <c r="BX28" s="139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36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36">
        <v>26</v>
      </c>
      <c r="BV29" s="137">
        <v>1</v>
      </c>
      <c r="BW29" s="139">
        <v>1</v>
      </c>
      <c r="BX29" s="139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36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36">
        <v>27</v>
      </c>
      <c r="BV30" s="137">
        <v>1</v>
      </c>
      <c r="BW30" s="139">
        <v>1</v>
      </c>
      <c r="BX30" s="139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36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36">
        <v>28</v>
      </c>
      <c r="BV31" s="137">
        <v>1</v>
      </c>
      <c r="BW31" s="139">
        <v>1</v>
      </c>
      <c r="BX31" s="139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36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36">
        <v>29</v>
      </c>
      <c r="BV32" s="137">
        <v>1</v>
      </c>
      <c r="BW32" s="139">
        <v>1</v>
      </c>
      <c r="BX32" s="139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3"/>
        <v>0</v>
      </c>
      <c r="F33" s="39">
        <f t="shared" si="3"/>
        <v>0</v>
      </c>
      <c r="G33" s="129"/>
      <c r="H33" s="95" t="s">
        <v>34</v>
      </c>
      <c r="J33" s="12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36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36">
        <v>30</v>
      </c>
      <c r="BV33" s="137">
        <v>1</v>
      </c>
      <c r="BW33" s="139">
        <v>1</v>
      </c>
      <c r="BX33" s="139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3"/>
        <v>0</v>
      </c>
      <c r="F34" s="41">
        <f t="shared" si="3"/>
        <v>0</v>
      </c>
      <c r="G34" s="12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36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36">
        <v>31</v>
      </c>
      <c r="BV34" s="137">
        <v>1</v>
      </c>
      <c r="BW34" s="139">
        <v>1</v>
      </c>
      <c r="BX34" s="139">
        <v>1</v>
      </c>
      <c r="BZ34" s="12">
        <v>31</v>
      </c>
      <c r="CA34" s="13"/>
      <c r="CC34" s="12">
        <v>31</v>
      </c>
      <c r="CD34" s="13"/>
    </row>
    <row r="35" spans="1:82">
      <c r="D35" s="129">
        <f>SUM(D23:D34)</f>
        <v>36</v>
      </c>
      <c r="E35" s="129">
        <f>SUM(E23:E34)</f>
        <v>36</v>
      </c>
      <c r="F35" s="129">
        <f>SUM(F23:F34)</f>
        <v>36</v>
      </c>
      <c r="G35" s="12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36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36">
        <v>32</v>
      </c>
      <c r="BV35" s="137">
        <v>1</v>
      </c>
      <c r="BW35" s="139">
        <v>1</v>
      </c>
      <c r="BX35" s="139">
        <v>1</v>
      </c>
      <c r="BZ35" s="12">
        <v>32</v>
      </c>
      <c r="CA35" s="13"/>
      <c r="CC35" s="12">
        <v>32</v>
      </c>
      <c r="CD35" s="13"/>
    </row>
    <row r="36" spans="1:82">
      <c r="G36" s="129"/>
      <c r="H36" s="22">
        <v>20</v>
      </c>
      <c r="I36" s="8">
        <f t="shared" ref="I36:I42" si="5">SUMIF(CA$3:CA$38,$H36,$CD$3:$CD$38)</f>
        <v>1</v>
      </c>
      <c r="K36" s="129"/>
      <c r="L36" s="129"/>
      <c r="M36" s="129"/>
      <c r="N36" s="129"/>
      <c r="O36" s="12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36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36">
        <v>33</v>
      </c>
      <c r="BV36" s="137">
        <v>1</v>
      </c>
      <c r="BW36" s="139">
        <v>1</v>
      </c>
      <c r="BX36" s="139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1"/>
      <c r="F37" s="111"/>
      <c r="G37" s="129"/>
      <c r="H37" s="22">
        <v>30</v>
      </c>
      <c r="I37" s="8">
        <f t="shared" si="5"/>
        <v>1</v>
      </c>
      <c r="K37" s="129"/>
      <c r="L37" s="129"/>
      <c r="M37" s="129"/>
      <c r="N37" s="129"/>
      <c r="O37" s="12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36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36">
        <v>34</v>
      </c>
      <c r="BV37" s="137">
        <v>1</v>
      </c>
      <c r="BW37" s="139">
        <v>1</v>
      </c>
      <c r="BX37" s="139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29"/>
      <c r="H38" s="22">
        <v>50</v>
      </c>
      <c r="I38" s="8">
        <f t="shared" si="5"/>
        <v>1</v>
      </c>
      <c r="K38" s="129"/>
      <c r="L38" s="129"/>
      <c r="M38" s="129"/>
      <c r="N38" s="129"/>
      <c r="O38" s="12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36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36">
        <v>35</v>
      </c>
      <c r="BV38" s="137">
        <v>1</v>
      </c>
      <c r="BW38" s="139">
        <v>1</v>
      </c>
      <c r="BX38" s="139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29"/>
      <c r="H39" s="22">
        <v>100</v>
      </c>
      <c r="I39" s="8">
        <f t="shared" si="5"/>
        <v>1</v>
      </c>
      <c r="K39" s="129"/>
      <c r="L39" s="129"/>
      <c r="M39" s="129"/>
      <c r="N39" s="129"/>
      <c r="O39" s="12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6">VLOOKUP(T39,$A$3:$F$14,2,0)</f>
        <v>0</v>
      </c>
      <c r="Z39" s="13"/>
      <c r="AB39" s="136">
        <v>36</v>
      </c>
      <c r="AC39" s="137"/>
      <c r="AD39" s="137">
        <v>1</v>
      </c>
      <c r="AE39" s="137"/>
      <c r="AG39" s="12">
        <v>36</v>
      </c>
      <c r="AH39" s="137"/>
      <c r="AI39" s="137">
        <v>1</v>
      </c>
      <c r="AJ39" s="137"/>
      <c r="AL39" s="12">
        <v>36</v>
      </c>
      <c r="AM39" s="137"/>
      <c r="AN39" s="137">
        <v>1</v>
      </c>
      <c r="AO39" s="137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/>
      <c r="BP39" s="12">
        <v>36</v>
      </c>
      <c r="BQ39" s="13"/>
      <c r="BR39" s="13">
        <f t="shared" ref="BR39:BR52" si="7">VLOOKUP(BM39,$A$3:$F$14,2,0)</f>
        <v>0</v>
      </c>
      <c r="BS39" s="13"/>
      <c r="BU39" s="136">
        <v>36</v>
      </c>
      <c r="BV39" s="137"/>
      <c r="BW39" s="137">
        <v>1</v>
      </c>
      <c r="BX39" s="137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30" t="s">
        <v>13</v>
      </c>
      <c r="F40" s="5" t="s">
        <v>14</v>
      </c>
      <c r="G40" s="129"/>
      <c r="H40" s="22">
        <v>200</v>
      </c>
      <c r="I40" s="8">
        <f t="shared" si="5"/>
        <v>1</v>
      </c>
      <c r="K40" s="129"/>
      <c r="L40" s="129"/>
      <c r="M40" s="129"/>
      <c r="N40" s="129"/>
      <c r="O40" s="12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6"/>
        <v>4</v>
      </c>
      <c r="Z40" s="13"/>
      <c r="AB40" s="136">
        <v>37</v>
      </c>
      <c r="AC40" s="137"/>
      <c r="AD40" s="137">
        <v>1</v>
      </c>
      <c r="AE40" s="137"/>
      <c r="AG40" s="12">
        <v>37</v>
      </c>
      <c r="AH40" s="137"/>
      <c r="AI40" s="137">
        <v>1</v>
      </c>
      <c r="AJ40" s="137"/>
      <c r="AL40" s="12">
        <v>37</v>
      </c>
      <c r="AM40" s="137"/>
      <c r="AN40" s="137">
        <v>1</v>
      </c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f t="shared" si="7"/>
        <v>4</v>
      </c>
      <c r="BS40" s="13"/>
      <c r="BU40" s="136">
        <v>37</v>
      </c>
      <c r="BV40" s="137"/>
      <c r="BW40" s="137">
        <v>1</v>
      </c>
      <c r="BX40" s="137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30">
        <f>SUMIF(T$3:T$52,$A41,AN$3:AN$52)</f>
        <v>25</v>
      </c>
      <c r="F41" s="5">
        <f t="shared" ref="F41:F52" si="8">SUMIF(U$3:U$38,$A41,AO$3:AO$38)</f>
        <v>18</v>
      </c>
      <c r="G41" s="129"/>
      <c r="H41" s="22">
        <v>500</v>
      </c>
      <c r="I41" s="8">
        <f t="shared" si="5"/>
        <v>1</v>
      </c>
      <c r="K41" s="129"/>
      <c r="L41" s="129"/>
      <c r="M41" s="129"/>
      <c r="N41" s="129"/>
      <c r="O41" s="12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6"/>
        <v>0</v>
      </c>
      <c r="Z41" s="13"/>
      <c r="AB41" s="136">
        <v>38</v>
      </c>
      <c r="AC41" s="137"/>
      <c r="AD41" s="137">
        <v>1</v>
      </c>
      <c r="AE41" s="137"/>
      <c r="AG41" s="12">
        <v>38</v>
      </c>
      <c r="AH41" s="137"/>
      <c r="AI41" s="137">
        <v>1</v>
      </c>
      <c r="AJ41" s="137"/>
      <c r="AL41" s="12">
        <v>38</v>
      </c>
      <c r="AM41" s="137"/>
      <c r="AN41" s="137">
        <v>1</v>
      </c>
      <c r="AO41" s="137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/>
      <c r="BP41" s="12">
        <v>38</v>
      </c>
      <c r="BQ41" s="13"/>
      <c r="BR41" s="13">
        <f t="shared" si="7"/>
        <v>0</v>
      </c>
      <c r="BS41" s="13"/>
      <c r="BU41" s="136">
        <v>38</v>
      </c>
      <c r="BV41" s="137"/>
      <c r="BW41" s="137">
        <v>1</v>
      </c>
      <c r="BX41" s="137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29">
        <f t="shared" ref="E42:E52" si="10">SUMIF(T$3:T$52,$A42,AN$3:AN$52)</f>
        <v>5</v>
      </c>
      <c r="F42" s="8">
        <f t="shared" si="8"/>
        <v>6</v>
      </c>
      <c r="H42" s="23">
        <v>1000</v>
      </c>
      <c r="I42" s="97">
        <f t="shared" si="5"/>
        <v>1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6"/>
        <v>5</v>
      </c>
      <c r="Z42" s="13"/>
      <c r="AB42" s="136">
        <v>39</v>
      </c>
      <c r="AC42" s="137"/>
      <c r="AD42" s="137">
        <v>1</v>
      </c>
      <c r="AE42" s="137"/>
      <c r="AG42" s="12">
        <v>39</v>
      </c>
      <c r="AH42" s="137"/>
      <c r="AI42" s="137">
        <v>1</v>
      </c>
      <c r="AJ42" s="137"/>
      <c r="AL42" s="12">
        <v>39</v>
      </c>
      <c r="AM42" s="137"/>
      <c r="AN42" s="137">
        <v>1</v>
      </c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/>
      <c r="BP42" s="12">
        <v>39</v>
      </c>
      <c r="BQ42" s="13"/>
      <c r="BR42" s="13">
        <f t="shared" si="7"/>
        <v>5</v>
      </c>
      <c r="BS42" s="13"/>
      <c r="BU42" s="136">
        <v>39</v>
      </c>
      <c r="BV42" s="137"/>
      <c r="BW42" s="137">
        <v>1</v>
      </c>
      <c r="BX42" s="137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6</v>
      </c>
      <c r="E43" s="129">
        <f t="shared" si="10"/>
        <v>5</v>
      </c>
      <c r="F43" s="8">
        <f t="shared" si="8"/>
        <v>6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6"/>
        <v>0</v>
      </c>
      <c r="Z43" s="13"/>
      <c r="AB43" s="136">
        <v>40</v>
      </c>
      <c r="AC43" s="137"/>
      <c r="AD43" s="137">
        <v>1</v>
      </c>
      <c r="AE43" s="137"/>
      <c r="AG43" s="12">
        <v>40</v>
      </c>
      <c r="AH43" s="137"/>
      <c r="AI43" s="137">
        <v>1</v>
      </c>
      <c r="AJ43" s="137"/>
      <c r="AL43" s="12">
        <v>40</v>
      </c>
      <c r="AM43" s="137"/>
      <c r="AN43" s="137">
        <v>1</v>
      </c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 t="s">
        <v>15</v>
      </c>
      <c r="BN43" s="13"/>
      <c r="BP43" s="12">
        <v>40</v>
      </c>
      <c r="BQ43" s="13"/>
      <c r="BR43" s="13">
        <f t="shared" si="7"/>
        <v>0</v>
      </c>
      <c r="BS43" s="13"/>
      <c r="BU43" s="136">
        <v>40</v>
      </c>
      <c r="BV43" s="137"/>
      <c r="BW43" s="137">
        <v>1</v>
      </c>
      <c r="BX43" s="137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6</v>
      </c>
      <c r="E44" s="129">
        <f t="shared" si="10"/>
        <v>5</v>
      </c>
      <c r="F44" s="8">
        <f t="shared" si="8"/>
        <v>6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6"/>
        <v>1</v>
      </c>
      <c r="Z44" s="13"/>
      <c r="AB44" s="136">
        <v>41</v>
      </c>
      <c r="AC44" s="137"/>
      <c r="AD44" s="137">
        <v>1</v>
      </c>
      <c r="AE44" s="137"/>
      <c r="AG44" s="12">
        <v>41</v>
      </c>
      <c r="AH44" s="137"/>
      <c r="AI44" s="137">
        <v>1</v>
      </c>
      <c r="AJ44" s="137"/>
      <c r="AL44" s="12">
        <v>41</v>
      </c>
      <c r="AM44" s="137"/>
      <c r="AN44" s="137">
        <v>1</v>
      </c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f t="shared" si="7"/>
        <v>1</v>
      </c>
      <c r="BS44" s="13"/>
      <c r="BU44" s="136">
        <v>41</v>
      </c>
      <c r="BV44" s="137"/>
      <c r="BW44" s="137">
        <v>1</v>
      </c>
      <c r="BX44" s="137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6</v>
      </c>
      <c r="E45" s="129">
        <f t="shared" si="10"/>
        <v>5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6"/>
        <v>0</v>
      </c>
      <c r="Z45" s="13"/>
      <c r="AB45" s="136">
        <v>42</v>
      </c>
      <c r="AC45" s="137"/>
      <c r="AD45" s="137">
        <v>1</v>
      </c>
      <c r="AE45" s="137"/>
      <c r="AG45" s="12">
        <v>42</v>
      </c>
      <c r="AH45" s="137"/>
      <c r="AI45" s="137">
        <v>1</v>
      </c>
      <c r="AJ45" s="137"/>
      <c r="AL45" s="12">
        <v>42</v>
      </c>
      <c r="AM45" s="137"/>
      <c r="AN45" s="137">
        <v>1</v>
      </c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 t="s">
        <v>15</v>
      </c>
      <c r="BN45" s="13"/>
      <c r="BP45" s="12">
        <v>42</v>
      </c>
      <c r="BQ45" s="13"/>
      <c r="BR45" s="13">
        <f t="shared" si="7"/>
        <v>0</v>
      </c>
      <c r="BS45" s="13"/>
      <c r="BU45" s="136">
        <v>42</v>
      </c>
      <c r="BV45" s="137"/>
      <c r="BW45" s="137">
        <v>1</v>
      </c>
      <c r="BX45" s="137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29">
        <f t="shared" si="10"/>
        <v>5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6"/>
        <v>2</v>
      </c>
      <c r="Z46" s="13"/>
      <c r="AB46" s="136">
        <v>43</v>
      </c>
      <c r="AC46" s="137"/>
      <c r="AD46" s="137">
        <v>1</v>
      </c>
      <c r="AE46" s="137"/>
      <c r="AG46" s="12">
        <v>43</v>
      </c>
      <c r="AH46" s="137"/>
      <c r="AI46" s="137">
        <v>1</v>
      </c>
      <c r="AJ46" s="137"/>
      <c r="AL46" s="12">
        <v>43</v>
      </c>
      <c r="AM46" s="137"/>
      <c r="AN46" s="137">
        <v>1</v>
      </c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f t="shared" si="7"/>
        <v>2</v>
      </c>
      <c r="BS46" s="13"/>
      <c r="BU46" s="136">
        <v>43</v>
      </c>
      <c r="BV46" s="137"/>
      <c r="BW46" s="137">
        <v>1</v>
      </c>
      <c r="BX46" s="137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6"/>
        <v>0</v>
      </c>
      <c r="Z47" s="13"/>
      <c r="AB47" s="136">
        <v>44</v>
      </c>
      <c r="AC47" s="137"/>
      <c r="AD47" s="137">
        <v>1</v>
      </c>
      <c r="AE47" s="137"/>
      <c r="AG47" s="12">
        <v>44</v>
      </c>
      <c r="AH47" s="137"/>
      <c r="AI47" s="137">
        <v>1</v>
      </c>
      <c r="AJ47" s="137"/>
      <c r="AL47" s="12">
        <v>44</v>
      </c>
      <c r="AM47" s="137"/>
      <c r="AN47" s="137">
        <v>1</v>
      </c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 t="s">
        <v>15</v>
      </c>
      <c r="BN47" s="13"/>
      <c r="BP47" s="12">
        <v>44</v>
      </c>
      <c r="BQ47" s="13"/>
      <c r="BR47" s="13">
        <f t="shared" si="7"/>
        <v>0</v>
      </c>
      <c r="BS47" s="13"/>
      <c r="BU47" s="136">
        <v>44</v>
      </c>
      <c r="BV47" s="137"/>
      <c r="BW47" s="137">
        <v>1</v>
      </c>
      <c r="BX47" s="137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6"/>
        <v>3</v>
      </c>
      <c r="Z48" s="13"/>
      <c r="AB48" s="136">
        <v>45</v>
      </c>
      <c r="AC48" s="137"/>
      <c r="AD48" s="137">
        <v>1</v>
      </c>
      <c r="AE48" s="137"/>
      <c r="AG48" s="12">
        <v>45</v>
      </c>
      <c r="AH48" s="137"/>
      <c r="AI48" s="137">
        <v>1</v>
      </c>
      <c r="AJ48" s="137"/>
      <c r="AL48" s="12">
        <v>45</v>
      </c>
      <c r="AM48" s="137"/>
      <c r="AN48" s="137">
        <v>1</v>
      </c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f t="shared" si="7"/>
        <v>3</v>
      </c>
      <c r="BS48" s="13"/>
      <c r="BU48" s="136">
        <v>45</v>
      </c>
      <c r="BV48" s="137"/>
      <c r="BW48" s="137">
        <v>1</v>
      </c>
      <c r="BX48" s="137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6"/>
        <v>0</v>
      </c>
      <c r="Z49" s="13"/>
      <c r="AB49" s="136">
        <v>46</v>
      </c>
      <c r="AC49" s="137"/>
      <c r="AD49" s="137">
        <v>1</v>
      </c>
      <c r="AE49" s="137"/>
      <c r="AG49" s="12">
        <v>46</v>
      </c>
      <c r="AH49" s="137"/>
      <c r="AI49" s="137">
        <v>1</v>
      </c>
      <c r="AJ49" s="137"/>
      <c r="AL49" s="12">
        <v>46</v>
      </c>
      <c r="AM49" s="137"/>
      <c r="AN49" s="137">
        <v>1</v>
      </c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 t="s">
        <v>15</v>
      </c>
      <c r="BN49" s="13"/>
      <c r="BP49" s="12">
        <v>46</v>
      </c>
      <c r="BQ49" s="13"/>
      <c r="BR49" s="13">
        <f t="shared" si="7"/>
        <v>0</v>
      </c>
      <c r="BS49" s="13"/>
      <c r="BU49" s="136">
        <v>46</v>
      </c>
      <c r="BV49" s="137"/>
      <c r="BW49" s="137">
        <v>1</v>
      </c>
      <c r="BX49" s="137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6"/>
        <v>4</v>
      </c>
      <c r="Z50" s="13"/>
      <c r="AB50" s="136">
        <v>47</v>
      </c>
      <c r="AC50" s="137"/>
      <c r="AD50" s="137">
        <v>1</v>
      </c>
      <c r="AE50" s="137"/>
      <c r="AG50" s="12">
        <v>47</v>
      </c>
      <c r="AH50" s="137"/>
      <c r="AI50" s="137">
        <v>1</v>
      </c>
      <c r="AJ50" s="137"/>
      <c r="AL50" s="12">
        <v>47</v>
      </c>
      <c r="AM50" s="137"/>
      <c r="AN50" s="137">
        <v>1</v>
      </c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f t="shared" si="7"/>
        <v>4</v>
      </c>
      <c r="BS50" s="13"/>
      <c r="BU50" s="136">
        <v>47</v>
      </c>
      <c r="BV50" s="137"/>
      <c r="BW50" s="137">
        <v>1</v>
      </c>
      <c r="BX50" s="137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6"/>
        <v>0</v>
      </c>
      <c r="Z51" s="13"/>
      <c r="AB51" s="136">
        <v>48</v>
      </c>
      <c r="AC51" s="137"/>
      <c r="AD51" s="137">
        <v>1</v>
      </c>
      <c r="AE51" s="137"/>
      <c r="AG51" s="12">
        <v>48</v>
      </c>
      <c r="AH51" s="137"/>
      <c r="AI51" s="137">
        <v>1</v>
      </c>
      <c r="AJ51" s="137"/>
      <c r="AL51" s="12">
        <v>48</v>
      </c>
      <c r="AM51" s="137"/>
      <c r="AN51" s="137">
        <v>1</v>
      </c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 t="s">
        <v>15</v>
      </c>
      <c r="BN51" s="13"/>
      <c r="BP51" s="12">
        <v>48</v>
      </c>
      <c r="BQ51" s="13"/>
      <c r="BR51" s="13">
        <f t="shared" si="7"/>
        <v>0</v>
      </c>
      <c r="BS51" s="13"/>
      <c r="BU51" s="136">
        <v>48</v>
      </c>
      <c r="BV51" s="137"/>
      <c r="BW51" s="137">
        <v>1</v>
      </c>
      <c r="BX51" s="137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6"/>
        <v>5</v>
      </c>
      <c r="Z52" s="13"/>
      <c r="AB52" s="136">
        <v>49</v>
      </c>
      <c r="AC52" s="137"/>
      <c r="AD52" s="137">
        <v>1</v>
      </c>
      <c r="AE52" s="137"/>
      <c r="AG52" s="12">
        <v>49</v>
      </c>
      <c r="AH52" s="137"/>
      <c r="AI52" s="137">
        <v>1</v>
      </c>
      <c r="AJ52" s="137"/>
      <c r="AL52" s="12">
        <v>49</v>
      </c>
      <c r="AM52" s="137"/>
      <c r="AN52" s="137">
        <v>1</v>
      </c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 t="s">
        <v>18</v>
      </c>
      <c r="BN52" s="13"/>
      <c r="BP52" s="12">
        <v>49</v>
      </c>
      <c r="BQ52" s="13"/>
      <c r="BR52" s="13">
        <f t="shared" si="7"/>
        <v>5</v>
      </c>
      <c r="BS52" s="13"/>
      <c r="BU52" s="136">
        <v>49</v>
      </c>
      <c r="BV52" s="137"/>
      <c r="BW52" s="137">
        <v>1</v>
      </c>
      <c r="BX52" s="137"/>
      <c r="BZ52" s="12">
        <v>49</v>
      </c>
      <c r="CA52" s="13"/>
      <c r="CC52" s="12">
        <v>49</v>
      </c>
      <c r="CD52" s="13"/>
    </row>
    <row r="53" spans="1:82">
      <c r="D53" s="129">
        <f>SUM(D41:D52)</f>
        <v>36</v>
      </c>
      <c r="E53" s="129">
        <f>SUM(E41:E52)</f>
        <v>50</v>
      </c>
      <c r="F53" s="12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36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36">
        <v>50</v>
      </c>
      <c r="BV53" s="137"/>
      <c r="BW53" s="137"/>
      <c r="BX53" s="137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36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36">
        <v>51</v>
      </c>
      <c r="BV54" s="137"/>
      <c r="BW54" s="137"/>
      <c r="BX54" s="137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36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36">
        <v>52</v>
      </c>
      <c r="BV55" s="137"/>
      <c r="BW55" s="137"/>
      <c r="BX55" s="137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36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36">
        <v>53</v>
      </c>
      <c r="BV56" s="137"/>
      <c r="BW56" s="137"/>
      <c r="BX56" s="137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30">
        <f t="shared" si="11"/>
        <v>0</v>
      </c>
      <c r="F57" s="130">
        <f t="shared" si="11"/>
        <v>0</v>
      </c>
      <c r="G57" s="4">
        <f t="shared" si="11"/>
        <v>0</v>
      </c>
      <c r="H57" s="130">
        <f t="shared" si="11"/>
        <v>0</v>
      </c>
      <c r="I57" s="130">
        <f t="shared" si="11"/>
        <v>0</v>
      </c>
      <c r="J57" s="130">
        <f t="shared" si="11"/>
        <v>0</v>
      </c>
      <c r="K57" s="130">
        <f t="shared" si="11"/>
        <v>0</v>
      </c>
      <c r="L57" s="130">
        <f t="shared" si="11"/>
        <v>0</v>
      </c>
      <c r="M57" s="47">
        <f t="shared" si="11"/>
        <v>0</v>
      </c>
      <c r="N57" s="13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36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36">
        <v>54</v>
      </c>
      <c r="BV57" s="137"/>
      <c r="BW57" s="137"/>
      <c r="BX57" s="137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36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36">
        <v>55</v>
      </c>
      <c r="BV58" s="137"/>
      <c r="BW58" s="137"/>
      <c r="BX58" s="137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36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36">
        <v>56</v>
      </c>
      <c r="BV59" s="137"/>
      <c r="BW59" s="137"/>
      <c r="BX59" s="137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36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36">
        <v>57</v>
      </c>
      <c r="BV60" s="137"/>
      <c r="BW60" s="137"/>
      <c r="BX60" s="137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36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36">
        <v>58</v>
      </c>
      <c r="BV61" s="137"/>
      <c r="BW61" s="137"/>
      <c r="BX61" s="137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36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36">
        <v>59</v>
      </c>
      <c r="BV62" s="137"/>
      <c r="BW62" s="137"/>
      <c r="BX62" s="137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4</v>
      </c>
      <c r="E63" s="129">
        <f t="shared" si="11"/>
        <v>4</v>
      </c>
      <c r="F63" s="8">
        <f t="shared" si="11"/>
        <v>4</v>
      </c>
      <c r="G63" s="7">
        <f t="shared" si="11"/>
        <v>4</v>
      </c>
      <c r="H63" s="129">
        <f t="shared" si="11"/>
        <v>4</v>
      </c>
      <c r="I63" s="129">
        <f t="shared" si="11"/>
        <v>4</v>
      </c>
      <c r="J63" s="129">
        <f t="shared" si="11"/>
        <v>4</v>
      </c>
      <c r="K63" s="129">
        <f t="shared" si="11"/>
        <v>4</v>
      </c>
      <c r="L63" s="129">
        <f t="shared" si="11"/>
        <v>4</v>
      </c>
      <c r="M63" s="49">
        <f t="shared" si="11"/>
        <v>4</v>
      </c>
      <c r="N63" s="129">
        <f t="shared" si="11"/>
        <v>4</v>
      </c>
      <c r="O63" s="8">
        <f t="shared" si="11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36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36">
        <v>60</v>
      </c>
      <c r="BV63" s="137"/>
      <c r="BW63" s="137"/>
      <c r="BX63" s="137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4</v>
      </c>
      <c r="E64" s="129">
        <f t="shared" si="11"/>
        <v>4</v>
      </c>
      <c r="F64" s="8">
        <f t="shared" si="11"/>
        <v>4</v>
      </c>
      <c r="G64" s="7">
        <f t="shared" si="11"/>
        <v>4</v>
      </c>
      <c r="H64" s="129">
        <f t="shared" si="11"/>
        <v>4</v>
      </c>
      <c r="I64" s="129">
        <f t="shared" si="11"/>
        <v>4</v>
      </c>
      <c r="J64" s="129">
        <f t="shared" si="11"/>
        <v>4</v>
      </c>
      <c r="K64" s="129">
        <f t="shared" si="11"/>
        <v>4</v>
      </c>
      <c r="L64" s="129">
        <f t="shared" si="11"/>
        <v>4</v>
      </c>
      <c r="M64" s="49">
        <f t="shared" si="11"/>
        <v>4</v>
      </c>
      <c r="N64" s="129">
        <f t="shared" si="11"/>
        <v>4</v>
      </c>
      <c r="O64" s="8">
        <f t="shared" si="11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36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36">
        <v>61</v>
      </c>
      <c r="BV64" s="137"/>
      <c r="BW64" s="137"/>
      <c r="BX64" s="137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4</v>
      </c>
      <c r="E65" s="129">
        <f t="shared" si="11"/>
        <v>4</v>
      </c>
      <c r="F65" s="8">
        <f t="shared" si="11"/>
        <v>4</v>
      </c>
      <c r="G65" s="7">
        <f t="shared" si="11"/>
        <v>4</v>
      </c>
      <c r="H65" s="129">
        <f t="shared" si="11"/>
        <v>4</v>
      </c>
      <c r="I65" s="129">
        <f t="shared" si="11"/>
        <v>4</v>
      </c>
      <c r="J65" s="129">
        <f t="shared" si="11"/>
        <v>4</v>
      </c>
      <c r="K65" s="129">
        <f t="shared" si="11"/>
        <v>4</v>
      </c>
      <c r="L65" s="129">
        <f t="shared" si="11"/>
        <v>4</v>
      </c>
      <c r="M65" s="49">
        <f t="shared" si="11"/>
        <v>4</v>
      </c>
      <c r="N65" s="129">
        <f t="shared" si="11"/>
        <v>4</v>
      </c>
      <c r="O65" s="8">
        <f t="shared" si="11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36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36">
        <v>62</v>
      </c>
      <c r="BV65" s="137"/>
      <c r="BW65" s="137"/>
      <c r="BX65" s="137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4</v>
      </c>
      <c r="E66" s="129">
        <f t="shared" si="11"/>
        <v>4</v>
      </c>
      <c r="F66" s="8">
        <f t="shared" si="11"/>
        <v>4</v>
      </c>
      <c r="G66" s="7">
        <f t="shared" si="11"/>
        <v>4</v>
      </c>
      <c r="H66" s="129">
        <f t="shared" si="11"/>
        <v>4</v>
      </c>
      <c r="I66" s="129">
        <f t="shared" si="11"/>
        <v>4</v>
      </c>
      <c r="J66" s="129">
        <f t="shared" si="11"/>
        <v>4</v>
      </c>
      <c r="K66" s="129">
        <f t="shared" si="11"/>
        <v>4</v>
      </c>
      <c r="L66" s="129">
        <f t="shared" si="11"/>
        <v>4</v>
      </c>
      <c r="M66" s="49">
        <f t="shared" si="11"/>
        <v>4</v>
      </c>
      <c r="N66" s="129">
        <f t="shared" si="11"/>
        <v>4</v>
      </c>
      <c r="O66" s="8">
        <f t="shared" si="11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36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36">
        <v>63</v>
      </c>
      <c r="BV66" s="137"/>
      <c r="BW66" s="137"/>
      <c r="BX66" s="137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29">
        <f t="shared" si="11"/>
        <v>0</v>
      </c>
      <c r="F67" s="8">
        <f t="shared" si="11"/>
        <v>0</v>
      </c>
      <c r="G67" s="7">
        <f t="shared" si="11"/>
        <v>0</v>
      </c>
      <c r="H67" s="129">
        <f t="shared" si="11"/>
        <v>0</v>
      </c>
      <c r="I67" s="129">
        <f t="shared" si="11"/>
        <v>0</v>
      </c>
      <c r="J67" s="129">
        <f t="shared" si="11"/>
        <v>0</v>
      </c>
      <c r="K67" s="129">
        <f t="shared" si="11"/>
        <v>0</v>
      </c>
      <c r="L67" s="129">
        <f t="shared" si="11"/>
        <v>0</v>
      </c>
      <c r="M67" s="49">
        <f t="shared" si="11"/>
        <v>0</v>
      </c>
      <c r="N67" s="12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36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36">
        <v>64</v>
      </c>
      <c r="BV67" s="137"/>
      <c r="BW67" s="137"/>
      <c r="BX67" s="137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4</v>
      </c>
      <c r="E68" s="51">
        <f t="shared" si="11"/>
        <v>4</v>
      </c>
      <c r="F68" s="58">
        <f t="shared" si="11"/>
        <v>4</v>
      </c>
      <c r="G68" s="50">
        <f t="shared" si="11"/>
        <v>4</v>
      </c>
      <c r="H68" s="51">
        <f t="shared" si="11"/>
        <v>4</v>
      </c>
      <c r="I68" s="51">
        <f t="shared" si="11"/>
        <v>4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4</v>
      </c>
      <c r="O68" s="41">
        <f t="shared" si="11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36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36">
        <v>65</v>
      </c>
      <c r="BV68" s="137"/>
      <c r="BW68" s="137"/>
      <c r="BX68" s="137"/>
      <c r="BZ68" s="12">
        <v>65</v>
      </c>
      <c r="CA68" s="13"/>
      <c r="CC68" s="12">
        <v>65</v>
      </c>
      <c r="CD68" s="13"/>
    </row>
    <row r="69" spans="1:82">
      <c r="D69" s="129">
        <f>SUM(D57:D68)</f>
        <v>20</v>
      </c>
      <c r="E69" s="129">
        <f t="shared" ref="E69:O69" si="12">SUM(E57:E68)</f>
        <v>20</v>
      </c>
      <c r="F69" s="129">
        <f t="shared" si="12"/>
        <v>20</v>
      </c>
      <c r="G69" s="129">
        <f t="shared" si="12"/>
        <v>20</v>
      </c>
      <c r="H69" s="129">
        <f t="shared" si="12"/>
        <v>20</v>
      </c>
      <c r="I69" s="129">
        <f t="shared" si="12"/>
        <v>20</v>
      </c>
      <c r="J69" s="129">
        <f t="shared" si="12"/>
        <v>20</v>
      </c>
      <c r="K69" s="129">
        <f t="shared" si="12"/>
        <v>20</v>
      </c>
      <c r="L69" s="129">
        <f t="shared" si="12"/>
        <v>20</v>
      </c>
      <c r="M69" s="129">
        <f t="shared" si="12"/>
        <v>20</v>
      </c>
      <c r="N69" s="129">
        <f t="shared" si="12"/>
        <v>20</v>
      </c>
      <c r="O69" s="129">
        <f t="shared" si="12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36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36">
        <v>66</v>
      </c>
      <c r="BV69" s="137"/>
      <c r="BW69" s="137"/>
      <c r="BX69" s="137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36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36">
        <v>67</v>
      </c>
      <c r="BV70" s="137"/>
      <c r="BW70" s="137"/>
      <c r="BX70" s="137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36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36">
        <v>68</v>
      </c>
      <c r="BV71" s="137"/>
      <c r="BW71" s="137"/>
      <c r="BX71" s="137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3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36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36">
        <v>69</v>
      </c>
      <c r="BV72" s="137"/>
      <c r="BW72" s="137"/>
      <c r="BX72" s="137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30">
        <f>SUMIF(BM$3:BM$52,$A73,BW$3:BW$52)</f>
        <v>25</v>
      </c>
      <c r="F73" s="5">
        <f t="shared" ref="F73:F84" si="13">SUMIF(BN$3:BN$38,$A73,BX$3:BX$38)</f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36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36">
        <v>70</v>
      </c>
      <c r="BV73" s="137"/>
      <c r="BW73" s="137"/>
      <c r="BX73" s="137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4">SUMIF(BL$3:BL$38,$A74,BV$3:BV$38)</f>
        <v>0</v>
      </c>
      <c r="E74" s="129">
        <f t="shared" ref="E74:E84" si="15">SUMIF(BM$3:BM$52,$A74,BW$3:BW$52)</f>
        <v>5</v>
      </c>
      <c r="F74" s="8">
        <f t="shared" si="13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36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36">
        <v>71</v>
      </c>
      <c r="BV74" s="137"/>
      <c r="BW74" s="137"/>
      <c r="BX74" s="137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4"/>
        <v>6</v>
      </c>
      <c r="E75" s="129">
        <f t="shared" si="15"/>
        <v>5</v>
      </c>
      <c r="F75" s="8">
        <f t="shared" si="13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36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36">
        <v>72</v>
      </c>
      <c r="BV75" s="137"/>
      <c r="BW75" s="137"/>
      <c r="BX75" s="137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4"/>
        <v>6</v>
      </c>
      <c r="E76" s="129">
        <f t="shared" si="15"/>
        <v>5</v>
      </c>
      <c r="F76" s="8">
        <f t="shared" si="13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36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36">
        <v>73</v>
      </c>
      <c r="BV76" s="137"/>
      <c r="BW76" s="137"/>
      <c r="BX76" s="137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4"/>
        <v>6</v>
      </c>
      <c r="E77" s="129">
        <f t="shared" si="15"/>
        <v>5</v>
      </c>
      <c r="F77" s="39">
        <f t="shared" si="13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36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36">
        <v>74</v>
      </c>
      <c r="BV77" s="137"/>
      <c r="BW77" s="137"/>
      <c r="BX77" s="137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4"/>
        <v>0</v>
      </c>
      <c r="E78" s="129">
        <f t="shared" si="15"/>
        <v>5</v>
      </c>
      <c r="F78" s="39">
        <f t="shared" si="13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36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36">
        <v>75</v>
      </c>
      <c r="BV78" s="137"/>
      <c r="BW78" s="137"/>
      <c r="BX78" s="137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4"/>
        <v>0</v>
      </c>
      <c r="E79" s="60">
        <f t="shared" si="15"/>
        <v>0</v>
      </c>
      <c r="F79" s="39">
        <f t="shared" si="13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36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36">
        <v>76</v>
      </c>
      <c r="BV79" s="137"/>
      <c r="BW79" s="137"/>
      <c r="BX79" s="137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4"/>
        <v>0</v>
      </c>
      <c r="E80" s="60">
        <f t="shared" si="15"/>
        <v>0</v>
      </c>
      <c r="F80" s="39">
        <f t="shared" si="13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36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36">
        <v>77</v>
      </c>
      <c r="BV80" s="137"/>
      <c r="BW80" s="137"/>
      <c r="BX80" s="137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4"/>
        <v>0</v>
      </c>
      <c r="E81" s="60">
        <f t="shared" si="15"/>
        <v>0</v>
      </c>
      <c r="F81" s="39">
        <f t="shared" si="13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36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36">
        <v>78</v>
      </c>
      <c r="BV81" s="137"/>
      <c r="BW81" s="137"/>
      <c r="BX81" s="137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4"/>
        <v>0</v>
      </c>
      <c r="E82" s="60">
        <f t="shared" si="15"/>
        <v>0</v>
      </c>
      <c r="F82" s="39">
        <f t="shared" si="13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36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36">
        <v>79</v>
      </c>
      <c r="BV82" s="137"/>
      <c r="BW82" s="137"/>
      <c r="BX82" s="137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4"/>
        <v>0</v>
      </c>
      <c r="E83" s="60">
        <f t="shared" si="15"/>
        <v>0</v>
      </c>
      <c r="F83" s="39">
        <f t="shared" si="13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36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36">
        <v>80</v>
      </c>
      <c r="BV83" s="137"/>
      <c r="BW83" s="137"/>
      <c r="BX83" s="137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4"/>
        <v>0</v>
      </c>
      <c r="E84" s="40">
        <f t="shared" si="15"/>
        <v>0</v>
      </c>
      <c r="F84" s="41">
        <f t="shared" si="13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36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36">
        <v>81</v>
      </c>
      <c r="BV84" s="137"/>
      <c r="BW84" s="137"/>
      <c r="BX84" s="137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36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36">
        <v>82</v>
      </c>
      <c r="BV85" s="137"/>
      <c r="BW85" s="137"/>
      <c r="BX85" s="137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36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36">
        <v>83</v>
      </c>
      <c r="BV86" s="137"/>
      <c r="BW86" s="137"/>
      <c r="BX86" s="137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36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36">
        <v>84</v>
      </c>
      <c r="BV87" s="137"/>
      <c r="BW87" s="137"/>
      <c r="BX87" s="137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36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36">
        <v>85</v>
      </c>
      <c r="BV88" s="137"/>
      <c r="BW88" s="137"/>
      <c r="BX88" s="137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36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36">
        <v>86</v>
      </c>
      <c r="BV89" s="137"/>
      <c r="BW89" s="137"/>
      <c r="BX89" s="137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36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36">
        <v>87</v>
      </c>
      <c r="BV90" s="137"/>
      <c r="BW90" s="137"/>
      <c r="BX90" s="137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36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36">
        <v>88</v>
      </c>
      <c r="BV91" s="137"/>
      <c r="BW91" s="137"/>
      <c r="BX91" s="137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36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36">
        <v>89</v>
      </c>
      <c r="BV92" s="137"/>
      <c r="BW92" s="137"/>
      <c r="BX92" s="137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36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36">
        <v>90</v>
      </c>
      <c r="BV93" s="137"/>
      <c r="BW93" s="137"/>
      <c r="BX93" s="137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36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36">
        <v>91</v>
      </c>
      <c r="BV94" s="137"/>
      <c r="BW94" s="137"/>
      <c r="BX94" s="137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36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36">
        <v>92</v>
      </c>
      <c r="BV95" s="137"/>
      <c r="BW95" s="137"/>
      <c r="BX95" s="137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36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36">
        <v>93</v>
      </c>
      <c r="BV96" s="137"/>
      <c r="BW96" s="137"/>
      <c r="BX96" s="137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36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36">
        <v>94</v>
      </c>
      <c r="BV97" s="137"/>
      <c r="BW97" s="137"/>
      <c r="BX97" s="137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36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36">
        <v>95</v>
      </c>
      <c r="BV98" s="137"/>
      <c r="BW98" s="137"/>
      <c r="BX98" s="137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36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36">
        <v>96</v>
      </c>
      <c r="BV99" s="137"/>
      <c r="BW99" s="137"/>
      <c r="BX99" s="137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36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36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36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36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36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36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36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36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41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U112" s="141"/>
      <c r="BV112" s="141"/>
      <c r="BW112" s="141"/>
      <c r="BX112" s="141"/>
    </row>
    <row r="113" spans="9:73">
      <c r="V113" s="17"/>
      <c r="W113" s="17"/>
      <c r="X113" s="17"/>
      <c r="Y113" s="17"/>
      <c r="Z113" s="17"/>
      <c r="AA113" s="17"/>
      <c r="AB113" s="135"/>
      <c r="AF113" s="17"/>
      <c r="AP113" s="17"/>
      <c r="BU113" s="135"/>
    </row>
    <row r="126" spans="9:73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423" priority="206" operator="equal">
      <formula>"E"</formula>
    </cfRule>
  </conditionalFormatting>
  <conditionalFormatting sqref="BH2">
    <cfRule type="cellIs" dxfId="422" priority="183" operator="equal">
      <formula>"E"</formula>
    </cfRule>
  </conditionalFormatting>
  <conditionalFormatting sqref="BA43:BA103">
    <cfRule type="cellIs" dxfId="421" priority="198" operator="equal">
      <formula>"E"</formula>
    </cfRule>
  </conditionalFormatting>
  <conditionalFormatting sqref="AZ2">
    <cfRule type="cellIs" dxfId="420" priority="199" operator="equal">
      <formula>"E"</formula>
    </cfRule>
  </conditionalFormatting>
  <conditionalFormatting sqref="BI2">
    <cfRule type="cellIs" dxfId="419" priority="179" operator="equal">
      <formula>"E"</formula>
    </cfRule>
  </conditionalFormatting>
  <conditionalFormatting sqref="BA2">
    <cfRule type="cellIs" dxfId="418" priority="197" operator="equal">
      <formula>"E"</formula>
    </cfRule>
  </conditionalFormatting>
  <conditionalFormatting sqref="BB43:BB103">
    <cfRule type="cellIs" dxfId="417" priority="196" operator="equal">
      <formula>"E"</formula>
    </cfRule>
  </conditionalFormatting>
  <conditionalFormatting sqref="BB2">
    <cfRule type="cellIs" dxfId="416" priority="195" operator="equal">
      <formula>"E"</formula>
    </cfRule>
  </conditionalFormatting>
  <conditionalFormatting sqref="BC43:BC103">
    <cfRule type="cellIs" dxfId="415" priority="194" operator="equal">
      <formula>"E"</formula>
    </cfRule>
  </conditionalFormatting>
  <conditionalFormatting sqref="BC2">
    <cfRule type="cellIs" dxfId="414" priority="193" operator="equal">
      <formula>"E"</formula>
    </cfRule>
  </conditionalFormatting>
  <conditionalFormatting sqref="BD43:BD103">
    <cfRule type="cellIs" dxfId="413" priority="192" operator="equal">
      <formula>"E"</formula>
    </cfRule>
  </conditionalFormatting>
  <conditionalFormatting sqref="BD2">
    <cfRule type="cellIs" dxfId="412" priority="191" operator="equal">
      <formula>"E"</formula>
    </cfRule>
  </conditionalFormatting>
  <conditionalFormatting sqref="BE43:BE103">
    <cfRule type="cellIs" dxfId="411" priority="190" operator="equal">
      <formula>"E"</formula>
    </cfRule>
  </conditionalFormatting>
  <conditionalFormatting sqref="BE2">
    <cfRule type="cellIs" dxfId="410" priority="189" operator="equal">
      <formula>"E"</formula>
    </cfRule>
  </conditionalFormatting>
  <conditionalFormatting sqref="BF43:BF103">
    <cfRule type="cellIs" dxfId="409" priority="188" operator="equal">
      <formula>"E"</formula>
    </cfRule>
  </conditionalFormatting>
  <conditionalFormatting sqref="BF2">
    <cfRule type="cellIs" dxfId="408" priority="187" operator="equal">
      <formula>"E"</formula>
    </cfRule>
  </conditionalFormatting>
  <conditionalFormatting sqref="BG43:BG103">
    <cfRule type="cellIs" dxfId="407" priority="186" operator="equal">
      <formula>"E"</formula>
    </cfRule>
  </conditionalFormatting>
  <conditionalFormatting sqref="BG2">
    <cfRule type="cellIs" dxfId="406" priority="185" operator="equal">
      <formula>"E"</formula>
    </cfRule>
  </conditionalFormatting>
  <conditionalFormatting sqref="BH43:BH103">
    <cfRule type="cellIs" dxfId="405" priority="184" operator="equal">
      <formula>"E"</formula>
    </cfRule>
  </conditionalFormatting>
  <conditionalFormatting sqref="AX43:AX103">
    <cfRule type="cellIs" dxfId="404" priority="182" operator="equal">
      <formula>"E"</formula>
    </cfRule>
  </conditionalFormatting>
  <conditionalFormatting sqref="AX2">
    <cfRule type="cellIs" dxfId="403" priority="181" operator="equal">
      <formula>"E"</formula>
    </cfRule>
  </conditionalFormatting>
  <conditionalFormatting sqref="BI43:BI103">
    <cfRule type="cellIs" dxfId="402" priority="180" operator="equal">
      <formula>"E"</formula>
    </cfRule>
  </conditionalFormatting>
  <conditionalFormatting sqref="AW1">
    <cfRule type="cellIs" dxfId="401" priority="205" operator="equal">
      <formula>"E"</formula>
    </cfRule>
  </conditionalFormatting>
  <conditionalFormatting sqref="AY43:AY103">
    <cfRule type="cellIs" dxfId="400" priority="204" operator="equal">
      <formula>"E"</formula>
    </cfRule>
  </conditionalFormatting>
  <conditionalFormatting sqref="AY2">
    <cfRule type="cellIs" dxfId="399" priority="203" operator="equal">
      <formula>"E"</formula>
    </cfRule>
  </conditionalFormatting>
  <conditionalFormatting sqref="AW2:AW70">
    <cfRule type="cellIs" dxfId="398" priority="201" stopIfTrue="1" operator="equal">
      <formula>"WW"</formula>
    </cfRule>
    <cfRule type="cellIs" dxfId="397" priority="202" stopIfTrue="1" operator="equal">
      <formula>"C2"</formula>
    </cfRule>
  </conditionalFormatting>
  <conditionalFormatting sqref="AZ43:AZ103">
    <cfRule type="cellIs" dxfId="396" priority="200" operator="equal">
      <formula>"E"</formula>
    </cfRule>
  </conditionalFormatting>
  <conditionalFormatting sqref="U113:Z113">
    <cfRule type="cellIs" dxfId="395" priority="165" operator="equal">
      <formula>"E"</formula>
    </cfRule>
  </conditionalFormatting>
  <conditionalFormatting sqref="U3:U38">
    <cfRule type="cellIs" dxfId="394" priority="160" operator="equal">
      <formula>"E"</formula>
    </cfRule>
  </conditionalFormatting>
  <conditionalFormatting sqref="T3:T52">
    <cfRule type="cellIs" dxfId="393" priority="155" operator="equal">
      <formula>"E"</formula>
    </cfRule>
  </conditionalFormatting>
  <conditionalFormatting sqref="AS39:AS103 AU2:AU42 AR1:AR1048576">
    <cfRule type="cellIs" dxfId="392" priority="149" operator="equal">
      <formula>"E"</formula>
    </cfRule>
  </conditionalFormatting>
  <conditionalFormatting sqref="R1:R70">
    <cfRule type="cellIs" dxfId="391" priority="177" stopIfTrue="1" operator="equal">
      <formula>"WW"</formula>
    </cfRule>
    <cfRule type="cellIs" dxfId="390" priority="178" stopIfTrue="1" operator="equal">
      <formula>"C2"</formula>
    </cfRule>
  </conditionalFormatting>
  <conditionalFormatting sqref="S1:U2 S114:U1048576 S111:T113 S53:U110 S3:S52 U39:U52 X2:Z103">
    <cfRule type="cellIs" dxfId="389" priority="172" operator="equal">
      <formula>"E"</formula>
    </cfRule>
  </conditionalFormatting>
  <conditionalFormatting sqref="S53:U103 S3:S52 U39:U52 Y3:Z52">
    <cfRule type="cellIs" dxfId="388" priority="173" operator="equal">
      <formula>"M4"</formula>
    </cfRule>
    <cfRule type="cellIs" dxfId="387" priority="174" operator="equal">
      <formula>"M3"</formula>
    </cfRule>
    <cfRule type="cellIs" dxfId="386" priority="175" operator="equal">
      <formula>"M2"</formula>
    </cfRule>
    <cfRule type="cellIs" dxfId="385" priority="176" operator="equal">
      <formula>"M1"</formula>
    </cfRule>
  </conditionalFormatting>
  <conditionalFormatting sqref="W2:W70">
    <cfRule type="cellIs" dxfId="384" priority="170" stopIfTrue="1" operator="equal">
      <formula>"WW"</formula>
    </cfRule>
    <cfRule type="cellIs" dxfId="383" priority="171" stopIfTrue="1" operator="equal">
      <formula>"C2"</formula>
    </cfRule>
  </conditionalFormatting>
  <conditionalFormatting sqref="X3:Z103">
    <cfRule type="cellIs" dxfId="382" priority="166" operator="equal">
      <formula>"M4"</formula>
    </cfRule>
    <cfRule type="cellIs" dxfId="381" priority="167" operator="equal">
      <formula>"M3"</formula>
    </cfRule>
    <cfRule type="cellIs" dxfId="380" priority="168" operator="equal">
      <formula>"M2"</formula>
    </cfRule>
    <cfRule type="cellIs" dxfId="379" priority="169" operator="equal">
      <formula>"M1"</formula>
    </cfRule>
  </conditionalFormatting>
  <conditionalFormatting sqref="U3:U38">
    <cfRule type="cellIs" dxfId="378" priority="161" operator="equal">
      <formula>"M4"</formula>
    </cfRule>
    <cfRule type="cellIs" dxfId="377" priority="162" operator="equal">
      <formula>"M3"</formula>
    </cfRule>
    <cfRule type="cellIs" dxfId="376" priority="163" operator="equal">
      <formula>"M2"</formula>
    </cfRule>
    <cfRule type="cellIs" dxfId="375" priority="164" operator="equal">
      <formula>"M1"</formula>
    </cfRule>
  </conditionalFormatting>
  <conditionalFormatting sqref="T3:T52">
    <cfRule type="cellIs" dxfId="374" priority="156" operator="equal">
      <formula>"M4"</formula>
    </cfRule>
    <cfRule type="cellIs" dxfId="373" priority="157" operator="equal">
      <formula>"M3"</formula>
    </cfRule>
    <cfRule type="cellIs" dxfId="372" priority="158" operator="equal">
      <formula>"M2"</formula>
    </cfRule>
    <cfRule type="cellIs" dxfId="371" priority="159" operator="equal">
      <formula>"M1"</formula>
    </cfRule>
  </conditionalFormatting>
  <conditionalFormatting sqref="AT1">
    <cfRule type="cellIs" dxfId="370" priority="127" operator="equal">
      <formula>"E"</formula>
    </cfRule>
  </conditionalFormatting>
  <conditionalFormatting sqref="AQ1">
    <cfRule type="cellIs" dxfId="369" priority="128" operator="equal">
      <formula>"E"</formula>
    </cfRule>
  </conditionalFormatting>
  <conditionalFormatting sqref="AU3:AU42">
    <cfRule type="cellIs" dxfId="368" priority="151" operator="equal">
      <formula>"M4"</formula>
    </cfRule>
    <cfRule type="cellIs" dxfId="367" priority="152" operator="equal">
      <formula>"M3"</formula>
    </cfRule>
    <cfRule type="cellIs" dxfId="366" priority="153" operator="equal">
      <formula>"M2"</formula>
    </cfRule>
    <cfRule type="cellIs" dxfId="365" priority="154" operator="equal">
      <formula>"M1"</formula>
    </cfRule>
  </conditionalFormatting>
  <conditionalFormatting sqref="AS39:AS103 AU3:AU42 AR3:AR103">
    <cfRule type="cellIs" dxfId="364" priority="138" operator="equal">
      <formula>"RE"</formula>
    </cfRule>
    <cfRule type="cellIs" dxfId="363" priority="139" operator="equal">
      <formula>"3000"</formula>
    </cfRule>
    <cfRule type="cellIs" dxfId="362" priority="140" operator="equal">
      <formula>"300"</formula>
    </cfRule>
    <cfRule type="cellIs" dxfId="361" priority="141" operator="equal">
      <formula>"100"</formula>
    </cfRule>
    <cfRule type="cellIs" dxfId="360" priority="142" operator="equal">
      <formula>"50"</formula>
    </cfRule>
    <cfRule type="cellIs" dxfId="359" priority="143" operator="equal">
      <formula>"40"</formula>
    </cfRule>
    <cfRule type="cellIs" dxfId="358" priority="144" operator="equal">
      <formula>"20"</formula>
    </cfRule>
  </conditionalFormatting>
  <conditionalFormatting sqref="AR1 AR104:AR1048576">
    <cfRule type="cellIs" dxfId="357" priority="145" operator="equal">
      <formula>"M4"</formula>
    </cfRule>
    <cfRule type="cellIs" dxfId="356" priority="146" operator="equal">
      <formula>"M3"</formula>
    </cfRule>
    <cfRule type="cellIs" dxfId="355" priority="147" operator="equal">
      <formula>"M1"</formula>
    </cfRule>
    <cfRule type="cellIs" dxfId="354" priority="148" operator="equal">
      <formula>"M2"</formula>
    </cfRule>
    <cfRule type="cellIs" dxfId="353" priority="150" stopIfTrue="1" operator="between">
      <formula>"C1"</formula>
      <formula>"C2"</formula>
    </cfRule>
  </conditionalFormatting>
  <conditionalFormatting sqref="AQ2:AQ70">
    <cfRule type="cellIs" dxfId="352" priority="136" stopIfTrue="1" operator="equal">
      <formula>"WW"</formula>
    </cfRule>
    <cfRule type="cellIs" dxfId="351" priority="137" stopIfTrue="1" operator="equal">
      <formula>"C2"</formula>
    </cfRule>
  </conditionalFormatting>
  <conditionalFormatting sqref="AT2:AT70">
    <cfRule type="cellIs" dxfId="350" priority="134" stopIfTrue="1" operator="equal">
      <formula>"WW"</formula>
    </cfRule>
    <cfRule type="cellIs" dxfId="349" priority="135" stopIfTrue="1" operator="equal">
      <formula>"C2"</formula>
    </cfRule>
  </conditionalFormatting>
  <conditionalFormatting sqref="AU43:AU103">
    <cfRule type="cellIs" dxfId="348" priority="133" operator="equal">
      <formula>"E"</formula>
    </cfRule>
  </conditionalFormatting>
  <conditionalFormatting sqref="AU43:AU103">
    <cfRule type="cellIs" dxfId="347" priority="129" operator="equal">
      <formula>"M4"</formula>
    </cfRule>
    <cfRule type="cellIs" dxfId="346" priority="130" operator="equal">
      <formula>"M3"</formula>
    </cfRule>
    <cfRule type="cellIs" dxfId="345" priority="131" operator="equal">
      <formula>"M2"</formula>
    </cfRule>
    <cfRule type="cellIs" dxfId="344" priority="132" operator="equal">
      <formula>"M1"</formula>
    </cfRule>
  </conditionalFormatting>
  <conditionalFormatting sqref="J1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{EF019FBA-7CE0-4CDD-9691-9A870E373838}</x14:id>
        </ext>
      </extLst>
    </cfRule>
  </conditionalFormatting>
  <conditionalFormatting sqref="CC1">
    <cfRule type="cellIs" dxfId="343" priority="124" operator="equal">
      <formula>"E"</formula>
    </cfRule>
  </conditionalFormatting>
  <conditionalFormatting sqref="CC2:CC70">
    <cfRule type="cellIs" dxfId="342" priority="122" stopIfTrue="1" operator="equal">
      <formula>"WW"</formula>
    </cfRule>
    <cfRule type="cellIs" dxfId="341" priority="123" stopIfTrue="1" operator="equal">
      <formula>"C2"</formula>
    </cfRule>
  </conditionalFormatting>
  <conditionalFormatting sqref="BL3:BL52 BN39:BN52">
    <cfRule type="cellIs" dxfId="340" priority="104" operator="equal">
      <formula>"E"</formula>
    </cfRule>
  </conditionalFormatting>
  <conditionalFormatting sqref="BN3:BN38">
    <cfRule type="cellIs" dxfId="339" priority="99" operator="equal">
      <formula>"E"</formula>
    </cfRule>
  </conditionalFormatting>
  <conditionalFormatting sqref="BL1:BN2 BL53:BN1048576 BQ2:BS103">
    <cfRule type="cellIs" dxfId="338" priority="115" operator="equal">
      <formula>"E"</formula>
    </cfRule>
  </conditionalFormatting>
  <conditionalFormatting sqref="BK1:BK70">
    <cfRule type="cellIs" dxfId="337" priority="120" stopIfTrue="1" operator="equal">
      <formula>"WW"</formula>
    </cfRule>
    <cfRule type="cellIs" dxfId="336" priority="121" stopIfTrue="1" operator="equal">
      <formula>"C2"</formula>
    </cfRule>
  </conditionalFormatting>
  <conditionalFormatting sqref="BL53:BN103 BR3:BS52">
    <cfRule type="cellIs" dxfId="335" priority="116" operator="equal">
      <formula>"M4"</formula>
    </cfRule>
    <cfRule type="cellIs" dxfId="334" priority="117" operator="equal">
      <formula>"M3"</formula>
    </cfRule>
    <cfRule type="cellIs" dxfId="333" priority="118" operator="equal">
      <formula>"M2"</formula>
    </cfRule>
    <cfRule type="cellIs" dxfId="332" priority="119" operator="equal">
      <formula>"M1"</formula>
    </cfRule>
  </conditionalFormatting>
  <conditionalFormatting sqref="BP2:BP70">
    <cfRule type="cellIs" dxfId="331" priority="113" stopIfTrue="1" operator="equal">
      <formula>"WW"</formula>
    </cfRule>
    <cfRule type="cellIs" dxfId="330" priority="114" stopIfTrue="1" operator="equal">
      <formula>"C2"</formula>
    </cfRule>
  </conditionalFormatting>
  <conditionalFormatting sqref="BQ3:BS103">
    <cfRule type="cellIs" dxfId="329" priority="109" operator="equal">
      <formula>"M4"</formula>
    </cfRule>
    <cfRule type="cellIs" dxfId="328" priority="110" operator="equal">
      <formula>"M3"</formula>
    </cfRule>
    <cfRule type="cellIs" dxfId="327" priority="111" operator="equal">
      <formula>"M2"</formula>
    </cfRule>
    <cfRule type="cellIs" dxfId="326" priority="112" operator="equal">
      <formula>"M1"</formula>
    </cfRule>
  </conditionalFormatting>
  <conditionalFormatting sqref="BN3:BN38">
    <cfRule type="cellIs" dxfId="325" priority="100" operator="equal">
      <formula>"M4"</formula>
    </cfRule>
    <cfRule type="cellIs" dxfId="324" priority="101" operator="equal">
      <formula>"M3"</formula>
    </cfRule>
    <cfRule type="cellIs" dxfId="323" priority="102" operator="equal">
      <formula>"M2"</formula>
    </cfRule>
    <cfRule type="cellIs" dxfId="322" priority="103" operator="equal">
      <formula>"M1"</formula>
    </cfRule>
  </conditionalFormatting>
  <conditionalFormatting sqref="BM3:BM52">
    <cfRule type="cellIs" dxfId="321" priority="95" operator="equal">
      <formula>"M4"</formula>
    </cfRule>
    <cfRule type="cellIs" dxfId="320" priority="96" operator="equal">
      <formula>"M3"</formula>
    </cfRule>
    <cfRule type="cellIs" dxfId="319" priority="97" operator="equal">
      <formula>"M2"</formula>
    </cfRule>
    <cfRule type="cellIs" dxfId="318" priority="98" operator="equal">
      <formula>"M1"</formula>
    </cfRule>
  </conditionalFormatting>
  <conditionalFormatting sqref="BM3:BM52">
    <cfRule type="cellIs" dxfId="317" priority="94" operator="equal">
      <formula>"E"</formula>
    </cfRule>
  </conditionalFormatting>
  <conditionalFormatting sqref="BL3:BL52 BN39:BN52">
    <cfRule type="cellIs" dxfId="316" priority="105" operator="equal">
      <formula>"M4"</formula>
    </cfRule>
    <cfRule type="cellIs" dxfId="315" priority="106" operator="equal">
      <formula>"M3"</formula>
    </cfRule>
    <cfRule type="cellIs" dxfId="314" priority="107" operator="equal">
      <formula>"M2"</formula>
    </cfRule>
    <cfRule type="cellIs" dxfId="313" priority="108" operator="equal">
      <formula>"M1"</formula>
    </cfRule>
  </conditionalFormatting>
  <conditionalFormatting sqref="CA1:CA1048576">
    <cfRule type="cellIs" dxfId="312" priority="87" operator="equal">
      <formula>"E"</formula>
    </cfRule>
  </conditionalFormatting>
  <conditionalFormatting sqref="BZ1:BZ70">
    <cfRule type="cellIs" dxfId="311" priority="92" stopIfTrue="1" operator="equal">
      <formula>"WW"</formula>
    </cfRule>
    <cfRule type="cellIs" dxfId="310" priority="93" stopIfTrue="1" operator="equal">
      <formula>"C2"</formula>
    </cfRule>
  </conditionalFormatting>
  <conditionalFormatting sqref="CA3:CA103">
    <cfRule type="cellIs" dxfId="309" priority="88" operator="equal">
      <formula>"M4"</formula>
    </cfRule>
    <cfRule type="cellIs" dxfId="308" priority="89" operator="equal">
      <formula>"M3"</formula>
    </cfRule>
    <cfRule type="cellIs" dxfId="307" priority="90" operator="equal">
      <formula>"M2"</formula>
    </cfRule>
    <cfRule type="cellIs" dxfId="306" priority="91" operator="equal">
      <formula>"M1"</formula>
    </cfRule>
  </conditionalFormatting>
  <conditionalFormatting sqref="AF113">
    <cfRule type="cellIs" dxfId="305" priority="82" operator="equal">
      <formula>"E"</formula>
    </cfRule>
  </conditionalFormatting>
  <conditionalFormatting sqref="AB1">
    <cfRule type="cellIs" dxfId="304" priority="86" operator="equal">
      <formula>"E"</formula>
    </cfRule>
  </conditionalFormatting>
  <conditionalFormatting sqref="AB2:AB70">
    <cfRule type="cellIs" dxfId="303" priority="84" stopIfTrue="1" operator="equal">
      <formula>"WW"</formula>
    </cfRule>
    <cfRule type="cellIs" dxfId="302" priority="85" stopIfTrue="1" operator="equal">
      <formula>"C2"</formula>
    </cfRule>
  </conditionalFormatting>
  <conditionalFormatting sqref="AB113">
    <cfRule type="cellIs" dxfId="301" priority="83" operator="equal">
      <formula>"E"</formula>
    </cfRule>
  </conditionalFormatting>
  <conditionalFormatting sqref="AL1">
    <cfRule type="cellIs" dxfId="300" priority="78" operator="equal">
      <formula>"E"</formula>
    </cfRule>
  </conditionalFormatting>
  <conditionalFormatting sqref="AG1">
    <cfRule type="cellIs" dxfId="299" priority="81" operator="equal">
      <formula>"E"</formula>
    </cfRule>
  </conditionalFormatting>
  <conditionalFormatting sqref="AG2:AG70">
    <cfRule type="cellIs" dxfId="298" priority="79" stopIfTrue="1" operator="equal">
      <formula>"WW"</formula>
    </cfRule>
    <cfRule type="cellIs" dxfId="297" priority="80" stopIfTrue="1" operator="equal">
      <formula>"C2"</formula>
    </cfRule>
  </conditionalFormatting>
  <conditionalFormatting sqref="AL2:AL70">
    <cfRule type="cellIs" dxfId="296" priority="76" stopIfTrue="1" operator="equal">
      <formula>"WW"</formula>
    </cfRule>
    <cfRule type="cellIs" dxfId="295" priority="77" stopIfTrue="1" operator="equal">
      <formula>"C2"</formula>
    </cfRule>
  </conditionalFormatting>
  <conditionalFormatting sqref="AD1:AE1">
    <cfRule type="cellIs" dxfId="294" priority="75" operator="equal">
      <formula>"E"</formula>
    </cfRule>
  </conditionalFormatting>
  <conditionalFormatting sqref="AC39:AE110 AC114:AE1048576 AC3:AC38">
    <cfRule type="cellIs" dxfId="293" priority="74" operator="equal">
      <formula>"E"</formula>
    </cfRule>
  </conditionalFormatting>
  <conditionalFormatting sqref="AC2:AE2">
    <cfRule type="cellIs" dxfId="292" priority="73" operator="equal">
      <formula>"E"</formula>
    </cfRule>
  </conditionalFormatting>
  <conditionalFormatting sqref="AC113:AE113">
    <cfRule type="cellIs" dxfId="291" priority="72" operator="equal">
      <formula>"E"</formula>
    </cfRule>
  </conditionalFormatting>
  <conditionalFormatting sqref="AE4:AE38">
    <cfRule type="cellIs" dxfId="290" priority="71" operator="equal">
      <formula>"E"</formula>
    </cfRule>
  </conditionalFormatting>
  <conditionalFormatting sqref="AE3">
    <cfRule type="cellIs" dxfId="289" priority="70" operator="equal">
      <formula>"E"</formula>
    </cfRule>
  </conditionalFormatting>
  <conditionalFormatting sqref="AD3:AD38">
    <cfRule type="cellIs" dxfId="288" priority="69" operator="equal">
      <formula>"E"</formula>
    </cfRule>
  </conditionalFormatting>
  <conditionalFormatting sqref="CD3:CD1048576">
    <cfRule type="cellIs" dxfId="287" priority="46" operator="equal">
      <formula>"E"</formula>
    </cfRule>
  </conditionalFormatting>
  <conditionalFormatting sqref="CD2">
    <cfRule type="cellIs" dxfId="286" priority="45" operator="equal">
      <formula>"E"</formula>
    </cfRule>
  </conditionalFormatting>
  <conditionalFormatting sqref="BU1">
    <cfRule type="cellIs" dxfId="285" priority="44" operator="equal">
      <formula>"E"</formula>
    </cfRule>
  </conditionalFormatting>
  <conditionalFormatting sqref="BU2:BU70">
    <cfRule type="cellIs" dxfId="284" priority="42" stopIfTrue="1" operator="equal">
      <formula>"WW"</formula>
    </cfRule>
    <cfRule type="cellIs" dxfId="283" priority="43" stopIfTrue="1" operator="equal">
      <formula>"C2"</formula>
    </cfRule>
  </conditionalFormatting>
  <conditionalFormatting sqref="BU113">
    <cfRule type="cellIs" dxfId="282" priority="41" operator="equal">
      <formula>"E"</formula>
    </cfRule>
  </conditionalFormatting>
  <conditionalFormatting sqref="BW1:BX1">
    <cfRule type="cellIs" dxfId="281" priority="40" operator="equal">
      <formula>"E"</formula>
    </cfRule>
  </conditionalFormatting>
  <conditionalFormatting sqref="BV39:BX110 BV114:BX1048576 BV3:BV38">
    <cfRule type="cellIs" dxfId="280" priority="39" operator="equal">
      <formula>"E"</formula>
    </cfRule>
  </conditionalFormatting>
  <conditionalFormatting sqref="BV2:BX2">
    <cfRule type="cellIs" dxfId="279" priority="38" operator="equal">
      <formula>"E"</formula>
    </cfRule>
  </conditionalFormatting>
  <conditionalFormatting sqref="BV113:BX113">
    <cfRule type="cellIs" dxfId="278" priority="37" operator="equal">
      <formula>"E"</formula>
    </cfRule>
  </conditionalFormatting>
  <conditionalFormatting sqref="BX4:BX38">
    <cfRule type="cellIs" dxfId="277" priority="36" operator="equal">
      <formula>"E"</formula>
    </cfRule>
  </conditionalFormatting>
  <conditionalFormatting sqref="BX3">
    <cfRule type="cellIs" dxfId="276" priority="35" operator="equal">
      <formula>"E"</formula>
    </cfRule>
  </conditionalFormatting>
  <conditionalFormatting sqref="BW3:BW38">
    <cfRule type="cellIs" dxfId="275" priority="34" operator="equal">
      <formula>"E"</formula>
    </cfRule>
  </conditionalFormatting>
  <conditionalFormatting sqref="AI1:AJ1">
    <cfRule type="cellIs" dxfId="274" priority="33" operator="equal">
      <formula>"E"</formula>
    </cfRule>
  </conditionalFormatting>
  <conditionalFormatting sqref="AH39:AJ110 AH114:AJ1048576 AH3:AH38">
    <cfRule type="cellIs" dxfId="273" priority="32" operator="equal">
      <formula>"E"</formula>
    </cfRule>
  </conditionalFormatting>
  <conditionalFormatting sqref="AH2:AJ2">
    <cfRule type="cellIs" dxfId="272" priority="31" operator="equal">
      <formula>"E"</formula>
    </cfRule>
  </conditionalFormatting>
  <conditionalFormatting sqref="AH113:AJ113">
    <cfRule type="cellIs" dxfId="271" priority="30" operator="equal">
      <formula>"E"</formula>
    </cfRule>
  </conditionalFormatting>
  <conditionalFormatting sqref="AJ4:AJ38">
    <cfRule type="cellIs" dxfId="270" priority="29" operator="equal">
      <formula>"E"</formula>
    </cfRule>
  </conditionalFormatting>
  <conditionalFormatting sqref="AJ3">
    <cfRule type="cellIs" dxfId="269" priority="28" operator="equal">
      <formula>"E"</formula>
    </cfRule>
  </conditionalFormatting>
  <conditionalFormatting sqref="AI3:AI38">
    <cfRule type="cellIs" dxfId="268" priority="27" operator="equal">
      <formula>"E"</formula>
    </cfRule>
  </conditionalFormatting>
  <conditionalFormatting sqref="AN1:AO1">
    <cfRule type="cellIs" dxfId="267" priority="26" operator="equal">
      <formula>"E"</formula>
    </cfRule>
  </conditionalFormatting>
  <conditionalFormatting sqref="AM39:AO110 AM114:AO1048576 AM3:AM38">
    <cfRule type="cellIs" dxfId="266" priority="25" operator="equal">
      <formula>"E"</formula>
    </cfRule>
  </conditionalFormatting>
  <conditionalFormatting sqref="AM2:AO2">
    <cfRule type="cellIs" dxfId="265" priority="24" operator="equal">
      <formula>"E"</formula>
    </cfRule>
  </conditionalFormatting>
  <conditionalFormatting sqref="AM113:AO113">
    <cfRule type="cellIs" dxfId="264" priority="23" operator="equal">
      <formula>"E"</formula>
    </cfRule>
  </conditionalFormatting>
  <conditionalFormatting sqref="AO4:AO38">
    <cfRule type="cellIs" dxfId="263" priority="22" operator="equal">
      <formula>"E"</formula>
    </cfRule>
  </conditionalFormatting>
  <conditionalFormatting sqref="AO3">
    <cfRule type="cellIs" dxfId="262" priority="21" operator="equal">
      <formula>"E"</formula>
    </cfRule>
  </conditionalFormatting>
  <conditionalFormatting sqref="AN3:AN38">
    <cfRule type="cellIs" dxfId="261" priority="20" operator="equal">
      <formula>"E"</formula>
    </cfRule>
  </conditionalFormatting>
  <conditionalFormatting sqref="AX3:BI42">
    <cfRule type="cellIs" dxfId="26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019FBA-7CE0-4CDD-9691-9A870E373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topLeftCell="A4"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0" width="5.109375" style="17" customWidth="1"/>
    <col min="31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  <col min="83" max="83" width="9.77734375" style="17" customWidth="1"/>
  </cols>
  <sheetData>
    <row r="1" spans="1:82">
      <c r="A1" s="31" t="s">
        <v>117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V1" s="17"/>
      <c r="BW1" s="11"/>
      <c r="BX1" s="11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10</v>
      </c>
      <c r="AD3" s="13">
        <v>50</v>
      </c>
      <c r="AE3" s="13">
        <v>50</v>
      </c>
      <c r="AG3" s="12">
        <v>0</v>
      </c>
      <c r="AH3" s="13">
        <v>10</v>
      </c>
      <c r="AI3" s="13">
        <v>0</v>
      </c>
      <c r="AJ3" s="13">
        <v>50</v>
      </c>
      <c r="AL3" s="12">
        <v>0</v>
      </c>
      <c r="AM3" s="13">
        <v>10</v>
      </c>
      <c r="AN3" s="13">
        <v>6</v>
      </c>
      <c r="AO3" s="13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50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600</v>
      </c>
      <c r="BE3" s="13">
        <v>600</v>
      </c>
      <c r="BF3" s="13">
        <v>600</v>
      </c>
      <c r="BG3" s="13">
        <v>125</v>
      </c>
      <c r="BH3" s="13">
        <v>300</v>
      </c>
      <c r="BI3" s="13">
        <v>100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250</v>
      </c>
      <c r="BW3" s="13">
        <v>10</v>
      </c>
      <c r="BX3" s="13">
        <v>10</v>
      </c>
      <c r="BZ3" s="12">
        <v>0</v>
      </c>
      <c r="CA3" s="13">
        <v>100</v>
      </c>
      <c r="CC3" s="12">
        <v>0</v>
      </c>
      <c r="CD3" s="13">
        <v>50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52</v>
      </c>
      <c r="AD4" s="13">
        <v>93</v>
      </c>
      <c r="AE4" s="13">
        <v>93</v>
      </c>
      <c r="AG4" s="12">
        <v>1</v>
      </c>
      <c r="AH4" s="13">
        <v>51</v>
      </c>
      <c r="AI4" s="13">
        <v>168</v>
      </c>
      <c r="AJ4" s="13">
        <v>198</v>
      </c>
      <c r="AL4" s="12">
        <v>1</v>
      </c>
      <c r="AM4" s="13">
        <v>52</v>
      </c>
      <c r="AN4" s="13">
        <v>168</v>
      </c>
      <c r="AO4" s="13">
        <v>198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50</v>
      </c>
      <c r="BW4" s="13">
        <v>3</v>
      </c>
      <c r="BX4" s="13">
        <v>1</v>
      </c>
      <c r="BZ4" s="12">
        <v>1</v>
      </c>
      <c r="CA4" s="13">
        <v>30</v>
      </c>
      <c r="CC4" s="12">
        <v>1</v>
      </c>
      <c r="CD4" s="13">
        <v>2200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915</v>
      </c>
      <c r="E5" s="110">
        <f>SUMIF(T$3:T$52,$A5,AD$3:AD$52)</f>
        <v>934</v>
      </c>
      <c r="F5" s="5">
        <f>SUMIF(U$3:U$52,$A5,AE$3:AE$52)</f>
        <v>934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10</v>
      </c>
      <c r="AD5" s="13">
        <v>50</v>
      </c>
      <c r="AE5" s="13">
        <v>50</v>
      </c>
      <c r="AG5" s="12">
        <v>2</v>
      </c>
      <c r="AH5" s="13">
        <v>5</v>
      </c>
      <c r="AI5" s="13">
        <v>0</v>
      </c>
      <c r="AJ5" s="13">
        <v>50</v>
      </c>
      <c r="AL5" s="12">
        <v>2</v>
      </c>
      <c r="AM5" s="13">
        <v>5</v>
      </c>
      <c r="AN5" s="13">
        <v>6</v>
      </c>
      <c r="AO5" s="13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20</v>
      </c>
      <c r="AY5" s="13">
        <v>750</v>
      </c>
      <c r="AZ5" s="13">
        <v>750</v>
      </c>
      <c r="BA5" s="13">
        <v>50</v>
      </c>
      <c r="BB5" s="13">
        <v>50</v>
      </c>
      <c r="BC5" s="13">
        <v>50</v>
      </c>
      <c r="BD5" s="13">
        <v>1</v>
      </c>
      <c r="BE5" s="13">
        <v>1</v>
      </c>
      <c r="BF5" s="13">
        <v>1</v>
      </c>
      <c r="BG5" s="13">
        <v>6</v>
      </c>
      <c r="BH5" s="13">
        <v>1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100</v>
      </c>
      <c r="BW5" s="13">
        <v>10</v>
      </c>
      <c r="BX5" s="13">
        <v>10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465</v>
      </c>
      <c r="F6" s="8">
        <f t="shared" si="1"/>
        <v>465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52</v>
      </c>
      <c r="AD6" s="13">
        <v>4</v>
      </c>
      <c r="AE6" s="13">
        <v>4</v>
      </c>
      <c r="AG6" s="12">
        <v>3</v>
      </c>
      <c r="AH6" s="13">
        <v>52</v>
      </c>
      <c r="AI6" s="13">
        <v>1</v>
      </c>
      <c r="AJ6" s="13">
        <v>0</v>
      </c>
      <c r="AL6" s="12">
        <v>3</v>
      </c>
      <c r="AM6" s="13">
        <v>51</v>
      </c>
      <c r="AN6" s="13">
        <v>1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50</v>
      </c>
      <c r="BW6" s="13">
        <v>3</v>
      </c>
      <c r="BX6" s="13">
        <v>1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40</v>
      </c>
      <c r="E7" s="109">
        <f t="shared" si="1"/>
        <v>8</v>
      </c>
      <c r="F7" s="8">
        <f t="shared" si="1"/>
        <v>8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21</v>
      </c>
      <c r="AE7" s="13">
        <v>21</v>
      </c>
      <c r="AG7" s="12">
        <v>4</v>
      </c>
      <c r="AH7" s="13">
        <v>6</v>
      </c>
      <c r="AI7" s="13">
        <v>0</v>
      </c>
      <c r="AJ7" s="13">
        <v>50</v>
      </c>
      <c r="AL7" s="12">
        <v>4</v>
      </c>
      <c r="AM7" s="13">
        <v>1</v>
      </c>
      <c r="AN7" s="13">
        <v>6</v>
      </c>
      <c r="AO7" s="13">
        <v>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50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300</v>
      </c>
      <c r="BE7" s="13">
        <v>300</v>
      </c>
      <c r="BF7" s="13">
        <v>300</v>
      </c>
      <c r="BG7" s="13">
        <v>100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</v>
      </c>
      <c r="BX7" s="13">
        <v>10</v>
      </c>
      <c r="BZ7" s="12">
        <v>4</v>
      </c>
      <c r="CA7" s="13">
        <v>50</v>
      </c>
      <c r="CC7" s="12">
        <v>4</v>
      </c>
      <c r="CD7" s="13">
        <v>350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40</v>
      </c>
      <c r="E8" s="109">
        <f t="shared" si="1"/>
        <v>9</v>
      </c>
      <c r="F8" s="8">
        <f t="shared" si="1"/>
        <v>9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53</v>
      </c>
      <c r="AD8" s="13">
        <v>5</v>
      </c>
      <c r="AE8" s="13">
        <v>5</v>
      </c>
      <c r="AG8" s="12">
        <v>5</v>
      </c>
      <c r="AH8" s="13">
        <v>51</v>
      </c>
      <c r="AI8" s="13">
        <v>3</v>
      </c>
      <c r="AJ8" s="13">
        <v>1</v>
      </c>
      <c r="AL8" s="12">
        <v>5</v>
      </c>
      <c r="AM8" s="13">
        <v>51</v>
      </c>
      <c r="AN8" s="13">
        <v>1</v>
      </c>
      <c r="AO8" s="13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50</v>
      </c>
      <c r="BW8" s="13">
        <v>3</v>
      </c>
      <c r="BX8" s="13">
        <v>1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5</v>
      </c>
      <c r="E9" s="109">
        <f t="shared" si="1"/>
        <v>2</v>
      </c>
      <c r="F9" s="8">
        <f t="shared" si="1"/>
        <v>2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6</v>
      </c>
      <c r="AD9" s="13">
        <v>23</v>
      </c>
      <c r="AE9" s="13">
        <v>23</v>
      </c>
      <c r="AG9" s="12">
        <v>6</v>
      </c>
      <c r="AH9" s="13">
        <v>8</v>
      </c>
      <c r="AI9" s="13">
        <v>0</v>
      </c>
      <c r="AJ9" s="13">
        <v>50</v>
      </c>
      <c r="AL9" s="12">
        <v>6</v>
      </c>
      <c r="AM9" s="13">
        <v>10</v>
      </c>
      <c r="AN9" s="13">
        <v>6</v>
      </c>
      <c r="AO9" s="13">
        <v>0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10</v>
      </c>
      <c r="AY9" s="13">
        <v>15</v>
      </c>
      <c r="AZ9" s="13">
        <v>15</v>
      </c>
      <c r="BA9" s="13">
        <v>15</v>
      </c>
      <c r="BB9" s="13">
        <v>15</v>
      </c>
      <c r="BC9" s="13">
        <v>15</v>
      </c>
      <c r="BD9" s="13">
        <v>1</v>
      </c>
      <c r="BE9" s="13">
        <v>1</v>
      </c>
      <c r="BF9" s="13">
        <v>1</v>
      </c>
      <c r="BG9" s="13">
        <v>3</v>
      </c>
      <c r="BH9" s="13">
        <v>1</v>
      </c>
      <c r="BI9" s="13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250</v>
      </c>
      <c r="BW9" s="13">
        <v>10</v>
      </c>
      <c r="BX9" s="13">
        <v>10</v>
      </c>
      <c r="BZ9" s="12">
        <v>6</v>
      </c>
      <c r="CA9" s="13">
        <v>200</v>
      </c>
      <c r="CC9" s="12">
        <v>6</v>
      </c>
      <c r="CD9" s="13">
        <v>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2</v>
      </c>
      <c r="F10" s="8">
        <f t="shared" si="1"/>
        <v>2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50</v>
      </c>
      <c r="AD10" s="13">
        <v>2</v>
      </c>
      <c r="AE10" s="13">
        <v>2</v>
      </c>
      <c r="AG10" s="12">
        <v>7</v>
      </c>
      <c r="AH10" s="13">
        <v>51</v>
      </c>
      <c r="AI10" s="13">
        <v>4</v>
      </c>
      <c r="AJ10" s="13">
        <v>1</v>
      </c>
      <c r="AL10" s="12">
        <v>7</v>
      </c>
      <c r="AM10" s="13">
        <v>51</v>
      </c>
      <c r="AN10" s="13">
        <v>7</v>
      </c>
      <c r="AO10" s="13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50</v>
      </c>
      <c r="BW10" s="13">
        <v>0</v>
      </c>
      <c r="BX10" s="13">
        <v>12</v>
      </c>
      <c r="BZ10" s="12">
        <v>7</v>
      </c>
      <c r="CA10" s="13">
        <v>20</v>
      </c>
      <c r="CC10" s="12">
        <v>7</v>
      </c>
      <c r="CD10" s="13">
        <v>3500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6</v>
      </c>
      <c r="AD11" s="13">
        <v>22</v>
      </c>
      <c r="AE11" s="13">
        <v>22</v>
      </c>
      <c r="AG11" s="12">
        <v>8</v>
      </c>
      <c r="AH11" s="13">
        <v>2</v>
      </c>
      <c r="AI11" s="13">
        <v>0</v>
      </c>
      <c r="AJ11" s="13">
        <v>50</v>
      </c>
      <c r="AL11" s="12">
        <v>8</v>
      </c>
      <c r="AM11" s="13">
        <v>1</v>
      </c>
      <c r="AN11" s="13">
        <v>6</v>
      </c>
      <c r="AO11" s="13">
        <v>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50</v>
      </c>
      <c r="AY11" s="13">
        <v>0</v>
      </c>
      <c r="AZ11" s="13">
        <v>0</v>
      </c>
      <c r="BA11" s="13">
        <v>600</v>
      </c>
      <c r="BB11" s="13">
        <v>600</v>
      </c>
      <c r="BC11" s="13">
        <v>600</v>
      </c>
      <c r="BD11" s="13">
        <v>100</v>
      </c>
      <c r="BE11" s="13">
        <v>100</v>
      </c>
      <c r="BF11" s="13">
        <v>100</v>
      </c>
      <c r="BG11" s="13">
        <v>20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100</v>
      </c>
      <c r="BW11" s="13">
        <v>10</v>
      </c>
      <c r="BX11" s="13">
        <v>10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53</v>
      </c>
      <c r="AD12" s="13">
        <v>2</v>
      </c>
      <c r="AE12" s="13">
        <v>2</v>
      </c>
      <c r="AG12" s="12">
        <v>9</v>
      </c>
      <c r="AH12" s="13">
        <v>51</v>
      </c>
      <c r="AI12" s="13">
        <v>2</v>
      </c>
      <c r="AJ12" s="13">
        <v>0</v>
      </c>
      <c r="AL12" s="12">
        <v>9</v>
      </c>
      <c r="AM12" s="13">
        <v>51</v>
      </c>
      <c r="AN12" s="13">
        <v>3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50</v>
      </c>
      <c r="BW12" s="13">
        <v>0</v>
      </c>
      <c r="BX12" s="13">
        <v>10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50</v>
      </c>
      <c r="AE13" s="13">
        <v>50</v>
      </c>
      <c r="AG13" s="12">
        <v>10</v>
      </c>
      <c r="AH13" s="13">
        <v>2</v>
      </c>
      <c r="AI13" s="13">
        <v>0</v>
      </c>
      <c r="AJ13" s="13">
        <v>50</v>
      </c>
      <c r="AL13" s="12">
        <v>10</v>
      </c>
      <c r="AM13" s="13">
        <v>2</v>
      </c>
      <c r="AN13" s="13">
        <v>4</v>
      </c>
      <c r="AO13" s="13">
        <v>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50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600</v>
      </c>
      <c r="BE13" s="13">
        <v>600</v>
      </c>
      <c r="BF13" s="13">
        <v>600</v>
      </c>
      <c r="BG13" s="13">
        <v>125</v>
      </c>
      <c r="BH13" s="13">
        <v>300</v>
      </c>
      <c r="BI13" s="13">
        <v>100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10</v>
      </c>
      <c r="BX13" s="13">
        <v>10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98</v>
      </c>
      <c r="K14" s="65">
        <v>6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51</v>
      </c>
      <c r="AD14" s="13">
        <v>93</v>
      </c>
      <c r="AE14" s="13">
        <v>93</v>
      </c>
      <c r="AG14" s="12">
        <v>11</v>
      </c>
      <c r="AH14" s="13">
        <v>51</v>
      </c>
      <c r="AI14" s="13">
        <v>168</v>
      </c>
      <c r="AJ14" s="13">
        <v>198</v>
      </c>
      <c r="AL14" s="12">
        <v>11</v>
      </c>
      <c r="AM14" s="13">
        <v>51</v>
      </c>
      <c r="AN14" s="13">
        <v>168</v>
      </c>
      <c r="AO14" s="13">
        <v>198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50</v>
      </c>
      <c r="BW14" s="13">
        <v>1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6</v>
      </c>
      <c r="AD15" s="13">
        <v>50</v>
      </c>
      <c r="AE15" s="13">
        <v>50</v>
      </c>
      <c r="AG15" s="12">
        <v>12</v>
      </c>
      <c r="AH15" s="13">
        <v>8</v>
      </c>
      <c r="AI15" s="13">
        <v>0</v>
      </c>
      <c r="AJ15" s="13">
        <v>50</v>
      </c>
      <c r="AL15" s="12">
        <v>12</v>
      </c>
      <c r="AM15" s="13">
        <v>10</v>
      </c>
      <c r="AN15" s="13">
        <v>4</v>
      </c>
      <c r="AO15" s="13">
        <v>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10</v>
      </c>
      <c r="AY15" s="13">
        <v>710</v>
      </c>
      <c r="AZ15" s="13">
        <v>710</v>
      </c>
      <c r="BA15" s="13">
        <v>50</v>
      </c>
      <c r="BB15" s="13">
        <v>50</v>
      </c>
      <c r="BC15" s="13">
        <v>50</v>
      </c>
      <c r="BD15" s="13">
        <v>1</v>
      </c>
      <c r="BE15" s="13">
        <v>1</v>
      </c>
      <c r="BF15" s="13">
        <v>1</v>
      </c>
      <c r="BG15" s="13">
        <v>6</v>
      </c>
      <c r="BH15" s="13">
        <v>1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250</v>
      </c>
      <c r="BW15" s="13">
        <v>10</v>
      </c>
      <c r="BX15" s="13">
        <v>10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50</v>
      </c>
      <c r="AD16" s="13">
        <v>1</v>
      </c>
      <c r="AE16" s="13">
        <v>1</v>
      </c>
      <c r="AG16" s="12">
        <v>13</v>
      </c>
      <c r="AH16" s="13">
        <v>51</v>
      </c>
      <c r="AI16" s="13">
        <v>0</v>
      </c>
      <c r="AJ16" s="13">
        <v>1</v>
      </c>
      <c r="AL16" s="12">
        <v>13</v>
      </c>
      <c r="AM16" s="13">
        <v>51</v>
      </c>
      <c r="AN16" s="13">
        <v>0</v>
      </c>
      <c r="AO16" s="13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50</v>
      </c>
      <c r="BW16" s="13">
        <v>1</v>
      </c>
      <c r="BX16" s="13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1000</v>
      </c>
      <c r="E17" s="109">
        <f>SUM(E5:E16)</f>
        <v>1420</v>
      </c>
      <c r="F17" s="109">
        <f>SUM(F5:F16)</f>
        <v>1420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6</v>
      </c>
      <c r="AD17" s="13">
        <v>50</v>
      </c>
      <c r="AE17" s="13">
        <v>50</v>
      </c>
      <c r="AG17" s="12">
        <v>14</v>
      </c>
      <c r="AH17" s="13">
        <v>2</v>
      </c>
      <c r="AI17" s="13">
        <v>0</v>
      </c>
      <c r="AJ17" s="13">
        <v>50</v>
      </c>
      <c r="AL17" s="12">
        <v>14</v>
      </c>
      <c r="AM17" s="13">
        <v>1</v>
      </c>
      <c r="AN17" s="13">
        <v>4</v>
      </c>
      <c r="AO17" s="13">
        <v>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50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300</v>
      </c>
      <c r="BE17" s="13">
        <v>300</v>
      </c>
      <c r="BF17" s="13">
        <v>300</v>
      </c>
      <c r="BG17" s="13">
        <v>100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100</v>
      </c>
      <c r="BW17" s="13">
        <v>10</v>
      </c>
      <c r="BX17" s="13">
        <v>10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50</v>
      </c>
      <c r="AD18" s="13">
        <v>1</v>
      </c>
      <c r="AE18" s="13">
        <v>1</v>
      </c>
      <c r="AG18" s="12">
        <v>15</v>
      </c>
      <c r="AH18" s="13">
        <v>51</v>
      </c>
      <c r="AI18" s="13">
        <v>4</v>
      </c>
      <c r="AJ18" s="13">
        <v>1</v>
      </c>
      <c r="AL18" s="12">
        <v>15</v>
      </c>
      <c r="AM18" s="13">
        <v>51</v>
      </c>
      <c r="AN18" s="13">
        <v>1</v>
      </c>
      <c r="AO18" s="13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50</v>
      </c>
      <c r="BW18" s="13">
        <v>1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2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21</v>
      </c>
      <c r="AE19" s="13">
        <v>21</v>
      </c>
      <c r="AG19" s="12">
        <v>16</v>
      </c>
      <c r="AH19" s="13">
        <v>2</v>
      </c>
      <c r="AI19" s="13">
        <v>0</v>
      </c>
      <c r="AJ19" s="13">
        <v>50</v>
      </c>
      <c r="AL19" s="12">
        <v>16</v>
      </c>
      <c r="AM19" s="13">
        <v>2</v>
      </c>
      <c r="AN19" s="13">
        <v>4</v>
      </c>
      <c r="AO19" s="13">
        <v>0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15</v>
      </c>
      <c r="AZ19" s="13">
        <v>15</v>
      </c>
      <c r="BA19" s="13">
        <v>15</v>
      </c>
      <c r="BB19" s="13">
        <v>15</v>
      </c>
      <c r="BC19" s="13">
        <v>15</v>
      </c>
      <c r="BD19" s="13">
        <v>1</v>
      </c>
      <c r="BE19" s="13">
        <v>1</v>
      </c>
      <c r="BF19" s="13">
        <v>1</v>
      </c>
      <c r="BG19" s="13">
        <v>3</v>
      </c>
      <c r="BH19" s="13">
        <v>1</v>
      </c>
      <c r="BI19" s="13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10</v>
      </c>
      <c r="BX19" s="13">
        <v>10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51</v>
      </c>
      <c r="AD20" s="13">
        <v>0</v>
      </c>
      <c r="AE20" s="13">
        <v>0</v>
      </c>
      <c r="AG20" s="12">
        <v>17</v>
      </c>
      <c r="AH20" s="13">
        <v>51</v>
      </c>
      <c r="AI20" s="13">
        <v>4</v>
      </c>
      <c r="AJ20" s="13">
        <v>0</v>
      </c>
      <c r="AL20" s="12">
        <v>17</v>
      </c>
      <c r="AM20" s="13">
        <v>51</v>
      </c>
      <c r="AN20" s="13">
        <v>5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50</v>
      </c>
      <c r="BW20" s="13">
        <v>0</v>
      </c>
      <c r="BX20" s="13">
        <v>12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6</v>
      </c>
      <c r="AD21" s="13">
        <v>21</v>
      </c>
      <c r="AE21" s="13">
        <v>21</v>
      </c>
      <c r="AG21" s="12">
        <v>18</v>
      </c>
      <c r="AH21" s="13">
        <v>8</v>
      </c>
      <c r="AI21" s="13">
        <v>0</v>
      </c>
      <c r="AJ21" s="13">
        <v>50</v>
      </c>
      <c r="AL21" s="12">
        <v>18</v>
      </c>
      <c r="AM21" s="13">
        <v>10</v>
      </c>
      <c r="AN21" s="13">
        <v>4</v>
      </c>
      <c r="AO21" s="13">
        <v>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50</v>
      </c>
      <c r="AY21" s="13">
        <v>0</v>
      </c>
      <c r="AZ21" s="13">
        <v>0</v>
      </c>
      <c r="BA21" s="13">
        <v>600</v>
      </c>
      <c r="BB21" s="13">
        <v>600</v>
      </c>
      <c r="BC21" s="13">
        <v>600</v>
      </c>
      <c r="BD21" s="13">
        <v>100</v>
      </c>
      <c r="BE21" s="13">
        <v>100</v>
      </c>
      <c r="BF21" s="13">
        <v>100</v>
      </c>
      <c r="BG21" s="13">
        <v>20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250</v>
      </c>
      <c r="BW21" s="13">
        <v>10</v>
      </c>
      <c r="BX21" s="13">
        <v>10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50</v>
      </c>
      <c r="AD22" s="13">
        <v>0</v>
      </c>
      <c r="AE22" s="13">
        <v>0</v>
      </c>
      <c r="AG22" s="12">
        <v>19</v>
      </c>
      <c r="AH22" s="13">
        <v>51</v>
      </c>
      <c r="AI22" s="13">
        <v>2</v>
      </c>
      <c r="AJ22" s="13">
        <v>0</v>
      </c>
      <c r="AL22" s="12">
        <v>19</v>
      </c>
      <c r="AM22" s="13">
        <v>51</v>
      </c>
      <c r="AN22" s="13">
        <v>3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50</v>
      </c>
      <c r="BW22" s="13">
        <v>0</v>
      </c>
      <c r="BX22" s="13">
        <v>10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919</v>
      </c>
      <c r="E23" s="110">
        <f>SUMIF(T$3:T$52,$A23,AI$3:AI$52)</f>
        <v>0</v>
      </c>
      <c r="F23" s="5">
        <f>SUMIF(U$3:U$52,$A23,AJ$3:AJ$52)</f>
        <v>1250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6</v>
      </c>
      <c r="AD23" s="13">
        <v>50</v>
      </c>
      <c r="AE23" s="13">
        <v>50</v>
      </c>
      <c r="AG23" s="12">
        <v>20</v>
      </c>
      <c r="AH23" s="13">
        <v>2</v>
      </c>
      <c r="AI23" s="13">
        <v>0</v>
      </c>
      <c r="AJ23" s="13">
        <v>50</v>
      </c>
      <c r="AL23" s="12">
        <v>20</v>
      </c>
      <c r="AM23" s="13">
        <v>1</v>
      </c>
      <c r="AN23" s="13">
        <v>4</v>
      </c>
      <c r="AO23" s="13">
        <v>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50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600</v>
      </c>
      <c r="BE23" s="13">
        <v>600</v>
      </c>
      <c r="BF23" s="13">
        <v>600</v>
      </c>
      <c r="BG23" s="13">
        <v>125</v>
      </c>
      <c r="BH23" s="13">
        <v>300</v>
      </c>
      <c r="BI23" s="13">
        <v>100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100</v>
      </c>
      <c r="BW23" s="13">
        <v>0</v>
      </c>
      <c r="BX23" s="13">
        <v>10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840</v>
      </c>
      <c r="F24" s="8">
        <f>SUMIF(U$3:U$52,$A24,AJ$3:AJ$52)</f>
        <v>990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50</v>
      </c>
      <c r="AD24" s="13">
        <v>93</v>
      </c>
      <c r="AE24" s="13">
        <v>93</v>
      </c>
      <c r="AG24" s="12">
        <v>21</v>
      </c>
      <c r="AH24" s="13">
        <v>51</v>
      </c>
      <c r="AI24" s="13">
        <v>168</v>
      </c>
      <c r="AJ24" s="13">
        <v>198</v>
      </c>
      <c r="AL24" s="12">
        <v>21</v>
      </c>
      <c r="AM24" s="13">
        <v>51</v>
      </c>
      <c r="AN24" s="13">
        <v>168</v>
      </c>
      <c r="AO24" s="13">
        <v>198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50</v>
      </c>
      <c r="BW24" s="13">
        <v>1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50</v>
      </c>
      <c r="E25" s="109">
        <f t="shared" si="3"/>
        <v>1</v>
      </c>
      <c r="F25" s="8">
        <f t="shared" si="3"/>
        <v>4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50</v>
      </c>
      <c r="AE25" s="13">
        <v>50</v>
      </c>
      <c r="AG25" s="12">
        <v>22</v>
      </c>
      <c r="AH25" s="13">
        <v>2</v>
      </c>
      <c r="AI25" s="13">
        <v>0</v>
      </c>
      <c r="AJ25" s="13">
        <v>50</v>
      </c>
      <c r="AL25" s="12">
        <v>22</v>
      </c>
      <c r="AM25" s="13">
        <v>2</v>
      </c>
      <c r="AN25" s="13">
        <v>4</v>
      </c>
      <c r="AO25" s="13">
        <v>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10</v>
      </c>
      <c r="AY25" s="13">
        <v>700</v>
      </c>
      <c r="AZ25" s="13">
        <v>700</v>
      </c>
      <c r="BA25" s="13">
        <v>50</v>
      </c>
      <c r="BB25" s="13">
        <v>50</v>
      </c>
      <c r="BC25" s="13">
        <v>50</v>
      </c>
      <c r="BD25" s="13">
        <v>1</v>
      </c>
      <c r="BE25" s="13">
        <v>1</v>
      </c>
      <c r="BF25" s="13">
        <v>1</v>
      </c>
      <c r="BG25" s="13">
        <v>6</v>
      </c>
      <c r="BH25" s="13">
        <v>1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0</v>
      </c>
      <c r="BX25" s="13">
        <v>10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15</v>
      </c>
      <c r="E26" s="109">
        <f t="shared" si="3"/>
        <v>19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51</v>
      </c>
      <c r="AD26" s="13">
        <v>1</v>
      </c>
      <c r="AE26" s="13">
        <v>1</v>
      </c>
      <c r="AG26" s="12">
        <v>23</v>
      </c>
      <c r="AH26" s="13">
        <v>51</v>
      </c>
      <c r="AI26" s="13">
        <v>0</v>
      </c>
      <c r="AJ26" s="13">
        <v>1</v>
      </c>
      <c r="AL26" s="12">
        <v>23</v>
      </c>
      <c r="AM26" s="13">
        <v>51</v>
      </c>
      <c r="AN26" s="13">
        <v>0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50</v>
      </c>
      <c r="BW26" s="13">
        <v>1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16</v>
      </c>
      <c r="E27" s="109">
        <f t="shared" si="3"/>
        <v>20</v>
      </c>
      <c r="F27" s="8">
        <f t="shared" si="3"/>
        <v>1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6</v>
      </c>
      <c r="AD27" s="13">
        <v>50</v>
      </c>
      <c r="AE27" s="13">
        <v>50</v>
      </c>
      <c r="AG27" s="12">
        <v>24</v>
      </c>
      <c r="AH27" s="13">
        <v>8</v>
      </c>
      <c r="AI27" s="13">
        <v>0</v>
      </c>
      <c r="AJ27" s="13">
        <v>50</v>
      </c>
      <c r="AL27" s="12">
        <v>24</v>
      </c>
      <c r="AM27" s="13">
        <v>10</v>
      </c>
      <c r="AN27" s="13">
        <v>4</v>
      </c>
      <c r="AO27" s="13">
        <v>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50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300</v>
      </c>
      <c r="BE27" s="13">
        <v>300</v>
      </c>
      <c r="BF27" s="13">
        <v>300</v>
      </c>
      <c r="BG27" s="13">
        <v>100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250</v>
      </c>
      <c r="BW27" s="13">
        <v>0</v>
      </c>
      <c r="BX27" s="13">
        <v>10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10</v>
      </c>
      <c r="F28" s="8">
        <f t="shared" si="3"/>
        <v>0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50</v>
      </c>
      <c r="AD28" s="13">
        <v>1</v>
      </c>
      <c r="AE28" s="13">
        <v>1</v>
      </c>
      <c r="AG28" s="12">
        <v>25</v>
      </c>
      <c r="AH28" s="13">
        <v>51</v>
      </c>
      <c r="AI28" s="13">
        <v>4</v>
      </c>
      <c r="AJ28" s="13">
        <v>1</v>
      </c>
      <c r="AL28" s="12">
        <v>25</v>
      </c>
      <c r="AM28" s="13">
        <v>51</v>
      </c>
      <c r="AN28" s="13">
        <v>1</v>
      </c>
      <c r="AO28" s="13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50</v>
      </c>
      <c r="BW28" s="13">
        <v>1</v>
      </c>
      <c r="BX28" s="13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6</v>
      </c>
      <c r="AD29" s="13">
        <v>21</v>
      </c>
      <c r="AE29" s="13">
        <v>21</v>
      </c>
      <c r="AG29" s="12">
        <v>26</v>
      </c>
      <c r="AH29" s="13">
        <v>2</v>
      </c>
      <c r="AI29" s="13">
        <v>0</v>
      </c>
      <c r="AJ29" s="13">
        <v>50</v>
      </c>
      <c r="AL29" s="12">
        <v>26</v>
      </c>
      <c r="AM29" s="13">
        <v>1</v>
      </c>
      <c r="AN29" s="13">
        <v>4</v>
      </c>
      <c r="AO29" s="13">
        <v>0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15</v>
      </c>
      <c r="AZ29" s="13">
        <v>15</v>
      </c>
      <c r="BA29" s="13">
        <v>15</v>
      </c>
      <c r="BB29" s="13">
        <v>15</v>
      </c>
      <c r="BC29" s="13">
        <v>15</v>
      </c>
      <c r="BD29" s="13">
        <v>1</v>
      </c>
      <c r="BE29" s="13">
        <v>1</v>
      </c>
      <c r="BF29" s="13">
        <v>1</v>
      </c>
      <c r="BG29" s="13">
        <v>3</v>
      </c>
      <c r="BH29" s="13">
        <v>1</v>
      </c>
      <c r="BI29" s="13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100</v>
      </c>
      <c r="BW29" s="13">
        <v>0</v>
      </c>
      <c r="BX29" s="13">
        <v>10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50</v>
      </c>
      <c r="AD30" s="13">
        <v>0</v>
      </c>
      <c r="AE30" s="13">
        <v>0</v>
      </c>
      <c r="AG30" s="12">
        <v>27</v>
      </c>
      <c r="AH30" s="13">
        <v>51</v>
      </c>
      <c r="AI30" s="13">
        <v>4</v>
      </c>
      <c r="AJ30" s="13">
        <v>0</v>
      </c>
      <c r="AL30" s="12">
        <v>27</v>
      </c>
      <c r="AM30" s="13">
        <v>51</v>
      </c>
      <c r="AN30" s="13">
        <v>5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50</v>
      </c>
      <c r="BW30" s="13">
        <v>0</v>
      </c>
      <c r="BX30" s="13">
        <v>12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21</v>
      </c>
      <c r="AE31" s="13">
        <v>21</v>
      </c>
      <c r="AG31" s="12">
        <v>28</v>
      </c>
      <c r="AH31" s="13">
        <v>2</v>
      </c>
      <c r="AI31" s="13">
        <v>0</v>
      </c>
      <c r="AJ31" s="13">
        <v>50</v>
      </c>
      <c r="AL31" s="12">
        <v>28</v>
      </c>
      <c r="AM31" s="13">
        <v>2</v>
      </c>
      <c r="AN31" s="13">
        <v>4</v>
      </c>
      <c r="AO31" s="13">
        <v>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50</v>
      </c>
      <c r="AY31" s="13">
        <v>0</v>
      </c>
      <c r="AZ31" s="13">
        <v>0</v>
      </c>
      <c r="BA31" s="13">
        <v>600</v>
      </c>
      <c r="BB31" s="13">
        <v>600</v>
      </c>
      <c r="BC31" s="13">
        <v>600</v>
      </c>
      <c r="BD31" s="13">
        <v>100</v>
      </c>
      <c r="BE31" s="13">
        <v>100</v>
      </c>
      <c r="BF31" s="13">
        <v>100</v>
      </c>
      <c r="BG31" s="13">
        <v>20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0</v>
      </c>
      <c r="BX31" s="13">
        <v>10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51</v>
      </c>
      <c r="AD32" s="13">
        <v>0</v>
      </c>
      <c r="AE32" s="13">
        <v>0</v>
      </c>
      <c r="AG32" s="12">
        <v>29</v>
      </c>
      <c r="AH32" s="13">
        <v>51</v>
      </c>
      <c r="AI32" s="13">
        <v>2</v>
      </c>
      <c r="AJ32" s="13">
        <v>0</v>
      </c>
      <c r="AL32" s="12">
        <v>29</v>
      </c>
      <c r="AM32" s="13">
        <v>51</v>
      </c>
      <c r="AN32" s="13">
        <v>3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50</v>
      </c>
      <c r="BW32" s="13">
        <v>0</v>
      </c>
      <c r="BX32" s="13">
        <v>10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14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6</v>
      </c>
      <c r="AD33" s="13">
        <v>50</v>
      </c>
      <c r="AE33" s="13">
        <v>50</v>
      </c>
      <c r="AG33" s="12">
        <v>30</v>
      </c>
      <c r="AH33" s="13">
        <v>8</v>
      </c>
      <c r="AI33" s="13">
        <v>0</v>
      </c>
      <c r="AJ33" s="13">
        <v>50</v>
      </c>
      <c r="AL33" s="12">
        <v>30</v>
      </c>
      <c r="AM33" s="13">
        <v>10</v>
      </c>
      <c r="AN33" s="13">
        <v>4</v>
      </c>
      <c r="AO33" s="13">
        <v>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50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600</v>
      </c>
      <c r="BE33" s="13">
        <v>600</v>
      </c>
      <c r="BF33" s="13">
        <v>600</v>
      </c>
      <c r="BG33" s="13">
        <v>125</v>
      </c>
      <c r="BH33" s="13">
        <v>300</v>
      </c>
      <c r="BI33" s="13">
        <v>100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250</v>
      </c>
      <c r="BW33" s="13">
        <v>0</v>
      </c>
      <c r="BX33" s="13">
        <v>10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20.911086717892427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50</v>
      </c>
      <c r="AD34" s="13">
        <v>93</v>
      </c>
      <c r="AE34" s="13">
        <v>93</v>
      </c>
      <c r="AG34" s="12">
        <v>31</v>
      </c>
      <c r="AH34" s="13">
        <v>51</v>
      </c>
      <c r="AI34" s="13">
        <v>168</v>
      </c>
      <c r="AJ34" s="13">
        <v>198</v>
      </c>
      <c r="AL34" s="12">
        <v>31</v>
      </c>
      <c r="AM34" s="13">
        <v>51</v>
      </c>
      <c r="AN34" s="13">
        <v>168</v>
      </c>
      <c r="AO34" s="13">
        <v>198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50</v>
      </c>
      <c r="BW34" s="13">
        <v>1</v>
      </c>
      <c r="BX34" s="13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890</v>
      </c>
      <c r="F35" s="109">
        <f>SUM(F23:F34)</f>
        <v>2250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0.32930845225027444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6</v>
      </c>
      <c r="AD35" s="13">
        <v>50</v>
      </c>
      <c r="AE35" s="13">
        <v>50</v>
      </c>
      <c r="AG35" s="12">
        <v>32</v>
      </c>
      <c r="AH35" s="13">
        <v>2</v>
      </c>
      <c r="AI35" s="13">
        <v>0</v>
      </c>
      <c r="AJ35" s="13">
        <v>50</v>
      </c>
      <c r="AL35" s="12">
        <v>32</v>
      </c>
      <c r="AM35" s="13">
        <v>1</v>
      </c>
      <c r="AN35" s="13">
        <v>4</v>
      </c>
      <c r="AO35" s="13">
        <v>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10</v>
      </c>
      <c r="AY35" s="13">
        <v>700</v>
      </c>
      <c r="AZ35" s="13">
        <v>700</v>
      </c>
      <c r="BA35" s="13">
        <v>50</v>
      </c>
      <c r="BB35" s="13">
        <v>50</v>
      </c>
      <c r="BC35" s="13">
        <v>50</v>
      </c>
      <c r="BD35" s="13">
        <v>1</v>
      </c>
      <c r="BE35" s="13">
        <v>1</v>
      </c>
      <c r="BF35" s="13">
        <v>1</v>
      </c>
      <c r="BG35" s="13">
        <v>6</v>
      </c>
      <c r="BH35" s="13">
        <v>1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100</v>
      </c>
      <c r="BW35" s="13">
        <v>0</v>
      </c>
      <c r="BX35" s="13">
        <v>10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3500</v>
      </c>
      <c r="J36">
        <v>0.38419319429198684</v>
      </c>
      <c r="K36" s="114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50</v>
      </c>
      <c r="AD36" s="13">
        <v>1</v>
      </c>
      <c r="AE36" s="13">
        <v>1</v>
      </c>
      <c r="AG36" s="12">
        <v>33</v>
      </c>
      <c r="AH36" s="13">
        <v>51</v>
      </c>
      <c r="AI36" s="13">
        <v>0</v>
      </c>
      <c r="AJ36" s="13">
        <v>1</v>
      </c>
      <c r="AL36" s="12">
        <v>33</v>
      </c>
      <c r="AM36" s="13">
        <v>51</v>
      </c>
      <c r="AN36" s="13">
        <v>0</v>
      </c>
      <c r="AO36" s="13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50</v>
      </c>
      <c r="BW36" s="13">
        <v>1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2"/>
      <c r="F37" s="111"/>
      <c r="G37" s="109"/>
      <c r="H37" s="22">
        <v>30</v>
      </c>
      <c r="I37" s="8">
        <f t="shared" si="4"/>
        <v>2200</v>
      </c>
      <c r="J37">
        <v>0.24149286498353459</v>
      </c>
      <c r="K37" s="114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50</v>
      </c>
      <c r="AE37" s="13">
        <v>50</v>
      </c>
      <c r="AG37" s="12">
        <v>34</v>
      </c>
      <c r="AH37" s="13">
        <v>2</v>
      </c>
      <c r="AI37" s="13">
        <v>0</v>
      </c>
      <c r="AJ37" s="13">
        <v>50</v>
      </c>
      <c r="AL37" s="12">
        <v>34</v>
      </c>
      <c r="AM37" s="13">
        <v>2</v>
      </c>
      <c r="AN37" s="13">
        <v>4</v>
      </c>
      <c r="AO37" s="13">
        <v>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50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300</v>
      </c>
      <c r="BE37" s="13">
        <v>300</v>
      </c>
      <c r="BF37" s="13">
        <v>300</v>
      </c>
      <c r="BG37" s="13">
        <v>100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0</v>
      </c>
      <c r="BX37" s="13">
        <v>10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350</v>
      </c>
      <c r="J38">
        <v>3.8419319429198684E-2</v>
      </c>
      <c r="K38" s="114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51</v>
      </c>
      <c r="AD38" s="13">
        <v>1</v>
      </c>
      <c r="AE38" s="13">
        <v>1</v>
      </c>
      <c r="AG38" s="12">
        <v>35</v>
      </c>
      <c r="AH38" s="13">
        <v>51</v>
      </c>
      <c r="AI38" s="13">
        <v>4</v>
      </c>
      <c r="AJ38" s="13">
        <v>1</v>
      </c>
      <c r="AL38" s="12">
        <v>35</v>
      </c>
      <c r="AM38" s="13">
        <v>51</v>
      </c>
      <c r="AN38" s="13">
        <v>1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50</v>
      </c>
      <c r="BW38" s="13">
        <v>1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50</v>
      </c>
      <c r="J39">
        <v>5.4884742041712408E-3</v>
      </c>
      <c r="K39" s="114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21</v>
      </c>
      <c r="AE39" s="13">
        <v>21</v>
      </c>
      <c r="AG39" s="12">
        <v>36</v>
      </c>
      <c r="AH39" s="13"/>
      <c r="AI39" s="13">
        <v>0</v>
      </c>
      <c r="AJ39" s="13">
        <v>50</v>
      </c>
      <c r="AL39" s="12">
        <v>36</v>
      </c>
      <c r="AM39" s="13"/>
      <c r="AN39" s="13">
        <v>4</v>
      </c>
      <c r="AO39" s="13">
        <v>0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0</v>
      </c>
      <c r="AY39" s="13">
        <v>15</v>
      </c>
      <c r="AZ39" s="13">
        <v>15</v>
      </c>
      <c r="BA39" s="13">
        <v>15</v>
      </c>
      <c r="BB39" s="13">
        <v>15</v>
      </c>
      <c r="BC39" s="13">
        <v>15</v>
      </c>
      <c r="BD39" s="13">
        <v>1</v>
      </c>
      <c r="BE39" s="13">
        <v>1</v>
      </c>
      <c r="BF39" s="13">
        <v>1</v>
      </c>
      <c r="BG39" s="13">
        <v>3</v>
      </c>
      <c r="BH39" s="13">
        <v>1</v>
      </c>
      <c r="BI39" s="13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0</v>
      </c>
      <c r="BX39" s="13">
        <v>10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10</v>
      </c>
      <c r="J40">
        <v>1.0976948408342481E-3</v>
      </c>
      <c r="K40" s="114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0</v>
      </c>
      <c r="AE40" s="13">
        <v>0</v>
      </c>
      <c r="AG40" s="12">
        <v>37</v>
      </c>
      <c r="AH40" s="13"/>
      <c r="AI40" s="13">
        <v>4</v>
      </c>
      <c r="AJ40" s="13">
        <v>0</v>
      </c>
      <c r="AL40" s="12">
        <v>37</v>
      </c>
      <c r="AM40" s="13"/>
      <c r="AN40" s="13">
        <v>5</v>
      </c>
      <c r="AO40" s="13">
        <v>0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0</v>
      </c>
      <c r="BX40" s="13">
        <v>12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919</v>
      </c>
      <c r="E41" s="110">
        <f>SUMIF(T$3:T$52,$A41,AN$3:AN$52)</f>
        <v>110</v>
      </c>
      <c r="F41" s="5">
        <f>SUMIF(U$3:U$52,$A41,AO$3:AO$52)</f>
        <v>0</v>
      </c>
      <c r="G41" s="109"/>
      <c r="H41" s="22">
        <v>500</v>
      </c>
      <c r="I41" s="8">
        <f t="shared" si="4"/>
        <v>0</v>
      </c>
      <c r="J41">
        <v>0</v>
      </c>
      <c r="K41" s="114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21</v>
      </c>
      <c r="AE41" s="13">
        <v>21</v>
      </c>
      <c r="AG41" s="12">
        <v>38</v>
      </c>
      <c r="AH41" s="13"/>
      <c r="AI41" s="13">
        <v>0</v>
      </c>
      <c r="AJ41" s="13">
        <v>50</v>
      </c>
      <c r="AL41" s="12">
        <v>38</v>
      </c>
      <c r="AM41" s="13"/>
      <c r="AN41" s="13">
        <v>4</v>
      </c>
      <c r="AO41" s="13">
        <v>0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50</v>
      </c>
      <c r="AY41" s="13">
        <v>0</v>
      </c>
      <c r="AZ41" s="13">
        <v>0</v>
      </c>
      <c r="BA41" s="13">
        <v>600</v>
      </c>
      <c r="BB41" s="13">
        <v>600</v>
      </c>
      <c r="BC41" s="13">
        <v>600</v>
      </c>
      <c r="BD41" s="13">
        <v>100</v>
      </c>
      <c r="BE41" s="13">
        <v>100</v>
      </c>
      <c r="BF41" s="13">
        <v>100</v>
      </c>
      <c r="BG41" s="13">
        <v>20</v>
      </c>
      <c r="BH41" s="13">
        <v>0</v>
      </c>
      <c r="BI41" s="13">
        <v>0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0</v>
      </c>
      <c r="BX41" s="13">
        <v>10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840</v>
      </c>
      <c r="F42" s="8">
        <f t="shared" si="6"/>
        <v>990</v>
      </c>
      <c r="H42" s="23">
        <v>1000</v>
      </c>
      <c r="I42" s="8">
        <f t="shared" si="4"/>
        <v>0</v>
      </c>
      <c r="J42">
        <v>0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0</v>
      </c>
      <c r="AE42" s="13">
        <v>0</v>
      </c>
      <c r="AG42" s="12">
        <v>39</v>
      </c>
      <c r="AH42" s="13"/>
      <c r="AI42" s="13">
        <v>2</v>
      </c>
      <c r="AJ42" s="13">
        <v>0</v>
      </c>
      <c r="AL42" s="12">
        <v>39</v>
      </c>
      <c r="AM42" s="13"/>
      <c r="AN42" s="13">
        <v>3</v>
      </c>
      <c r="AO42" s="13">
        <v>0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0</v>
      </c>
      <c r="BX42" s="13">
        <v>10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60</v>
      </c>
      <c r="E43" s="109">
        <f t="shared" si="6"/>
        <v>1</v>
      </c>
      <c r="F43" s="8">
        <f t="shared" si="6"/>
        <v>4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50</v>
      </c>
      <c r="AE43" s="13">
        <v>50</v>
      </c>
      <c r="AG43" s="12">
        <v>40</v>
      </c>
      <c r="AH43" s="13"/>
      <c r="AI43" s="13">
        <v>0</v>
      </c>
      <c r="AJ43" s="13">
        <v>50</v>
      </c>
      <c r="AL43" s="12">
        <v>40</v>
      </c>
      <c r="AM43" s="13"/>
      <c r="AN43" s="13">
        <v>4</v>
      </c>
      <c r="AO43" s="13">
        <v>0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0</v>
      </c>
      <c r="BX43" s="13">
        <v>10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10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93</v>
      </c>
      <c r="AE44" s="13">
        <v>93</v>
      </c>
      <c r="AG44" s="12">
        <v>41</v>
      </c>
      <c r="AH44" s="13"/>
      <c r="AI44" s="13">
        <v>168</v>
      </c>
      <c r="AJ44" s="13">
        <v>198</v>
      </c>
      <c r="AL44" s="12">
        <v>41</v>
      </c>
      <c r="AM44" s="13"/>
      <c r="AN44" s="13">
        <v>168</v>
      </c>
      <c r="AO44" s="13">
        <v>198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11</v>
      </c>
      <c r="E45" s="109">
        <f t="shared" si="6"/>
        <v>27</v>
      </c>
      <c r="F45" s="8">
        <f t="shared" si="6"/>
        <v>1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50</v>
      </c>
      <c r="AE45" s="13">
        <v>50</v>
      </c>
      <c r="AG45" s="12">
        <v>42</v>
      </c>
      <c r="AH45" s="13"/>
      <c r="AI45" s="13">
        <v>0</v>
      </c>
      <c r="AJ45" s="13">
        <v>50</v>
      </c>
      <c r="AL45" s="12">
        <v>42</v>
      </c>
      <c r="AM45" s="13"/>
      <c r="AN45" s="13">
        <v>4</v>
      </c>
      <c r="AO45" s="13">
        <v>0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0</v>
      </c>
      <c r="BX45" s="13">
        <v>10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15</v>
      </c>
      <c r="F46" s="8">
        <f t="shared" si="6"/>
        <v>0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0</v>
      </c>
      <c r="AJ46" s="13">
        <v>1</v>
      </c>
      <c r="AL46" s="12">
        <v>43</v>
      </c>
      <c r="AM46" s="13"/>
      <c r="AN46" s="13">
        <v>0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50</v>
      </c>
      <c r="AE47" s="13">
        <v>50</v>
      </c>
      <c r="AG47" s="12">
        <v>44</v>
      </c>
      <c r="AH47" s="13"/>
      <c r="AI47" s="13">
        <v>0</v>
      </c>
      <c r="AJ47" s="13">
        <v>50</v>
      </c>
      <c r="AL47" s="12">
        <v>44</v>
      </c>
      <c r="AM47" s="13"/>
      <c r="AN47" s="13">
        <v>4</v>
      </c>
      <c r="AO47" s="13">
        <v>0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0</v>
      </c>
      <c r="BX47" s="13">
        <v>0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4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21</v>
      </c>
      <c r="AE49" s="13">
        <v>21</v>
      </c>
      <c r="AG49" s="12">
        <v>46</v>
      </c>
      <c r="AH49" s="13"/>
      <c r="AI49" s="13">
        <v>0</v>
      </c>
      <c r="AJ49" s="13">
        <v>50</v>
      </c>
      <c r="AL49" s="12">
        <v>46</v>
      </c>
      <c r="AM49" s="13"/>
      <c r="AN49" s="13">
        <v>4</v>
      </c>
      <c r="AO49" s="13">
        <v>0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0</v>
      </c>
      <c r="BX49" s="13">
        <v>0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0</v>
      </c>
      <c r="AE50" s="13">
        <v>0</v>
      </c>
      <c r="AG50" s="12">
        <v>47</v>
      </c>
      <c r="AH50" s="13"/>
      <c r="AI50" s="13">
        <v>4</v>
      </c>
      <c r="AJ50" s="13">
        <v>0</v>
      </c>
      <c r="AL50" s="12">
        <v>47</v>
      </c>
      <c r="AM50" s="13"/>
      <c r="AN50" s="13">
        <v>5</v>
      </c>
      <c r="AO50" s="13">
        <v>0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0</v>
      </c>
      <c r="BX50" s="13">
        <v>12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21</v>
      </c>
      <c r="AE51" s="13">
        <v>21</v>
      </c>
      <c r="AG51" s="12">
        <v>48</v>
      </c>
      <c r="AH51" s="13"/>
      <c r="AI51" s="13">
        <v>0</v>
      </c>
      <c r="AJ51" s="13">
        <v>50</v>
      </c>
      <c r="AL51" s="12">
        <v>48</v>
      </c>
      <c r="AM51" s="13"/>
      <c r="AN51" s="13">
        <v>4</v>
      </c>
      <c r="AO51" s="13">
        <v>0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0</v>
      </c>
      <c r="BX51" s="13">
        <v>0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0</v>
      </c>
      <c r="AE52" s="13">
        <v>0</v>
      </c>
      <c r="AG52" s="12">
        <v>49</v>
      </c>
      <c r="AH52" s="13"/>
      <c r="AI52" s="13">
        <v>2</v>
      </c>
      <c r="AJ52" s="13">
        <v>0</v>
      </c>
      <c r="AL52" s="12">
        <v>49</v>
      </c>
      <c r="AM52" s="13"/>
      <c r="AN52" s="13">
        <v>3</v>
      </c>
      <c r="AO52" s="13">
        <v>0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0</v>
      </c>
      <c r="BX52" s="13">
        <v>10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1000</v>
      </c>
      <c r="E53" s="109">
        <f>SUM(E41:E52)</f>
        <v>998</v>
      </c>
      <c r="F53" s="109">
        <f>SUM(F41:F52)</f>
        <v>1000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200</v>
      </c>
      <c r="E63" s="109">
        <f t="shared" si="7"/>
        <v>0</v>
      </c>
      <c r="F63" s="8">
        <f t="shared" si="7"/>
        <v>0</v>
      </c>
      <c r="G63" s="7">
        <f t="shared" si="7"/>
        <v>0</v>
      </c>
      <c r="H63" s="109">
        <f t="shared" si="7"/>
        <v>0</v>
      </c>
      <c r="I63" s="109">
        <f t="shared" si="7"/>
        <v>0</v>
      </c>
      <c r="J63" s="109">
        <f t="shared" si="7"/>
        <v>2400</v>
      </c>
      <c r="K63" s="109">
        <f t="shared" si="7"/>
        <v>2400</v>
      </c>
      <c r="L63" s="109">
        <f t="shared" si="7"/>
        <v>2400</v>
      </c>
      <c r="M63" s="49">
        <f t="shared" si="7"/>
        <v>500</v>
      </c>
      <c r="N63" s="109">
        <f t="shared" si="7"/>
        <v>1200</v>
      </c>
      <c r="O63" s="8">
        <f t="shared" si="7"/>
        <v>400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200</v>
      </c>
      <c r="E64" s="109">
        <f t="shared" si="7"/>
        <v>0</v>
      </c>
      <c r="F64" s="8">
        <f t="shared" si="7"/>
        <v>0</v>
      </c>
      <c r="G64" s="7">
        <f t="shared" si="7"/>
        <v>0</v>
      </c>
      <c r="H64" s="109">
        <f t="shared" si="7"/>
        <v>0</v>
      </c>
      <c r="I64" s="109">
        <f t="shared" si="7"/>
        <v>0</v>
      </c>
      <c r="J64" s="109">
        <f t="shared" si="7"/>
        <v>1200</v>
      </c>
      <c r="K64" s="109">
        <f t="shared" si="7"/>
        <v>1200</v>
      </c>
      <c r="L64" s="109">
        <f t="shared" si="7"/>
        <v>1200</v>
      </c>
      <c r="M64" s="49">
        <f t="shared" si="7"/>
        <v>400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200</v>
      </c>
      <c r="E65" s="109">
        <f t="shared" si="7"/>
        <v>0</v>
      </c>
      <c r="F65" s="8">
        <f t="shared" si="7"/>
        <v>0</v>
      </c>
      <c r="G65" s="7">
        <f t="shared" si="7"/>
        <v>2400</v>
      </c>
      <c r="H65" s="109">
        <f t="shared" si="7"/>
        <v>2400</v>
      </c>
      <c r="I65" s="109">
        <f t="shared" si="7"/>
        <v>2400</v>
      </c>
      <c r="J65" s="109">
        <f t="shared" si="7"/>
        <v>400</v>
      </c>
      <c r="K65" s="109">
        <f t="shared" si="7"/>
        <v>400</v>
      </c>
      <c r="L65" s="109">
        <f t="shared" si="7"/>
        <v>400</v>
      </c>
      <c r="M65" s="49">
        <f t="shared" si="7"/>
        <v>80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50</v>
      </c>
      <c r="E66" s="109">
        <f t="shared" si="7"/>
        <v>2860</v>
      </c>
      <c r="F66" s="8">
        <f t="shared" si="7"/>
        <v>2860</v>
      </c>
      <c r="G66" s="7">
        <f t="shared" si="7"/>
        <v>200</v>
      </c>
      <c r="H66" s="109">
        <f t="shared" si="7"/>
        <v>200</v>
      </c>
      <c r="I66" s="109">
        <f t="shared" si="7"/>
        <v>200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24</v>
      </c>
      <c r="N66" s="109">
        <f t="shared" si="7"/>
        <v>4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12</v>
      </c>
      <c r="E68" s="51">
        <f t="shared" si="7"/>
        <v>60</v>
      </c>
      <c r="F68" s="58">
        <f t="shared" si="7"/>
        <v>60</v>
      </c>
      <c r="G68" s="50">
        <f t="shared" si="7"/>
        <v>60</v>
      </c>
      <c r="H68" s="51">
        <f t="shared" si="7"/>
        <v>60</v>
      </c>
      <c r="I68" s="51">
        <f t="shared" si="7"/>
        <v>60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12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662</v>
      </c>
      <c r="E69" s="109">
        <f t="shared" ref="E69:O69" si="8">SUM(E57:E68)</f>
        <v>2920</v>
      </c>
      <c r="F69" s="109">
        <f t="shared" si="8"/>
        <v>2920</v>
      </c>
      <c r="G69" s="109">
        <f t="shared" si="8"/>
        <v>2660</v>
      </c>
      <c r="H69" s="109">
        <f t="shared" si="8"/>
        <v>2660</v>
      </c>
      <c r="I69" s="109">
        <f t="shared" si="8"/>
        <v>2660</v>
      </c>
      <c r="J69" s="109">
        <f t="shared" si="8"/>
        <v>4008</v>
      </c>
      <c r="K69" s="109">
        <f t="shared" si="8"/>
        <v>4008</v>
      </c>
      <c r="L69" s="109">
        <f t="shared" si="8"/>
        <v>4008</v>
      </c>
      <c r="M69" s="109">
        <f t="shared" si="8"/>
        <v>1016</v>
      </c>
      <c r="N69" s="109">
        <f t="shared" si="8"/>
        <v>1208</v>
      </c>
      <c r="O69" s="109">
        <f t="shared" si="8"/>
        <v>404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 s="121">
        <f>D68/D69</f>
        <v>1.812688821752266E-2</v>
      </c>
      <c r="E70" s="121">
        <f t="shared" ref="E70:O70" si="9">E68/E69</f>
        <v>2.0547945205479451E-2</v>
      </c>
      <c r="F70" s="121">
        <f t="shared" si="9"/>
        <v>2.0547945205479451E-2</v>
      </c>
      <c r="G70" s="121">
        <f t="shared" si="9"/>
        <v>2.2556390977443608E-2</v>
      </c>
      <c r="H70" s="121">
        <f t="shared" si="9"/>
        <v>2.2556390977443608E-2</v>
      </c>
      <c r="I70" s="121">
        <f t="shared" si="9"/>
        <v>2.2556390977443608E-2</v>
      </c>
      <c r="J70" s="121">
        <f t="shared" si="9"/>
        <v>9.9800399201596798E-4</v>
      </c>
      <c r="K70" s="121">
        <f t="shared" si="9"/>
        <v>9.9800399201596798E-4</v>
      </c>
      <c r="L70" s="121">
        <f t="shared" si="9"/>
        <v>9.9800399201596798E-4</v>
      </c>
      <c r="M70" s="121">
        <f t="shared" si="9"/>
        <v>1.1811023622047244E-2</v>
      </c>
      <c r="N70" s="121">
        <f t="shared" si="9"/>
        <v>3.3112582781456954E-3</v>
      </c>
      <c r="O70" s="121">
        <f t="shared" si="9"/>
        <v>9.9009900990099011E-3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D71">
        <f>D66/D69</f>
        <v>7.5528700906344406E-2</v>
      </c>
      <c r="E71">
        <f t="shared" ref="E71:O71" si="10">E66/E69</f>
        <v>0.97945205479452058</v>
      </c>
      <c r="F71">
        <f t="shared" si="10"/>
        <v>0.97945205479452058</v>
      </c>
      <c r="G71">
        <f t="shared" si="10"/>
        <v>7.5187969924812026E-2</v>
      </c>
      <c r="H71">
        <f t="shared" si="10"/>
        <v>7.5187969924812026E-2</v>
      </c>
      <c r="I71">
        <f t="shared" si="10"/>
        <v>7.5187969924812026E-2</v>
      </c>
      <c r="J71">
        <f t="shared" si="10"/>
        <v>9.9800399201596798E-4</v>
      </c>
      <c r="K71">
        <f t="shared" si="10"/>
        <v>9.9800399201596798E-4</v>
      </c>
      <c r="L71">
        <f t="shared" si="10"/>
        <v>9.9800399201596798E-4</v>
      </c>
      <c r="M71">
        <f t="shared" si="10"/>
        <v>2.3622047244094488E-2</v>
      </c>
      <c r="N71">
        <f t="shared" si="10"/>
        <v>3.3112582781456954E-3</v>
      </c>
      <c r="O71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900</v>
      </c>
      <c r="E73" s="110">
        <f>SUMIF(BM$3:BM$52,$A73,BW$3:BW$52)</f>
        <v>100</v>
      </c>
      <c r="F73" s="5">
        <f>SUMIF(BN$3:BN$52,$A73,BX$3:BX$52)</f>
        <v>220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1">SUMIF(BL$3:BL$38,$A74,BV$3:BV$38)</f>
        <v>0</v>
      </c>
      <c r="E74" s="109">
        <f t="shared" ref="E74:F84" si="12">SUMIF(BM$3:BM$52,$A74,BW$3:BW$52)</f>
        <v>7</v>
      </c>
      <c r="F74" s="8">
        <f t="shared" si="12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1"/>
        <v>1500</v>
      </c>
      <c r="E75" s="109">
        <f t="shared" si="12"/>
        <v>7</v>
      </c>
      <c r="F75" s="8">
        <f t="shared" si="12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1"/>
        <v>600</v>
      </c>
      <c r="E76" s="109">
        <f t="shared" si="12"/>
        <v>7</v>
      </c>
      <c r="F76" s="8">
        <f t="shared" si="12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1"/>
        <v>6</v>
      </c>
      <c r="E77" s="109">
        <f t="shared" si="12"/>
        <v>0</v>
      </c>
      <c r="F77" s="39">
        <f t="shared" si="12"/>
        <v>60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1"/>
        <v>0</v>
      </c>
      <c r="E78" s="109">
        <f t="shared" si="12"/>
        <v>0</v>
      </c>
      <c r="F78" s="39">
        <f t="shared" si="12"/>
        <v>50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1"/>
        <v>0</v>
      </c>
      <c r="E79" s="60">
        <f t="shared" si="12"/>
        <v>0</v>
      </c>
      <c r="F79" s="39">
        <f t="shared" si="12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1"/>
        <v>0</v>
      </c>
      <c r="E80" s="60">
        <f t="shared" si="12"/>
        <v>0</v>
      </c>
      <c r="F80" s="39">
        <f t="shared" si="12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1"/>
        <v>0</v>
      </c>
      <c r="E81" s="60">
        <f t="shared" si="12"/>
        <v>0</v>
      </c>
      <c r="F81" s="39">
        <f t="shared" si="12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1"/>
        <v>0</v>
      </c>
      <c r="E82" s="60">
        <f t="shared" si="12"/>
        <v>0</v>
      </c>
      <c r="F82" s="39">
        <f t="shared" si="12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1"/>
        <v>0</v>
      </c>
      <c r="E83" s="60">
        <f t="shared" si="12"/>
        <v>0</v>
      </c>
      <c r="F83" s="39">
        <f t="shared" si="12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1"/>
        <v>0</v>
      </c>
      <c r="E84" s="40">
        <f t="shared" si="12"/>
        <v>0</v>
      </c>
      <c r="F84" s="41">
        <f t="shared" si="12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3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3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3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3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3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3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3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P113">
    <cfRule type="cellIs" dxfId="259" priority="478" operator="equal">
      <formula>"E"</formula>
    </cfRule>
  </conditionalFormatting>
  <conditionalFormatting sqref="S1:U110 X2:Z2 S114:U1048576 S111:T113 X53:Z103 X39:X52">
    <cfRule type="cellIs" dxfId="258" priority="181" operator="equal">
      <formula>"E"</formula>
    </cfRule>
  </conditionalFormatting>
  <conditionalFormatting sqref="X3:Z38 Y39:Z52">
    <cfRule type="cellIs" dxfId="257" priority="180" operator="equal">
      <formula>"E"</formula>
    </cfRule>
  </conditionalFormatting>
  <conditionalFormatting sqref="R1:R70">
    <cfRule type="cellIs" dxfId="256" priority="182" stopIfTrue="1" operator="equal">
      <formula>"WW"</formula>
    </cfRule>
  </conditionalFormatting>
  <conditionalFormatting sqref="S3:U103">
    <cfRule type="cellIs" dxfId="255" priority="183" operator="equal">
      <formula>"M4"</formula>
    </cfRule>
  </conditionalFormatting>
  <conditionalFormatting sqref="W2:W70">
    <cfRule type="cellIs" dxfId="254" priority="184" stopIfTrue="1" operator="equal">
      <formula>"WW"</formula>
    </cfRule>
  </conditionalFormatting>
  <conditionalFormatting sqref="X53:Z103 X39:X52">
    <cfRule type="cellIs" dxfId="253" priority="185" operator="equal">
      <formula>"M4"</formula>
    </cfRule>
  </conditionalFormatting>
  <conditionalFormatting sqref="U113:AA113">
    <cfRule type="cellIs" dxfId="252" priority="179" operator="equal">
      <formula>"E"</formula>
    </cfRule>
  </conditionalFormatting>
  <conditionalFormatting sqref="X3:Z38 Y39:Z52">
    <cfRule type="cellIs" dxfId="251" priority="178" operator="equal">
      <formula>"M4"</formula>
    </cfRule>
  </conditionalFormatting>
  <conditionalFormatting sqref="AD1:AE1 AB1">
    <cfRule type="cellIs" dxfId="250" priority="177" operator="equal">
      <formula>"E"</formula>
    </cfRule>
  </conditionalFormatting>
  <conditionalFormatting sqref="AM3:AM38">
    <cfRule type="cellIs" dxfId="249" priority="176" operator="equal">
      <formula>"E"</formula>
    </cfRule>
  </conditionalFormatting>
  <conditionalFormatting sqref="AN3:AN32">
    <cfRule type="cellIs" dxfId="248" priority="175" operator="equal">
      <formula>"E"</formula>
    </cfRule>
  </conditionalFormatting>
  <conditionalFormatting sqref="AN1:AO1 AL1">
    <cfRule type="cellIs" dxfId="247" priority="174" operator="equal">
      <formula>"E"</formula>
    </cfRule>
  </conditionalFormatting>
  <conditionalFormatting sqref="AM53:AO103 AM39:AM52">
    <cfRule type="cellIs" dxfId="246" priority="173" operator="equal">
      <formula>"E"</formula>
    </cfRule>
  </conditionalFormatting>
  <conditionalFormatting sqref="AM2:AO2">
    <cfRule type="cellIs" dxfId="245" priority="172" operator="equal">
      <formula>"E"</formula>
    </cfRule>
  </conditionalFormatting>
  <conditionalFormatting sqref="AF113">
    <cfRule type="cellIs" dxfId="244" priority="171" operator="equal">
      <formula>"E"</formula>
    </cfRule>
  </conditionalFormatting>
  <conditionalFormatting sqref="AH3:AJ103">
    <cfRule type="cellIs" dxfId="243" priority="170" operator="equal">
      <formula>"E"</formula>
    </cfRule>
  </conditionalFormatting>
  <conditionalFormatting sqref="AH2:AJ2">
    <cfRule type="cellIs" dxfId="242" priority="169" operator="equal">
      <formula>"E"</formula>
    </cfRule>
  </conditionalFormatting>
  <conditionalFormatting sqref="AB113:AE113">
    <cfRule type="cellIs" dxfId="241" priority="186" operator="equal">
      <formula>"E"</formula>
    </cfRule>
  </conditionalFormatting>
  <conditionalFormatting sqref="AI1:AJ1 AG1">
    <cfRule type="cellIs" dxfId="240" priority="187" operator="equal">
      <formula>"E"</formula>
    </cfRule>
  </conditionalFormatting>
  <conditionalFormatting sqref="AC114:AE1048576 AC3:AE110">
    <cfRule type="cellIs" dxfId="239" priority="188" operator="equal">
      <formula>"E"</formula>
    </cfRule>
  </conditionalFormatting>
  <conditionalFormatting sqref="AC2:AE2">
    <cfRule type="cellIs" dxfId="238" priority="189" operator="equal">
      <formula>"E"</formula>
    </cfRule>
  </conditionalFormatting>
  <conditionalFormatting sqref="AB2:AB70">
    <cfRule type="cellIs" dxfId="237" priority="190" stopIfTrue="1" operator="equal">
      <formula>"WW"</formula>
    </cfRule>
  </conditionalFormatting>
  <conditionalFormatting sqref="AG2:AG70">
    <cfRule type="cellIs" dxfId="236" priority="167" stopIfTrue="1" operator="equal">
      <formula>"WW"</formula>
    </cfRule>
    <cfRule type="cellIs" dxfId="235" priority="168" stopIfTrue="1" operator="equal">
      <formula>"C2"</formula>
    </cfRule>
  </conditionalFormatting>
  <conditionalFormatting sqref="AL2:AL70">
    <cfRule type="cellIs" dxfId="234" priority="165" stopIfTrue="1" operator="equal">
      <formula>"WW"</formula>
    </cfRule>
    <cfRule type="cellIs" dxfId="233" priority="166" stopIfTrue="1" operator="equal">
      <formula>"C2"</formula>
    </cfRule>
  </conditionalFormatting>
  <conditionalFormatting sqref="AN33:AN42">
    <cfRule type="cellIs" dxfId="232" priority="164" operator="equal">
      <formula>"E"</formula>
    </cfRule>
  </conditionalFormatting>
  <conditionalFormatting sqref="AN43:AN52">
    <cfRule type="cellIs" dxfId="231" priority="163" operator="equal">
      <formula>"E"</formula>
    </cfRule>
  </conditionalFormatting>
  <conditionalFormatting sqref="AO3:AO52">
    <cfRule type="cellIs" dxfId="230" priority="162" operator="equal">
      <formula>"E"</formula>
    </cfRule>
  </conditionalFormatting>
  <conditionalFormatting sqref="AS39:AS103 AU2 AR1:AR1048576">
    <cfRule type="cellIs" dxfId="229" priority="152" operator="equal">
      <formula>"E"</formula>
    </cfRule>
  </conditionalFormatting>
  <conditionalFormatting sqref="AQ1">
    <cfRule type="cellIs" dxfId="228" priority="151" operator="equal">
      <formula>"E"</formula>
    </cfRule>
  </conditionalFormatting>
  <conditionalFormatting sqref="AT1">
    <cfRule type="cellIs" dxfId="227" priority="150" operator="equal">
      <formula>"E"</formula>
    </cfRule>
  </conditionalFormatting>
  <conditionalFormatting sqref="AS39:AS103 AR3:AR103">
    <cfRule type="cellIs" dxfId="226" priority="138" operator="equal">
      <formula>"RE"</formula>
    </cfRule>
    <cfRule type="cellIs" dxfId="225" priority="139" operator="equal">
      <formula>"3000"</formula>
    </cfRule>
    <cfRule type="cellIs" dxfId="224" priority="140" operator="equal">
      <formula>"300"</formula>
    </cfRule>
    <cfRule type="cellIs" dxfId="223" priority="141" operator="equal">
      <formula>"100"</formula>
    </cfRule>
    <cfRule type="cellIs" dxfId="222" priority="142" operator="equal">
      <formula>"50"</formula>
    </cfRule>
    <cfRule type="cellIs" dxfId="221" priority="143" operator="equal">
      <formula>"40"</formula>
    </cfRule>
    <cfRule type="cellIs" dxfId="220" priority="144" operator="equal">
      <formula>"20"</formula>
    </cfRule>
  </conditionalFormatting>
  <conditionalFormatting sqref="AR1 AR104:AR1048576">
    <cfRule type="cellIs" dxfId="219" priority="145" operator="equal">
      <formula>"M4"</formula>
    </cfRule>
    <cfRule type="cellIs" dxfId="218" priority="146" operator="equal">
      <formula>"M3"</formula>
    </cfRule>
    <cfRule type="cellIs" dxfId="217" priority="147" operator="equal">
      <formula>"M1"</formula>
    </cfRule>
    <cfRule type="cellIs" dxfId="216" priority="148" operator="equal">
      <formula>"M2"</formula>
    </cfRule>
    <cfRule type="cellIs" dxfId="215" priority="149" stopIfTrue="1" operator="between">
      <formula>"C1"</formula>
      <formula>"C2"</formula>
    </cfRule>
  </conditionalFormatting>
  <conditionalFormatting sqref="AQ2:AQ70">
    <cfRule type="cellIs" dxfId="214" priority="136" stopIfTrue="1" operator="equal">
      <formula>"WW"</formula>
    </cfRule>
    <cfRule type="cellIs" dxfId="213" priority="137" stopIfTrue="1" operator="equal">
      <formula>"C2"</formula>
    </cfRule>
  </conditionalFormatting>
  <conditionalFormatting sqref="AT2:AT70">
    <cfRule type="cellIs" dxfId="212" priority="134" stopIfTrue="1" operator="equal">
      <formula>"WW"</formula>
    </cfRule>
    <cfRule type="cellIs" dxfId="211" priority="135" stopIfTrue="1" operator="equal">
      <formula>"C2"</formula>
    </cfRule>
  </conditionalFormatting>
  <conditionalFormatting sqref="AU43:AU103">
    <cfRule type="cellIs" dxfId="210" priority="133" operator="equal">
      <formula>"E"</formula>
    </cfRule>
  </conditionalFormatting>
  <conditionalFormatting sqref="AU43:AU103">
    <cfRule type="cellIs" dxfId="209" priority="130" operator="equal">
      <formula>"M3"</formula>
    </cfRule>
    <cfRule type="cellIs" dxfId="208" priority="131" operator="equal">
      <formula>"M2"</formula>
    </cfRule>
    <cfRule type="cellIs" dxfId="207" priority="132" operator="equal">
      <formula>"M1"</formula>
    </cfRule>
    <cfRule type="cellIs" dxfId="206" priority="153" operator="equal">
      <formula>"M4"</formula>
    </cfRule>
  </conditionalFormatting>
  <conditionalFormatting sqref="AU3:AU42">
    <cfRule type="cellIs" dxfId="205" priority="129" operator="equal">
      <formula>"E"</formula>
    </cfRule>
  </conditionalFormatting>
  <conditionalFormatting sqref="AU3:AU42">
    <cfRule type="cellIs" dxfId="204" priority="128" operator="equal">
      <formula>"M4"</formula>
    </cfRule>
  </conditionalFormatting>
  <conditionalFormatting sqref="AU3:AU42">
    <cfRule type="cellIs" dxfId="203" priority="126" operator="equal">
      <formula>"RE"</formula>
    </cfRule>
    <cfRule type="cellIs" dxfId="202" priority="127" operator="equal">
      <formula>"20"</formula>
    </cfRule>
  </conditionalFormatting>
  <conditionalFormatting sqref="CE105:CE1048576">
    <cfRule type="cellIs" dxfId="201" priority="106" operator="equal">
      <formula>"E"</formula>
    </cfRule>
  </conditionalFormatting>
  <conditionalFormatting sqref="BL1:BN103 BV53:BX103">
    <cfRule type="cellIs" dxfId="200" priority="105" operator="equal">
      <formula>"E"</formula>
    </cfRule>
  </conditionalFormatting>
  <conditionalFormatting sqref="BW1:BX1 BU1 BQ2:BS2 BQ53:BS103 BQ39:BQ52">
    <cfRule type="cellIs" dxfId="199" priority="104" operator="equal">
      <formula>"E"</formula>
    </cfRule>
  </conditionalFormatting>
  <conditionalFormatting sqref="BV2:BX2">
    <cfRule type="cellIs" dxfId="198" priority="103" operator="equal">
      <formula>"E"</formula>
    </cfRule>
  </conditionalFormatting>
  <conditionalFormatting sqref="BB2">
    <cfRule type="cellIs" dxfId="197" priority="102" operator="equal">
      <formula>"E"</formula>
    </cfRule>
  </conditionalFormatting>
  <conditionalFormatting sqref="BE43:BE103">
    <cfRule type="cellIs" dxfId="196" priority="101" operator="equal">
      <formula>"E"</formula>
    </cfRule>
  </conditionalFormatting>
  <conditionalFormatting sqref="BE2">
    <cfRule type="cellIs" dxfId="195" priority="100" operator="equal">
      <formula>"E"</formula>
    </cfRule>
  </conditionalFormatting>
  <conditionalFormatting sqref="BF43:BF103">
    <cfRule type="cellIs" dxfId="194" priority="99" operator="equal">
      <formula>"E"</formula>
    </cfRule>
  </conditionalFormatting>
  <conditionalFormatting sqref="BF2">
    <cfRule type="cellIs" dxfId="193" priority="98" operator="equal">
      <formula>"E"</formula>
    </cfRule>
  </conditionalFormatting>
  <conditionalFormatting sqref="BC43:BC103">
    <cfRule type="cellIs" dxfId="192" priority="97" operator="equal">
      <formula>"E"</formula>
    </cfRule>
  </conditionalFormatting>
  <conditionalFormatting sqref="BC2">
    <cfRule type="cellIs" dxfId="191" priority="96" operator="equal">
      <formula>"E"</formula>
    </cfRule>
  </conditionalFormatting>
  <conditionalFormatting sqref="BD43:BD103">
    <cfRule type="cellIs" dxfId="190" priority="95" operator="equal">
      <formula>"E"</formula>
    </cfRule>
  </conditionalFormatting>
  <conditionalFormatting sqref="BH2">
    <cfRule type="cellIs" dxfId="189" priority="94" operator="equal">
      <formula>"E"</formula>
    </cfRule>
  </conditionalFormatting>
  <conditionalFormatting sqref="BD2">
    <cfRule type="cellIs" dxfId="188" priority="93" operator="equal">
      <formula>"E"</formula>
    </cfRule>
  </conditionalFormatting>
  <conditionalFormatting sqref="BG43:BG103">
    <cfRule type="cellIs" dxfId="187" priority="92" operator="equal">
      <formula>"E"</formula>
    </cfRule>
  </conditionalFormatting>
  <conditionalFormatting sqref="BG2">
    <cfRule type="cellIs" dxfId="186" priority="91" operator="equal">
      <formula>"E"</formula>
    </cfRule>
  </conditionalFormatting>
  <conditionalFormatting sqref="BH43:BH103">
    <cfRule type="cellIs" dxfId="185" priority="90" operator="equal">
      <formula>"E"</formula>
    </cfRule>
  </conditionalFormatting>
  <conditionalFormatting sqref="AX43:AX103">
    <cfRule type="cellIs" dxfId="184" priority="89" operator="equal">
      <formula>"E"</formula>
    </cfRule>
  </conditionalFormatting>
  <conditionalFormatting sqref="AX2">
    <cfRule type="cellIs" dxfId="183" priority="88" operator="equal">
      <formula>"E"</formula>
    </cfRule>
  </conditionalFormatting>
  <conditionalFormatting sqref="BI43:BI103">
    <cfRule type="cellIs" dxfId="182" priority="87" operator="equal">
      <formula>"E"</formula>
    </cfRule>
  </conditionalFormatting>
  <conditionalFormatting sqref="BI2">
    <cfRule type="cellIs" dxfId="181" priority="86" operator="equal">
      <formula>"E"</formula>
    </cfRule>
  </conditionalFormatting>
  <conditionalFormatting sqref="AY2">
    <cfRule type="cellIs" dxfId="180" priority="74" operator="equal">
      <formula>"E"</formula>
    </cfRule>
  </conditionalFormatting>
  <conditionalFormatting sqref="AZ2">
    <cfRule type="cellIs" dxfId="179" priority="73" operator="equal">
      <formula>"E"</formula>
    </cfRule>
  </conditionalFormatting>
  <conditionalFormatting sqref="BA43:BA103">
    <cfRule type="cellIs" dxfId="178" priority="72" operator="equal">
      <formula>"E"</formula>
    </cfRule>
  </conditionalFormatting>
  <conditionalFormatting sqref="BA2">
    <cfRule type="cellIs" dxfId="177" priority="71" operator="equal">
      <formula>"E"</formula>
    </cfRule>
  </conditionalFormatting>
  <conditionalFormatting sqref="BB43:BB103">
    <cfRule type="cellIs" dxfId="176" priority="70" operator="equal">
      <formula>"E"</formula>
    </cfRule>
  </conditionalFormatting>
  <conditionalFormatting sqref="BK1:BK70">
    <cfRule type="cellIs" dxfId="175" priority="107" stopIfTrue="1" operator="equal">
      <formula>"WW"</formula>
    </cfRule>
  </conditionalFormatting>
  <conditionalFormatting sqref="BL3:BN103">
    <cfRule type="cellIs" dxfId="174" priority="108" operator="equal">
      <formula>"M4"</formula>
    </cfRule>
  </conditionalFormatting>
  <conditionalFormatting sqref="BU2:BU70">
    <cfRule type="cellIs" dxfId="173" priority="84" stopIfTrue="1" operator="equal">
      <formula>"WW"</formula>
    </cfRule>
    <cfRule type="cellIs" dxfId="172" priority="85" stopIfTrue="1" operator="equal">
      <formula>"C2"</formula>
    </cfRule>
  </conditionalFormatting>
  <conditionalFormatting sqref="BP2:BP70">
    <cfRule type="cellIs" dxfId="171" priority="82" stopIfTrue="1" operator="equal">
      <formula>"WW"</formula>
    </cfRule>
    <cfRule type="cellIs" dxfId="170" priority="83" stopIfTrue="1" operator="equal">
      <formula>"C2"</formula>
    </cfRule>
  </conditionalFormatting>
  <conditionalFormatting sqref="BQ53:BS103 BQ39:BQ52">
    <cfRule type="cellIs" dxfId="169" priority="78" operator="equal">
      <formula>"M4"</formula>
    </cfRule>
    <cfRule type="cellIs" dxfId="168" priority="79" operator="equal">
      <formula>"M3"</formula>
    </cfRule>
    <cfRule type="cellIs" dxfId="167" priority="80" operator="equal">
      <formula>"M2"</formula>
    </cfRule>
    <cfRule type="cellIs" dxfId="166" priority="81" operator="equal">
      <formula>"M1"</formula>
    </cfRule>
  </conditionalFormatting>
  <conditionalFormatting sqref="BZ1:BZ70">
    <cfRule type="cellIs" dxfId="165" priority="77" stopIfTrue="1" operator="equal">
      <formula>"C2"</formula>
    </cfRule>
    <cfRule type="cellIs" dxfId="164" priority="109" stopIfTrue="1" operator="equal">
      <formula>"WW"</formula>
    </cfRule>
  </conditionalFormatting>
  <conditionalFormatting sqref="CA3:CA103">
    <cfRule type="cellIs" dxfId="163" priority="110" operator="equal">
      <formula>"M4"</formula>
    </cfRule>
  </conditionalFormatting>
  <conditionalFormatting sqref="CA1:CA103 CA105:CA1048576">
    <cfRule type="cellIs" dxfId="162" priority="111" operator="equal">
      <formula>"E"</formula>
    </cfRule>
  </conditionalFormatting>
  <conditionalFormatting sqref="CC1">
    <cfRule type="cellIs" dxfId="161" priority="112" operator="equal">
      <formula>"E"</formula>
    </cfRule>
  </conditionalFormatting>
  <conditionalFormatting sqref="CC2:CC70">
    <cfRule type="cellIs" dxfId="160" priority="68" stopIfTrue="1" operator="equal">
      <formula>"WW"</formula>
    </cfRule>
    <cfRule type="cellIs" dxfId="159" priority="69" stopIfTrue="1" operator="equal">
      <formula>"C2"</formula>
    </cfRule>
  </conditionalFormatting>
  <conditionalFormatting sqref="AW1">
    <cfRule type="cellIs" dxfId="158" priority="67" operator="equal">
      <formula>"E"</formula>
    </cfRule>
  </conditionalFormatting>
  <conditionalFormatting sqref="AY43:AY103">
    <cfRule type="cellIs" dxfId="157" priority="66" operator="equal">
      <formula>"E"</formula>
    </cfRule>
  </conditionalFormatting>
  <conditionalFormatting sqref="AW2:AW70">
    <cfRule type="cellIs" dxfId="156" priority="64" stopIfTrue="1" operator="equal">
      <formula>"WW"</formula>
    </cfRule>
    <cfRule type="cellIs" dxfId="155" priority="65" stopIfTrue="1" operator="equal">
      <formula>"C2"</formula>
    </cfRule>
  </conditionalFormatting>
  <conditionalFormatting sqref="AZ43:AZ103">
    <cfRule type="cellIs" dxfId="154" priority="63" operator="equal">
      <formula>"E"</formula>
    </cfRule>
  </conditionalFormatting>
  <conditionalFormatting sqref="BQ3:BS38 BR39:BS52">
    <cfRule type="cellIs" dxfId="153" priority="50" operator="equal">
      <formula>"E"</formula>
    </cfRule>
  </conditionalFormatting>
  <conditionalFormatting sqref="BR3:BS52">
    <cfRule type="cellIs" dxfId="152" priority="49" operator="equal">
      <formula>"M4"</formula>
    </cfRule>
  </conditionalFormatting>
  <conditionalFormatting sqref="BQ3:BS38 BR39:BS52">
    <cfRule type="cellIs" dxfId="151" priority="48" operator="equal">
      <formula>"M4"</formula>
    </cfRule>
  </conditionalFormatting>
  <conditionalFormatting sqref="BV3:BX52">
    <cfRule type="cellIs" dxfId="150" priority="47" operator="equal">
      <formula>"E"</formula>
    </cfRule>
  </conditionalFormatting>
  <conditionalFormatting sqref="AX3:BI42">
    <cfRule type="cellIs" dxfId="149" priority="4" operator="equal">
      <formula>"E"</formula>
    </cfRule>
  </conditionalFormatting>
  <conditionalFormatting sqref="J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{D8AF029A-7468-4E89-A063-3ACCF474A298}</x14:id>
        </ext>
      </extLst>
    </cfRule>
  </conditionalFormatting>
  <conditionalFormatting sqref="CD2">
    <cfRule type="cellIs" dxfId="148" priority="2" operator="equal">
      <formula>"E"</formula>
    </cfRule>
  </conditionalFormatting>
  <conditionalFormatting sqref="CD3:CD103 CD105:CD1048576">
    <cfRule type="cellIs" dxfId="147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F029A-7468-4E89-A063-3ACCF474A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2" max="72" width="3.7773437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</cols>
  <sheetData>
    <row r="1" spans="1:82">
      <c r="A1" s="31" t="s">
        <v>117</v>
      </c>
      <c r="D1" s="111">
        <v>5</v>
      </c>
      <c r="E1" s="111">
        <v>0</v>
      </c>
      <c r="F1" s="111">
        <v>0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140</v>
      </c>
      <c r="BU1" s="20" t="s">
        <v>44</v>
      </c>
      <c r="BV1" s="17"/>
      <c r="BW1" s="11"/>
      <c r="BX1" s="11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</v>
      </c>
      <c r="AD3" s="70">
        <v>1</v>
      </c>
      <c r="AE3" s="70">
        <v>1</v>
      </c>
      <c r="AG3" s="12">
        <v>0</v>
      </c>
      <c r="AH3" s="13">
        <v>1</v>
      </c>
      <c r="AI3" s="70">
        <v>1</v>
      </c>
      <c r="AJ3" s="70">
        <v>1</v>
      </c>
      <c r="AL3" s="12">
        <v>0</v>
      </c>
      <c r="AM3" s="13">
        <v>1</v>
      </c>
      <c r="AN3" s="70">
        <v>1</v>
      </c>
      <c r="AO3" s="70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</v>
      </c>
      <c r="BW3" s="70">
        <v>1</v>
      </c>
      <c r="BX3" s="70">
        <v>1</v>
      </c>
      <c r="BZ3" s="12">
        <v>0</v>
      </c>
      <c r="CA3" s="13">
        <v>100</v>
      </c>
      <c r="CC3" s="12">
        <v>0</v>
      </c>
      <c r="CD3" s="13">
        <v>1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</v>
      </c>
      <c r="AD4" s="70">
        <v>1</v>
      </c>
      <c r="AE4" s="70">
        <v>1</v>
      </c>
      <c r="AG4" s="12">
        <v>1</v>
      </c>
      <c r="AH4" s="13">
        <v>1</v>
      </c>
      <c r="AI4" s="70">
        <v>1</v>
      </c>
      <c r="AJ4" s="70">
        <v>1</v>
      </c>
      <c r="AL4" s="12">
        <v>1</v>
      </c>
      <c r="AM4" s="13">
        <v>1</v>
      </c>
      <c r="AN4" s="70">
        <v>1</v>
      </c>
      <c r="AO4" s="70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</v>
      </c>
      <c r="BW4" s="70">
        <v>1</v>
      </c>
      <c r="BX4" s="70">
        <v>1</v>
      </c>
      <c r="BZ4" s="12">
        <v>1</v>
      </c>
      <c r="CA4" s="13">
        <v>30</v>
      </c>
      <c r="CC4" s="12">
        <v>1</v>
      </c>
      <c r="CD4" s="13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>SUMIF(T$3:T$52,$A5,AD$3:AD$52)</f>
        <v>25</v>
      </c>
      <c r="F5" s="5">
        <f>SUMIF(U$3:U$52,$A5,AE$3:AE$52)</f>
        <v>25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70">
        <v>1</v>
      </c>
      <c r="AE5" s="70">
        <v>1</v>
      </c>
      <c r="AG5" s="12">
        <v>2</v>
      </c>
      <c r="AH5" s="13">
        <v>1</v>
      </c>
      <c r="AI5" s="70">
        <v>1</v>
      </c>
      <c r="AJ5" s="70">
        <v>1</v>
      </c>
      <c r="AL5" s="12">
        <v>2</v>
      </c>
      <c r="AM5" s="13">
        <v>1</v>
      </c>
      <c r="AN5" s="70">
        <v>1</v>
      </c>
      <c r="AO5" s="70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</v>
      </c>
      <c r="BW5" s="70">
        <v>1</v>
      </c>
      <c r="BX5" s="70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5</v>
      </c>
      <c r="F6" s="8">
        <f t="shared" si="1"/>
        <v>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</v>
      </c>
      <c r="AD6" s="70">
        <v>1</v>
      </c>
      <c r="AE6" s="70">
        <v>1</v>
      </c>
      <c r="AG6" s="12">
        <v>3</v>
      </c>
      <c r="AH6" s="13">
        <v>1</v>
      </c>
      <c r="AI6" s="70">
        <v>1</v>
      </c>
      <c r="AJ6" s="70">
        <v>1</v>
      </c>
      <c r="AL6" s="12">
        <v>3</v>
      </c>
      <c r="AM6" s="13">
        <v>1</v>
      </c>
      <c r="AN6" s="70">
        <v>1</v>
      </c>
      <c r="AO6" s="70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70">
        <v>1</v>
      </c>
      <c r="BX6" s="70">
        <v>1</v>
      </c>
      <c r="BZ6" s="12">
        <v>3</v>
      </c>
      <c r="CA6" s="13">
        <v>10</v>
      </c>
      <c r="CC6" s="12">
        <v>3</v>
      </c>
      <c r="CD6" s="13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6</v>
      </c>
      <c r="E7" s="109">
        <f t="shared" si="1"/>
        <v>5</v>
      </c>
      <c r="F7" s="8">
        <f t="shared" si="1"/>
        <v>5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1</v>
      </c>
      <c r="AN7" s="70">
        <v>1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70">
        <v>1</v>
      </c>
      <c r="BX7" s="70">
        <v>1</v>
      </c>
      <c r="BZ7" s="12">
        <v>4</v>
      </c>
      <c r="CA7" s="13">
        <v>50</v>
      </c>
      <c r="CC7" s="12">
        <v>4</v>
      </c>
      <c r="CD7" s="13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6</v>
      </c>
      <c r="E8" s="109">
        <f t="shared" si="1"/>
        <v>5</v>
      </c>
      <c r="F8" s="8">
        <f t="shared" si="1"/>
        <v>5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</v>
      </c>
      <c r="AD8" s="70">
        <v>1</v>
      </c>
      <c r="AE8" s="70">
        <v>1</v>
      </c>
      <c r="AG8" s="12">
        <v>5</v>
      </c>
      <c r="AH8" s="13">
        <v>1</v>
      </c>
      <c r="AI8" s="70">
        <v>1</v>
      </c>
      <c r="AJ8" s="70">
        <v>1</v>
      </c>
      <c r="AL8" s="12">
        <v>5</v>
      </c>
      <c r="AM8" s="13">
        <v>1</v>
      </c>
      <c r="AN8" s="70">
        <v>1</v>
      </c>
      <c r="AO8" s="70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</v>
      </c>
      <c r="BW8" s="70">
        <v>1</v>
      </c>
      <c r="BX8" s="70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6</v>
      </c>
      <c r="E9" s="109">
        <f t="shared" si="1"/>
        <v>5</v>
      </c>
      <c r="F9" s="8">
        <f t="shared" si="1"/>
        <v>5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1</v>
      </c>
      <c r="AD9" s="70">
        <v>1</v>
      </c>
      <c r="AE9" s="70">
        <v>1</v>
      </c>
      <c r="AG9" s="12">
        <v>6</v>
      </c>
      <c r="AH9" s="13">
        <v>1</v>
      </c>
      <c r="AI9" s="70">
        <v>1</v>
      </c>
      <c r="AJ9" s="70">
        <v>1</v>
      </c>
      <c r="AL9" s="12">
        <v>6</v>
      </c>
      <c r="AM9" s="13">
        <v>1</v>
      </c>
      <c r="AN9" s="70">
        <v>1</v>
      </c>
      <c r="AO9" s="70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</v>
      </c>
      <c r="BW9" s="70">
        <v>1</v>
      </c>
      <c r="BX9" s="70">
        <v>1</v>
      </c>
      <c r="BZ9" s="12">
        <v>6</v>
      </c>
      <c r="CA9" s="13">
        <v>200</v>
      </c>
      <c r="CC9" s="12">
        <v>6</v>
      </c>
      <c r="CD9" s="13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5</v>
      </c>
      <c r="F10" s="8">
        <f t="shared" si="1"/>
        <v>5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1</v>
      </c>
      <c r="AD10" s="70">
        <v>1</v>
      </c>
      <c r="AE10" s="70">
        <v>1</v>
      </c>
      <c r="AG10" s="12">
        <v>7</v>
      </c>
      <c r="AH10" s="13">
        <v>1</v>
      </c>
      <c r="AI10" s="70">
        <v>1</v>
      </c>
      <c r="AJ10" s="70">
        <v>1</v>
      </c>
      <c r="AL10" s="12">
        <v>7</v>
      </c>
      <c r="AM10" s="13">
        <v>1</v>
      </c>
      <c r="AN10" s="70">
        <v>1</v>
      </c>
      <c r="AO10" s="70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1</v>
      </c>
      <c r="BW10" s="70">
        <v>1</v>
      </c>
      <c r="BX10" s="70">
        <v>1</v>
      </c>
      <c r="BZ10" s="12">
        <v>7</v>
      </c>
      <c r="CA10" s="13">
        <v>20</v>
      </c>
      <c r="CC10" s="12">
        <v>7</v>
      </c>
      <c r="CD10" s="13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70">
        <v>1</v>
      </c>
      <c r="AE11" s="70">
        <v>1</v>
      </c>
      <c r="AG11" s="12">
        <v>8</v>
      </c>
      <c r="AH11" s="13">
        <v>1</v>
      </c>
      <c r="AI11" s="70">
        <v>1</v>
      </c>
      <c r="AJ11" s="70">
        <v>1</v>
      </c>
      <c r="AL11" s="12">
        <v>8</v>
      </c>
      <c r="AM11" s="13">
        <v>1</v>
      </c>
      <c r="AN11" s="70">
        <v>1</v>
      </c>
      <c r="AO11" s="70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70">
        <v>1</v>
      </c>
      <c r="BX11" s="70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1</v>
      </c>
      <c r="AD12" s="70">
        <v>1</v>
      </c>
      <c r="AE12" s="70">
        <v>1</v>
      </c>
      <c r="AG12" s="12">
        <v>9</v>
      </c>
      <c r="AH12" s="13">
        <v>1</v>
      </c>
      <c r="AI12" s="70">
        <v>1</v>
      </c>
      <c r="AJ12" s="70">
        <v>1</v>
      </c>
      <c r="AL12" s="12">
        <v>9</v>
      </c>
      <c r="AM12" s="13">
        <v>1</v>
      </c>
      <c r="AN12" s="70">
        <v>1</v>
      </c>
      <c r="AO12" s="70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1</v>
      </c>
      <c r="BW12" s="70">
        <v>1</v>
      </c>
      <c r="BX12" s="70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70">
        <v>1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1</v>
      </c>
      <c r="AN13" s="70">
        <v>1</v>
      </c>
      <c r="AO13" s="70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70">
        <v>1</v>
      </c>
      <c r="BX13" s="70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1</v>
      </c>
      <c r="AD14" s="70">
        <v>1</v>
      </c>
      <c r="AE14" s="70">
        <v>1</v>
      </c>
      <c r="AG14" s="12">
        <v>11</v>
      </c>
      <c r="AH14" s="13">
        <v>1</v>
      </c>
      <c r="AI14" s="70">
        <v>1</v>
      </c>
      <c r="AJ14" s="70">
        <v>1</v>
      </c>
      <c r="AL14" s="12">
        <v>11</v>
      </c>
      <c r="AM14" s="13">
        <v>1</v>
      </c>
      <c r="AN14" s="70">
        <v>1</v>
      </c>
      <c r="AO14" s="70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1</v>
      </c>
      <c r="BW14" s="70">
        <v>1</v>
      </c>
      <c r="BX14" s="70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1</v>
      </c>
      <c r="AD15" s="70">
        <v>1</v>
      </c>
      <c r="AE15" s="70">
        <v>1</v>
      </c>
      <c r="AG15" s="12">
        <v>12</v>
      </c>
      <c r="AH15" s="13">
        <v>1</v>
      </c>
      <c r="AI15" s="70">
        <v>1</v>
      </c>
      <c r="AJ15" s="70">
        <v>1</v>
      </c>
      <c r="AL15" s="12">
        <v>12</v>
      </c>
      <c r="AM15" s="13">
        <v>1</v>
      </c>
      <c r="AN15" s="70">
        <v>1</v>
      </c>
      <c r="AO15" s="70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</v>
      </c>
      <c r="BW15" s="70">
        <v>1</v>
      </c>
      <c r="BX15" s="70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1</v>
      </c>
      <c r="AD16" s="70">
        <v>1</v>
      </c>
      <c r="AE16" s="70">
        <v>1</v>
      </c>
      <c r="AG16" s="12">
        <v>13</v>
      </c>
      <c r="AH16" s="13">
        <v>1</v>
      </c>
      <c r="AI16" s="70">
        <v>1</v>
      </c>
      <c r="AJ16" s="70">
        <v>1</v>
      </c>
      <c r="AL16" s="12">
        <v>13</v>
      </c>
      <c r="AM16" s="13">
        <v>1</v>
      </c>
      <c r="AN16" s="70">
        <v>1</v>
      </c>
      <c r="AO16" s="70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1</v>
      </c>
      <c r="BW16" s="70">
        <v>1</v>
      </c>
      <c r="BX16" s="70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36</v>
      </c>
      <c r="E17" s="109">
        <f>SUM(E5:E16)</f>
        <v>50</v>
      </c>
      <c r="F17" s="109">
        <f>SUM(F5:F16)</f>
        <v>50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70">
        <v>1</v>
      </c>
      <c r="AE17" s="70">
        <v>1</v>
      </c>
      <c r="AG17" s="12">
        <v>14</v>
      </c>
      <c r="AH17" s="13">
        <v>1</v>
      </c>
      <c r="AI17" s="70">
        <v>1</v>
      </c>
      <c r="AJ17" s="70">
        <v>1</v>
      </c>
      <c r="AL17" s="12">
        <v>14</v>
      </c>
      <c r="AM17" s="13">
        <v>1</v>
      </c>
      <c r="AN17" s="70">
        <v>1</v>
      </c>
      <c r="AO17" s="70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70">
        <v>1</v>
      </c>
      <c r="BX17" s="70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1</v>
      </c>
      <c r="AD18" s="70">
        <v>1</v>
      </c>
      <c r="AE18" s="70">
        <v>1</v>
      </c>
      <c r="AG18" s="12">
        <v>15</v>
      </c>
      <c r="AH18" s="13">
        <v>1</v>
      </c>
      <c r="AI18" s="70">
        <v>1</v>
      </c>
      <c r="AJ18" s="70">
        <v>1</v>
      </c>
      <c r="AL18" s="12">
        <v>15</v>
      </c>
      <c r="AM18" s="13">
        <v>1</v>
      </c>
      <c r="AN18" s="70">
        <v>1</v>
      </c>
      <c r="AO18" s="70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1</v>
      </c>
      <c r="BW18" s="70">
        <v>1</v>
      </c>
      <c r="BX18" s="70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>
        <v>5</v>
      </c>
      <c r="E19" s="111" t="s">
        <v>8</v>
      </c>
      <c r="F19" s="112" t="s">
        <v>18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70">
        <v>1</v>
      </c>
      <c r="AE19" s="70">
        <v>1</v>
      </c>
      <c r="AG19" s="12">
        <v>16</v>
      </c>
      <c r="AH19" s="13">
        <v>1</v>
      </c>
      <c r="AI19" s="70">
        <v>1</v>
      </c>
      <c r="AJ19" s="70">
        <v>1</v>
      </c>
      <c r="AL19" s="12">
        <v>16</v>
      </c>
      <c r="AM19" s="13">
        <v>1</v>
      </c>
      <c r="AN19" s="70">
        <v>1</v>
      </c>
      <c r="AO19" s="70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70">
        <v>1</v>
      </c>
      <c r="BX19" s="70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1</v>
      </c>
      <c r="AD20" s="70">
        <v>1</v>
      </c>
      <c r="AE20" s="70">
        <v>1</v>
      </c>
      <c r="AG20" s="12">
        <v>17</v>
      </c>
      <c r="AH20" s="13">
        <v>1</v>
      </c>
      <c r="AI20" s="70">
        <v>1</v>
      </c>
      <c r="AJ20" s="70">
        <v>1</v>
      </c>
      <c r="AL20" s="12">
        <v>17</v>
      </c>
      <c r="AM20" s="13">
        <v>1</v>
      </c>
      <c r="AN20" s="70">
        <v>1</v>
      </c>
      <c r="AO20" s="70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1</v>
      </c>
      <c r="BW20" s="70">
        <v>1</v>
      </c>
      <c r="BX20" s="70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1</v>
      </c>
      <c r="AD21" s="70">
        <v>1</v>
      </c>
      <c r="AE21" s="70">
        <v>1</v>
      </c>
      <c r="AG21" s="12">
        <v>18</v>
      </c>
      <c r="AH21" s="13">
        <v>1</v>
      </c>
      <c r="AI21" s="70">
        <v>1</v>
      </c>
      <c r="AJ21" s="70">
        <v>1</v>
      </c>
      <c r="AL21" s="12">
        <v>18</v>
      </c>
      <c r="AM21" s="13">
        <v>1</v>
      </c>
      <c r="AN21" s="70">
        <v>1</v>
      </c>
      <c r="AO21" s="70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</v>
      </c>
      <c r="BW21" s="70">
        <v>1</v>
      </c>
      <c r="BX21" s="70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1</v>
      </c>
      <c r="AD22" s="70">
        <v>1</v>
      </c>
      <c r="AE22" s="70">
        <v>1</v>
      </c>
      <c r="AG22" s="12">
        <v>19</v>
      </c>
      <c r="AH22" s="13">
        <v>1</v>
      </c>
      <c r="AI22" s="70">
        <v>1</v>
      </c>
      <c r="AJ22" s="70">
        <v>1</v>
      </c>
      <c r="AL22" s="12">
        <v>19</v>
      </c>
      <c r="AM22" s="13">
        <v>1</v>
      </c>
      <c r="AN22" s="70">
        <v>1</v>
      </c>
      <c r="AO22" s="70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1</v>
      </c>
      <c r="BW22" s="70">
        <v>1</v>
      </c>
      <c r="BX22" s="70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>SUMIF(T$3:T$52,$A23,AI$3:AI$52)</f>
        <v>25</v>
      </c>
      <c r="F23" s="5">
        <f>SUMIF(U$3:U$52,$A23,AJ$3:AJ$52)</f>
        <v>25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70">
        <v>1</v>
      </c>
      <c r="AE23" s="70">
        <v>1</v>
      </c>
      <c r="AG23" s="12">
        <v>20</v>
      </c>
      <c r="AH23" s="13">
        <v>1</v>
      </c>
      <c r="AI23" s="70">
        <v>1</v>
      </c>
      <c r="AJ23" s="70">
        <v>1</v>
      </c>
      <c r="AL23" s="12">
        <v>20</v>
      </c>
      <c r="AM23" s="13">
        <v>1</v>
      </c>
      <c r="AN23" s="70">
        <v>1</v>
      </c>
      <c r="AO23" s="70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70">
        <v>1</v>
      </c>
      <c r="BX23" s="70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5</v>
      </c>
      <c r="F24" s="8">
        <f>SUMIF(U$3:U$52,$A24,AJ$3:AJ$52)</f>
        <v>5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1</v>
      </c>
      <c r="AD24" s="70">
        <v>1</v>
      </c>
      <c r="AE24" s="70">
        <v>1</v>
      </c>
      <c r="AG24" s="12">
        <v>21</v>
      </c>
      <c r="AH24" s="13">
        <v>1</v>
      </c>
      <c r="AI24" s="70">
        <v>1</v>
      </c>
      <c r="AJ24" s="70">
        <v>1</v>
      </c>
      <c r="AL24" s="12">
        <v>21</v>
      </c>
      <c r="AM24" s="13">
        <v>1</v>
      </c>
      <c r="AN24" s="70">
        <v>1</v>
      </c>
      <c r="AO24" s="70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1</v>
      </c>
      <c r="BW24" s="70">
        <v>1</v>
      </c>
      <c r="BX24" s="70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6</v>
      </c>
      <c r="E25" s="109">
        <f t="shared" si="3"/>
        <v>5</v>
      </c>
      <c r="F25" s="8">
        <f t="shared" si="3"/>
        <v>5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70">
        <v>1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1</v>
      </c>
      <c r="AN25" s="70">
        <v>1</v>
      </c>
      <c r="AO25" s="70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70">
        <v>1</v>
      </c>
      <c r="BX25" s="70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6</v>
      </c>
      <c r="E26" s="109">
        <f t="shared" si="3"/>
        <v>5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1</v>
      </c>
      <c r="AD26" s="70">
        <v>1</v>
      </c>
      <c r="AE26" s="70">
        <v>1</v>
      </c>
      <c r="AG26" s="12">
        <v>23</v>
      </c>
      <c r="AH26" s="13">
        <v>1</v>
      </c>
      <c r="AI26" s="70">
        <v>1</v>
      </c>
      <c r="AJ26" s="70">
        <v>1</v>
      </c>
      <c r="AL26" s="12">
        <v>23</v>
      </c>
      <c r="AM26" s="13">
        <v>1</v>
      </c>
      <c r="AN26" s="70">
        <v>1</v>
      </c>
      <c r="AO26" s="70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1</v>
      </c>
      <c r="BW26" s="70">
        <v>1</v>
      </c>
      <c r="BX26" s="70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6</v>
      </c>
      <c r="E27" s="109">
        <f t="shared" si="3"/>
        <v>5</v>
      </c>
      <c r="F27" s="8">
        <f t="shared" si="3"/>
        <v>5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1</v>
      </c>
      <c r="AD27" s="70">
        <v>1</v>
      </c>
      <c r="AE27" s="70">
        <v>1</v>
      </c>
      <c r="AG27" s="12">
        <v>24</v>
      </c>
      <c r="AH27" s="13">
        <v>1</v>
      </c>
      <c r="AI27" s="70">
        <v>1</v>
      </c>
      <c r="AJ27" s="70">
        <v>1</v>
      </c>
      <c r="AL27" s="12">
        <v>24</v>
      </c>
      <c r="AM27" s="13">
        <v>1</v>
      </c>
      <c r="AN27" s="70">
        <v>1</v>
      </c>
      <c r="AO27" s="70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</v>
      </c>
      <c r="BW27" s="70">
        <v>1</v>
      </c>
      <c r="BX27" s="70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5</v>
      </c>
      <c r="F28" s="8">
        <f t="shared" si="3"/>
        <v>5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1</v>
      </c>
      <c r="AD28" s="70">
        <v>1</v>
      </c>
      <c r="AE28" s="70">
        <v>1</v>
      </c>
      <c r="AG28" s="12">
        <v>25</v>
      </c>
      <c r="AH28" s="13">
        <v>1</v>
      </c>
      <c r="AI28" s="70">
        <v>1</v>
      </c>
      <c r="AJ28" s="70">
        <v>1</v>
      </c>
      <c r="AL28" s="12">
        <v>25</v>
      </c>
      <c r="AM28" s="13">
        <v>1</v>
      </c>
      <c r="AN28" s="70">
        <v>1</v>
      </c>
      <c r="AO28" s="70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1</v>
      </c>
      <c r="BW28" s="70">
        <v>1</v>
      </c>
      <c r="BX28" s="70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70">
        <v>1</v>
      </c>
      <c r="AE29" s="70">
        <v>1</v>
      </c>
      <c r="AG29" s="12">
        <v>26</v>
      </c>
      <c r="AH29" s="13">
        <v>1</v>
      </c>
      <c r="AI29" s="70">
        <v>1</v>
      </c>
      <c r="AJ29" s="70">
        <v>1</v>
      </c>
      <c r="AL29" s="12">
        <v>26</v>
      </c>
      <c r="AM29" s="13">
        <v>1</v>
      </c>
      <c r="AN29" s="70">
        <v>1</v>
      </c>
      <c r="AO29" s="70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70">
        <v>1</v>
      </c>
      <c r="BX29" s="70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1</v>
      </c>
      <c r="AD30" s="70">
        <v>1</v>
      </c>
      <c r="AE30" s="70">
        <v>1</v>
      </c>
      <c r="AG30" s="12">
        <v>27</v>
      </c>
      <c r="AH30" s="13">
        <v>1</v>
      </c>
      <c r="AI30" s="70">
        <v>1</v>
      </c>
      <c r="AJ30" s="70">
        <v>1</v>
      </c>
      <c r="AL30" s="12">
        <v>27</v>
      </c>
      <c r="AM30" s="13">
        <v>1</v>
      </c>
      <c r="AN30" s="70">
        <v>1</v>
      </c>
      <c r="AO30" s="70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1</v>
      </c>
      <c r="BW30" s="70">
        <v>1</v>
      </c>
      <c r="BX30" s="70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70">
        <v>1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1</v>
      </c>
      <c r="AN31" s="70">
        <v>1</v>
      </c>
      <c r="AO31" s="70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70">
        <v>1</v>
      </c>
      <c r="BX31" s="70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1</v>
      </c>
      <c r="AD32" s="70">
        <v>1</v>
      </c>
      <c r="AE32" s="70">
        <v>1</v>
      </c>
      <c r="AG32" s="12">
        <v>29</v>
      </c>
      <c r="AH32" s="13">
        <v>1</v>
      </c>
      <c r="AI32" s="70">
        <v>1</v>
      </c>
      <c r="AJ32" s="70">
        <v>1</v>
      </c>
      <c r="AL32" s="12">
        <v>29</v>
      </c>
      <c r="AM32" s="13">
        <v>1</v>
      </c>
      <c r="AN32" s="70">
        <v>1</v>
      </c>
      <c r="AO32" s="70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1</v>
      </c>
      <c r="BW32" s="70">
        <v>1</v>
      </c>
      <c r="BX32" s="70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1</v>
      </c>
      <c r="AD33" s="70">
        <v>1</v>
      </c>
      <c r="AE33" s="70">
        <v>1</v>
      </c>
      <c r="AG33" s="12">
        <v>30</v>
      </c>
      <c r="AH33" s="13">
        <v>1</v>
      </c>
      <c r="AI33" s="70">
        <v>1</v>
      </c>
      <c r="AJ33" s="70">
        <v>1</v>
      </c>
      <c r="AL33" s="12">
        <v>30</v>
      </c>
      <c r="AM33" s="13">
        <v>1</v>
      </c>
      <c r="AN33" s="70">
        <v>1</v>
      </c>
      <c r="AO33" s="70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</v>
      </c>
      <c r="BW33" s="70">
        <v>1</v>
      </c>
      <c r="BX33" s="70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</v>
      </c>
      <c r="AD34" s="70">
        <v>1</v>
      </c>
      <c r="AE34" s="70">
        <v>1</v>
      </c>
      <c r="AG34" s="12">
        <v>31</v>
      </c>
      <c r="AH34" s="13">
        <v>1</v>
      </c>
      <c r="AI34" s="70">
        <v>1</v>
      </c>
      <c r="AJ34" s="70">
        <v>1</v>
      </c>
      <c r="AL34" s="12">
        <v>31</v>
      </c>
      <c r="AM34" s="13">
        <v>1</v>
      </c>
      <c r="AN34" s="70">
        <v>1</v>
      </c>
      <c r="AO34" s="70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</v>
      </c>
      <c r="BW34" s="70">
        <v>1</v>
      </c>
      <c r="BX34" s="70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36</v>
      </c>
      <c r="E35" s="109">
        <f>SUM(E23:E34)</f>
        <v>50</v>
      </c>
      <c r="F35" s="109">
        <f>SUM(F23:F34)</f>
        <v>50</v>
      </c>
      <c r="G35" s="10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70">
        <v>1</v>
      </c>
      <c r="AE35" s="70">
        <v>1</v>
      </c>
      <c r="AG35" s="12">
        <v>32</v>
      </c>
      <c r="AH35" s="13">
        <v>1</v>
      </c>
      <c r="AI35" s="70">
        <v>1</v>
      </c>
      <c r="AJ35" s="70">
        <v>1</v>
      </c>
      <c r="AL35" s="12">
        <v>32</v>
      </c>
      <c r="AM35" s="13">
        <v>1</v>
      </c>
      <c r="AN35" s="70">
        <v>1</v>
      </c>
      <c r="AO35" s="70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70">
        <v>1</v>
      </c>
      <c r="BX35" s="70">
        <v>1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</v>
      </c>
      <c r="AD36" s="70">
        <v>1</v>
      </c>
      <c r="AE36" s="70">
        <v>1</v>
      </c>
      <c r="AG36" s="12">
        <v>33</v>
      </c>
      <c r="AH36" s="13">
        <v>1</v>
      </c>
      <c r="AI36" s="70">
        <v>1</v>
      </c>
      <c r="AJ36" s="70">
        <v>1</v>
      </c>
      <c r="AL36" s="12">
        <v>33</v>
      </c>
      <c r="AM36" s="13">
        <v>1</v>
      </c>
      <c r="AN36" s="70">
        <v>1</v>
      </c>
      <c r="AO36" s="70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</v>
      </c>
      <c r="BW36" s="70">
        <v>1</v>
      </c>
      <c r="BX36" s="70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>
        <v>5</v>
      </c>
      <c r="E37" s="112" t="s">
        <v>18</v>
      </c>
      <c r="F37" s="111" t="s">
        <v>8</v>
      </c>
      <c r="G37" s="109"/>
      <c r="H37" s="22">
        <v>30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70">
        <v>1</v>
      </c>
      <c r="AE37" s="70">
        <v>1</v>
      </c>
      <c r="AG37" s="12">
        <v>34</v>
      </c>
      <c r="AH37" s="13">
        <v>1</v>
      </c>
      <c r="AI37" s="70">
        <v>1</v>
      </c>
      <c r="AJ37" s="70">
        <v>1</v>
      </c>
      <c r="AL37" s="12">
        <v>34</v>
      </c>
      <c r="AM37" s="13">
        <v>1</v>
      </c>
      <c r="AN37" s="70">
        <v>1</v>
      </c>
      <c r="AO37" s="70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70">
        <v>1</v>
      </c>
      <c r="BX37" s="70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</v>
      </c>
      <c r="AD38" s="70">
        <v>1</v>
      </c>
      <c r="AE38" s="70">
        <v>1</v>
      </c>
      <c r="AG38" s="12">
        <v>35</v>
      </c>
      <c r="AH38" s="13">
        <v>1</v>
      </c>
      <c r="AI38" s="70">
        <v>1</v>
      </c>
      <c r="AJ38" s="70">
        <v>1</v>
      </c>
      <c r="AL38" s="12">
        <v>35</v>
      </c>
      <c r="AM38" s="13">
        <v>1</v>
      </c>
      <c r="AN38" s="70">
        <v>1</v>
      </c>
      <c r="AO38" s="70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</v>
      </c>
      <c r="BW38" s="70">
        <v>1</v>
      </c>
      <c r="BX38" s="70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1</v>
      </c>
      <c r="AE39" s="13">
        <v>1</v>
      </c>
      <c r="AG39" s="12">
        <v>36</v>
      </c>
      <c r="AH39" s="13"/>
      <c r="AI39" s="13">
        <v>1</v>
      </c>
      <c r="AJ39" s="13">
        <v>1</v>
      </c>
      <c r="AL39" s="12">
        <v>36</v>
      </c>
      <c r="AM39" s="13"/>
      <c r="AN39" s="13">
        <v>1</v>
      </c>
      <c r="AO39" s="13">
        <v>1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1</v>
      </c>
      <c r="BX39" s="13">
        <v>1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1</v>
      </c>
      <c r="AE40" s="13">
        <v>1</v>
      </c>
      <c r="AG40" s="12">
        <v>37</v>
      </c>
      <c r="AH40" s="13"/>
      <c r="AI40" s="13">
        <v>1</v>
      </c>
      <c r="AJ40" s="13">
        <v>1</v>
      </c>
      <c r="AL40" s="12">
        <v>37</v>
      </c>
      <c r="AM40" s="13"/>
      <c r="AN40" s="13">
        <v>1</v>
      </c>
      <c r="AO40" s="13">
        <v>1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1</v>
      </c>
      <c r="BX40" s="13">
        <v>1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>SUMIF(T$3:T$52,$A41,AN$3:AN$52)</f>
        <v>25</v>
      </c>
      <c r="F41" s="5">
        <f>SUMIF(U$3:U$52,$A41,AO$3:AO$52)</f>
        <v>25</v>
      </c>
      <c r="G41" s="109"/>
      <c r="H41" s="22">
        <v>500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1</v>
      </c>
      <c r="AE41" s="13">
        <v>1</v>
      </c>
      <c r="AG41" s="12">
        <v>38</v>
      </c>
      <c r="AH41" s="13"/>
      <c r="AI41" s="13">
        <v>1</v>
      </c>
      <c r="AJ41" s="13">
        <v>1</v>
      </c>
      <c r="AL41" s="12">
        <v>38</v>
      </c>
      <c r="AM41" s="13"/>
      <c r="AN41" s="13">
        <v>1</v>
      </c>
      <c r="AO41" s="13">
        <v>1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1</v>
      </c>
      <c r="BX41" s="13">
        <v>1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5</v>
      </c>
      <c r="F42" s="8">
        <f t="shared" si="6"/>
        <v>5</v>
      </c>
      <c r="H42" s="23">
        <v>1000</v>
      </c>
      <c r="I42" s="97">
        <f t="shared" si="4"/>
        <v>1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1</v>
      </c>
      <c r="AE42" s="13">
        <v>1</v>
      </c>
      <c r="AG42" s="12">
        <v>39</v>
      </c>
      <c r="AH42" s="13"/>
      <c r="AI42" s="13">
        <v>1</v>
      </c>
      <c r="AJ42" s="13">
        <v>1</v>
      </c>
      <c r="AL42" s="12">
        <v>39</v>
      </c>
      <c r="AM42" s="13"/>
      <c r="AN42" s="13">
        <v>1</v>
      </c>
      <c r="AO42" s="13">
        <v>1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1</v>
      </c>
      <c r="BX42" s="13">
        <v>1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</v>
      </c>
      <c r="E43" s="109">
        <f t="shared" si="6"/>
        <v>5</v>
      </c>
      <c r="F43" s="8">
        <f t="shared" si="6"/>
        <v>5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1</v>
      </c>
      <c r="AE43" s="13">
        <v>1</v>
      </c>
      <c r="AG43" s="12">
        <v>40</v>
      </c>
      <c r="AH43" s="13"/>
      <c r="AI43" s="13">
        <v>1</v>
      </c>
      <c r="AJ43" s="13">
        <v>1</v>
      </c>
      <c r="AL43" s="12">
        <v>40</v>
      </c>
      <c r="AM43" s="13"/>
      <c r="AN43" s="13">
        <v>1</v>
      </c>
      <c r="AO43" s="13">
        <v>1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1</v>
      </c>
      <c r="BX43" s="13">
        <v>1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6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1</v>
      </c>
      <c r="AE44" s="13">
        <v>1</v>
      </c>
      <c r="AG44" s="12">
        <v>41</v>
      </c>
      <c r="AH44" s="13"/>
      <c r="AI44" s="13">
        <v>1</v>
      </c>
      <c r="AJ44" s="13">
        <v>1</v>
      </c>
      <c r="AL44" s="12">
        <v>41</v>
      </c>
      <c r="AM44" s="13"/>
      <c r="AN44" s="13">
        <v>1</v>
      </c>
      <c r="AO44" s="13">
        <v>1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6</v>
      </c>
      <c r="E45" s="109">
        <f t="shared" si="6"/>
        <v>5</v>
      </c>
      <c r="F45" s="8">
        <f t="shared" si="6"/>
        <v>5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1</v>
      </c>
      <c r="AE45" s="13">
        <v>1</v>
      </c>
      <c r="AG45" s="12">
        <v>42</v>
      </c>
      <c r="AH45" s="13"/>
      <c r="AI45" s="13">
        <v>1</v>
      </c>
      <c r="AJ45" s="13">
        <v>1</v>
      </c>
      <c r="AL45" s="12">
        <v>42</v>
      </c>
      <c r="AM45" s="13"/>
      <c r="AN45" s="13">
        <v>1</v>
      </c>
      <c r="AO45" s="13">
        <v>1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1</v>
      </c>
      <c r="BX45" s="13">
        <v>1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5</v>
      </c>
      <c r="F46" s="8">
        <f t="shared" si="6"/>
        <v>5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1</v>
      </c>
      <c r="AJ46" s="13">
        <v>1</v>
      </c>
      <c r="AL46" s="12">
        <v>43</v>
      </c>
      <c r="AM46" s="13"/>
      <c r="AN46" s="13">
        <v>1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1</v>
      </c>
      <c r="AE47" s="13">
        <v>1</v>
      </c>
      <c r="AG47" s="12">
        <v>44</v>
      </c>
      <c r="AH47" s="13"/>
      <c r="AI47" s="13">
        <v>1</v>
      </c>
      <c r="AJ47" s="13">
        <v>1</v>
      </c>
      <c r="AL47" s="12">
        <v>44</v>
      </c>
      <c r="AM47" s="13"/>
      <c r="AN47" s="13">
        <v>1</v>
      </c>
      <c r="AO47" s="13">
        <v>1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1</v>
      </c>
      <c r="BX47" s="13">
        <v>1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1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1</v>
      </c>
      <c r="AE49" s="13">
        <v>1</v>
      </c>
      <c r="AG49" s="12">
        <v>46</v>
      </c>
      <c r="AH49" s="13"/>
      <c r="AI49" s="13">
        <v>1</v>
      </c>
      <c r="AJ49" s="13">
        <v>1</v>
      </c>
      <c r="AL49" s="12">
        <v>46</v>
      </c>
      <c r="AM49" s="13"/>
      <c r="AN49" s="13">
        <v>1</v>
      </c>
      <c r="AO49" s="13">
        <v>1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1</v>
      </c>
      <c r="BX49" s="13">
        <v>1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1</v>
      </c>
      <c r="AE50" s="13">
        <v>1</v>
      </c>
      <c r="AG50" s="12">
        <v>47</v>
      </c>
      <c r="AH50" s="13"/>
      <c r="AI50" s="13">
        <v>1</v>
      </c>
      <c r="AJ50" s="13">
        <v>1</v>
      </c>
      <c r="AL50" s="12">
        <v>47</v>
      </c>
      <c r="AM50" s="13"/>
      <c r="AN50" s="13">
        <v>1</v>
      </c>
      <c r="AO50" s="13">
        <v>1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1</v>
      </c>
      <c r="BX50" s="13">
        <v>1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1</v>
      </c>
      <c r="AE51" s="13">
        <v>1</v>
      </c>
      <c r="AG51" s="12">
        <v>48</v>
      </c>
      <c r="AH51" s="13"/>
      <c r="AI51" s="13">
        <v>1</v>
      </c>
      <c r="AJ51" s="13">
        <v>1</v>
      </c>
      <c r="AL51" s="12">
        <v>48</v>
      </c>
      <c r="AM51" s="13"/>
      <c r="AN51" s="13">
        <v>1</v>
      </c>
      <c r="AO51" s="13">
        <v>1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1</v>
      </c>
      <c r="BX51" s="13">
        <v>1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1</v>
      </c>
      <c r="AE52" s="13">
        <v>1</v>
      </c>
      <c r="AG52" s="12">
        <v>49</v>
      </c>
      <c r="AH52" s="13"/>
      <c r="AI52" s="13">
        <v>1</v>
      </c>
      <c r="AJ52" s="13">
        <v>1</v>
      </c>
      <c r="AL52" s="12">
        <v>49</v>
      </c>
      <c r="AM52" s="13"/>
      <c r="AN52" s="13">
        <v>1</v>
      </c>
      <c r="AO52" s="13">
        <v>1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1</v>
      </c>
      <c r="BX52" s="13">
        <v>1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36</v>
      </c>
      <c r="E53" s="109">
        <f>SUM(E41:E52)</f>
        <v>50</v>
      </c>
      <c r="F53" s="109">
        <f>SUM(F41:F52)</f>
        <v>50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4</v>
      </c>
      <c r="E68" s="51">
        <f t="shared" si="7"/>
        <v>4</v>
      </c>
      <c r="F68" s="58">
        <f t="shared" si="7"/>
        <v>4</v>
      </c>
      <c r="G68" s="50">
        <f t="shared" si="7"/>
        <v>4</v>
      </c>
      <c r="H68" s="51">
        <f t="shared" si="7"/>
        <v>4</v>
      </c>
      <c r="I68" s="51">
        <f t="shared" si="7"/>
        <v>4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4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>SUMIF(BM$3:BM$52,$A73,BW$3:BW$52)</f>
        <v>25</v>
      </c>
      <c r="F73" s="5">
        <f>SUMIF(BN$3:BN$52,$A73,BX$3:BX$52)</f>
        <v>25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9">SUMIF(BL$3:BL$38,$A74,BV$3:BV$38)</f>
        <v>0</v>
      </c>
      <c r="E74" s="109">
        <f t="shared" ref="E74:F84" si="10">SUMIF(BM$3:BM$52,$A74,BW$3:BW$52)</f>
        <v>5</v>
      </c>
      <c r="F74" s="8">
        <f t="shared" si="10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9"/>
        <v>6</v>
      </c>
      <c r="E75" s="109">
        <f t="shared" si="10"/>
        <v>5</v>
      </c>
      <c r="F75" s="8">
        <f t="shared" si="10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9"/>
        <v>6</v>
      </c>
      <c r="E76" s="109">
        <f t="shared" si="10"/>
        <v>5</v>
      </c>
      <c r="F76" s="8">
        <f t="shared" si="10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9"/>
        <v>6</v>
      </c>
      <c r="E77" s="109">
        <f t="shared" si="10"/>
        <v>5</v>
      </c>
      <c r="F77" s="39">
        <f t="shared" si="10"/>
        <v>5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9"/>
        <v>0</v>
      </c>
      <c r="E78" s="109">
        <f t="shared" si="10"/>
        <v>5</v>
      </c>
      <c r="F78" s="39">
        <f t="shared" si="10"/>
        <v>5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9"/>
        <v>0</v>
      </c>
      <c r="E79" s="60">
        <f t="shared" si="10"/>
        <v>0</v>
      </c>
      <c r="F79" s="39">
        <f t="shared" si="10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9"/>
        <v>0</v>
      </c>
      <c r="E80" s="60">
        <f t="shared" si="10"/>
        <v>0</v>
      </c>
      <c r="F80" s="39">
        <f t="shared" si="10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9"/>
        <v>0</v>
      </c>
      <c r="E81" s="60">
        <f t="shared" si="10"/>
        <v>0</v>
      </c>
      <c r="F81" s="39">
        <f t="shared" si="10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9"/>
        <v>0</v>
      </c>
      <c r="E82" s="60">
        <f t="shared" si="10"/>
        <v>0</v>
      </c>
      <c r="F82" s="39">
        <f t="shared" si="10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9"/>
        <v>0</v>
      </c>
      <c r="E83" s="60">
        <f t="shared" si="10"/>
        <v>0</v>
      </c>
      <c r="F83" s="39">
        <f t="shared" si="10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9"/>
        <v>0</v>
      </c>
      <c r="E84" s="40">
        <f t="shared" si="10"/>
        <v>0</v>
      </c>
      <c r="F84" s="41">
        <f t="shared" si="10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BG2">
    <cfRule type="cellIs" dxfId="146" priority="222" operator="equal">
      <formula>"E"</formula>
    </cfRule>
  </conditionalFormatting>
  <conditionalFormatting sqref="AA113 AP113">
    <cfRule type="cellIs" dxfId="145" priority="255" operator="equal">
      <formula>"E"</formula>
    </cfRule>
  </conditionalFormatting>
  <conditionalFormatting sqref="BH43:BH103">
    <cfRule type="cellIs" dxfId="144" priority="220" operator="equal">
      <formula>"E"</formula>
    </cfRule>
  </conditionalFormatting>
  <conditionalFormatting sqref="BA43:BA103">
    <cfRule type="cellIs" dxfId="143" priority="238" operator="equal">
      <formula>"E"</formula>
    </cfRule>
  </conditionalFormatting>
  <conditionalFormatting sqref="AZ2">
    <cfRule type="cellIs" dxfId="142" priority="239" operator="equal">
      <formula>"E"</formula>
    </cfRule>
  </conditionalFormatting>
  <conditionalFormatting sqref="BI2">
    <cfRule type="cellIs" dxfId="141" priority="211" operator="equal">
      <formula>"E"</formula>
    </cfRule>
  </conditionalFormatting>
  <conditionalFormatting sqref="BA2">
    <cfRule type="cellIs" dxfId="140" priority="237" operator="equal">
      <formula>"E"</formula>
    </cfRule>
  </conditionalFormatting>
  <conditionalFormatting sqref="BB43:BB103">
    <cfRule type="cellIs" dxfId="139" priority="236" operator="equal">
      <formula>"E"</formula>
    </cfRule>
  </conditionalFormatting>
  <conditionalFormatting sqref="BB2">
    <cfRule type="cellIs" dxfId="138" priority="235" operator="equal">
      <formula>"E"</formula>
    </cfRule>
  </conditionalFormatting>
  <conditionalFormatting sqref="BC43:BC103">
    <cfRule type="cellIs" dxfId="137" priority="234" operator="equal">
      <formula>"E"</formula>
    </cfRule>
  </conditionalFormatting>
  <conditionalFormatting sqref="BC2">
    <cfRule type="cellIs" dxfId="136" priority="233" operator="equal">
      <formula>"E"</formula>
    </cfRule>
  </conditionalFormatting>
  <conditionalFormatting sqref="BD43:BD103">
    <cfRule type="cellIs" dxfId="135" priority="232" operator="equal">
      <formula>"E"</formula>
    </cfRule>
  </conditionalFormatting>
  <conditionalFormatting sqref="BD2">
    <cfRule type="cellIs" dxfId="134" priority="231" operator="equal">
      <formula>"E"</formula>
    </cfRule>
  </conditionalFormatting>
  <conditionalFormatting sqref="BE43:BE103">
    <cfRule type="cellIs" dxfId="133" priority="230" operator="equal">
      <formula>"E"</formula>
    </cfRule>
  </conditionalFormatting>
  <conditionalFormatting sqref="BE2">
    <cfRule type="cellIs" dxfId="132" priority="229" operator="equal">
      <formula>"E"</formula>
    </cfRule>
  </conditionalFormatting>
  <conditionalFormatting sqref="BF43:BF103">
    <cfRule type="cellIs" dxfId="131" priority="228" operator="equal">
      <formula>"E"</formula>
    </cfRule>
  </conditionalFormatting>
  <conditionalFormatting sqref="BF2">
    <cfRule type="cellIs" dxfId="130" priority="227" operator="equal">
      <formula>"E"</formula>
    </cfRule>
  </conditionalFormatting>
  <conditionalFormatting sqref="BG43:BG103">
    <cfRule type="cellIs" dxfId="129" priority="223" operator="equal">
      <formula>"E"</formula>
    </cfRule>
  </conditionalFormatting>
  <conditionalFormatting sqref="BH2">
    <cfRule type="cellIs" dxfId="128" priority="219" operator="equal">
      <formula>"E"</formula>
    </cfRule>
  </conditionalFormatting>
  <conditionalFormatting sqref="AX43:AX103">
    <cfRule type="cellIs" dxfId="127" priority="214" operator="equal">
      <formula>"E"</formula>
    </cfRule>
  </conditionalFormatting>
  <conditionalFormatting sqref="AX2">
    <cfRule type="cellIs" dxfId="126" priority="213" operator="equal">
      <formula>"E"</formula>
    </cfRule>
  </conditionalFormatting>
  <conditionalFormatting sqref="BI43:BI103">
    <cfRule type="cellIs" dxfId="125" priority="212" operator="equal">
      <formula>"E"</formula>
    </cfRule>
  </conditionalFormatting>
  <conditionalFormatting sqref="AW1">
    <cfRule type="cellIs" dxfId="124" priority="245" operator="equal">
      <formula>"E"</formula>
    </cfRule>
  </conditionalFormatting>
  <conditionalFormatting sqref="AY43:AY103">
    <cfRule type="cellIs" dxfId="123" priority="244" operator="equal">
      <formula>"E"</formula>
    </cfRule>
  </conditionalFormatting>
  <conditionalFormatting sqref="AY2">
    <cfRule type="cellIs" dxfId="122" priority="243" operator="equal">
      <formula>"E"</formula>
    </cfRule>
  </conditionalFormatting>
  <conditionalFormatting sqref="AW2:AW70">
    <cfRule type="cellIs" dxfId="121" priority="241" stopIfTrue="1" operator="equal">
      <formula>"WW"</formula>
    </cfRule>
    <cfRule type="cellIs" dxfId="120" priority="242" stopIfTrue="1" operator="equal">
      <formula>"C2"</formula>
    </cfRule>
  </conditionalFormatting>
  <conditionalFormatting sqref="AZ43:AZ103">
    <cfRule type="cellIs" dxfId="119" priority="240" operator="equal">
      <formula>"E"</formula>
    </cfRule>
  </conditionalFormatting>
  <conditionalFormatting sqref="AT1">
    <cfRule type="cellIs" dxfId="118" priority="140" operator="equal">
      <formula>"E"</formula>
    </cfRule>
  </conditionalFormatting>
  <conditionalFormatting sqref="AU43:AU103">
    <cfRule type="cellIs" dxfId="117" priority="123" operator="equal">
      <formula>"E"</formula>
    </cfRule>
  </conditionalFormatting>
  <conditionalFormatting sqref="S1:U110 X2:Z2 S114:U1048576 S111:T113 X53:Z103 X39:X52">
    <cfRule type="cellIs" dxfId="116" priority="147" operator="equal">
      <formula>"E"</formula>
    </cfRule>
  </conditionalFormatting>
  <conditionalFormatting sqref="X3:Z38 Y39:Z52">
    <cfRule type="cellIs" dxfId="115" priority="146" operator="equal">
      <formula>"E"</formula>
    </cfRule>
  </conditionalFormatting>
  <conditionalFormatting sqref="R1:R70">
    <cfRule type="cellIs" dxfId="114" priority="148" stopIfTrue="1" operator="equal">
      <formula>"WW"</formula>
    </cfRule>
    <cfRule type="cellIs" dxfId="113" priority="259" stopIfTrue="1" operator="equal">
      <formula>"C2"</formula>
    </cfRule>
  </conditionalFormatting>
  <conditionalFormatting sqref="S3:U103">
    <cfRule type="cellIs" dxfId="112" priority="149" operator="equal">
      <formula>"M4"</formula>
    </cfRule>
    <cfRule type="cellIs" dxfId="111" priority="260" operator="equal">
      <formula>"M3"</formula>
    </cfRule>
    <cfRule type="cellIs" dxfId="110" priority="260" operator="equal">
      <formula>"M2"</formula>
    </cfRule>
    <cfRule type="cellIs" dxfId="109" priority="260" operator="equal">
      <formula>"M1"</formula>
    </cfRule>
  </conditionalFormatting>
  <conditionalFormatting sqref="W2:W70">
    <cfRule type="cellIs" dxfId="108" priority="150" stopIfTrue="1" operator="equal">
      <formula>"WW"</formula>
    </cfRule>
    <cfRule type="cellIs" dxfId="107" priority="261" stopIfTrue="1" operator="equal">
      <formula>"C2"</formula>
    </cfRule>
  </conditionalFormatting>
  <conditionalFormatting sqref="X53:Z103 X39:X52">
    <cfRule type="cellIs" dxfId="106" priority="151" operator="equal">
      <formula>"M4"</formula>
    </cfRule>
    <cfRule type="cellIs" dxfId="105" priority="262" operator="equal">
      <formula>"M3"</formula>
    </cfRule>
    <cfRule type="cellIs" dxfId="104" priority="262" operator="equal">
      <formula>"M2"</formula>
    </cfRule>
    <cfRule type="cellIs" dxfId="103" priority="262" operator="equal">
      <formula>"M1"</formula>
    </cfRule>
  </conditionalFormatting>
  <conditionalFormatting sqref="U113:Z113">
    <cfRule type="cellIs" dxfId="102" priority="145" operator="equal">
      <formula>"E"</formula>
    </cfRule>
  </conditionalFormatting>
  <conditionalFormatting sqref="X3:Z38 Y39:Z52">
    <cfRule type="cellIs" dxfId="101" priority="144" operator="equal">
      <formula>"M4"</formula>
    </cfRule>
    <cfRule type="cellIs" dxfId="100" priority="263" operator="equal">
      <formula>"M3"</formula>
    </cfRule>
    <cfRule type="cellIs" dxfId="99" priority="263" operator="equal">
      <formula>"M2"</formula>
    </cfRule>
    <cfRule type="cellIs" dxfId="98" priority="263" operator="equal">
      <formula>"M1"</formula>
    </cfRule>
  </conditionalFormatting>
  <conditionalFormatting sqref="AS39:AS103 AU2 AR1:AR1048576">
    <cfRule type="cellIs" dxfId="97" priority="142" operator="equal">
      <formula>"E"</formula>
    </cfRule>
  </conditionalFormatting>
  <conditionalFormatting sqref="AQ1">
    <cfRule type="cellIs" dxfId="96" priority="141" operator="equal">
      <formula>"E"</formula>
    </cfRule>
  </conditionalFormatting>
  <conditionalFormatting sqref="AS39:AS103 AR3:AR103">
    <cfRule type="cellIs" dxfId="95" priority="128" operator="equal">
      <formula>"RE"</formula>
    </cfRule>
    <cfRule type="cellIs" dxfId="94" priority="129" operator="equal">
      <formula>"3000"</formula>
    </cfRule>
    <cfRule type="cellIs" dxfId="93" priority="130" operator="equal">
      <formula>"300"</formula>
    </cfRule>
    <cfRule type="cellIs" dxfId="92" priority="131" operator="equal">
      <formula>"100"</formula>
    </cfRule>
    <cfRule type="cellIs" dxfId="91" priority="132" operator="equal">
      <formula>"50"</formula>
    </cfRule>
    <cfRule type="cellIs" dxfId="90" priority="133" operator="equal">
      <formula>"40"</formula>
    </cfRule>
    <cfRule type="cellIs" dxfId="89" priority="134" operator="equal">
      <formula>"20"</formula>
    </cfRule>
  </conditionalFormatting>
  <conditionalFormatting sqref="AR1 AR104:AR1048576">
    <cfRule type="cellIs" dxfId="88" priority="135" operator="equal">
      <formula>"M4"</formula>
    </cfRule>
    <cfRule type="cellIs" dxfId="87" priority="136" operator="equal">
      <formula>"M3"</formula>
    </cfRule>
    <cfRule type="cellIs" dxfId="86" priority="137" operator="equal">
      <formula>"M1"</formula>
    </cfRule>
    <cfRule type="cellIs" dxfId="85" priority="138" operator="equal">
      <formula>"M2"</formula>
    </cfRule>
    <cfRule type="cellIs" dxfId="84" priority="139" stopIfTrue="1" operator="between">
      <formula>"C1"</formula>
      <formula>"C2"</formula>
    </cfRule>
  </conditionalFormatting>
  <conditionalFormatting sqref="AQ2:AQ70">
    <cfRule type="cellIs" dxfId="83" priority="126" stopIfTrue="1" operator="equal">
      <formula>"WW"</formula>
    </cfRule>
    <cfRule type="cellIs" dxfId="82" priority="127" stopIfTrue="1" operator="equal">
      <formula>"C2"</formula>
    </cfRule>
  </conditionalFormatting>
  <conditionalFormatting sqref="AT2:AT70">
    <cfRule type="cellIs" dxfId="81" priority="124" stopIfTrue="1" operator="equal">
      <formula>"WW"</formula>
    </cfRule>
    <cfRule type="cellIs" dxfId="80" priority="125" stopIfTrue="1" operator="equal">
      <formula>"C2"</formula>
    </cfRule>
  </conditionalFormatting>
  <conditionalFormatting sqref="AU43:AU103">
    <cfRule type="cellIs" dxfId="79" priority="120" operator="equal">
      <formula>"M3"</formula>
    </cfRule>
    <cfRule type="cellIs" dxfId="78" priority="121" operator="equal">
      <formula>"M2"</formula>
    </cfRule>
    <cfRule type="cellIs" dxfId="77" priority="122" operator="equal">
      <formula>"M1"</formula>
    </cfRule>
    <cfRule type="cellIs" dxfId="76" priority="143" operator="equal">
      <formula>"M4"</formula>
    </cfRule>
  </conditionalFormatting>
  <conditionalFormatting sqref="AU3:AU42">
    <cfRule type="cellIs" dxfId="75" priority="119" operator="equal">
      <formula>"E"</formula>
    </cfRule>
  </conditionalFormatting>
  <conditionalFormatting sqref="AU3:AU42">
    <cfRule type="cellIs" dxfId="74" priority="118" operator="equal">
      <formula>"M4"</formula>
    </cfRule>
    <cfRule type="cellIs" dxfId="73" priority="264" operator="equal">
      <formula>"M3"</formula>
    </cfRule>
    <cfRule type="cellIs" dxfId="72" priority="264" operator="equal">
      <formula>"M2"</formula>
    </cfRule>
    <cfRule type="cellIs" dxfId="71" priority="264" operator="equal">
      <formula>"M1"</formula>
    </cfRule>
  </conditionalFormatting>
  <conditionalFormatting sqref="AU3:AU42">
    <cfRule type="cellIs" dxfId="70" priority="116" operator="equal">
      <formula>"RE"</formula>
    </cfRule>
    <cfRule type="cellIs" dxfId="69" priority="117" operator="equal">
      <formula>"20"</formula>
    </cfRule>
    <cfRule type="cellIs" dxfId="68" priority="265" operator="equal">
      <formula>"3000"</formula>
    </cfRule>
    <cfRule type="cellIs" dxfId="67" priority="265" operator="equal">
      <formula>"300"</formula>
    </cfRule>
    <cfRule type="cellIs" dxfId="66" priority="265" operator="equal">
      <formula>"100"</formula>
    </cfRule>
    <cfRule type="cellIs" dxfId="65" priority="265" operator="equal">
      <formula>"50"</formula>
    </cfRule>
    <cfRule type="cellIs" dxfId="64" priority="265" operator="equal">
      <formula>"40"</formula>
    </cfRule>
  </conditionalFormatting>
  <conditionalFormatting sqref="J13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{B253339F-9F19-41DB-9CE7-0E86614CC984}</x14:id>
        </ext>
      </extLst>
    </cfRule>
  </conditionalFormatting>
  <conditionalFormatting sqref="BL1:BN103">
    <cfRule type="cellIs" dxfId="63" priority="74" operator="equal">
      <formula>"E"</formula>
    </cfRule>
  </conditionalFormatting>
  <conditionalFormatting sqref="BQ2:BS2 BQ53:BS103 BQ39:BQ52">
    <cfRule type="cellIs" dxfId="62" priority="73" operator="equal">
      <formula>"E"</formula>
    </cfRule>
  </conditionalFormatting>
  <conditionalFormatting sqref="BK1:BK70">
    <cfRule type="cellIs" dxfId="61" priority="75" stopIfTrue="1" operator="equal">
      <formula>"WW"</formula>
    </cfRule>
    <cfRule type="cellIs" dxfId="60" priority="84" stopIfTrue="1" operator="equal">
      <formula>"C2"</formula>
    </cfRule>
  </conditionalFormatting>
  <conditionalFormatting sqref="BL3:BN103">
    <cfRule type="cellIs" dxfId="59" priority="76" operator="equal">
      <formula>"M4"</formula>
    </cfRule>
    <cfRule type="cellIs" dxfId="58" priority="85" operator="equal">
      <formula>"M3"</formula>
    </cfRule>
  </conditionalFormatting>
  <conditionalFormatting sqref="BP2:BP70">
    <cfRule type="cellIs" dxfId="57" priority="71" stopIfTrue="1" operator="equal">
      <formula>"WW"</formula>
    </cfRule>
    <cfRule type="cellIs" dxfId="56" priority="72" stopIfTrue="1" operator="equal">
      <formula>"C2"</formula>
    </cfRule>
  </conditionalFormatting>
  <conditionalFormatting sqref="BQ53:BS103 BQ39:BQ52">
    <cfRule type="cellIs" dxfId="55" priority="67" operator="equal">
      <formula>"M4"</formula>
    </cfRule>
    <cfRule type="cellIs" dxfId="54" priority="68" operator="equal">
      <formula>"M3"</formula>
    </cfRule>
    <cfRule type="cellIs" dxfId="53" priority="69" operator="equal">
      <formula>"M2"</formula>
    </cfRule>
    <cfRule type="cellIs" dxfId="52" priority="70" operator="equal">
      <formula>"M1"</formula>
    </cfRule>
  </conditionalFormatting>
  <conditionalFormatting sqref="BQ3:BS38 BR39:BS52">
    <cfRule type="cellIs" dxfId="51" priority="66" operator="equal">
      <formula>"E"</formula>
    </cfRule>
  </conditionalFormatting>
  <conditionalFormatting sqref="BR3:BS52">
    <cfRule type="cellIs" dxfId="50" priority="65" operator="equal">
      <formula>"M4"</formula>
    </cfRule>
    <cfRule type="cellIs" dxfId="49" priority="86" operator="equal">
      <formula>"M3"</formula>
    </cfRule>
  </conditionalFormatting>
  <conditionalFormatting sqref="BQ3:BS38 BR39:BS52">
    <cfRule type="cellIs" dxfId="48" priority="64" operator="equal">
      <formula>"M4"</formula>
    </cfRule>
    <cfRule type="cellIs" dxfId="47" priority="87" operator="equal">
      <formula>"M3"</formula>
    </cfRule>
  </conditionalFormatting>
  <conditionalFormatting sqref="AF113">
    <cfRule type="cellIs" dxfId="46" priority="53" operator="equal">
      <formula>"E"</formula>
    </cfRule>
  </conditionalFormatting>
  <conditionalFormatting sqref="AB1">
    <cfRule type="cellIs" dxfId="45" priority="57" operator="equal">
      <formula>"E"</formula>
    </cfRule>
  </conditionalFormatting>
  <conditionalFormatting sqref="AB2:AB70">
    <cfRule type="cellIs" dxfId="44" priority="55" stopIfTrue="1" operator="equal">
      <formula>"WW"</formula>
    </cfRule>
    <cfRule type="cellIs" dxfId="43" priority="56" stopIfTrue="1" operator="equal">
      <formula>"C2"</formula>
    </cfRule>
  </conditionalFormatting>
  <conditionalFormatting sqref="AB113">
    <cfRule type="cellIs" dxfId="42" priority="54" operator="equal">
      <formula>"E"</formula>
    </cfRule>
  </conditionalFormatting>
  <conditionalFormatting sqref="AL1">
    <cfRule type="cellIs" dxfId="41" priority="49" operator="equal">
      <formula>"E"</formula>
    </cfRule>
  </conditionalFormatting>
  <conditionalFormatting sqref="AG1">
    <cfRule type="cellIs" dxfId="40" priority="52" operator="equal">
      <formula>"E"</formula>
    </cfRule>
  </conditionalFormatting>
  <conditionalFormatting sqref="AG2:AG70">
    <cfRule type="cellIs" dxfId="39" priority="50" stopIfTrue="1" operator="equal">
      <formula>"WW"</formula>
    </cfRule>
    <cfRule type="cellIs" dxfId="38" priority="51" stopIfTrue="1" operator="equal">
      <formula>"C2"</formula>
    </cfRule>
  </conditionalFormatting>
  <conditionalFormatting sqref="AL2:AL70">
    <cfRule type="cellIs" dxfId="37" priority="47" stopIfTrue="1" operator="equal">
      <formula>"WW"</formula>
    </cfRule>
    <cfRule type="cellIs" dxfId="36" priority="48" stopIfTrue="1" operator="equal">
      <formula>"C2"</formula>
    </cfRule>
  </conditionalFormatting>
  <conditionalFormatting sqref="AD1:AE1">
    <cfRule type="cellIs" dxfId="35" priority="46" operator="equal">
      <formula>"E"</formula>
    </cfRule>
  </conditionalFormatting>
  <conditionalFormatting sqref="AC39:AE110 AC114:AE1048576 AC3:AC38">
    <cfRule type="cellIs" dxfId="34" priority="45" operator="equal">
      <formula>"E"</formula>
    </cfRule>
  </conditionalFormatting>
  <conditionalFormatting sqref="AC2:AE2">
    <cfRule type="cellIs" dxfId="33" priority="44" operator="equal">
      <formula>"E"</formula>
    </cfRule>
  </conditionalFormatting>
  <conditionalFormatting sqref="AC113:AE113">
    <cfRule type="cellIs" dxfId="32" priority="43" operator="equal">
      <formula>"E"</formula>
    </cfRule>
  </conditionalFormatting>
  <conditionalFormatting sqref="AE4:AE38">
    <cfRule type="cellIs" dxfId="31" priority="42" operator="equal">
      <formula>"E"</formula>
    </cfRule>
  </conditionalFormatting>
  <conditionalFormatting sqref="AD3:AD38 AE3">
    <cfRule type="cellIs" dxfId="30" priority="41" operator="equal">
      <formula>"E"</formula>
    </cfRule>
  </conditionalFormatting>
  <conditionalFormatting sqref="AI1:AJ1">
    <cfRule type="cellIs" dxfId="29" priority="40" operator="equal">
      <formula>"E"</formula>
    </cfRule>
  </conditionalFormatting>
  <conditionalFormatting sqref="AH53:AJ103">
    <cfRule type="cellIs" dxfId="28" priority="39" operator="equal">
      <formula>"E"</formula>
    </cfRule>
  </conditionalFormatting>
  <conditionalFormatting sqref="AH2:AJ2">
    <cfRule type="cellIs" dxfId="27" priority="38" operator="equal">
      <formula>"E"</formula>
    </cfRule>
  </conditionalFormatting>
  <conditionalFormatting sqref="AN1:AO1">
    <cfRule type="cellIs" dxfId="26" priority="32" operator="equal">
      <formula>"E"</formula>
    </cfRule>
  </conditionalFormatting>
  <conditionalFormatting sqref="AM53:AO103">
    <cfRule type="cellIs" dxfId="25" priority="31" operator="equal">
      <formula>"E"</formula>
    </cfRule>
  </conditionalFormatting>
  <conditionalFormatting sqref="AM2:AO2">
    <cfRule type="cellIs" dxfId="24" priority="30" operator="equal">
      <formula>"E"</formula>
    </cfRule>
  </conditionalFormatting>
  <conditionalFormatting sqref="BV53:BX103">
    <cfRule type="cellIs" dxfId="23" priority="21" operator="equal">
      <formula>"E"</formula>
    </cfRule>
  </conditionalFormatting>
  <conditionalFormatting sqref="BW1:BX1 BU1">
    <cfRule type="cellIs" dxfId="22" priority="20" operator="equal">
      <formula>"E"</formula>
    </cfRule>
  </conditionalFormatting>
  <conditionalFormatting sqref="BV2:BX2">
    <cfRule type="cellIs" dxfId="21" priority="19" operator="equal">
      <formula>"E"</formula>
    </cfRule>
  </conditionalFormatting>
  <conditionalFormatting sqref="BU2:BU70">
    <cfRule type="cellIs" dxfId="20" priority="17" stopIfTrue="1" operator="equal">
      <formula>"WW"</formula>
    </cfRule>
    <cfRule type="cellIs" dxfId="19" priority="18" stopIfTrue="1" operator="equal">
      <formula>"C2"</formula>
    </cfRule>
  </conditionalFormatting>
  <conditionalFormatting sqref="BZ1:BZ70">
    <cfRule type="cellIs" dxfId="18" priority="16" stopIfTrue="1" operator="equal">
      <formula>"C2"</formula>
    </cfRule>
    <cfRule type="cellIs" dxfId="17" priority="22" stopIfTrue="1" operator="equal">
      <formula>"WW"</formula>
    </cfRule>
  </conditionalFormatting>
  <conditionalFormatting sqref="CA3:CA103">
    <cfRule type="cellIs" dxfId="16" priority="23" operator="equal">
      <formula>"M4"</formula>
    </cfRule>
  </conditionalFormatting>
  <conditionalFormatting sqref="CA1:CA103 CA105:CA1048576">
    <cfRule type="cellIs" dxfId="15" priority="24" operator="equal">
      <formula>"E"</formula>
    </cfRule>
  </conditionalFormatting>
  <conditionalFormatting sqref="CC1">
    <cfRule type="cellIs" dxfId="14" priority="25" operator="equal">
      <formula>"E"</formula>
    </cfRule>
  </conditionalFormatting>
  <conditionalFormatting sqref="CC2:CC70">
    <cfRule type="cellIs" dxfId="13" priority="14" stopIfTrue="1" operator="equal">
      <formula>"WW"</formula>
    </cfRule>
    <cfRule type="cellIs" dxfId="12" priority="15" stopIfTrue="1" operator="equal">
      <formula>"C2"</formula>
    </cfRule>
  </conditionalFormatting>
  <conditionalFormatting sqref="CD2">
    <cfRule type="cellIs" dxfId="11" priority="12" operator="equal">
      <formula>"E"</formula>
    </cfRule>
  </conditionalFormatting>
  <conditionalFormatting sqref="CD3:CD103 CD105:CD1048576">
    <cfRule type="cellIs" dxfId="10" priority="11" operator="equal">
      <formula>"E"</formula>
    </cfRule>
  </conditionalFormatting>
  <conditionalFormatting sqref="AH39:AJ52 AH3:AH38">
    <cfRule type="cellIs" dxfId="9" priority="10" operator="equal">
      <formula>"E"</formula>
    </cfRule>
  </conditionalFormatting>
  <conditionalFormatting sqref="AJ4:AJ38">
    <cfRule type="cellIs" dxfId="8" priority="9" operator="equal">
      <formula>"E"</formula>
    </cfRule>
  </conditionalFormatting>
  <conditionalFormatting sqref="AI3:AI38 AJ3">
    <cfRule type="cellIs" dxfId="7" priority="8" operator="equal">
      <formula>"E"</formula>
    </cfRule>
  </conditionalFormatting>
  <conditionalFormatting sqref="AM39:AO52 AM3:AM38">
    <cfRule type="cellIs" dxfId="6" priority="7" operator="equal">
      <formula>"E"</formula>
    </cfRule>
  </conditionalFormatting>
  <conditionalFormatting sqref="AO4:AO38">
    <cfRule type="cellIs" dxfId="5" priority="6" operator="equal">
      <formula>"E"</formula>
    </cfRule>
  </conditionalFormatting>
  <conditionalFormatting sqref="AN3:AN38 AO3">
    <cfRule type="cellIs" dxfId="4" priority="5" operator="equal">
      <formula>"E"</formula>
    </cfRule>
  </conditionalFormatting>
  <conditionalFormatting sqref="BV39:BX52 BV3:BV38">
    <cfRule type="cellIs" dxfId="3" priority="4" operator="equal">
      <formula>"E"</formula>
    </cfRule>
  </conditionalFormatting>
  <conditionalFormatting sqref="BX4:BX38">
    <cfRule type="cellIs" dxfId="2" priority="3" operator="equal">
      <formula>"E"</formula>
    </cfRule>
  </conditionalFormatting>
  <conditionalFormatting sqref="BW3:BW38 BX3">
    <cfRule type="cellIs" dxfId="1" priority="2" operator="equal">
      <formula>"E"</formula>
    </cfRule>
  </conditionalFormatting>
  <conditionalFormatting sqref="AX3:BI42">
    <cfRule type="cellIs" dxfId="0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53339F-9F19-41DB-9CE7-0E86614CC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Overview</vt:lpstr>
      <vt:lpstr>Extra_info</vt:lpstr>
      <vt:lpstr>Description</vt:lpstr>
      <vt:lpstr>Card_Info_Extra_testA</vt:lpstr>
      <vt:lpstr>Card_Info_Extra_testB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宏羲 沈</cp:lastModifiedBy>
  <dcterms:created xsi:type="dcterms:W3CDTF">2024-02-20T05:43:38Z</dcterms:created>
  <dcterms:modified xsi:type="dcterms:W3CDTF">2026-10-12T05:46:04Z</dcterms:modified>
</cp:coreProperties>
</file>